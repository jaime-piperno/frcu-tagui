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G:\My Drive\UTN - FRCU\4to año\2do cuatrimestre\Tecnologías para la automatización\Proyecto-RPA\docs\"/>
    </mc:Choice>
  </mc:AlternateContent>
  <xr:revisionPtr revIDLastSave="0" documentId="13_ncr:1_{CCA94C86-6C1F-49CB-8574-C806A679EEC9}" xr6:coauthVersionLast="47" xr6:coauthVersionMax="47" xr10:uidLastSave="{00000000-0000-0000-0000-000000000000}"/>
  <bookViews>
    <workbookView xWindow="43080" yWindow="-120" windowWidth="38640" windowHeight="21840" activeTab="6" xr2:uid="{00000000-000D-0000-FFFF-FFFF00000000}"/>
  </bookViews>
  <sheets>
    <sheet name="sheet0" sheetId="1" r:id="rId1"/>
    <sheet name="TR" sheetId="7" r:id="rId2"/>
    <sheet name="Hoja1" sheetId="2" r:id="rId3"/>
    <sheet name="SIRCUPA" sheetId="4" r:id="rId4"/>
    <sheet name="SIRTAC" sheetId="5" r:id="rId5"/>
    <sheet name="Gastos" sheetId="6" r:id="rId6"/>
    <sheet name="IDC" sheetId="3" r:id="rId7"/>
    <sheet name="TP" sheetId="9" r:id="rId8"/>
  </sheets>
  <definedNames>
    <definedName name="_xlnm._FilterDatabase" localSheetId="5" hidden="1">Gastos!$A$8:$T$8</definedName>
    <definedName name="_xlnm._FilterDatabase" localSheetId="0" hidden="1">sheet0!$A$4:$O$1616</definedName>
    <definedName name="_xlnm._FilterDatabase" localSheetId="3" hidden="1">SIRCUPA!$A$20:$H$20</definedName>
    <definedName name="_xlnm._FilterDatabase" localSheetId="4" hidden="1">SIRTAC!$A$15:$H$15</definedName>
  </definedNames>
  <calcPr calcId="191029"/>
  <pivotCaches>
    <pivotCache cacheId="0" r:id="rId9"/>
    <pivotCache cacheId="1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616" i="9" l="1"/>
  <c r="G1616" i="9"/>
  <c r="M1615" i="9"/>
  <c r="G1615" i="9"/>
  <c r="M1614" i="9"/>
  <c r="G1614" i="9"/>
  <c r="M1613" i="9"/>
  <c r="G1613" i="9"/>
  <c r="G1612" i="9"/>
  <c r="M1611" i="9"/>
  <c r="M1610" i="9"/>
  <c r="G1610" i="9"/>
  <c r="M1609" i="9"/>
  <c r="G1609" i="9"/>
  <c r="M1608" i="9"/>
  <c r="M1607" i="9"/>
  <c r="G1607" i="9"/>
  <c r="G1606" i="9"/>
  <c r="M1605" i="9"/>
  <c r="M1604" i="9"/>
  <c r="M1603" i="9"/>
  <c r="G1603" i="9"/>
  <c r="G1602" i="9"/>
  <c r="M1601" i="9"/>
  <c r="M1600" i="9"/>
  <c r="G1600" i="9"/>
  <c r="M1599" i="9"/>
  <c r="G1599" i="9"/>
  <c r="M1598" i="9"/>
  <c r="G1598" i="9"/>
  <c r="G1597" i="9"/>
  <c r="M1596" i="9"/>
  <c r="G1595" i="9"/>
  <c r="M1594" i="9"/>
  <c r="M1593" i="9"/>
  <c r="G1593" i="9"/>
  <c r="M1592" i="9"/>
  <c r="G1592" i="9"/>
  <c r="M1591" i="9"/>
  <c r="M1590" i="9"/>
  <c r="M1589" i="9"/>
  <c r="G1589" i="9"/>
  <c r="M1588" i="9"/>
  <c r="G1588" i="9"/>
  <c r="M1587" i="9"/>
  <c r="G1587" i="9"/>
  <c r="G1586" i="9"/>
  <c r="M1585" i="9"/>
  <c r="M1584" i="9"/>
  <c r="G1584" i="9"/>
  <c r="M1583" i="9"/>
  <c r="G1583" i="9"/>
  <c r="M1582" i="9"/>
  <c r="G1582" i="9"/>
  <c r="M1581" i="9"/>
  <c r="G1581" i="9"/>
  <c r="M1580" i="9"/>
  <c r="G1580" i="9"/>
  <c r="M1579" i="9"/>
  <c r="M1578" i="9"/>
  <c r="G1578" i="9"/>
  <c r="M1577" i="9"/>
  <c r="G1577" i="9"/>
  <c r="M1576" i="9"/>
  <c r="G1576" i="9"/>
  <c r="M1575" i="9"/>
  <c r="G1575" i="9"/>
  <c r="M1574" i="9"/>
  <c r="G1574" i="9"/>
  <c r="M1573" i="9"/>
  <c r="M1572" i="9"/>
  <c r="M1571" i="9"/>
  <c r="G1571" i="9"/>
  <c r="M1570" i="9"/>
  <c r="G1570" i="9"/>
  <c r="M1569" i="9"/>
  <c r="G1569" i="9"/>
  <c r="M1568" i="9"/>
  <c r="M1567" i="9"/>
  <c r="G1567" i="9"/>
  <c r="M1566" i="9"/>
  <c r="G1566" i="9"/>
  <c r="M1565" i="9"/>
  <c r="M1564" i="9"/>
  <c r="M1563" i="9"/>
  <c r="M1562" i="9"/>
  <c r="M1561" i="9"/>
  <c r="M1560" i="9"/>
  <c r="M1559" i="9"/>
  <c r="M1558" i="9"/>
  <c r="M1557" i="9"/>
  <c r="M1556" i="9"/>
  <c r="M1555" i="9"/>
  <c r="M1554" i="9"/>
  <c r="M1553" i="9"/>
  <c r="M1552" i="9"/>
  <c r="M1551" i="9"/>
  <c r="M1550" i="9"/>
  <c r="M1549" i="9"/>
  <c r="M1548" i="9"/>
  <c r="M1547" i="9"/>
  <c r="M1546" i="9"/>
  <c r="M1545" i="9"/>
  <c r="M1544" i="9"/>
  <c r="M1543" i="9"/>
  <c r="M1542" i="9"/>
  <c r="M1541" i="9"/>
  <c r="M1540" i="9"/>
  <c r="M1539" i="9"/>
  <c r="M1538" i="9"/>
  <c r="M1537" i="9"/>
  <c r="M1536" i="9"/>
  <c r="M1535" i="9"/>
  <c r="M1534" i="9"/>
  <c r="M1533" i="9"/>
  <c r="M1532" i="9"/>
  <c r="M1531" i="9"/>
  <c r="M1530" i="9"/>
  <c r="M1529" i="9"/>
  <c r="M1528" i="9"/>
  <c r="M1527" i="9"/>
  <c r="M1526" i="9"/>
  <c r="M1525" i="9"/>
  <c r="M1524" i="9"/>
  <c r="M1523" i="9"/>
  <c r="M1522" i="9"/>
  <c r="M1521" i="9"/>
  <c r="M1520" i="9"/>
  <c r="M1519" i="9"/>
  <c r="M1518" i="9"/>
  <c r="M1517" i="9"/>
  <c r="M1516" i="9"/>
  <c r="M1515" i="9"/>
  <c r="M1514" i="9"/>
  <c r="M1513" i="9"/>
  <c r="M1512" i="9"/>
  <c r="M1511" i="9"/>
  <c r="M1510" i="9"/>
  <c r="M1509" i="9"/>
  <c r="M1508" i="9"/>
  <c r="M1507" i="9"/>
  <c r="M1506" i="9"/>
  <c r="M1505" i="9"/>
  <c r="M1504" i="9"/>
  <c r="M1503" i="9"/>
  <c r="M1502" i="9"/>
  <c r="M1501" i="9"/>
  <c r="M1500" i="9"/>
  <c r="M1499" i="9"/>
  <c r="M1498" i="9"/>
  <c r="M1497" i="9"/>
  <c r="M1496" i="9"/>
  <c r="M1495" i="9"/>
  <c r="M1494" i="9"/>
  <c r="M1493" i="9"/>
  <c r="M1492" i="9"/>
  <c r="M1491" i="9"/>
  <c r="M1490" i="9"/>
  <c r="M1489" i="9"/>
  <c r="M1488" i="9"/>
  <c r="M1487" i="9"/>
  <c r="M1486" i="9"/>
  <c r="M1485" i="9"/>
  <c r="M1484" i="9"/>
  <c r="M1483" i="9"/>
  <c r="M1482" i="9"/>
  <c r="M1481" i="9"/>
  <c r="M1480" i="9"/>
  <c r="M1479" i="9"/>
  <c r="M1478" i="9"/>
  <c r="M1477" i="9"/>
  <c r="M1476" i="9"/>
  <c r="M1475" i="9"/>
  <c r="M1474" i="9"/>
  <c r="M1473" i="9"/>
  <c r="M1472" i="9"/>
  <c r="M1471" i="9"/>
  <c r="M1470" i="9"/>
  <c r="M1469" i="9"/>
  <c r="M1468" i="9"/>
  <c r="M1467" i="9"/>
  <c r="M1466" i="9"/>
  <c r="M1465" i="9"/>
  <c r="M1464" i="9"/>
  <c r="M1463" i="9"/>
  <c r="M1462" i="9"/>
  <c r="M1461" i="9"/>
  <c r="M1460" i="9"/>
  <c r="M1459" i="9"/>
  <c r="M1458" i="9"/>
  <c r="M1457" i="9"/>
  <c r="M1456" i="9"/>
  <c r="M1455" i="9"/>
  <c r="M1454" i="9"/>
  <c r="M1453" i="9"/>
  <c r="M1452" i="9"/>
  <c r="M1451" i="9"/>
  <c r="M1450" i="9"/>
  <c r="M1449" i="9"/>
  <c r="M1448" i="9"/>
  <c r="M1447" i="9"/>
  <c r="M1446" i="9"/>
  <c r="M1445" i="9"/>
  <c r="M1444" i="9"/>
  <c r="M1443" i="9"/>
  <c r="M1442" i="9"/>
  <c r="M1441" i="9"/>
  <c r="M1440" i="9"/>
  <c r="M1439" i="9"/>
  <c r="M1438" i="9"/>
  <c r="M1437" i="9"/>
  <c r="M1436" i="9"/>
  <c r="M1435" i="9"/>
  <c r="M1434" i="9"/>
  <c r="M1433" i="9"/>
  <c r="M1432" i="9"/>
  <c r="M1431" i="9"/>
  <c r="M1430" i="9"/>
  <c r="M1429" i="9"/>
  <c r="M1428" i="9"/>
  <c r="M1427" i="9"/>
  <c r="M1426" i="9"/>
  <c r="M1425" i="9"/>
  <c r="M1424" i="9"/>
  <c r="M1423" i="9"/>
  <c r="M1422" i="9"/>
  <c r="M1421" i="9"/>
  <c r="M1420" i="9"/>
  <c r="M1419" i="9"/>
  <c r="M1418" i="9"/>
  <c r="M1417" i="9"/>
  <c r="M1416" i="9"/>
  <c r="M1415" i="9"/>
  <c r="M1414" i="9"/>
  <c r="M1413" i="9"/>
  <c r="M1412" i="9"/>
  <c r="M1411" i="9"/>
  <c r="M1410" i="9"/>
  <c r="M1409" i="9"/>
  <c r="M1408" i="9"/>
  <c r="M1407" i="9"/>
  <c r="M1406" i="9"/>
  <c r="M1405" i="9"/>
  <c r="M1404" i="9"/>
  <c r="M1403" i="9"/>
  <c r="M1402" i="9"/>
  <c r="M1401" i="9"/>
  <c r="M1400" i="9"/>
  <c r="M1399" i="9"/>
  <c r="M1398" i="9"/>
  <c r="M1397" i="9"/>
  <c r="M1396" i="9"/>
  <c r="M1395" i="9"/>
  <c r="M1394" i="9"/>
  <c r="M1393" i="9"/>
  <c r="M1392" i="9"/>
  <c r="M1391" i="9"/>
  <c r="M1390" i="9"/>
  <c r="M1389" i="9"/>
  <c r="M1388" i="9"/>
  <c r="M1387" i="9"/>
  <c r="M1386" i="9"/>
  <c r="M1385" i="9"/>
  <c r="M1384" i="9"/>
  <c r="M1383" i="9"/>
  <c r="M1382" i="9"/>
  <c r="M1381" i="9"/>
  <c r="M1380" i="9"/>
  <c r="M1379" i="9"/>
  <c r="M1378" i="9"/>
  <c r="M1377" i="9"/>
  <c r="M1376" i="9"/>
  <c r="M1375" i="9"/>
  <c r="M1374" i="9"/>
  <c r="M1373" i="9"/>
  <c r="M1372" i="9"/>
  <c r="M1371" i="9"/>
  <c r="M1370" i="9"/>
  <c r="M1369" i="9"/>
  <c r="M1368" i="9"/>
  <c r="M1367" i="9"/>
  <c r="M1366" i="9"/>
  <c r="M1365" i="9"/>
  <c r="M1364" i="9"/>
  <c r="M1363" i="9"/>
  <c r="M1362" i="9"/>
  <c r="M1361" i="9"/>
  <c r="M1360" i="9"/>
  <c r="M1359" i="9"/>
  <c r="M1358" i="9"/>
  <c r="M1357" i="9"/>
  <c r="M1356" i="9"/>
  <c r="M1355" i="9"/>
  <c r="M1354" i="9"/>
  <c r="M1353" i="9"/>
  <c r="M1352" i="9"/>
  <c r="M1351" i="9"/>
  <c r="M1350" i="9"/>
  <c r="M1349" i="9"/>
  <c r="M1348" i="9"/>
  <c r="M1347" i="9"/>
  <c r="M1346" i="9"/>
  <c r="M1345" i="9"/>
  <c r="M1344" i="9"/>
  <c r="M1343" i="9"/>
  <c r="M1342" i="9"/>
  <c r="M1341" i="9"/>
  <c r="M1340" i="9"/>
  <c r="M1339" i="9"/>
  <c r="M1338" i="9"/>
  <c r="M1337" i="9"/>
  <c r="M1336" i="9"/>
  <c r="M1335" i="9"/>
  <c r="M1334" i="9"/>
  <c r="M1333" i="9"/>
  <c r="M1332" i="9"/>
  <c r="M1331" i="9"/>
  <c r="M1330" i="9"/>
  <c r="M1329" i="9"/>
  <c r="M1328" i="9"/>
  <c r="M1327" i="9"/>
  <c r="M1326" i="9"/>
  <c r="M1325" i="9"/>
  <c r="M1324" i="9"/>
  <c r="M1323" i="9"/>
  <c r="M1322" i="9"/>
  <c r="M1321" i="9"/>
  <c r="M1320" i="9"/>
  <c r="M1319" i="9"/>
  <c r="M1318" i="9"/>
  <c r="M1317" i="9"/>
  <c r="M1316" i="9"/>
  <c r="M1315" i="9"/>
  <c r="M1314" i="9"/>
  <c r="M1313" i="9"/>
  <c r="M1312" i="9"/>
  <c r="M1311" i="9"/>
  <c r="M1310" i="9"/>
  <c r="M1309" i="9"/>
  <c r="M1308" i="9"/>
  <c r="M1307" i="9"/>
  <c r="M1306" i="9"/>
  <c r="M1305" i="9"/>
  <c r="M1304" i="9"/>
  <c r="M1303" i="9"/>
  <c r="M1302" i="9"/>
  <c r="M1301" i="9"/>
  <c r="M1300" i="9"/>
  <c r="M1299" i="9"/>
  <c r="M1298" i="9"/>
  <c r="M1297" i="9"/>
  <c r="M1296" i="9"/>
  <c r="M1295" i="9"/>
  <c r="M1294" i="9"/>
  <c r="M1293" i="9"/>
  <c r="M1292" i="9"/>
  <c r="M1291" i="9"/>
  <c r="M1290" i="9"/>
  <c r="M1289" i="9"/>
  <c r="M1288" i="9"/>
  <c r="M1287" i="9"/>
  <c r="M1286" i="9"/>
  <c r="M1285" i="9"/>
  <c r="M1284" i="9"/>
  <c r="M1283" i="9"/>
  <c r="M1282" i="9"/>
  <c r="M1281" i="9"/>
  <c r="M1280" i="9"/>
  <c r="M1279" i="9"/>
  <c r="M1278" i="9"/>
  <c r="M1277" i="9"/>
  <c r="M1276" i="9"/>
  <c r="M1275" i="9"/>
  <c r="M1274" i="9"/>
  <c r="M1273" i="9"/>
  <c r="M1272" i="9"/>
  <c r="M1271" i="9"/>
  <c r="M1270" i="9"/>
  <c r="M1269" i="9"/>
  <c r="M1268" i="9"/>
  <c r="M1267" i="9"/>
  <c r="M1266" i="9"/>
  <c r="M1265" i="9"/>
  <c r="M1264" i="9"/>
  <c r="M1263" i="9"/>
  <c r="M1262" i="9"/>
  <c r="M1261" i="9"/>
  <c r="M1260" i="9"/>
  <c r="M1259" i="9"/>
  <c r="M1258" i="9"/>
  <c r="M1257" i="9"/>
  <c r="M1256" i="9"/>
  <c r="M1255" i="9"/>
  <c r="M1254" i="9"/>
  <c r="M1253" i="9"/>
  <c r="M1252" i="9"/>
  <c r="M1251" i="9"/>
  <c r="M1250" i="9"/>
  <c r="M1249" i="9"/>
  <c r="M1248" i="9"/>
  <c r="M1247" i="9"/>
  <c r="M1246" i="9"/>
  <c r="M1245" i="9"/>
  <c r="M1244" i="9"/>
  <c r="M1243" i="9"/>
  <c r="M1242" i="9"/>
  <c r="M1241" i="9"/>
  <c r="M1240" i="9"/>
  <c r="M1239" i="9"/>
  <c r="M1238" i="9"/>
  <c r="M1237" i="9"/>
  <c r="M1236" i="9"/>
  <c r="M1235" i="9"/>
  <c r="M1234" i="9"/>
  <c r="M1233" i="9"/>
  <c r="M1232" i="9"/>
  <c r="M1231" i="9"/>
  <c r="M1230" i="9"/>
  <c r="M1229" i="9"/>
  <c r="M1228" i="9"/>
  <c r="M1227" i="9"/>
  <c r="M1226" i="9"/>
  <c r="M1225" i="9"/>
  <c r="M1224" i="9"/>
  <c r="M1223" i="9"/>
  <c r="M1222" i="9"/>
  <c r="M1221" i="9"/>
  <c r="M1220" i="9"/>
  <c r="M1219" i="9"/>
  <c r="M1218" i="9"/>
  <c r="M1217" i="9"/>
  <c r="M1216" i="9"/>
  <c r="M1215" i="9"/>
  <c r="M1214" i="9"/>
  <c r="M1213" i="9"/>
  <c r="M1212" i="9"/>
  <c r="M1211" i="9"/>
  <c r="M1210" i="9"/>
  <c r="M1209" i="9"/>
  <c r="M1208" i="9"/>
  <c r="M1207" i="9"/>
  <c r="M1206" i="9"/>
  <c r="M1205" i="9"/>
  <c r="M1204" i="9"/>
  <c r="M1203" i="9"/>
  <c r="M1202" i="9"/>
  <c r="M1201" i="9"/>
  <c r="M1200" i="9"/>
  <c r="M1199" i="9"/>
  <c r="M1198" i="9"/>
  <c r="M1197" i="9"/>
  <c r="M1196" i="9"/>
  <c r="M1195" i="9"/>
  <c r="M1194" i="9"/>
  <c r="M1193" i="9"/>
  <c r="M1192" i="9"/>
  <c r="M1191" i="9"/>
  <c r="M1190" i="9"/>
  <c r="M1189" i="9"/>
  <c r="M1188" i="9"/>
  <c r="M1187" i="9"/>
  <c r="M1186" i="9"/>
  <c r="M1185" i="9"/>
  <c r="M1184" i="9"/>
  <c r="M1183" i="9"/>
  <c r="M1182" i="9"/>
  <c r="M1181" i="9"/>
  <c r="M1180" i="9"/>
  <c r="M1179" i="9"/>
  <c r="M1178" i="9"/>
  <c r="M1177" i="9"/>
  <c r="M1176" i="9"/>
  <c r="M1175" i="9"/>
  <c r="M1174" i="9"/>
  <c r="M1173" i="9"/>
  <c r="M1172" i="9"/>
  <c r="M1171" i="9"/>
  <c r="M1170" i="9"/>
  <c r="M1169" i="9"/>
  <c r="M1168" i="9"/>
  <c r="M1167" i="9"/>
  <c r="M1166" i="9"/>
  <c r="M1165" i="9"/>
  <c r="M1164" i="9"/>
  <c r="M1163" i="9"/>
  <c r="M1162" i="9"/>
  <c r="M1161" i="9"/>
  <c r="M1160" i="9"/>
  <c r="M1159" i="9"/>
  <c r="M1158" i="9"/>
  <c r="M1157" i="9"/>
  <c r="M1156" i="9"/>
  <c r="M1155" i="9"/>
  <c r="M1154" i="9"/>
  <c r="M1153" i="9"/>
  <c r="M1152" i="9"/>
  <c r="M1151" i="9"/>
  <c r="M1150" i="9"/>
  <c r="M1149" i="9"/>
  <c r="M1148" i="9"/>
  <c r="M1147" i="9"/>
  <c r="M1146" i="9"/>
  <c r="M1145" i="9"/>
  <c r="M1144" i="9"/>
  <c r="M1143" i="9"/>
  <c r="M1142" i="9"/>
  <c r="M1141" i="9"/>
  <c r="M1140" i="9"/>
  <c r="M1139" i="9"/>
  <c r="M1138" i="9"/>
  <c r="M1137" i="9"/>
  <c r="M1136" i="9"/>
  <c r="M1135" i="9"/>
  <c r="M1134" i="9"/>
  <c r="M1133" i="9"/>
  <c r="M1132" i="9"/>
  <c r="M1131" i="9"/>
  <c r="M1130" i="9"/>
  <c r="M1129" i="9"/>
  <c r="M1128" i="9"/>
  <c r="M1127" i="9"/>
  <c r="M1126" i="9"/>
  <c r="M1125" i="9"/>
  <c r="M1124" i="9"/>
  <c r="M1123" i="9"/>
  <c r="M1122" i="9"/>
  <c r="M1121" i="9"/>
  <c r="M1120" i="9"/>
  <c r="M1119" i="9"/>
  <c r="M1118" i="9"/>
  <c r="M1117" i="9"/>
  <c r="M1116" i="9"/>
  <c r="M1115" i="9"/>
  <c r="M1114" i="9"/>
  <c r="M1113" i="9"/>
  <c r="M1112" i="9"/>
  <c r="M1111" i="9"/>
  <c r="M1110" i="9"/>
  <c r="M1109" i="9"/>
  <c r="M1108" i="9"/>
  <c r="M1107" i="9"/>
  <c r="M1106" i="9"/>
  <c r="M1105" i="9"/>
  <c r="M1104" i="9"/>
  <c r="M1103" i="9"/>
  <c r="M1102" i="9"/>
  <c r="M1101" i="9"/>
  <c r="M1100" i="9"/>
  <c r="M1099" i="9"/>
  <c r="M1098" i="9"/>
  <c r="M1097" i="9"/>
  <c r="M1096" i="9"/>
  <c r="M1095" i="9"/>
  <c r="M1094" i="9"/>
  <c r="M1093" i="9"/>
  <c r="M1092" i="9"/>
  <c r="M1091" i="9"/>
  <c r="M1090" i="9"/>
  <c r="M1089" i="9"/>
  <c r="M1088" i="9"/>
  <c r="M1087" i="9"/>
  <c r="M1086" i="9"/>
  <c r="M1085" i="9"/>
  <c r="M1084" i="9"/>
  <c r="M1083" i="9"/>
  <c r="M1082" i="9"/>
  <c r="M1081" i="9"/>
  <c r="M1080" i="9"/>
  <c r="M1079" i="9"/>
  <c r="M1078" i="9"/>
  <c r="M1077" i="9"/>
  <c r="M1076" i="9"/>
  <c r="M1075" i="9"/>
  <c r="M1074" i="9"/>
  <c r="M1073" i="9"/>
  <c r="M1072" i="9"/>
  <c r="M1071" i="9"/>
  <c r="M1070" i="9"/>
  <c r="M1069" i="9"/>
  <c r="M1068" i="9"/>
  <c r="M1067" i="9"/>
  <c r="M1066" i="9"/>
  <c r="M1065" i="9"/>
  <c r="M1064" i="9"/>
  <c r="M1063" i="9"/>
  <c r="M1062" i="9"/>
  <c r="M1061" i="9"/>
  <c r="M1060" i="9"/>
  <c r="M1059" i="9"/>
  <c r="M1058" i="9"/>
  <c r="M1057" i="9"/>
  <c r="M1056" i="9"/>
  <c r="M1055" i="9"/>
  <c r="M1054" i="9"/>
  <c r="M1053" i="9"/>
  <c r="M1052" i="9"/>
  <c r="M1051" i="9"/>
  <c r="M1050" i="9"/>
  <c r="M1049" i="9"/>
  <c r="M1048" i="9"/>
  <c r="M1047" i="9"/>
  <c r="M1046" i="9"/>
  <c r="M1045" i="9"/>
  <c r="M1044" i="9"/>
  <c r="M1043" i="9"/>
  <c r="M1042" i="9"/>
  <c r="M1041" i="9"/>
  <c r="M1040" i="9"/>
  <c r="M1039" i="9"/>
  <c r="M1038" i="9"/>
  <c r="M1037" i="9"/>
  <c r="M1036" i="9"/>
  <c r="M1035" i="9"/>
  <c r="M1034" i="9"/>
  <c r="M1033" i="9"/>
  <c r="M1032" i="9"/>
  <c r="M1031" i="9"/>
  <c r="M1030" i="9"/>
  <c r="M1029" i="9"/>
  <c r="M1028" i="9"/>
  <c r="M1027" i="9"/>
  <c r="M1026" i="9"/>
  <c r="M1025" i="9"/>
  <c r="M1024" i="9"/>
  <c r="M1023" i="9"/>
  <c r="M1022" i="9"/>
  <c r="M1021" i="9"/>
  <c r="M1020" i="9"/>
  <c r="M1019" i="9"/>
  <c r="M1018" i="9"/>
  <c r="M1017" i="9"/>
  <c r="M1016" i="9"/>
  <c r="M1015" i="9"/>
  <c r="M1014" i="9"/>
  <c r="M1013" i="9"/>
  <c r="M1012" i="9"/>
  <c r="M1011" i="9"/>
  <c r="M1010" i="9"/>
  <c r="M1009" i="9"/>
  <c r="M1008" i="9"/>
  <c r="M1007" i="9"/>
  <c r="M1006" i="9"/>
  <c r="M1005" i="9"/>
  <c r="M1004" i="9"/>
  <c r="M1003" i="9"/>
  <c r="M1002" i="9"/>
  <c r="M1001" i="9"/>
  <c r="M1000" i="9"/>
  <c r="M999" i="9"/>
  <c r="M998" i="9"/>
  <c r="M997" i="9"/>
  <c r="M996" i="9"/>
  <c r="M995" i="9"/>
  <c r="M994" i="9"/>
  <c r="M993" i="9"/>
  <c r="M992" i="9"/>
  <c r="M991" i="9"/>
  <c r="M990" i="9"/>
  <c r="M989" i="9"/>
  <c r="M988" i="9"/>
  <c r="M987" i="9"/>
  <c r="M986" i="9"/>
  <c r="M985" i="9"/>
  <c r="M984" i="9"/>
  <c r="M983" i="9"/>
  <c r="M982" i="9"/>
  <c r="M981" i="9"/>
  <c r="M980" i="9"/>
  <c r="M979" i="9"/>
  <c r="M978" i="9"/>
  <c r="M977" i="9"/>
  <c r="M976" i="9"/>
  <c r="M975" i="9"/>
  <c r="M974" i="9"/>
  <c r="M973" i="9"/>
  <c r="M972" i="9"/>
  <c r="M971" i="9"/>
  <c r="M970" i="9"/>
  <c r="M969" i="9"/>
  <c r="M968" i="9"/>
  <c r="M967" i="9"/>
  <c r="M966" i="9"/>
  <c r="M965" i="9"/>
  <c r="M964" i="9"/>
  <c r="M963" i="9"/>
  <c r="M962" i="9"/>
  <c r="M961" i="9"/>
  <c r="M960" i="9"/>
  <c r="M959" i="9"/>
  <c r="M958" i="9"/>
  <c r="M957" i="9"/>
  <c r="M956" i="9"/>
  <c r="M955" i="9"/>
  <c r="M954" i="9"/>
  <c r="M953" i="9"/>
  <c r="M952" i="9"/>
  <c r="M951" i="9"/>
  <c r="M950" i="9"/>
  <c r="M949" i="9"/>
  <c r="M948" i="9"/>
  <c r="M947" i="9"/>
  <c r="M946" i="9"/>
  <c r="M945" i="9"/>
  <c r="M944" i="9"/>
  <c r="M943" i="9"/>
  <c r="M942" i="9"/>
  <c r="M941" i="9"/>
  <c r="M940" i="9"/>
  <c r="M939" i="9"/>
  <c r="M938" i="9"/>
  <c r="M937" i="9"/>
  <c r="M936" i="9"/>
  <c r="M935" i="9"/>
  <c r="M934" i="9"/>
  <c r="M933" i="9"/>
  <c r="M932" i="9"/>
  <c r="M931" i="9"/>
  <c r="M930" i="9"/>
  <c r="M929" i="9"/>
  <c r="M928" i="9"/>
  <c r="M927" i="9"/>
  <c r="M926" i="9"/>
  <c r="M925" i="9"/>
  <c r="M924" i="9"/>
  <c r="M923" i="9"/>
  <c r="M922" i="9"/>
  <c r="M921" i="9"/>
  <c r="M920" i="9"/>
  <c r="M919" i="9"/>
  <c r="M918" i="9"/>
  <c r="M917" i="9"/>
  <c r="M916" i="9"/>
  <c r="M915" i="9"/>
  <c r="M914" i="9"/>
  <c r="M913" i="9"/>
  <c r="M912" i="9"/>
  <c r="M911" i="9"/>
  <c r="M910" i="9"/>
  <c r="M909" i="9"/>
  <c r="M908" i="9"/>
  <c r="M907" i="9"/>
  <c r="M906" i="9"/>
  <c r="M905" i="9"/>
  <c r="M904" i="9"/>
  <c r="M903" i="9"/>
  <c r="M902" i="9"/>
  <c r="M901" i="9"/>
  <c r="M900" i="9"/>
  <c r="M899" i="9"/>
  <c r="M898" i="9"/>
  <c r="M897" i="9"/>
  <c r="M896" i="9"/>
  <c r="M895" i="9"/>
  <c r="M894" i="9"/>
  <c r="M893" i="9"/>
  <c r="M892" i="9"/>
  <c r="M891" i="9"/>
  <c r="M890" i="9"/>
  <c r="M889" i="9"/>
  <c r="M888" i="9"/>
  <c r="M887" i="9"/>
  <c r="M886" i="9"/>
  <c r="M885" i="9"/>
  <c r="M884" i="9"/>
  <c r="M883" i="9"/>
  <c r="M882" i="9"/>
  <c r="M881" i="9"/>
  <c r="M880" i="9"/>
  <c r="M879" i="9"/>
  <c r="M878" i="9"/>
  <c r="M877" i="9"/>
  <c r="M876" i="9"/>
  <c r="M875" i="9"/>
  <c r="M874" i="9"/>
  <c r="M873" i="9"/>
  <c r="M872" i="9"/>
  <c r="M871" i="9"/>
  <c r="M870" i="9"/>
  <c r="M869" i="9"/>
  <c r="M868" i="9"/>
  <c r="M867" i="9"/>
  <c r="M866" i="9"/>
  <c r="M865" i="9"/>
  <c r="M864" i="9"/>
  <c r="M863" i="9"/>
  <c r="M862" i="9"/>
  <c r="M861" i="9"/>
  <c r="M860" i="9"/>
  <c r="M859" i="9"/>
  <c r="M858" i="9"/>
  <c r="M857" i="9"/>
  <c r="M856" i="9"/>
  <c r="M855" i="9"/>
  <c r="M854" i="9"/>
  <c r="M853" i="9"/>
  <c r="M852" i="9"/>
  <c r="M851" i="9"/>
  <c r="M850" i="9"/>
  <c r="M849" i="9"/>
  <c r="M848" i="9"/>
  <c r="M847" i="9"/>
  <c r="M846" i="9"/>
  <c r="M845" i="9"/>
  <c r="M844" i="9"/>
  <c r="M843" i="9"/>
  <c r="M842" i="9"/>
  <c r="M841" i="9"/>
  <c r="M840" i="9"/>
  <c r="M839" i="9"/>
  <c r="M838" i="9"/>
  <c r="M837" i="9"/>
  <c r="M836" i="9"/>
  <c r="M835" i="9"/>
  <c r="M834" i="9"/>
  <c r="M833" i="9"/>
  <c r="M832" i="9"/>
  <c r="M831" i="9"/>
  <c r="M830" i="9"/>
  <c r="M829" i="9"/>
  <c r="M828" i="9"/>
  <c r="M827" i="9"/>
  <c r="M826" i="9"/>
  <c r="M825" i="9"/>
  <c r="M824" i="9"/>
  <c r="M823" i="9"/>
  <c r="M822" i="9"/>
  <c r="M821" i="9"/>
  <c r="M820" i="9"/>
  <c r="M819" i="9"/>
  <c r="M818" i="9"/>
  <c r="M817" i="9"/>
  <c r="M816" i="9"/>
  <c r="M815" i="9"/>
  <c r="M814" i="9"/>
  <c r="M813" i="9"/>
  <c r="M812" i="9"/>
  <c r="M811" i="9"/>
  <c r="M810" i="9"/>
  <c r="M809" i="9"/>
  <c r="M808" i="9"/>
  <c r="M807" i="9"/>
  <c r="M806" i="9"/>
  <c r="M805" i="9"/>
  <c r="M804" i="9"/>
  <c r="M803" i="9"/>
  <c r="M802" i="9"/>
  <c r="M801" i="9"/>
  <c r="M800" i="9"/>
  <c r="M799" i="9"/>
  <c r="M798" i="9"/>
  <c r="M797" i="9"/>
  <c r="M796" i="9"/>
  <c r="M795" i="9"/>
  <c r="M794" i="9"/>
  <c r="M793" i="9"/>
  <c r="M792" i="9"/>
  <c r="M791" i="9"/>
  <c r="M790" i="9"/>
  <c r="M789" i="9"/>
  <c r="M788" i="9"/>
  <c r="M787" i="9"/>
  <c r="M786" i="9"/>
  <c r="M785" i="9"/>
  <c r="M784" i="9"/>
  <c r="M783" i="9"/>
  <c r="M782" i="9"/>
  <c r="M781" i="9"/>
  <c r="M780" i="9"/>
  <c r="M779" i="9"/>
  <c r="M778" i="9"/>
  <c r="M777" i="9"/>
  <c r="M776" i="9"/>
  <c r="M775" i="9"/>
  <c r="M774" i="9"/>
  <c r="M773" i="9"/>
  <c r="M772" i="9"/>
  <c r="M771" i="9"/>
  <c r="M770" i="9"/>
  <c r="M769" i="9"/>
  <c r="M768" i="9"/>
  <c r="M767" i="9"/>
  <c r="M766" i="9"/>
  <c r="M765" i="9"/>
  <c r="M764" i="9"/>
  <c r="M763" i="9"/>
  <c r="M762" i="9"/>
  <c r="M761" i="9"/>
  <c r="M760" i="9"/>
  <c r="M759" i="9"/>
  <c r="M758" i="9"/>
  <c r="M757" i="9"/>
  <c r="M756" i="9"/>
  <c r="M755" i="9"/>
  <c r="M754" i="9"/>
  <c r="M753" i="9"/>
  <c r="M752" i="9"/>
  <c r="M751" i="9"/>
  <c r="M750" i="9"/>
  <c r="M749" i="9"/>
  <c r="M748" i="9"/>
  <c r="M747" i="9"/>
  <c r="M746" i="9"/>
  <c r="M745" i="9"/>
  <c r="M744" i="9"/>
  <c r="M743" i="9"/>
  <c r="M742" i="9"/>
  <c r="M741" i="9"/>
  <c r="M740" i="9"/>
  <c r="M739" i="9"/>
  <c r="M738" i="9"/>
  <c r="M737" i="9"/>
  <c r="M736" i="9"/>
  <c r="M735" i="9"/>
  <c r="M734" i="9"/>
  <c r="M733" i="9"/>
  <c r="M732" i="9"/>
  <c r="M731" i="9"/>
  <c r="M730" i="9"/>
  <c r="M729" i="9"/>
  <c r="M728" i="9"/>
  <c r="M727" i="9"/>
  <c r="M726" i="9"/>
  <c r="M725" i="9"/>
  <c r="M724" i="9"/>
  <c r="M723" i="9"/>
  <c r="M722" i="9"/>
  <c r="M721" i="9"/>
  <c r="M720" i="9"/>
  <c r="M719" i="9"/>
  <c r="M718" i="9"/>
  <c r="M717" i="9"/>
  <c r="M716" i="9"/>
  <c r="M715" i="9"/>
  <c r="M714" i="9"/>
  <c r="M713" i="9"/>
  <c r="M712" i="9"/>
  <c r="M711" i="9"/>
  <c r="M710" i="9"/>
  <c r="M709" i="9"/>
  <c r="M708" i="9"/>
  <c r="M707" i="9"/>
  <c r="M706" i="9"/>
  <c r="M705" i="9"/>
  <c r="M704" i="9"/>
  <c r="M703" i="9"/>
  <c r="M702" i="9"/>
  <c r="M701" i="9"/>
  <c r="M700" i="9"/>
  <c r="M699" i="9"/>
  <c r="M698" i="9"/>
  <c r="M697" i="9"/>
  <c r="M696" i="9"/>
  <c r="M695" i="9"/>
  <c r="M694" i="9"/>
  <c r="M693" i="9"/>
  <c r="M692" i="9"/>
  <c r="M691" i="9"/>
  <c r="M690" i="9"/>
  <c r="M689" i="9"/>
  <c r="M688" i="9"/>
  <c r="M687" i="9"/>
  <c r="M686" i="9"/>
  <c r="M685" i="9"/>
  <c r="M684" i="9"/>
  <c r="M683" i="9"/>
  <c r="M682" i="9"/>
  <c r="M681" i="9"/>
  <c r="M680" i="9"/>
  <c r="M679" i="9"/>
  <c r="M678" i="9"/>
  <c r="M677" i="9"/>
  <c r="M676" i="9"/>
  <c r="M675" i="9"/>
  <c r="M674" i="9"/>
  <c r="M673" i="9"/>
  <c r="M672" i="9"/>
  <c r="M671" i="9"/>
  <c r="M670" i="9"/>
  <c r="M669" i="9"/>
  <c r="M668" i="9"/>
  <c r="M667" i="9"/>
  <c r="M666" i="9"/>
  <c r="M665" i="9"/>
  <c r="M664" i="9"/>
  <c r="M663" i="9"/>
  <c r="M662" i="9"/>
  <c r="M661" i="9"/>
  <c r="M660" i="9"/>
  <c r="M659" i="9"/>
  <c r="M658" i="9"/>
  <c r="M657" i="9"/>
  <c r="M656" i="9"/>
  <c r="M655" i="9"/>
  <c r="M654" i="9"/>
  <c r="M653" i="9"/>
  <c r="M652" i="9"/>
  <c r="M651" i="9"/>
  <c r="M650" i="9"/>
  <c r="M649" i="9"/>
  <c r="M648" i="9"/>
  <c r="M647" i="9"/>
  <c r="M646" i="9"/>
  <c r="M645" i="9"/>
  <c r="M644" i="9"/>
  <c r="M643" i="9"/>
  <c r="M642" i="9"/>
  <c r="M641" i="9"/>
  <c r="M640" i="9"/>
  <c r="M639" i="9"/>
  <c r="M638" i="9"/>
  <c r="M637" i="9"/>
  <c r="M636" i="9"/>
  <c r="M635" i="9"/>
  <c r="M634" i="9"/>
  <c r="M633" i="9"/>
  <c r="M632" i="9"/>
  <c r="M631" i="9"/>
  <c r="M630" i="9"/>
  <c r="M629" i="9"/>
  <c r="M628" i="9"/>
  <c r="M627" i="9"/>
  <c r="M626" i="9"/>
  <c r="M625" i="9"/>
  <c r="M624" i="9"/>
  <c r="M623" i="9"/>
  <c r="M622" i="9"/>
  <c r="M621" i="9"/>
  <c r="M620" i="9"/>
  <c r="M619" i="9"/>
  <c r="M618" i="9"/>
  <c r="M617" i="9"/>
  <c r="M616" i="9"/>
  <c r="M615" i="9"/>
  <c r="M614" i="9"/>
  <c r="M613" i="9"/>
  <c r="M612" i="9"/>
  <c r="M611" i="9"/>
  <c r="M610" i="9"/>
  <c r="M609" i="9"/>
  <c r="M608" i="9"/>
  <c r="M607" i="9"/>
  <c r="M606" i="9"/>
  <c r="M605" i="9"/>
  <c r="M604" i="9"/>
  <c r="M603" i="9"/>
  <c r="M602" i="9"/>
  <c r="M601" i="9"/>
  <c r="M600" i="9"/>
  <c r="M599" i="9"/>
  <c r="M598" i="9"/>
  <c r="M597" i="9"/>
  <c r="M596" i="9"/>
  <c r="M595" i="9"/>
  <c r="M594" i="9"/>
  <c r="M593" i="9"/>
  <c r="M592" i="9"/>
  <c r="M591" i="9"/>
  <c r="M590" i="9"/>
  <c r="M589" i="9"/>
  <c r="M588" i="9"/>
  <c r="M587" i="9"/>
  <c r="M586" i="9"/>
  <c r="M585" i="9"/>
  <c r="M584" i="9"/>
  <c r="M583" i="9"/>
  <c r="M582" i="9"/>
  <c r="M581" i="9"/>
  <c r="M580" i="9"/>
  <c r="M579" i="9"/>
  <c r="M578" i="9"/>
  <c r="M577" i="9"/>
  <c r="M576" i="9"/>
  <c r="M575" i="9"/>
  <c r="M574" i="9"/>
  <c r="M573" i="9"/>
  <c r="M572" i="9"/>
  <c r="M571" i="9"/>
  <c r="M570" i="9"/>
  <c r="M569" i="9"/>
  <c r="M568" i="9"/>
  <c r="M567" i="9"/>
  <c r="M566" i="9"/>
  <c r="M565" i="9"/>
  <c r="M564" i="9"/>
  <c r="M563" i="9"/>
  <c r="M562" i="9"/>
  <c r="M561" i="9"/>
  <c r="M560" i="9"/>
  <c r="M559" i="9"/>
  <c r="M558" i="9"/>
  <c r="M557" i="9"/>
  <c r="M556" i="9"/>
  <c r="M555" i="9"/>
  <c r="M554" i="9"/>
  <c r="M553" i="9"/>
  <c r="M552" i="9"/>
  <c r="M551" i="9"/>
  <c r="M550" i="9"/>
  <c r="M549" i="9"/>
  <c r="M548" i="9"/>
  <c r="M547" i="9"/>
  <c r="M546" i="9"/>
  <c r="M545" i="9"/>
  <c r="M544" i="9"/>
  <c r="M543" i="9"/>
  <c r="M542" i="9"/>
  <c r="M541" i="9"/>
  <c r="M540" i="9"/>
  <c r="M539" i="9"/>
  <c r="M538" i="9"/>
  <c r="M537" i="9"/>
  <c r="M536" i="9"/>
  <c r="M535" i="9"/>
  <c r="M534" i="9"/>
  <c r="M533" i="9"/>
  <c r="M532" i="9"/>
  <c r="M531" i="9"/>
  <c r="M530" i="9"/>
  <c r="M529" i="9"/>
  <c r="M528" i="9"/>
  <c r="M527" i="9"/>
  <c r="M526" i="9"/>
  <c r="M525" i="9"/>
  <c r="M524" i="9"/>
  <c r="M523" i="9"/>
  <c r="M522" i="9"/>
  <c r="M521" i="9"/>
  <c r="M520" i="9"/>
  <c r="M519" i="9"/>
  <c r="M518" i="9"/>
  <c r="M517" i="9"/>
  <c r="M516" i="9"/>
  <c r="M515" i="9"/>
  <c r="M514" i="9"/>
  <c r="M513" i="9"/>
  <c r="M512" i="9"/>
  <c r="M511" i="9"/>
  <c r="M510" i="9"/>
  <c r="M509" i="9"/>
  <c r="M508" i="9"/>
  <c r="M507" i="9"/>
  <c r="M506" i="9"/>
  <c r="M505" i="9"/>
  <c r="M504" i="9"/>
  <c r="M503" i="9"/>
  <c r="M502" i="9"/>
  <c r="M501" i="9"/>
  <c r="M500" i="9"/>
  <c r="M499" i="9"/>
  <c r="M498" i="9"/>
  <c r="M497" i="9"/>
  <c r="M496" i="9"/>
  <c r="M495" i="9"/>
  <c r="M494" i="9"/>
  <c r="M493" i="9"/>
  <c r="M492" i="9"/>
  <c r="M491" i="9"/>
  <c r="M490" i="9"/>
  <c r="M489" i="9"/>
  <c r="M488" i="9"/>
  <c r="M487" i="9"/>
  <c r="M486" i="9"/>
  <c r="M485" i="9"/>
  <c r="M484" i="9"/>
  <c r="M483" i="9"/>
  <c r="M482" i="9"/>
  <c r="M481" i="9"/>
  <c r="M480" i="9"/>
  <c r="M479" i="9"/>
  <c r="M478" i="9"/>
  <c r="M477" i="9"/>
  <c r="M476" i="9"/>
  <c r="M475" i="9"/>
  <c r="M474" i="9"/>
  <c r="M473" i="9"/>
  <c r="M472" i="9"/>
  <c r="M471" i="9"/>
  <c r="M470" i="9"/>
  <c r="M469" i="9"/>
  <c r="M468" i="9"/>
  <c r="M467" i="9"/>
  <c r="M466" i="9"/>
  <c r="M465" i="9"/>
  <c r="M464" i="9"/>
  <c r="M463" i="9"/>
  <c r="M462" i="9"/>
  <c r="M461" i="9"/>
  <c r="M460" i="9"/>
  <c r="M459" i="9"/>
  <c r="M458" i="9"/>
  <c r="M457" i="9"/>
  <c r="M456" i="9"/>
  <c r="M455" i="9"/>
  <c r="M454" i="9"/>
  <c r="M453" i="9"/>
  <c r="M452" i="9"/>
  <c r="M451" i="9"/>
  <c r="M450" i="9"/>
  <c r="M449" i="9"/>
  <c r="M448" i="9"/>
  <c r="M447" i="9"/>
  <c r="M446" i="9"/>
  <c r="M445" i="9"/>
  <c r="M444" i="9"/>
  <c r="M443" i="9"/>
  <c r="M442" i="9"/>
  <c r="M441" i="9"/>
  <c r="M440" i="9"/>
  <c r="M439" i="9"/>
  <c r="M438" i="9"/>
  <c r="M437" i="9"/>
  <c r="M436" i="9"/>
  <c r="M435" i="9"/>
  <c r="M434" i="9"/>
  <c r="M433" i="9"/>
  <c r="M432" i="9"/>
  <c r="M431" i="9"/>
  <c r="M430" i="9"/>
  <c r="M429" i="9"/>
  <c r="M428" i="9"/>
  <c r="M427" i="9"/>
  <c r="M426" i="9"/>
  <c r="M425" i="9"/>
  <c r="M424" i="9"/>
  <c r="M423" i="9"/>
  <c r="M422" i="9"/>
  <c r="M421" i="9"/>
  <c r="M420" i="9"/>
  <c r="M419" i="9"/>
  <c r="M418" i="9"/>
  <c r="M417" i="9"/>
  <c r="M416" i="9"/>
  <c r="M415" i="9"/>
  <c r="M414" i="9"/>
  <c r="M413" i="9"/>
  <c r="M412" i="9"/>
  <c r="M411" i="9"/>
  <c r="M410" i="9"/>
  <c r="M409" i="9"/>
  <c r="M408" i="9"/>
  <c r="M407" i="9"/>
  <c r="M406" i="9"/>
  <c r="M405" i="9"/>
  <c r="M404" i="9"/>
  <c r="M403" i="9"/>
  <c r="M402" i="9"/>
  <c r="M401" i="9"/>
  <c r="M400" i="9"/>
  <c r="M399" i="9"/>
  <c r="M398" i="9"/>
  <c r="M397" i="9"/>
  <c r="M396" i="9"/>
  <c r="M395" i="9"/>
  <c r="M394" i="9"/>
  <c r="M393" i="9"/>
  <c r="M392" i="9"/>
  <c r="M391" i="9"/>
  <c r="M390" i="9"/>
  <c r="M389" i="9"/>
  <c r="M388" i="9"/>
  <c r="M387" i="9"/>
  <c r="M386" i="9"/>
  <c r="M385" i="9"/>
  <c r="M384" i="9"/>
  <c r="M383" i="9"/>
  <c r="M382" i="9"/>
  <c r="M381" i="9"/>
  <c r="M380" i="9"/>
  <c r="M379" i="9"/>
  <c r="M378" i="9"/>
  <c r="M377" i="9"/>
  <c r="M376" i="9"/>
  <c r="M375" i="9"/>
  <c r="M374" i="9"/>
  <c r="M373" i="9"/>
  <c r="M372" i="9"/>
  <c r="M371" i="9"/>
  <c r="M370" i="9"/>
  <c r="M369" i="9"/>
  <c r="M368" i="9"/>
  <c r="M367" i="9"/>
  <c r="M366" i="9"/>
  <c r="M365" i="9"/>
  <c r="M364" i="9"/>
  <c r="M363" i="9"/>
  <c r="M362" i="9"/>
  <c r="M361" i="9"/>
  <c r="M360" i="9"/>
  <c r="M359" i="9"/>
  <c r="G359" i="9"/>
  <c r="M358" i="9"/>
  <c r="G358" i="9"/>
  <c r="M357" i="9"/>
  <c r="G357" i="9"/>
  <c r="M356" i="9"/>
  <c r="G356" i="9"/>
  <c r="M355" i="9"/>
  <c r="G355" i="9"/>
  <c r="M354" i="9"/>
  <c r="G354" i="9"/>
  <c r="G353" i="9"/>
  <c r="M352" i="9"/>
  <c r="M351" i="9"/>
  <c r="M350" i="9"/>
  <c r="M349" i="9"/>
  <c r="M348" i="9"/>
  <c r="M347" i="9"/>
  <c r="M346" i="9"/>
  <c r="M345" i="9"/>
  <c r="M344" i="9"/>
  <c r="M343" i="9"/>
  <c r="M342" i="9"/>
  <c r="M341" i="9"/>
  <c r="M340" i="9"/>
  <c r="M339" i="9"/>
  <c r="M338" i="9"/>
  <c r="M337" i="9"/>
  <c r="M336" i="9"/>
  <c r="M335" i="9"/>
  <c r="M334" i="9"/>
  <c r="M333" i="9"/>
  <c r="M332" i="9"/>
  <c r="M331" i="9"/>
  <c r="M330" i="9"/>
  <c r="M329" i="9"/>
  <c r="M328" i="9"/>
  <c r="M327" i="9"/>
  <c r="M326" i="9"/>
  <c r="M325" i="9"/>
  <c r="M324" i="9"/>
  <c r="M323" i="9"/>
  <c r="M322" i="9"/>
  <c r="M321" i="9"/>
  <c r="M320" i="9"/>
  <c r="M319" i="9"/>
  <c r="M318" i="9"/>
  <c r="M317" i="9"/>
  <c r="M316" i="9"/>
  <c r="M315" i="9"/>
  <c r="M314" i="9"/>
  <c r="M313" i="9"/>
  <c r="M312" i="9"/>
  <c r="M311" i="9"/>
  <c r="M310" i="9"/>
  <c r="M309" i="9"/>
  <c r="M308" i="9"/>
  <c r="M307" i="9"/>
  <c r="M306" i="9"/>
  <c r="M305" i="9"/>
  <c r="M304" i="9"/>
  <c r="M303" i="9"/>
  <c r="M302" i="9"/>
  <c r="M301" i="9"/>
  <c r="M300" i="9"/>
  <c r="M299" i="9"/>
  <c r="M298" i="9"/>
  <c r="M297" i="9"/>
  <c r="M296" i="9"/>
  <c r="M295" i="9"/>
  <c r="M294" i="9"/>
  <c r="M293" i="9"/>
  <c r="M292" i="9"/>
  <c r="M291" i="9"/>
  <c r="M290" i="9"/>
  <c r="M289" i="9"/>
  <c r="M288" i="9"/>
  <c r="M287" i="9"/>
  <c r="M286" i="9"/>
  <c r="M285" i="9"/>
  <c r="M284" i="9"/>
  <c r="M283" i="9"/>
  <c r="M282" i="9"/>
  <c r="M281" i="9"/>
  <c r="M280" i="9"/>
  <c r="M279" i="9"/>
  <c r="M278" i="9"/>
  <c r="M277" i="9"/>
  <c r="M276" i="9"/>
  <c r="M275" i="9"/>
  <c r="M274" i="9"/>
  <c r="M273" i="9"/>
  <c r="M272" i="9"/>
  <c r="M271" i="9"/>
  <c r="M270" i="9"/>
  <c r="M269" i="9"/>
  <c r="M268" i="9"/>
  <c r="M267" i="9"/>
  <c r="M266" i="9"/>
  <c r="M265" i="9"/>
  <c r="M264" i="9"/>
  <c r="M263" i="9"/>
  <c r="M262" i="9"/>
  <c r="M261" i="9"/>
  <c r="M260" i="9"/>
  <c r="M259" i="9"/>
  <c r="M258" i="9"/>
  <c r="M257" i="9"/>
  <c r="M256" i="9"/>
  <c r="M255" i="9"/>
  <c r="M254" i="9"/>
  <c r="M253" i="9"/>
  <c r="M252" i="9"/>
  <c r="M251" i="9"/>
  <c r="M250" i="9"/>
  <c r="M249" i="9"/>
  <c r="M248" i="9"/>
  <c r="M247" i="9"/>
  <c r="M246" i="9"/>
  <c r="M245" i="9"/>
  <c r="M244" i="9"/>
  <c r="M243" i="9"/>
  <c r="M242" i="9"/>
  <c r="M241" i="9"/>
  <c r="M240" i="9"/>
  <c r="M239" i="9"/>
  <c r="M238" i="9"/>
  <c r="M237" i="9"/>
  <c r="M236" i="9"/>
  <c r="M235" i="9"/>
  <c r="M234" i="9"/>
  <c r="M233" i="9"/>
  <c r="M232" i="9"/>
  <c r="M231" i="9"/>
  <c r="M230" i="9"/>
  <c r="M229" i="9"/>
  <c r="M228" i="9"/>
  <c r="M227" i="9"/>
  <c r="M226" i="9"/>
  <c r="M225" i="9"/>
  <c r="M224" i="9"/>
  <c r="M223" i="9"/>
  <c r="M222" i="9"/>
  <c r="M221" i="9"/>
  <c r="M220" i="9"/>
  <c r="M219" i="9"/>
  <c r="M218" i="9"/>
  <c r="M217" i="9"/>
  <c r="M216" i="9"/>
  <c r="M215" i="9"/>
  <c r="M214" i="9"/>
  <c r="M213" i="9"/>
  <c r="M212" i="9"/>
  <c r="M211" i="9"/>
  <c r="M210" i="9"/>
  <c r="M209" i="9"/>
  <c r="M208" i="9"/>
  <c r="M207" i="9"/>
  <c r="M206" i="9"/>
  <c r="M205" i="9"/>
  <c r="M204" i="9"/>
  <c r="M203" i="9"/>
  <c r="M202" i="9"/>
  <c r="M201" i="9"/>
  <c r="M200" i="9"/>
  <c r="M199" i="9"/>
  <c r="M198" i="9"/>
  <c r="M197" i="9"/>
  <c r="M196" i="9"/>
  <c r="M195" i="9"/>
  <c r="M194" i="9"/>
  <c r="M193" i="9"/>
  <c r="M192" i="9"/>
  <c r="M191" i="9"/>
  <c r="M190" i="9"/>
  <c r="M189" i="9"/>
  <c r="M188" i="9"/>
  <c r="M187" i="9"/>
  <c r="M186" i="9"/>
  <c r="M185" i="9"/>
  <c r="M184" i="9"/>
  <c r="M183" i="9"/>
  <c r="G182" i="9"/>
  <c r="M181" i="9"/>
  <c r="M180" i="9"/>
  <c r="M179" i="9"/>
  <c r="M178" i="9"/>
  <c r="M177" i="9"/>
  <c r="M176" i="9"/>
  <c r="M175" i="9"/>
  <c r="M174" i="9"/>
  <c r="M173" i="9"/>
  <c r="M172" i="9"/>
  <c r="M171" i="9"/>
  <c r="M170" i="9"/>
  <c r="M169" i="9"/>
  <c r="M168" i="9"/>
  <c r="M167" i="9"/>
  <c r="M166" i="9"/>
  <c r="M165" i="9"/>
  <c r="M164" i="9"/>
  <c r="M163" i="9"/>
  <c r="M162" i="9"/>
  <c r="M161" i="9"/>
  <c r="M160" i="9"/>
  <c r="M159" i="9"/>
  <c r="M158" i="9"/>
  <c r="M157" i="9"/>
  <c r="M156" i="9"/>
  <c r="M155" i="9"/>
  <c r="M154" i="9"/>
  <c r="M153" i="9"/>
  <c r="M152" i="9"/>
  <c r="M151" i="9"/>
  <c r="M150" i="9"/>
  <c r="M149" i="9"/>
  <c r="M148" i="9"/>
  <c r="M147" i="9"/>
  <c r="M146" i="9"/>
  <c r="M145" i="9"/>
  <c r="M144" i="9"/>
  <c r="M143" i="9"/>
  <c r="M142" i="9"/>
  <c r="M141" i="9"/>
  <c r="M140" i="9"/>
  <c r="M139" i="9"/>
  <c r="M138" i="9"/>
  <c r="M137" i="9"/>
  <c r="M136" i="9"/>
  <c r="M135" i="9"/>
  <c r="M134" i="9"/>
  <c r="M133" i="9"/>
  <c r="M132" i="9"/>
  <c r="M131" i="9"/>
  <c r="M130" i="9"/>
  <c r="M129" i="9"/>
  <c r="M128" i="9"/>
  <c r="M127" i="9"/>
  <c r="M126" i="9"/>
  <c r="M125" i="9"/>
  <c r="M124" i="9"/>
  <c r="M123" i="9"/>
  <c r="M122" i="9"/>
  <c r="M121" i="9"/>
  <c r="M120" i="9"/>
  <c r="M119" i="9"/>
  <c r="M118" i="9"/>
  <c r="M117" i="9"/>
  <c r="M116" i="9"/>
  <c r="M115" i="9"/>
  <c r="M114" i="9"/>
  <c r="M113" i="9"/>
  <c r="M112" i="9"/>
  <c r="M111" i="9"/>
  <c r="M110" i="9"/>
  <c r="M109" i="9"/>
  <c r="M108" i="9"/>
  <c r="M107" i="9"/>
  <c r="M106" i="9"/>
  <c r="M105" i="9"/>
  <c r="M104" i="9"/>
  <c r="M103" i="9"/>
  <c r="M102" i="9"/>
  <c r="M101" i="9"/>
  <c r="M100" i="9"/>
  <c r="M99" i="9"/>
  <c r="M98" i="9"/>
  <c r="M97" i="9"/>
  <c r="M96" i="9"/>
  <c r="M95" i="9"/>
  <c r="M94" i="9"/>
  <c r="M93" i="9"/>
  <c r="M92" i="9"/>
  <c r="M91" i="9"/>
  <c r="M90" i="9"/>
  <c r="M89" i="9"/>
  <c r="M88" i="9"/>
  <c r="M87" i="9"/>
  <c r="M86" i="9"/>
  <c r="M85" i="9"/>
  <c r="M84" i="9"/>
  <c r="M83" i="9"/>
  <c r="M82" i="9"/>
  <c r="M81" i="9"/>
  <c r="M80" i="9"/>
  <c r="M79" i="9"/>
  <c r="M78" i="9"/>
  <c r="M77" i="9"/>
  <c r="M76" i="9"/>
  <c r="M75" i="9"/>
  <c r="M74" i="9"/>
  <c r="M73" i="9"/>
  <c r="M72" i="9"/>
  <c r="M71" i="9"/>
  <c r="M70" i="9"/>
  <c r="M69" i="9"/>
  <c r="M68" i="9"/>
  <c r="M67" i="9"/>
  <c r="M66" i="9"/>
  <c r="M65" i="9"/>
  <c r="M64" i="9"/>
  <c r="M63" i="9"/>
  <c r="M62" i="9"/>
  <c r="M61" i="9"/>
  <c r="M60" i="9"/>
  <c r="M59" i="9"/>
  <c r="M58" i="9"/>
  <c r="M57" i="9"/>
  <c r="M56" i="9"/>
  <c r="M55" i="9"/>
  <c r="M54" i="9"/>
  <c r="M53" i="9"/>
  <c r="M52" i="9"/>
  <c r="M51" i="9"/>
  <c r="M50" i="9"/>
  <c r="M49" i="9"/>
  <c r="M48" i="9"/>
  <c r="M47" i="9"/>
  <c r="M46" i="9"/>
  <c r="M45" i="9"/>
  <c r="M44" i="9"/>
  <c r="M43" i="9"/>
  <c r="M42" i="9"/>
  <c r="M41" i="9"/>
  <c r="M40" i="9"/>
  <c r="M39" i="9"/>
  <c r="M38" i="9"/>
  <c r="M37" i="9"/>
  <c r="M36" i="9"/>
  <c r="M35" i="9"/>
  <c r="M34" i="9"/>
  <c r="M33" i="9"/>
  <c r="M32" i="9"/>
  <c r="M31" i="9"/>
  <c r="M30" i="9"/>
  <c r="M29" i="9"/>
  <c r="M28" i="9"/>
  <c r="M27" i="9"/>
  <c r="M26" i="9"/>
  <c r="M25" i="9"/>
  <c r="M24" i="9"/>
  <c r="M23" i="9"/>
  <c r="M22" i="9"/>
  <c r="M21" i="9"/>
  <c r="M20" i="9"/>
  <c r="M19" i="9"/>
  <c r="M18" i="9"/>
  <c r="M17" i="9"/>
  <c r="M16" i="9"/>
  <c r="M15" i="9"/>
  <c r="G15" i="9"/>
  <c r="M14" i="9"/>
  <c r="G14" i="9"/>
  <c r="M13" i="9"/>
  <c r="G13" i="9"/>
  <c r="M12" i="9"/>
  <c r="M11" i="9"/>
  <c r="M10" i="9"/>
  <c r="M9" i="9"/>
  <c r="M8" i="9"/>
  <c r="M7" i="9"/>
  <c r="M6" i="9"/>
  <c r="M5" i="9"/>
  <c r="J1400" i="6"/>
  <c r="J1619" i="6"/>
  <c r="J1620" i="6" s="1"/>
  <c r="M353" i="9" l="1"/>
  <c r="M182" i="9"/>
  <c r="M1612" i="9"/>
  <c r="M1606" i="9"/>
  <c r="M1602" i="9"/>
  <c r="M1597" i="9"/>
  <c r="M1595" i="9"/>
  <c r="M1586" i="9"/>
  <c r="G173" i="7"/>
  <c r="G174" i="7" s="1"/>
  <c r="K11" i="7" l="1"/>
  <c r="K13" i="7" l="1"/>
  <c r="K16" i="7"/>
  <c r="K10" i="7" l="1"/>
  <c r="K15" i="7"/>
  <c r="M1616" i="1" l="1"/>
  <c r="M1615" i="1"/>
  <c r="M1614" i="1"/>
  <c r="M1609" i="1"/>
  <c r="M1599" i="1"/>
  <c r="M1598" i="1"/>
  <c r="M1592" i="1"/>
  <c r="M1587" i="1"/>
  <c r="M1581" i="1"/>
  <c r="M1580" i="1"/>
  <c r="M1578" i="1"/>
  <c r="M1577" i="1"/>
  <c r="M1576" i="1"/>
  <c r="M1575" i="1"/>
  <c r="M1574" i="1"/>
  <c r="M1570" i="1"/>
  <c r="M1569" i="1"/>
  <c r="M1567" i="1"/>
  <c r="M1566" i="1"/>
  <c r="M359" i="1"/>
  <c r="M358" i="1"/>
  <c r="M357" i="1"/>
  <c r="M356" i="1"/>
  <c r="M355" i="1"/>
  <c r="M354" i="1"/>
  <c r="M1611" i="1"/>
  <c r="M1608" i="1"/>
  <c r="M1605" i="1"/>
  <c r="M1594" i="1"/>
  <c r="M1590" i="1"/>
  <c r="M1585" i="1"/>
  <c r="M1572" i="1"/>
  <c r="M16" i="1"/>
  <c r="M14" i="1"/>
  <c r="M1610" i="1"/>
  <c r="M1607" i="1"/>
  <c r="M1603" i="1"/>
  <c r="M1593" i="1"/>
  <c r="M1589" i="1"/>
  <c r="M1584" i="1"/>
  <c r="M1571" i="1"/>
  <c r="M15" i="1"/>
  <c r="M13" i="1"/>
  <c r="I1631" i="1"/>
  <c r="I1623" i="1"/>
  <c r="G1612" i="1"/>
  <c r="L1612" i="1" s="1"/>
  <c r="G1586" i="1"/>
  <c r="L1586" i="1" s="1"/>
  <c r="H1618" i="1"/>
  <c r="D1618" i="1"/>
  <c r="E1618" i="1"/>
  <c r="F1618" i="1"/>
  <c r="L6" i="1"/>
  <c r="L7" i="1"/>
  <c r="L8" i="1"/>
  <c r="L9" i="1"/>
  <c r="L10" i="1"/>
  <c r="L11" i="1"/>
  <c r="L12" i="1"/>
  <c r="L14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3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4" i="1"/>
  <c r="L375" i="1"/>
  <c r="L376" i="1"/>
  <c r="L377" i="1"/>
  <c r="L378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3" i="1"/>
  <c r="L394" i="1"/>
  <c r="L395" i="1"/>
  <c r="L396" i="1"/>
  <c r="L397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6" i="1"/>
  <c r="L1567" i="1"/>
  <c r="L1568" i="1"/>
  <c r="L1569" i="1"/>
  <c r="L1570" i="1"/>
  <c r="L1572" i="1"/>
  <c r="L1573" i="1"/>
  <c r="L1574" i="1"/>
  <c r="L1575" i="1"/>
  <c r="L1576" i="1"/>
  <c r="L1577" i="1"/>
  <c r="L1578" i="1"/>
  <c r="L1579" i="1"/>
  <c r="L1580" i="1"/>
  <c r="L1581" i="1"/>
  <c r="L1582" i="1"/>
  <c r="L1585" i="1"/>
  <c r="L1587" i="1"/>
  <c r="L1588" i="1"/>
  <c r="L1590" i="1"/>
  <c r="L1591" i="1"/>
  <c r="L1592" i="1"/>
  <c r="L1594" i="1"/>
  <c r="L1596" i="1"/>
  <c r="L1598" i="1"/>
  <c r="L1599" i="1"/>
  <c r="L1600" i="1"/>
  <c r="L1601" i="1"/>
  <c r="L1604" i="1"/>
  <c r="L1605" i="1"/>
  <c r="L1608" i="1"/>
  <c r="L1609" i="1"/>
  <c r="L1611" i="1"/>
  <c r="L1613" i="1"/>
  <c r="L1614" i="1"/>
  <c r="L1615" i="1"/>
  <c r="L1616" i="1"/>
  <c r="L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M184" i="1" s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M1562" i="1" s="1"/>
  <c r="I1563" i="1"/>
  <c r="M1563" i="1" s="1"/>
  <c r="I1564" i="1"/>
  <c r="M1564" i="1" s="1"/>
  <c r="I1565" i="1"/>
  <c r="M1565" i="1" s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5" i="1"/>
  <c r="G1615" i="1"/>
  <c r="G1609" i="1"/>
  <c r="G1616" i="1"/>
  <c r="G1614" i="1"/>
  <c r="G1592" i="1"/>
  <c r="G1598" i="1"/>
  <c r="G1599" i="1"/>
  <c r="G1587" i="1"/>
  <c r="G1570" i="1"/>
  <c r="G1581" i="1"/>
  <c r="G1577" i="1"/>
  <c r="G1569" i="1"/>
  <c r="G1578" i="1"/>
  <c r="G1580" i="1"/>
  <c r="G1576" i="1"/>
  <c r="G1566" i="1"/>
  <c r="G358" i="1"/>
  <c r="G357" i="1"/>
  <c r="G1575" i="1"/>
  <c r="G355" i="1"/>
  <c r="G359" i="1"/>
  <c r="G1574" i="1"/>
  <c r="G354" i="1"/>
  <c r="G1567" i="1"/>
  <c r="G356" i="1"/>
  <c r="G14" i="1"/>
  <c r="G1600" i="1"/>
  <c r="G1583" i="1"/>
  <c r="G182" i="1"/>
  <c r="L182" i="1" s="1"/>
  <c r="G1606" i="1"/>
  <c r="L1606" i="1" s="1"/>
  <c r="G1602" i="1"/>
  <c r="L1602" i="1" s="1"/>
  <c r="G1597" i="1"/>
  <c r="L1597" i="1" s="1"/>
  <c r="G353" i="1"/>
  <c r="L353" i="1" s="1"/>
  <c r="G1613" i="1"/>
  <c r="G1610" i="1"/>
  <c r="G1607" i="1"/>
  <c r="G1603" i="1"/>
  <c r="G1593" i="1"/>
  <c r="G1589" i="1"/>
  <c r="G1584" i="1"/>
  <c r="G1571" i="1"/>
  <c r="G13" i="1"/>
  <c r="G15" i="1"/>
  <c r="G1582" i="1"/>
  <c r="G1588" i="1"/>
  <c r="G1595" i="1"/>
  <c r="L1595" i="1" s="1"/>
  <c r="H188" i="4"/>
  <c r="I1619" i="1" s="1"/>
  <c r="G188" i="4"/>
  <c r="H1407" i="5"/>
  <c r="J1619" i="1" s="1"/>
  <c r="G1407" i="5"/>
  <c r="H1598" i="3"/>
  <c r="L1619" i="1" s="1"/>
  <c r="G1598" i="3"/>
  <c r="Q1400" i="6"/>
  <c r="K1619" i="1"/>
  <c r="M145" i="1" l="1"/>
  <c r="M146" i="1"/>
  <c r="M161" i="1"/>
  <c r="M175" i="1"/>
  <c r="M143" i="1"/>
  <c r="M159" i="1"/>
  <c r="M162" i="1"/>
  <c r="M177" i="1"/>
  <c r="M17" i="1"/>
  <c r="M18" i="1"/>
  <c r="M31" i="1"/>
  <c r="M33" i="1"/>
  <c r="M34" i="1"/>
  <c r="M47" i="1"/>
  <c r="M49" i="1"/>
  <c r="M50" i="1"/>
  <c r="M63" i="1"/>
  <c r="M65" i="1"/>
  <c r="M66" i="1"/>
  <c r="M79" i="1"/>
  <c r="M81" i="1"/>
  <c r="M82" i="1"/>
  <c r="M95" i="1"/>
  <c r="M97" i="1"/>
  <c r="M98" i="1"/>
  <c r="M111" i="1"/>
  <c r="M113" i="1"/>
  <c r="M114" i="1"/>
  <c r="M127" i="1"/>
  <c r="M129" i="1"/>
  <c r="M178" i="1"/>
  <c r="M192" i="1"/>
  <c r="M195" i="1"/>
  <c r="M208" i="1"/>
  <c r="M211" i="1"/>
  <c r="M224" i="1"/>
  <c r="M227" i="1"/>
  <c r="M240" i="1"/>
  <c r="M243" i="1"/>
  <c r="M256" i="1"/>
  <c r="M259" i="1"/>
  <c r="M272" i="1"/>
  <c r="M288" i="1"/>
  <c r="M304" i="1"/>
  <c r="M320" i="1"/>
  <c r="M336" i="1"/>
  <c r="M352" i="1"/>
  <c r="M368" i="1"/>
  <c r="M370" i="1"/>
  <c r="M384" i="1"/>
  <c r="M386" i="1"/>
  <c r="M387" i="1"/>
  <c r="M400" i="1"/>
  <c r="M402" i="1"/>
  <c r="M403" i="1"/>
  <c r="M416" i="1"/>
  <c r="M418" i="1"/>
  <c r="M419" i="1"/>
  <c r="M432" i="1"/>
  <c r="M434" i="1"/>
  <c r="M435" i="1"/>
  <c r="M448" i="1"/>
  <c r="M450" i="1"/>
  <c r="M451" i="1"/>
  <c r="M464" i="1"/>
  <c r="M466" i="1"/>
  <c r="M467" i="1"/>
  <c r="M480" i="1"/>
  <c r="M482" i="1"/>
  <c r="M483" i="1"/>
  <c r="M496" i="1"/>
  <c r="M498" i="1"/>
  <c r="M499" i="1"/>
  <c r="M512" i="1"/>
  <c r="M514" i="1"/>
  <c r="M515" i="1"/>
  <c r="M528" i="1"/>
  <c r="M530" i="1"/>
  <c r="M531" i="1"/>
  <c r="M544" i="1"/>
  <c r="M546" i="1"/>
  <c r="M547" i="1"/>
  <c r="M560" i="1"/>
  <c r="M562" i="1"/>
  <c r="M563" i="1"/>
  <c r="M576" i="1"/>
  <c r="M578" i="1"/>
  <c r="M579" i="1"/>
  <c r="M592" i="1"/>
  <c r="M594" i="1"/>
  <c r="M595" i="1"/>
  <c r="M608" i="1"/>
  <c r="M610" i="1"/>
  <c r="M611" i="1"/>
  <c r="M624" i="1"/>
  <c r="M626" i="1"/>
  <c r="M627" i="1"/>
  <c r="M640" i="1"/>
  <c r="M642" i="1"/>
  <c r="M643" i="1"/>
  <c r="M656" i="1"/>
  <c r="M658" i="1"/>
  <c r="M659" i="1"/>
  <c r="M672" i="1"/>
  <c r="M674" i="1"/>
  <c r="M675" i="1"/>
  <c r="M688" i="1"/>
  <c r="M690" i="1"/>
  <c r="M691" i="1"/>
  <c r="M704" i="1"/>
  <c r="M706" i="1"/>
  <c r="M707" i="1"/>
  <c r="M720" i="1"/>
  <c r="M722" i="1"/>
  <c r="M723" i="1"/>
  <c r="M736" i="1"/>
  <c r="M738" i="1"/>
  <c r="M739" i="1"/>
  <c r="M752" i="1"/>
  <c r="M754" i="1"/>
  <c r="M755" i="1"/>
  <c r="M768" i="1"/>
  <c r="M770" i="1"/>
  <c r="M771" i="1"/>
  <c r="M784" i="1"/>
  <c r="M786" i="1"/>
  <c r="M787" i="1"/>
  <c r="M800" i="1"/>
  <c r="M802" i="1"/>
  <c r="M803" i="1"/>
  <c r="M816" i="1"/>
  <c r="M818" i="1"/>
  <c r="M819" i="1"/>
  <c r="M832" i="1"/>
  <c r="M834" i="1"/>
  <c r="M835" i="1"/>
  <c r="M848" i="1"/>
  <c r="M851" i="1"/>
  <c r="M864" i="1"/>
  <c r="M867" i="1"/>
  <c r="M880" i="1"/>
  <c r="M883" i="1"/>
  <c r="M896" i="1"/>
  <c r="M899" i="1"/>
  <c r="M1395" i="1"/>
  <c r="M1427" i="1"/>
  <c r="M1443" i="1"/>
  <c r="M1459" i="1"/>
  <c r="M1491" i="1"/>
  <c r="M1523" i="1"/>
  <c r="M912" i="1"/>
  <c r="M915" i="1"/>
  <c r="M928" i="1"/>
  <c r="M931" i="1"/>
  <c r="M944" i="1"/>
  <c r="M947" i="1"/>
  <c r="M960" i="1"/>
  <c r="M963" i="1"/>
  <c r="M976" i="1"/>
  <c r="M979" i="1"/>
  <c r="M992" i="1"/>
  <c r="M995" i="1"/>
  <c r="M1008" i="1"/>
  <c r="M1011" i="1"/>
  <c r="M1024" i="1"/>
  <c r="M1027" i="1"/>
  <c r="M1040" i="1"/>
  <c r="M1043" i="1"/>
  <c r="M1056" i="1"/>
  <c r="M1059" i="1"/>
  <c r="M1072" i="1"/>
  <c r="M1075" i="1"/>
  <c r="M1088" i="1"/>
  <c r="M1091" i="1"/>
  <c r="M1104" i="1"/>
  <c r="M1107" i="1"/>
  <c r="M1120" i="1"/>
  <c r="M1123" i="1"/>
  <c r="M1136" i="1"/>
  <c r="M1139" i="1"/>
  <c r="M1152" i="1"/>
  <c r="M1155" i="1"/>
  <c r="M1168" i="1"/>
  <c r="M1171" i="1"/>
  <c r="M1184" i="1"/>
  <c r="M1187" i="1"/>
  <c r="M1200" i="1"/>
  <c r="M1203" i="1"/>
  <c r="M1216" i="1"/>
  <c r="M1219" i="1"/>
  <c r="M1232" i="1"/>
  <c r="M1235" i="1"/>
  <c r="M1248" i="1"/>
  <c r="M1251" i="1"/>
  <c r="M1264" i="1"/>
  <c r="M1267" i="1"/>
  <c r="M1283" i="1"/>
  <c r="M1299" i="1"/>
  <c r="M1315" i="1"/>
  <c r="M1331" i="1"/>
  <c r="M1347" i="1"/>
  <c r="M1363" i="1"/>
  <c r="M1379" i="1"/>
  <c r="M1411" i="1"/>
  <c r="M1475" i="1"/>
  <c r="M1507" i="1"/>
  <c r="M1493" i="1"/>
  <c r="M1586" i="1"/>
  <c r="M1553" i="1"/>
  <c r="M1537" i="1"/>
  <c r="M1521" i="1"/>
  <c r="M1505" i="1"/>
  <c r="M1489" i="1"/>
  <c r="M1473" i="1"/>
  <c r="M1457" i="1"/>
  <c r="M1441" i="1"/>
  <c r="M1425" i="1"/>
  <c r="M1409" i="1"/>
  <c r="M1393" i="1"/>
  <c r="M1377" i="1"/>
  <c r="M1361" i="1"/>
  <c r="M1345" i="1"/>
  <c r="M1329" i="1"/>
  <c r="M1313" i="1"/>
  <c r="M1297" i="1"/>
  <c r="M1281" i="1"/>
  <c r="M1265" i="1"/>
  <c r="M1249" i="1"/>
  <c r="M1233" i="1"/>
  <c r="M1217" i="1"/>
  <c r="M1201" i="1"/>
  <c r="M1185" i="1"/>
  <c r="M1169" i="1"/>
  <c r="M1153" i="1"/>
  <c r="M1137" i="1"/>
  <c r="M1121" i="1"/>
  <c r="M1105" i="1"/>
  <c r="M1089" i="1"/>
  <c r="M1073" i="1"/>
  <c r="M1057" i="1"/>
  <c r="M1041" i="1"/>
  <c r="M1025" i="1"/>
  <c r="M1009" i="1"/>
  <c r="M993" i="1"/>
  <c r="M977" i="1"/>
  <c r="M961" i="1"/>
  <c r="M945" i="1"/>
  <c r="M929" i="1"/>
  <c r="M913" i="1"/>
  <c r="M897" i="1"/>
  <c r="M881" i="1"/>
  <c r="M865" i="1"/>
  <c r="M849" i="1"/>
  <c r="M833" i="1"/>
  <c r="M817" i="1"/>
  <c r="M801" i="1"/>
  <c r="M785" i="1"/>
  <c r="M769" i="1"/>
  <c r="M753" i="1"/>
  <c r="M737" i="1"/>
  <c r="M721" i="1"/>
  <c r="M705" i="1"/>
  <c r="M689" i="1"/>
  <c r="M673" i="1"/>
  <c r="M657" i="1"/>
  <c r="M641" i="1"/>
  <c r="M625" i="1"/>
  <c r="M609" i="1"/>
  <c r="M593" i="1"/>
  <c r="M577" i="1"/>
  <c r="M561" i="1"/>
  <c r="M545" i="1"/>
  <c r="M529" i="1"/>
  <c r="M513" i="1"/>
  <c r="M497" i="1"/>
  <c r="M481" i="1"/>
  <c r="M465" i="1"/>
  <c r="M449" i="1"/>
  <c r="M433" i="1"/>
  <c r="M417" i="1"/>
  <c r="M401" i="1"/>
  <c r="M385" i="1"/>
  <c r="M369" i="1"/>
  <c r="M337" i="1"/>
  <c r="M321" i="1"/>
  <c r="M305" i="1"/>
  <c r="M289" i="1"/>
  <c r="M273" i="1"/>
  <c r="M257" i="1"/>
  <c r="M241" i="1"/>
  <c r="M225" i="1"/>
  <c r="M209" i="1"/>
  <c r="M193" i="1"/>
  <c r="M128" i="1"/>
  <c r="M112" i="1"/>
  <c r="M96" i="1"/>
  <c r="M80" i="1"/>
  <c r="M64" i="1"/>
  <c r="M48" i="1"/>
  <c r="M32" i="1"/>
  <c r="M298" i="1"/>
  <c r="M282" i="1"/>
  <c r="M266" i="1"/>
  <c r="M250" i="1"/>
  <c r="M234" i="1"/>
  <c r="M218" i="1"/>
  <c r="M202" i="1"/>
  <c r="M186" i="1"/>
  <c r="M169" i="1"/>
  <c r="M153" i="1"/>
  <c r="M137" i="1"/>
  <c r="M121" i="1"/>
  <c r="M105" i="1"/>
  <c r="M89" i="1"/>
  <c r="M73" i="1"/>
  <c r="M57" i="1"/>
  <c r="M41" i="1"/>
  <c r="M25" i="1"/>
  <c r="M9" i="1"/>
  <c r="M1172" i="1"/>
  <c r="M900" i="1"/>
  <c r="M484" i="1"/>
  <c r="M1028" i="1"/>
  <c r="M756" i="1"/>
  <c r="M548" i="1"/>
  <c r="M276" i="1"/>
  <c r="M1555" i="1"/>
  <c r="M1539" i="1"/>
  <c r="M179" i="1"/>
  <c r="M163" i="1"/>
  <c r="M147" i="1"/>
  <c r="M131" i="1"/>
  <c r="M115" i="1"/>
  <c r="M99" i="1"/>
  <c r="M83" i="1"/>
  <c r="M67" i="1"/>
  <c r="M51" i="1"/>
  <c r="M35" i="1"/>
  <c r="M19" i="1"/>
  <c r="M1220" i="1"/>
  <c r="M1060" i="1"/>
  <c r="M836" i="1"/>
  <c r="M644" i="1"/>
  <c r="M436" i="1"/>
  <c r="M196" i="1"/>
  <c r="M1236" i="1"/>
  <c r="M996" i="1"/>
  <c r="M772" i="1"/>
  <c r="M612" i="1"/>
  <c r="M340" i="1"/>
  <c r="M1156" i="1"/>
  <c r="M884" i="1"/>
  <c r="M516" i="1"/>
  <c r="M1568" i="1"/>
  <c r="M1076" i="1"/>
  <c r="M916" i="1"/>
  <c r="M708" i="1"/>
  <c r="M564" i="1"/>
  <c r="M244" i="1"/>
  <c r="M1124" i="1"/>
  <c r="M932" i="1"/>
  <c r="M692" i="1"/>
  <c r="M500" i="1"/>
  <c r="M308" i="1"/>
  <c r="M1582" i="1"/>
  <c r="M1092" i="1"/>
  <c r="M820" i="1"/>
  <c r="M452" i="1"/>
  <c r="M1517" i="1"/>
  <c r="M1453" i="1"/>
  <c r="M1389" i="1"/>
  <c r="M1325" i="1"/>
  <c r="M1261" i="1"/>
  <c r="M1213" i="1"/>
  <c r="M1149" i="1"/>
  <c r="M1101" i="1"/>
  <c r="M1069" i="1"/>
  <c r="M1037" i="1"/>
  <c r="M1005" i="1"/>
  <c r="M973" i="1"/>
  <c r="M941" i="1"/>
  <c r="M909" i="1"/>
  <c r="M877" i="1"/>
  <c r="M829" i="1"/>
  <c r="M813" i="1"/>
  <c r="M797" i="1"/>
  <c r="M781" i="1"/>
  <c r="M749" i="1"/>
  <c r="M733" i="1"/>
  <c r="M717" i="1"/>
  <c r="M701" i="1"/>
  <c r="M685" i="1"/>
  <c r="M669" i="1"/>
  <c r="M653" i="1"/>
  <c r="M637" i="1"/>
  <c r="M621" i="1"/>
  <c r="M605" i="1"/>
  <c r="M589" i="1"/>
  <c r="M573" i="1"/>
  <c r="M557" i="1"/>
  <c r="M541" i="1"/>
  <c r="M525" i="1"/>
  <c r="M509" i="1"/>
  <c r="M493" i="1"/>
  <c r="M477" i="1"/>
  <c r="M461" i="1"/>
  <c r="M445" i="1"/>
  <c r="M429" i="1"/>
  <c r="M413" i="1"/>
  <c r="M397" i="1"/>
  <c r="M381" i="1"/>
  <c r="M365" i="1"/>
  <c r="M349" i="1"/>
  <c r="M333" i="1"/>
  <c r="M317" i="1"/>
  <c r="M301" i="1"/>
  <c r="M285" i="1"/>
  <c r="M269" i="1"/>
  <c r="M253" i="1"/>
  <c r="M237" i="1"/>
  <c r="M221" i="1"/>
  <c r="M205" i="1"/>
  <c r="M189" i="1"/>
  <c r="M1188" i="1"/>
  <c r="M948" i="1"/>
  <c r="M724" i="1"/>
  <c r="M580" i="1"/>
  <c r="M404" i="1"/>
  <c r="M292" i="1"/>
  <c r="M1549" i="1"/>
  <c r="M1485" i="1"/>
  <c r="M1421" i="1"/>
  <c r="M1357" i="1"/>
  <c r="M1293" i="1"/>
  <c r="M1245" i="1"/>
  <c r="M1197" i="1"/>
  <c r="M1165" i="1"/>
  <c r="M1117" i="1"/>
  <c r="M1085" i="1"/>
  <c r="M1053" i="1"/>
  <c r="M1021" i="1"/>
  <c r="M989" i="1"/>
  <c r="M957" i="1"/>
  <c r="M925" i="1"/>
  <c r="M893" i="1"/>
  <c r="M861" i="1"/>
  <c r="M845" i="1"/>
  <c r="M765" i="1"/>
  <c r="M172" i="1"/>
  <c r="M156" i="1"/>
  <c r="M140" i="1"/>
  <c r="M124" i="1"/>
  <c r="M108" i="1"/>
  <c r="M92" i="1"/>
  <c r="M76" i="1"/>
  <c r="M60" i="1"/>
  <c r="M44" i="1"/>
  <c r="M28" i="1"/>
  <c r="M12" i="1"/>
  <c r="M1044" i="1"/>
  <c r="M868" i="1"/>
  <c r="M676" i="1"/>
  <c r="M420" i="1"/>
  <c r="M228" i="1"/>
  <c r="M1501" i="1"/>
  <c r="M1437" i="1"/>
  <c r="M1373" i="1"/>
  <c r="M1309" i="1"/>
  <c r="M1229" i="1"/>
  <c r="M1181" i="1"/>
  <c r="M171" i="1"/>
  <c r="M155" i="1"/>
  <c r="M139" i="1"/>
  <c r="M123" i="1"/>
  <c r="M75" i="1"/>
  <c r="M59" i="1"/>
  <c r="M43" i="1"/>
  <c r="M27" i="1"/>
  <c r="M11" i="1"/>
  <c r="M1204" i="1"/>
  <c r="M964" i="1"/>
  <c r="M740" i="1"/>
  <c r="M628" i="1"/>
  <c r="M388" i="1"/>
  <c r="M260" i="1"/>
  <c r="M1533" i="1"/>
  <c r="M1469" i="1"/>
  <c r="M1405" i="1"/>
  <c r="M1341" i="1"/>
  <c r="M1277" i="1"/>
  <c r="M1133" i="1"/>
  <c r="M1108" i="1"/>
  <c r="M852" i="1"/>
  <c r="M532" i="1"/>
  <c r="M1252" i="1"/>
  <c r="M1012" i="1"/>
  <c r="M804" i="1"/>
  <c r="M596" i="1"/>
  <c r="M1600" i="1"/>
  <c r="M1140" i="1"/>
  <c r="M980" i="1"/>
  <c r="M788" i="1"/>
  <c r="M660" i="1"/>
  <c r="M468" i="1"/>
  <c r="M324" i="1"/>
  <c r="M212" i="1"/>
  <c r="M1591" i="1"/>
  <c r="M1520" i="1"/>
  <c r="M1360" i="1"/>
  <c r="M1583" i="1"/>
  <c r="G175" i="7" s="1"/>
  <c r="G176" i="7" s="1"/>
  <c r="M1456" i="1"/>
  <c r="M1424" i="1"/>
  <c r="M1613" i="1"/>
  <c r="M1536" i="1"/>
  <c r="M1328" i="1"/>
  <c r="M1612" i="1"/>
  <c r="M1595" i="1"/>
  <c r="M1504" i="1"/>
  <c r="M1344" i="1"/>
  <c r="M170" i="1"/>
  <c r="M154" i="1"/>
  <c r="M138" i="1"/>
  <c r="M122" i="1"/>
  <c r="M74" i="1"/>
  <c r="M58" i="1"/>
  <c r="M1488" i="1"/>
  <c r="M1312" i="1"/>
  <c r="M393" i="1"/>
  <c r="M377" i="1"/>
  <c r="M361" i="1"/>
  <c r="M345" i="1"/>
  <c r="M329" i="1"/>
  <c r="M313" i="1"/>
  <c r="M297" i="1"/>
  <c r="M281" i="1"/>
  <c r="M265" i="1"/>
  <c r="M249" i="1"/>
  <c r="M233" i="1"/>
  <c r="M217" i="1"/>
  <c r="M201" i="1"/>
  <c r="M185" i="1"/>
  <c r="M1472" i="1"/>
  <c r="M1296" i="1"/>
  <c r="M90" i="1"/>
  <c r="M168" i="1"/>
  <c r="M120" i="1"/>
  <c r="M88" i="1"/>
  <c r="M40" i="1"/>
  <c r="M24" i="1"/>
  <c r="M8" i="1"/>
  <c r="M1552" i="1"/>
  <c r="M1376" i="1"/>
  <c r="M26" i="1"/>
  <c r="M152" i="1"/>
  <c r="M72" i="1"/>
  <c r="M1408" i="1"/>
  <c r="M106" i="1"/>
  <c r="M136" i="1"/>
  <c r="M104" i="1"/>
  <c r="M56" i="1"/>
  <c r="M1606" i="1"/>
  <c r="M1440" i="1"/>
  <c r="M1280" i="1"/>
  <c r="M10" i="1"/>
  <c r="M1392" i="1"/>
  <c r="M42" i="1"/>
  <c r="M1588" i="1"/>
  <c r="M1556" i="1"/>
  <c r="M1540" i="1"/>
  <c r="M1524" i="1"/>
  <c r="M1508" i="1"/>
  <c r="M1492" i="1"/>
  <c r="M1476" i="1"/>
  <c r="M1460" i="1"/>
  <c r="M1444" i="1"/>
  <c r="M1428" i="1"/>
  <c r="M1412" i="1"/>
  <c r="M1396" i="1"/>
  <c r="M1380" i="1"/>
  <c r="M1364" i="1"/>
  <c r="M1348" i="1"/>
  <c r="M1332" i="1"/>
  <c r="M1316" i="1"/>
  <c r="M1300" i="1"/>
  <c r="M1284" i="1"/>
  <c r="M1268" i="1"/>
  <c r="M1554" i="1"/>
  <c r="M1538" i="1"/>
  <c r="M1522" i="1"/>
  <c r="M1506" i="1"/>
  <c r="M1490" i="1"/>
  <c r="M1474" i="1"/>
  <c r="M1458" i="1"/>
  <c r="M1442" i="1"/>
  <c r="M1426" i="1"/>
  <c r="M1410" i="1"/>
  <c r="M1394" i="1"/>
  <c r="M1378" i="1"/>
  <c r="M1362" i="1"/>
  <c r="M1346" i="1"/>
  <c r="M1330" i="1"/>
  <c r="M1547" i="1"/>
  <c r="M1531" i="1"/>
  <c r="M1515" i="1"/>
  <c r="M1499" i="1"/>
  <c r="M1483" i="1"/>
  <c r="M1467" i="1"/>
  <c r="M1451" i="1"/>
  <c r="M1435" i="1"/>
  <c r="M1419" i="1"/>
  <c r="M1403" i="1"/>
  <c r="M1387" i="1"/>
  <c r="M1371" i="1"/>
  <c r="M1355" i="1"/>
  <c r="M1339" i="1"/>
  <c r="M1323" i="1"/>
  <c r="M1307" i="1"/>
  <c r="M1291" i="1"/>
  <c r="M1275" i="1"/>
  <c r="M1259" i="1"/>
  <c r="M1243" i="1"/>
  <c r="M1227" i="1"/>
  <c r="M1211" i="1"/>
  <c r="M1195" i="1"/>
  <c r="M1179" i="1"/>
  <c r="M1163" i="1"/>
  <c r="M1147" i="1"/>
  <c r="M1131" i="1"/>
  <c r="M1115" i="1"/>
  <c r="M1099" i="1"/>
  <c r="M1083" i="1"/>
  <c r="M1067" i="1"/>
  <c r="M1051" i="1"/>
  <c r="M1035" i="1"/>
  <c r="M1019" i="1"/>
  <c r="M1003" i="1"/>
  <c r="M987" i="1"/>
  <c r="M971" i="1"/>
  <c r="M955" i="1"/>
  <c r="M939" i="1"/>
  <c r="M923" i="1"/>
  <c r="M907" i="1"/>
  <c r="M891" i="1"/>
  <c r="M875" i="1"/>
  <c r="M859" i="1"/>
  <c r="M843" i="1"/>
  <c r="M827" i="1"/>
  <c r="M811" i="1"/>
  <c r="M795" i="1"/>
  <c r="M779" i="1"/>
  <c r="M763" i="1"/>
  <c r="M747" i="1"/>
  <c r="M731" i="1"/>
  <c r="M715" i="1"/>
  <c r="M699" i="1"/>
  <c r="M683" i="1"/>
  <c r="M667" i="1"/>
  <c r="M651" i="1"/>
  <c r="M635" i="1"/>
  <c r="M619" i="1"/>
  <c r="M603" i="1"/>
  <c r="M587" i="1"/>
  <c r="M571" i="1"/>
  <c r="M555" i="1"/>
  <c r="M539" i="1"/>
  <c r="M523" i="1"/>
  <c r="M507" i="1"/>
  <c r="M491" i="1"/>
  <c r="M475" i="1"/>
  <c r="M459" i="1"/>
  <c r="M443" i="1"/>
  <c r="M427" i="1"/>
  <c r="M411" i="1"/>
  <c r="M395" i="1"/>
  <c r="M363" i="1"/>
  <c r="M347" i="1"/>
  <c r="M331" i="1"/>
  <c r="M315" i="1"/>
  <c r="M299" i="1"/>
  <c r="M283" i="1"/>
  <c r="M267" i="1"/>
  <c r="M251" i="1"/>
  <c r="M235" i="1"/>
  <c r="M219" i="1"/>
  <c r="M203" i="1"/>
  <c r="M187" i="1"/>
  <c r="M182" i="1"/>
  <c r="M1314" i="1"/>
  <c r="M1298" i="1"/>
  <c r="M1282" i="1"/>
  <c r="M1266" i="1"/>
  <c r="M1250" i="1"/>
  <c r="M1234" i="1"/>
  <c r="M1218" i="1"/>
  <c r="M1202" i="1"/>
  <c r="M1186" i="1"/>
  <c r="M1170" i="1"/>
  <c r="M1154" i="1"/>
  <c r="M1138" i="1"/>
  <c r="M1122" i="1"/>
  <c r="M1106" i="1"/>
  <c r="M1090" i="1"/>
  <c r="M1074" i="1"/>
  <c r="M1058" i="1"/>
  <c r="M1042" i="1"/>
  <c r="M1026" i="1"/>
  <c r="M1010" i="1"/>
  <c r="M994" i="1"/>
  <c r="M978" i="1"/>
  <c r="M962" i="1"/>
  <c r="M946" i="1"/>
  <c r="M930" i="1"/>
  <c r="M914" i="1"/>
  <c r="M898" i="1"/>
  <c r="M882" i="1"/>
  <c r="M866" i="1"/>
  <c r="M850" i="1"/>
  <c r="M1078" i="1"/>
  <c r="M1062" i="1"/>
  <c r="M1046" i="1"/>
  <c r="M1030" i="1"/>
  <c r="M1014" i="1"/>
  <c r="M998" i="1"/>
  <c r="M982" i="1"/>
  <c r="M966" i="1"/>
  <c r="M950" i="1"/>
  <c r="M934" i="1"/>
  <c r="M918" i="1"/>
  <c r="M902" i="1"/>
  <c r="M886" i="1"/>
  <c r="M870" i="1"/>
  <c r="M854" i="1"/>
  <c r="M838" i="1"/>
  <c r="M822" i="1"/>
  <c r="M806" i="1"/>
  <c r="M790" i="1"/>
  <c r="M774" i="1"/>
  <c r="M758" i="1"/>
  <c r="M742" i="1"/>
  <c r="M726" i="1"/>
  <c r="M710" i="1"/>
  <c r="M694" i="1"/>
  <c r="M678" i="1"/>
  <c r="M662" i="1"/>
  <c r="M646" i="1"/>
  <c r="M630" i="1"/>
  <c r="M614" i="1"/>
  <c r="M598" i="1"/>
  <c r="M582" i="1"/>
  <c r="M566" i="1"/>
  <c r="M550" i="1"/>
  <c r="M534" i="1"/>
  <c r="M518" i="1"/>
  <c r="M502" i="1"/>
  <c r="M486" i="1"/>
  <c r="M470" i="1"/>
  <c r="M454" i="1"/>
  <c r="M438" i="1"/>
  <c r="M422" i="1"/>
  <c r="M406" i="1"/>
  <c r="M374" i="1"/>
  <c r="M342" i="1"/>
  <c r="M326" i="1"/>
  <c r="M310" i="1"/>
  <c r="M294" i="1"/>
  <c r="M278" i="1"/>
  <c r="M262" i="1"/>
  <c r="M246" i="1"/>
  <c r="M230" i="1"/>
  <c r="M214" i="1"/>
  <c r="M198" i="1"/>
  <c r="M1573" i="1"/>
  <c r="M181" i="1"/>
  <c r="M165" i="1"/>
  <c r="M149" i="1"/>
  <c r="M133" i="1"/>
  <c r="M117" i="1"/>
  <c r="M101" i="1"/>
  <c r="M85" i="1"/>
  <c r="M69" i="1"/>
  <c r="M53" i="1"/>
  <c r="M37" i="1"/>
  <c r="M21" i="1"/>
  <c r="M1602" i="1"/>
  <c r="M5" i="1"/>
  <c r="M353" i="1"/>
  <c r="M1597" i="1"/>
  <c r="M1335" i="1"/>
  <c r="M1319" i="1"/>
  <c r="M1303" i="1"/>
  <c r="M1287" i="1"/>
  <c r="M1271" i="1"/>
  <c r="M1255" i="1"/>
  <c r="M1239" i="1"/>
  <c r="M1223" i="1"/>
  <c r="M1207" i="1"/>
  <c r="M1191" i="1"/>
  <c r="M1550" i="1"/>
  <c r="M1534" i="1"/>
  <c r="M1518" i="1"/>
  <c r="M1502" i="1"/>
  <c r="M1486" i="1"/>
  <c r="M1470" i="1"/>
  <c r="M1454" i="1"/>
  <c r="M1438" i="1"/>
  <c r="M1422" i="1"/>
  <c r="M1406" i="1"/>
  <c r="M1390" i="1"/>
  <c r="M1374" i="1"/>
  <c r="M1358" i="1"/>
  <c r="M1342" i="1"/>
  <c r="M1326" i="1"/>
  <c r="M1310" i="1"/>
  <c r="M1294" i="1"/>
  <c r="M1278" i="1"/>
  <c r="M1262" i="1"/>
  <c r="M1246" i="1"/>
  <c r="M1230" i="1"/>
  <c r="M1214" i="1"/>
  <c r="M1198" i="1"/>
  <c r="M1182" i="1"/>
  <c r="M1166" i="1"/>
  <c r="M1150" i="1"/>
  <c r="M1134" i="1"/>
  <c r="M1118" i="1"/>
  <c r="M1102" i="1"/>
  <c r="M1086" i="1"/>
  <c r="M1070" i="1"/>
  <c r="M1054" i="1"/>
  <c r="M1038" i="1"/>
  <c r="M1022" i="1"/>
  <c r="M1006" i="1"/>
  <c r="M990" i="1"/>
  <c r="M974" i="1"/>
  <c r="M958" i="1"/>
  <c r="M942" i="1"/>
  <c r="M926" i="1"/>
  <c r="M910" i="1"/>
  <c r="M894" i="1"/>
  <c r="M878" i="1"/>
  <c r="M862" i="1"/>
  <c r="M846" i="1"/>
  <c r="M830" i="1"/>
  <c r="M814" i="1"/>
  <c r="M798" i="1"/>
  <c r="M782" i="1"/>
  <c r="M766" i="1"/>
  <c r="M750" i="1"/>
  <c r="M734" i="1"/>
  <c r="M718" i="1"/>
  <c r="M702" i="1"/>
  <c r="M686" i="1"/>
  <c r="M670" i="1"/>
  <c r="M654" i="1"/>
  <c r="M638" i="1"/>
  <c r="M622" i="1"/>
  <c r="M606" i="1"/>
  <c r="M590" i="1"/>
  <c r="M574" i="1"/>
  <c r="M558" i="1"/>
  <c r="M542" i="1"/>
  <c r="M526" i="1"/>
  <c r="M510" i="1"/>
  <c r="M494" i="1"/>
  <c r="M478" i="1"/>
  <c r="M462" i="1"/>
  <c r="M446" i="1"/>
  <c r="M430" i="1"/>
  <c r="M414" i="1"/>
  <c r="M382" i="1"/>
  <c r="M366" i="1"/>
  <c r="M350" i="1"/>
  <c r="M334" i="1"/>
  <c r="M318" i="1"/>
  <c r="M302" i="1"/>
  <c r="M286" i="1"/>
  <c r="M270" i="1"/>
  <c r="M254" i="1"/>
  <c r="M238" i="1"/>
  <c r="M222" i="1"/>
  <c r="M206" i="1"/>
  <c r="M190" i="1"/>
  <c r="M173" i="1"/>
  <c r="M157" i="1"/>
  <c r="M141" i="1"/>
  <c r="M125" i="1"/>
  <c r="M109" i="1"/>
  <c r="M93" i="1"/>
  <c r="M77" i="1"/>
  <c r="M61" i="1"/>
  <c r="M45" i="1"/>
  <c r="M29" i="1"/>
  <c r="M204" i="1"/>
  <c r="M188" i="1"/>
  <c r="M107" i="1"/>
  <c r="M91" i="1"/>
  <c r="M1175" i="1"/>
  <c r="M1159" i="1"/>
  <c r="M1143" i="1"/>
  <c r="M1127" i="1"/>
  <c r="M1111" i="1"/>
  <c r="M1095" i="1"/>
  <c r="M1079" i="1"/>
  <c r="M1063" i="1"/>
  <c r="M1047" i="1"/>
  <c r="M1031" i="1"/>
  <c r="M1015" i="1"/>
  <c r="M999" i="1"/>
  <c r="M983" i="1"/>
  <c r="M967" i="1"/>
  <c r="M951" i="1"/>
  <c r="M935" i="1"/>
  <c r="M919" i="1"/>
  <c r="M903" i="1"/>
  <c r="M887" i="1"/>
  <c r="M871" i="1"/>
  <c r="M855" i="1"/>
  <c r="M839" i="1"/>
  <c r="M823" i="1"/>
  <c r="M807" i="1"/>
  <c r="M791" i="1"/>
  <c r="M775" i="1"/>
  <c r="M759" i="1"/>
  <c r="M743" i="1"/>
  <c r="M727" i="1"/>
  <c r="M711" i="1"/>
  <c r="M695" i="1"/>
  <c r="M679" i="1"/>
  <c r="M663" i="1"/>
  <c r="M647" i="1"/>
  <c r="M631" i="1"/>
  <c r="M615" i="1"/>
  <c r="M599" i="1"/>
  <c r="M583" i="1"/>
  <c r="M567" i="1"/>
  <c r="M551" i="1"/>
  <c r="M535" i="1"/>
  <c r="M519" i="1"/>
  <c r="M503" i="1"/>
  <c r="M487" i="1"/>
  <c r="M471" i="1"/>
  <c r="M455" i="1"/>
  <c r="M439" i="1"/>
  <c r="M423" i="1"/>
  <c r="M407" i="1"/>
  <c r="M391" i="1"/>
  <c r="M375" i="1"/>
  <c r="M343" i="1"/>
  <c r="M327" i="1"/>
  <c r="M311" i="1"/>
  <c r="M295" i="1"/>
  <c r="M279" i="1"/>
  <c r="M263" i="1"/>
  <c r="M247" i="1"/>
  <c r="M231" i="1"/>
  <c r="M215" i="1"/>
  <c r="M199" i="1"/>
  <c r="M166" i="1"/>
  <c r="M150" i="1"/>
  <c r="M134" i="1"/>
  <c r="M118" i="1"/>
  <c r="M102" i="1"/>
  <c r="M86" i="1"/>
  <c r="M70" i="1"/>
  <c r="M54" i="1"/>
  <c r="M38" i="1"/>
  <c r="M22" i="1"/>
  <c r="M6" i="1"/>
  <c r="M371" i="1"/>
  <c r="M338" i="1"/>
  <c r="M322" i="1"/>
  <c r="M306" i="1"/>
  <c r="M290" i="1"/>
  <c r="M274" i="1"/>
  <c r="M258" i="1"/>
  <c r="M242" i="1"/>
  <c r="M226" i="1"/>
  <c r="M210" i="1"/>
  <c r="M194" i="1"/>
  <c r="M176" i="1"/>
  <c r="M160" i="1"/>
  <c r="M144" i="1"/>
  <c r="M1532" i="1"/>
  <c r="M1516" i="1"/>
  <c r="M1500" i="1"/>
  <c r="M1484" i="1"/>
  <c r="M1468" i="1"/>
  <c r="M1452" i="1"/>
  <c r="M1436" i="1"/>
  <c r="M1420" i="1"/>
  <c r="M1404" i="1"/>
  <c r="M1356" i="1"/>
  <c r="M1340" i="1"/>
  <c r="M1324" i="1"/>
  <c r="M1308" i="1"/>
  <c r="M1292" i="1"/>
  <c r="M1276" i="1"/>
  <c r="M1260" i="1"/>
  <c r="M1244" i="1"/>
  <c r="M1228" i="1"/>
  <c r="M1212" i="1"/>
  <c r="M1196" i="1"/>
  <c r="M1180" i="1"/>
  <c r="M1164" i="1"/>
  <c r="M1148" i="1"/>
  <c r="M1132" i="1"/>
  <c r="M1116" i="1"/>
  <c r="M1100" i="1"/>
  <c r="M1084" i="1"/>
  <c r="M1068" i="1"/>
  <c r="M1052" i="1"/>
  <c r="M1036" i="1"/>
  <c r="M1020" i="1"/>
  <c r="M1004" i="1"/>
  <c r="M988" i="1"/>
  <c r="M972" i="1"/>
  <c r="M956" i="1"/>
  <c r="M940" i="1"/>
  <c r="M924" i="1"/>
  <c r="M908" i="1"/>
  <c r="M892" i="1"/>
  <c r="M876" i="1"/>
  <c r="M860" i="1"/>
  <c r="M844" i="1"/>
  <c r="M828" i="1"/>
  <c r="M812" i="1"/>
  <c r="M796" i="1"/>
  <c r="M780" i="1"/>
  <c r="M764" i="1"/>
  <c r="M748" i="1"/>
  <c r="M732" i="1"/>
  <c r="M1596" i="1"/>
  <c r="M1548" i="1"/>
  <c r="M1388" i="1"/>
  <c r="M1579" i="1"/>
  <c r="Q379" i="1"/>
  <c r="R379" i="1" s="1"/>
  <c r="M379" i="1"/>
  <c r="M1372" i="1"/>
  <c r="M1546" i="1"/>
  <c r="M1530" i="1"/>
  <c r="M1514" i="1"/>
  <c r="M1498" i="1"/>
  <c r="M1482" i="1"/>
  <c r="M1466" i="1"/>
  <c r="M1450" i="1"/>
  <c r="M1434" i="1"/>
  <c r="M1418" i="1"/>
  <c r="M1402" i="1"/>
  <c r="M1386" i="1"/>
  <c r="M1370" i="1"/>
  <c r="M1354" i="1"/>
  <c r="M1338" i="1"/>
  <c r="M1322" i="1"/>
  <c r="M1306" i="1"/>
  <c r="M1290" i="1"/>
  <c r="M1274" i="1"/>
  <c r="M1258" i="1"/>
  <c r="M1242" i="1"/>
  <c r="M1226" i="1"/>
  <c r="M1210" i="1"/>
  <c r="M1194" i="1"/>
  <c r="M1178" i="1"/>
  <c r="M1162" i="1"/>
  <c r="M1146" i="1"/>
  <c r="M1130" i="1"/>
  <c r="M1114" i="1"/>
  <c r="M1098" i="1"/>
  <c r="M1082" i="1"/>
  <c r="M1066" i="1"/>
  <c r="M1050" i="1"/>
  <c r="M1034" i="1"/>
  <c r="M1018" i="1"/>
  <c r="M1002" i="1"/>
  <c r="M986" i="1"/>
  <c r="M970" i="1"/>
  <c r="M954" i="1"/>
  <c r="M938" i="1"/>
  <c r="M922" i="1"/>
  <c r="M906" i="1"/>
  <c r="M890" i="1"/>
  <c r="M874" i="1"/>
  <c r="M858" i="1"/>
  <c r="M842" i="1"/>
  <c r="M826" i="1"/>
  <c r="M810" i="1"/>
  <c r="M794" i="1"/>
  <c r="M778" i="1"/>
  <c r="M762" i="1"/>
  <c r="M746" i="1"/>
  <c r="M730" i="1"/>
  <c r="M714" i="1"/>
  <c r="M698" i="1"/>
  <c r="M682" i="1"/>
  <c r="M666" i="1"/>
  <c r="M650" i="1"/>
  <c r="M634" i="1"/>
  <c r="M618" i="1"/>
  <c r="M602" i="1"/>
  <c r="M586" i="1"/>
  <c r="M570" i="1"/>
  <c r="M554" i="1"/>
  <c r="M538" i="1"/>
  <c r="M522" i="1"/>
  <c r="M506" i="1"/>
  <c r="M490" i="1"/>
  <c r="M474" i="1"/>
  <c r="M458" i="1"/>
  <c r="M442" i="1"/>
  <c r="M426" i="1"/>
  <c r="M410" i="1"/>
  <c r="M394" i="1"/>
  <c r="M378" i="1"/>
  <c r="M362" i="1"/>
  <c r="M346" i="1"/>
  <c r="M330" i="1"/>
  <c r="M314" i="1"/>
  <c r="M1561" i="1"/>
  <c r="M1545" i="1"/>
  <c r="M1529" i="1"/>
  <c r="M1513" i="1"/>
  <c r="M1497" i="1"/>
  <c r="M1481" i="1"/>
  <c r="M1465" i="1"/>
  <c r="M1449" i="1"/>
  <c r="M1433" i="1"/>
  <c r="M1417" i="1"/>
  <c r="M1401" i="1"/>
  <c r="M1385" i="1"/>
  <c r="M1369" i="1"/>
  <c r="M1353" i="1"/>
  <c r="M1337" i="1"/>
  <c r="M1321" i="1"/>
  <c r="M1305" i="1"/>
  <c r="M1289" i="1"/>
  <c r="M1273" i="1"/>
  <c r="M1257" i="1"/>
  <c r="M1241" i="1"/>
  <c r="M1225" i="1"/>
  <c r="M1209" i="1"/>
  <c r="M1193" i="1"/>
  <c r="M1177" i="1"/>
  <c r="M1161" i="1"/>
  <c r="M1145" i="1"/>
  <c r="M1129" i="1"/>
  <c r="M1113" i="1"/>
  <c r="M1097" i="1"/>
  <c r="M1081" i="1"/>
  <c r="M1065" i="1"/>
  <c r="M1049" i="1"/>
  <c r="M1033" i="1"/>
  <c r="M1017" i="1"/>
  <c r="M1001" i="1"/>
  <c r="M985" i="1"/>
  <c r="M969" i="1"/>
  <c r="M953" i="1"/>
  <c r="M937" i="1"/>
  <c r="M921" i="1"/>
  <c r="M905" i="1"/>
  <c r="M889" i="1"/>
  <c r="M873" i="1"/>
  <c r="M857" i="1"/>
  <c r="M841" i="1"/>
  <c r="M825" i="1"/>
  <c r="M809" i="1"/>
  <c r="M793" i="1"/>
  <c r="M777" i="1"/>
  <c r="M761" i="1"/>
  <c r="M745" i="1"/>
  <c r="M729" i="1"/>
  <c r="M713" i="1"/>
  <c r="M697" i="1"/>
  <c r="M681" i="1"/>
  <c r="M665" i="1"/>
  <c r="M649" i="1"/>
  <c r="M633" i="1"/>
  <c r="M617" i="1"/>
  <c r="M601" i="1"/>
  <c r="M585" i="1"/>
  <c r="M569" i="1"/>
  <c r="M553" i="1"/>
  <c r="M537" i="1"/>
  <c r="M521" i="1"/>
  <c r="M505" i="1"/>
  <c r="M489" i="1"/>
  <c r="M473" i="1"/>
  <c r="M457" i="1"/>
  <c r="M441" i="1"/>
  <c r="M425" i="1"/>
  <c r="M409" i="1"/>
  <c r="M1544" i="1"/>
  <c r="M1512" i="1"/>
  <c r="M1480" i="1"/>
  <c r="M1448" i="1"/>
  <c r="M1416" i="1"/>
  <c r="M1384" i="1"/>
  <c r="M1336" i="1"/>
  <c r="M1272" i="1"/>
  <c r="M1224" i="1"/>
  <c r="M1192" i="1"/>
  <c r="M1160" i="1"/>
  <c r="M1128" i="1"/>
  <c r="M1096" i="1"/>
  <c r="M1064" i="1"/>
  <c r="M1032" i="1"/>
  <c r="M1000" i="1"/>
  <c r="M952" i="1"/>
  <c r="M920" i="1"/>
  <c r="M888" i="1"/>
  <c r="M856" i="1"/>
  <c r="M824" i="1"/>
  <c r="M792" i="1"/>
  <c r="M760" i="1"/>
  <c r="M712" i="1"/>
  <c r="M680" i="1"/>
  <c r="M648" i="1"/>
  <c r="M616" i="1"/>
  <c r="M600" i="1"/>
  <c r="M568" i="1"/>
  <c r="M552" i="1"/>
  <c r="M536" i="1"/>
  <c r="M520" i="1"/>
  <c r="M504" i="1"/>
  <c r="M488" i="1"/>
  <c r="M472" i="1"/>
  <c r="M456" i="1"/>
  <c r="M440" i="1"/>
  <c r="M424" i="1"/>
  <c r="M408" i="1"/>
  <c r="Q392" i="1"/>
  <c r="R392" i="1" s="1"/>
  <c r="M392" i="1"/>
  <c r="M376" i="1"/>
  <c r="M344" i="1"/>
  <c r="M328" i="1"/>
  <c r="M312" i="1"/>
  <c r="M296" i="1"/>
  <c r="M280" i="1"/>
  <c r="M264" i="1"/>
  <c r="M248" i="1"/>
  <c r="M232" i="1"/>
  <c r="M216" i="1"/>
  <c r="M200" i="1"/>
  <c r="M1560" i="1"/>
  <c r="M1528" i="1"/>
  <c r="M1496" i="1"/>
  <c r="M1464" i="1"/>
  <c r="M1432" i="1"/>
  <c r="M1400" i="1"/>
  <c r="M1368" i="1"/>
  <c r="M1320" i="1"/>
  <c r="M1256" i="1"/>
  <c r="M1208" i="1"/>
  <c r="M1176" i="1"/>
  <c r="M1144" i="1"/>
  <c r="M1112" i="1"/>
  <c r="M1080" i="1"/>
  <c r="M1048" i="1"/>
  <c r="M1016" i="1"/>
  <c r="M984" i="1"/>
  <c r="M968" i="1"/>
  <c r="M936" i="1"/>
  <c r="M904" i="1"/>
  <c r="M872" i="1"/>
  <c r="M840" i="1"/>
  <c r="M808" i="1"/>
  <c r="M776" i="1"/>
  <c r="M744" i="1"/>
  <c r="M728" i="1"/>
  <c r="M696" i="1"/>
  <c r="M664" i="1"/>
  <c r="M632" i="1"/>
  <c r="M584" i="1"/>
  <c r="M360" i="1"/>
  <c r="M1559" i="1"/>
  <c r="M1543" i="1"/>
  <c r="M1527" i="1"/>
  <c r="M1511" i="1"/>
  <c r="M1495" i="1"/>
  <c r="M1479" i="1"/>
  <c r="M1463" i="1"/>
  <c r="M1447" i="1"/>
  <c r="M1431" i="1"/>
  <c r="M1415" i="1"/>
  <c r="M1399" i="1"/>
  <c r="M1383" i="1"/>
  <c r="M1367" i="1"/>
  <c r="M1351" i="1"/>
  <c r="M183" i="1"/>
  <c r="M167" i="1"/>
  <c r="M151" i="1"/>
  <c r="M135" i="1"/>
  <c r="M119" i="1"/>
  <c r="M103" i="1"/>
  <c r="M87" i="1"/>
  <c r="M71" i="1"/>
  <c r="M55" i="1"/>
  <c r="M39" i="1"/>
  <c r="M23" i="1"/>
  <c r="M7" i="1"/>
  <c r="M1352" i="1"/>
  <c r="M1558" i="1"/>
  <c r="M1510" i="1"/>
  <c r="M1478" i="1"/>
  <c r="M1462" i="1"/>
  <c r="M1446" i="1"/>
  <c r="M1430" i="1"/>
  <c r="M1414" i="1"/>
  <c r="M1398" i="1"/>
  <c r="M1382" i="1"/>
  <c r="M1366" i="1"/>
  <c r="M1334" i="1"/>
  <c r="M1286" i="1"/>
  <c r="M1270" i="1"/>
  <c r="M1254" i="1"/>
  <c r="M1238" i="1"/>
  <c r="M1222" i="1"/>
  <c r="M1206" i="1"/>
  <c r="M1190" i="1"/>
  <c r="M1174" i="1"/>
  <c r="M1158" i="1"/>
  <c r="M1142" i="1"/>
  <c r="M1126" i="1"/>
  <c r="M1110" i="1"/>
  <c r="M1094" i="1"/>
  <c r="M390" i="1"/>
  <c r="M1304" i="1"/>
  <c r="M1350" i="1"/>
  <c r="M1541" i="1"/>
  <c r="M1477" i="1"/>
  <c r="M1429" i="1"/>
  <c r="M1381" i="1"/>
  <c r="M1333" i="1"/>
  <c r="M1285" i="1"/>
  <c r="M1221" i="1"/>
  <c r="M1173" i="1"/>
  <c r="M1141" i="1"/>
  <c r="M1093" i="1"/>
  <c r="M1077" i="1"/>
  <c r="M1061" i="1"/>
  <c r="M1045" i="1"/>
  <c r="M1029" i="1"/>
  <c r="M1013" i="1"/>
  <c r="M997" i="1"/>
  <c r="M981" i="1"/>
  <c r="M965" i="1"/>
  <c r="M949" i="1"/>
  <c r="M933" i="1"/>
  <c r="M917" i="1"/>
  <c r="M869" i="1"/>
  <c r="M853" i="1"/>
  <c r="M837" i="1"/>
  <c r="M821" i="1"/>
  <c r="M805" i="1"/>
  <c r="M789" i="1"/>
  <c r="M773" i="1"/>
  <c r="M757" i="1"/>
  <c r="M741" i="1"/>
  <c r="M725" i="1"/>
  <c r="M709" i="1"/>
  <c r="M693" i="1"/>
  <c r="M677" i="1"/>
  <c r="M661" i="1"/>
  <c r="M645" i="1"/>
  <c r="M629" i="1"/>
  <c r="M613" i="1"/>
  <c r="M597" i="1"/>
  <c r="M581" i="1"/>
  <c r="M565" i="1"/>
  <c r="M549" i="1"/>
  <c r="M533" i="1"/>
  <c r="M517" i="1"/>
  <c r="M501" i="1"/>
  <c r="M485" i="1"/>
  <c r="M469" i="1"/>
  <c r="M453" i="1"/>
  <c r="M437" i="1"/>
  <c r="M421" i="1"/>
  <c r="M405" i="1"/>
  <c r="M389" i="1"/>
  <c r="Q373" i="1"/>
  <c r="R373" i="1" s="1"/>
  <c r="M373" i="1"/>
  <c r="M341" i="1"/>
  <c r="M325" i="1"/>
  <c r="M309" i="1"/>
  <c r="M293" i="1"/>
  <c r="M277" i="1"/>
  <c r="M261" i="1"/>
  <c r="M197" i="1"/>
  <c r="M1240" i="1"/>
  <c r="M1542" i="1"/>
  <c r="M1494" i="1"/>
  <c r="M1318" i="1"/>
  <c r="M1525" i="1"/>
  <c r="M1445" i="1"/>
  <c r="M1397" i="1"/>
  <c r="M1349" i="1"/>
  <c r="M1301" i="1"/>
  <c r="M1253" i="1"/>
  <c r="M1205" i="1"/>
  <c r="M1157" i="1"/>
  <c r="M1109" i="1"/>
  <c r="M885" i="1"/>
  <c r="M1604" i="1"/>
  <c r="M372" i="1"/>
  <c r="M180" i="1"/>
  <c r="M164" i="1"/>
  <c r="M148" i="1"/>
  <c r="M132" i="1"/>
  <c r="M116" i="1"/>
  <c r="M100" i="1"/>
  <c r="M84" i="1"/>
  <c r="M68" i="1"/>
  <c r="M52" i="1"/>
  <c r="M36" i="1"/>
  <c r="M20" i="1"/>
  <c r="M1288" i="1"/>
  <c r="M1526" i="1"/>
  <c r="M1302" i="1"/>
  <c r="M1557" i="1"/>
  <c r="M1509" i="1"/>
  <c r="M1461" i="1"/>
  <c r="M1413" i="1"/>
  <c r="M1365" i="1"/>
  <c r="M1317" i="1"/>
  <c r="M1269" i="1"/>
  <c r="M1237" i="1"/>
  <c r="M1189" i="1"/>
  <c r="M1125" i="1"/>
  <c r="M901" i="1"/>
  <c r="M339" i="1"/>
  <c r="M323" i="1"/>
  <c r="M307" i="1"/>
  <c r="M291" i="1"/>
  <c r="M275" i="1"/>
  <c r="Q130" i="1"/>
  <c r="R130" i="1" s="1"/>
  <c r="M130" i="1"/>
  <c r="M1601" i="1"/>
  <c r="M1551" i="1"/>
  <c r="M1519" i="1"/>
  <c r="M1487" i="1"/>
  <c r="M1455" i="1"/>
  <c r="M1423" i="1"/>
  <c r="M1391" i="1"/>
  <c r="M1359" i="1"/>
  <c r="M1327" i="1"/>
  <c r="M1295" i="1"/>
  <c r="M1263" i="1"/>
  <c r="M1231" i="1"/>
  <c r="M1199" i="1"/>
  <c r="M1167" i="1"/>
  <c r="M1135" i="1"/>
  <c r="M1103" i="1"/>
  <c r="M1071" i="1"/>
  <c r="M1039" i="1"/>
  <c r="M1007" i="1"/>
  <c r="M975" i="1"/>
  <c r="M927" i="1"/>
  <c r="M895" i="1"/>
  <c r="M863" i="1"/>
  <c r="M831" i="1"/>
  <c r="M799" i="1"/>
  <c r="M767" i="1"/>
  <c r="M735" i="1"/>
  <c r="M703" i="1"/>
  <c r="M671" i="1"/>
  <c r="M639" i="1"/>
  <c r="M607" i="1"/>
  <c r="M575" i="1"/>
  <c r="M543" i="1"/>
  <c r="M511" i="1"/>
  <c r="M479" i="1"/>
  <c r="M447" i="1"/>
  <c r="M415" i="1"/>
  <c r="Q399" i="1"/>
  <c r="R399" i="1" s="1"/>
  <c r="M399" i="1"/>
  <c r="M367" i="1"/>
  <c r="M335" i="1"/>
  <c r="M303" i="1"/>
  <c r="M287" i="1"/>
  <c r="M255" i="1"/>
  <c r="M207" i="1"/>
  <c r="M191" i="1"/>
  <c r="M1535" i="1"/>
  <c r="M1503" i="1"/>
  <c r="M1471" i="1"/>
  <c r="M1439" i="1"/>
  <c r="M1407" i="1"/>
  <c r="M1375" i="1"/>
  <c r="M1343" i="1"/>
  <c r="M1311" i="1"/>
  <c r="M1279" i="1"/>
  <c r="M1247" i="1"/>
  <c r="M1215" i="1"/>
  <c r="M1183" i="1"/>
  <c r="M1151" i="1"/>
  <c r="M1119" i="1"/>
  <c r="M1087" i="1"/>
  <c r="M1055" i="1"/>
  <c r="M1023" i="1"/>
  <c r="M991" i="1"/>
  <c r="M959" i="1"/>
  <c r="M943" i="1"/>
  <c r="M911" i="1"/>
  <c r="M879" i="1"/>
  <c r="M847" i="1"/>
  <c r="M815" i="1"/>
  <c r="M783" i="1"/>
  <c r="M751" i="1"/>
  <c r="M719" i="1"/>
  <c r="M687" i="1"/>
  <c r="M655" i="1"/>
  <c r="M623" i="1"/>
  <c r="M591" i="1"/>
  <c r="M559" i="1"/>
  <c r="M527" i="1"/>
  <c r="M495" i="1"/>
  <c r="M463" i="1"/>
  <c r="M431" i="1"/>
  <c r="M383" i="1"/>
  <c r="M351" i="1"/>
  <c r="M319" i="1"/>
  <c r="M271" i="1"/>
  <c r="M239" i="1"/>
  <c r="M223" i="1"/>
  <c r="M174" i="1"/>
  <c r="M158" i="1"/>
  <c r="M142" i="1"/>
  <c r="M126" i="1"/>
  <c r="M110" i="1"/>
  <c r="M94" i="1"/>
  <c r="M78" i="1"/>
  <c r="M62" i="1"/>
  <c r="M46" i="1"/>
  <c r="M30" i="1"/>
  <c r="Q398" i="1"/>
  <c r="R398" i="1" s="1"/>
  <c r="M398" i="1"/>
  <c r="M716" i="1"/>
  <c r="M700" i="1"/>
  <c r="M684" i="1"/>
  <c r="M668" i="1"/>
  <c r="M652" i="1"/>
  <c r="M636" i="1"/>
  <c r="M620" i="1"/>
  <c r="M604" i="1"/>
  <c r="M588" i="1"/>
  <c r="M572" i="1"/>
  <c r="M556" i="1"/>
  <c r="M540" i="1"/>
  <c r="M524" i="1"/>
  <c r="M508" i="1"/>
  <c r="M492" i="1"/>
  <c r="M476" i="1"/>
  <c r="M460" i="1"/>
  <c r="M444" i="1"/>
  <c r="M428" i="1"/>
  <c r="M412" i="1"/>
  <c r="M396" i="1"/>
  <c r="M380" i="1"/>
  <c r="M364" i="1"/>
  <c r="M348" i="1"/>
  <c r="M332" i="1"/>
  <c r="M316" i="1"/>
  <c r="M300" i="1"/>
  <c r="M284" i="1"/>
  <c r="M268" i="1"/>
  <c r="M252" i="1"/>
  <c r="M236" i="1"/>
  <c r="M220" i="1"/>
  <c r="M245" i="1"/>
  <c r="M229" i="1"/>
  <c r="M213" i="1"/>
  <c r="L1618" i="1"/>
  <c r="J1618" i="1"/>
  <c r="I1618" i="1"/>
  <c r="K1618" i="1"/>
  <c r="G1618" i="1"/>
  <c r="M1618" i="1" l="1"/>
  <c r="I1624" i="1" s="1"/>
  <c r="K1620" i="1"/>
  <c r="I1627" i="1"/>
  <c r="I1620" i="1"/>
  <c r="I1625" i="1"/>
  <c r="J1620" i="1"/>
  <c r="I1626" i="1"/>
  <c r="L1620" i="1"/>
  <c r="I1628" i="1"/>
  <c r="K1627" i="1" l="1"/>
  <c r="L1627" i="1" s="1"/>
  <c r="I1630" i="1"/>
  <c r="I1632" i="1" s="1"/>
  <c r="M1627" i="1" l="1"/>
  <c r="G5" i="2"/>
  <c r="G4" i="2"/>
  <c r="G10" i="2"/>
  <c r="G7" i="2"/>
</calcChain>
</file>

<file path=xl/sharedStrings.xml><?xml version="1.0" encoding="utf-8"?>
<sst xmlns="http://schemas.openxmlformats.org/spreadsheetml/2006/main" count="48235" uniqueCount="1307">
  <si>
    <t>INITIAL_BALANCE</t>
  </si>
  <si>
    <t>CREDITS</t>
  </si>
  <si>
    <t>DEBITS</t>
  </si>
  <si>
    <t>FINAL_BALANCE</t>
  </si>
  <si>
    <t/>
  </si>
  <si>
    <t>RELEASE_DATE</t>
  </si>
  <si>
    <t>TRANSACTION_TYPE</t>
  </si>
  <si>
    <t>REFERENCE_ID</t>
  </si>
  <si>
    <t>TRANSACTION_NET_AMOUNT</t>
  </si>
  <si>
    <t>PARTIAL_BALANCE</t>
  </si>
  <si>
    <t>01-12-2025</t>
  </si>
  <si>
    <t>Liquidación de dinero</t>
  </si>
  <si>
    <t>Transferencia enviada EMBOTELLADORA DEL ATLANTICO S.A.</t>
  </si>
  <si>
    <t>Impuesto por extracción</t>
  </si>
  <si>
    <t>Transferencia enviada BASSO REPRESENT SRL</t>
  </si>
  <si>
    <t>03-12-2025</t>
  </si>
  <si>
    <t>Transferencia recibida Juan Felipe Folmer Dondena</t>
  </si>
  <si>
    <t>Transferencia recibida Oceana</t>
  </si>
  <si>
    <t>Transferencia recibida Nahuel Ivan Depardon</t>
  </si>
  <si>
    <t>04-12-2025</t>
  </si>
  <si>
    <t>Transferencia recibida María Delfina Gaggietta</t>
  </si>
  <si>
    <t>Transferencia recibida Joaquin Pedro Schenone</t>
  </si>
  <si>
    <t>Transferencia recibida Matias Sensi</t>
  </si>
  <si>
    <t>Transferencia recibida Lara Ana Paula Vitton</t>
  </si>
  <si>
    <t>Transferencia recibida Matias Nahuel Bouchet</t>
  </si>
  <si>
    <t>Transferencia recibida Federico Emiliano Galvan</t>
  </si>
  <si>
    <t>05-12-2025</t>
  </si>
  <si>
    <t>Transferencia recibida Balon 5 Pizza Libre</t>
  </si>
  <si>
    <t>Transferencia recibida Juan Lucas Presas</t>
  </si>
  <si>
    <t>Transferencia recibida Brian Ramon Coronel</t>
  </si>
  <si>
    <t>Transferencia recibida Iván Atilano Fellay</t>
  </si>
  <si>
    <t>06-12-2025</t>
  </si>
  <si>
    <t>Transferencia recibida Lisboa</t>
  </si>
  <si>
    <t>Transferencia recibida Valentina Maité Machado Manfroni</t>
  </si>
  <si>
    <t>Transferencia recibida Francisca Garrido</t>
  </si>
  <si>
    <t>Pago Mercado Libre S R L - MLA MP</t>
  </si>
  <si>
    <t>Liquidación de dinero cancelada Venta cancelada</t>
  </si>
  <si>
    <t>Transferencia recibida Timoteo Nicolás Alcaraz</t>
  </si>
  <si>
    <t>Transferencia recibida Leandro Emanuel Zavisza</t>
  </si>
  <si>
    <t>Transferencia recibida Francisco Corbalan</t>
  </si>
  <si>
    <t>07-12-2025</t>
  </si>
  <si>
    <t>Transferencia recibida Leandro Larrechart Torresan</t>
  </si>
  <si>
    <t>Transferencia recibida Gabriel Alejandro Gauna</t>
  </si>
  <si>
    <t>Transferencia recibida Maximiliano Javier Trabichet</t>
  </si>
  <si>
    <t>Transferencia recibida Gustavo Luis Lopez</t>
  </si>
  <si>
    <t>Transferencia recibida Viviana Patricia Natal</t>
  </si>
  <si>
    <t>Transferencia recibida Juan Agustin Fernandez</t>
  </si>
  <si>
    <t>Transferencia recibida Lucía Belén Fontana</t>
  </si>
  <si>
    <t>Transferencia recibida Nicolas Gabriel Ahumada</t>
  </si>
  <si>
    <t>Transferencia recibida Torneria Odiard</t>
  </si>
  <si>
    <t>Transferencia recibida Joaquin Vidal</t>
  </si>
  <si>
    <t>Transferencia recibida Rodrigo Rodriguez</t>
  </si>
  <si>
    <t>Transferencia recibida Lala Esquivo</t>
  </si>
  <si>
    <t>Transferencia recibida Celina Blanc</t>
  </si>
  <si>
    <t>Transferencia recibida Maximiliano Gerardo Ibarra</t>
  </si>
  <si>
    <t>08-12-2025</t>
  </si>
  <si>
    <t>Transferencia recibida Mariel Yanina Cabrera Toledo</t>
  </si>
  <si>
    <t>Transferencia recibida Maira Agustina Villanova</t>
  </si>
  <si>
    <t>Transferencia recibida Ivana Liliana Aldaz</t>
  </si>
  <si>
    <t>Transferencia recibida Abigail Ayelen Del Valle</t>
  </si>
  <si>
    <t>Transferencia recibida Giuseppe Pacinelli</t>
  </si>
  <si>
    <t>Transferencia recibida Ailen Micaela Trabichet</t>
  </si>
  <si>
    <t>Transferencia recibida Mauricio Martin Cogo</t>
  </si>
  <si>
    <t>Transferencia recibida Flavia Yanina Torres</t>
  </si>
  <si>
    <t>10-12-2025</t>
  </si>
  <si>
    <t>Pago de servicio ARCA</t>
  </si>
  <si>
    <t>Transferencia enviada Embotelladora Del Atlantico S.a.</t>
  </si>
  <si>
    <t>Transferencia enviada Cerveza Tractor Sr</t>
  </si>
  <si>
    <t>Transferencia recibida Rodrigo Ezequiel Anaratone</t>
  </si>
  <si>
    <t>Transferencia recibida REBORD FACUNDO</t>
  </si>
  <si>
    <t>Transferencia recibida Martin Totorica</t>
  </si>
  <si>
    <t>Transferencia recibida Sergio Daniel Gareca</t>
  </si>
  <si>
    <t>11-12-2025</t>
  </si>
  <si>
    <t>Transferencia recibida Lucia Paola Sachinelli</t>
  </si>
  <si>
    <t>Transferencia recibida Iara Nahir Lizzi Klug</t>
  </si>
  <si>
    <t>Transferencia recibida Dolores Agustina Barbero</t>
  </si>
  <si>
    <t>Transferencia recibida Victoria Agustina Blanc</t>
  </si>
  <si>
    <t>Transferencia recibida Rocio Belen Cantero</t>
  </si>
  <si>
    <t>Transferencia recibida Juan Cruz Castex</t>
  </si>
  <si>
    <t>Transferencia recibida Hector Ricardo Barros</t>
  </si>
  <si>
    <t>Transferencia recibida Alan Nicolas Opez</t>
  </si>
  <si>
    <t>12-12-2025</t>
  </si>
  <si>
    <t>Transferencia recibida Delfina Sirota</t>
  </si>
  <si>
    <t>Transferencia recibida Aaron Facundo Alarcon</t>
  </si>
  <si>
    <t>Transferencia recibida Rocío Spano</t>
  </si>
  <si>
    <t>Transferencia recibida Martin Angel Maher</t>
  </si>
  <si>
    <t>Compra de Kit De Internet Via Satélite Starlink Mini Mercado Libre</t>
  </si>
  <si>
    <t>Pago MERCADOPAGO POINT AR</t>
  </si>
  <si>
    <t>Transferencia recibida Matias Rodriguez</t>
  </si>
  <si>
    <t>13-12-2025</t>
  </si>
  <si>
    <t>Transferencia recibida Lara Gonzalez</t>
  </si>
  <si>
    <t>Transferencia recibida Agustin Daniel Bastian Alvarez</t>
  </si>
  <si>
    <t>Transferencia recibida Maria Belen Chareun</t>
  </si>
  <si>
    <t>Transferencia recibida Martin Derudder</t>
  </si>
  <si>
    <t>Transferencia recibida Rocio Josefina Moix</t>
  </si>
  <si>
    <t>Transferencia recibida Constanza Lucia Bournissen</t>
  </si>
  <si>
    <t>Transferencia recibida Maria Soledad Blanc</t>
  </si>
  <si>
    <t>14-12-2025</t>
  </si>
  <si>
    <t>Transferencia recibida Juan Pablo Baccon</t>
  </si>
  <si>
    <t>Transferencia recibida Melina Geraldine Hartman</t>
  </si>
  <si>
    <t>Transferencia recibida De todo un poco</t>
  </si>
  <si>
    <t>Transferencia recibida Rocio Micaela Debrabandere</t>
  </si>
  <si>
    <t>Transferencia recibida Maria Isabel Figueroa</t>
  </si>
  <si>
    <t>Transferencia recibida Nicolas Parra</t>
  </si>
  <si>
    <t>Transferencia recibida Carla Melina Cabezas</t>
  </si>
  <si>
    <t>15-12-2025</t>
  </si>
  <si>
    <t>17-12-2025</t>
  </si>
  <si>
    <t>Transferencia enviada Norberto David Dolcet</t>
  </si>
  <si>
    <t>Compra Mercado Libre</t>
  </si>
  <si>
    <t>Compra de Epitrónica Pack 100 Rollos Papel Térmico 80x50 48grs Ticket, Comandera, ...</t>
  </si>
  <si>
    <t>Transferencia recibida Monica Susana Zanon</t>
  </si>
  <si>
    <t>Transferencia recibida Nicolas Kapp</t>
  </si>
  <si>
    <t>18-12-2025</t>
  </si>
  <si>
    <t>Transferencia recibida Carlos Damian Alegre</t>
  </si>
  <si>
    <t>Transferencia recibida Milagros Martinez</t>
  </si>
  <si>
    <t>Transferencia recibida Cecilia Quattordio</t>
  </si>
  <si>
    <t>Transferencia recibida Valentin Lafourcade</t>
  </si>
  <si>
    <t>Transferencia recibida Amina Alfonso</t>
  </si>
  <si>
    <t>19-12-2025</t>
  </si>
  <si>
    <t>Transferencia recibida María Carla Nievas</t>
  </si>
  <si>
    <t>Transferencia recibida Facundo Ariel Marquez De Los Santos</t>
  </si>
  <si>
    <t>Transferencia recibida Sweet Love showroom</t>
  </si>
  <si>
    <t>Transferencia recibida Evelin Florencia Soto</t>
  </si>
  <si>
    <t>Transferencia recibida Dafne Ruth Hartvig</t>
  </si>
  <si>
    <t>Transferencia enviada Municipalidad De Concepcion Del Uru</t>
  </si>
  <si>
    <t>Transferencia recibida Genaro Tessore</t>
  </si>
  <si>
    <t>Transferencia recibida Cristela Belen Delzart</t>
  </si>
  <si>
    <t>20-12-2025</t>
  </si>
  <si>
    <t>Transferencia recibida Franco Guillermo Holzmann</t>
  </si>
  <si>
    <t>Transferencia recibida Rodrigo Agustín Gerber</t>
  </si>
  <si>
    <t>Transferencia recibida Cielo Romina Alonso</t>
  </si>
  <si>
    <t>Pago RIO URUGUAY SEGUROS</t>
  </si>
  <si>
    <t>Transferencia recibida Carla Nira Neftali Maher</t>
  </si>
  <si>
    <t>Transferencia recibida Delfina Magali Ferrari Godoy</t>
  </si>
  <si>
    <t>21-12-2025</t>
  </si>
  <si>
    <t>Transferencia recibida Luciano Pietroboni</t>
  </si>
  <si>
    <t>Transferencia recibida Santiago Daniel Viollaz</t>
  </si>
  <si>
    <t>Transferencia recibida Nora Romina Schierloh</t>
  </si>
  <si>
    <t>Transferencia recibida Victoria Florencia Britos</t>
  </si>
  <si>
    <t>Transferencia recibida Delina Rolls Villaud</t>
  </si>
  <si>
    <t>Transferencia recibida Yamila Lujan Bel</t>
  </si>
  <si>
    <t>Transferencia recibida Sol Stefania Lujan Spomer</t>
  </si>
  <si>
    <t>Transferencia recibida Delfina Cabrera</t>
  </si>
  <si>
    <t>Transferencia recibida Roque Kevin Andres Gonzalez</t>
  </si>
  <si>
    <t>Transferencia recibida Nahuel Zalazar Miño</t>
  </si>
  <si>
    <t>Transferencia recibida Casandra Antonella Alberto</t>
  </si>
  <si>
    <t>Transferencia recibida Franco Rodrigo Rojas</t>
  </si>
  <si>
    <t>Transferencia recibida Pablo Oscar Ardaiz</t>
  </si>
  <si>
    <t>Transferencia recibida Camila Mariel Burgos</t>
  </si>
  <si>
    <t>22-12-2025</t>
  </si>
  <si>
    <t>Transferencia recibida Lucia Belen Sardo</t>
  </si>
  <si>
    <t>23-12-2025</t>
  </si>
  <si>
    <t>Pago de servicio Federación Patronal</t>
  </si>
  <si>
    <t>Transferencia recibida Gabriela Alejandra Impini</t>
  </si>
  <si>
    <t>Transferencia recibida Martín Ezequiel Lezcano</t>
  </si>
  <si>
    <t>Transferencia recibida Pablo Alejandro Macri</t>
  </si>
  <si>
    <t>Transferencia recibida Maria Gabriela Massimino</t>
  </si>
  <si>
    <t>Transferencia recibida Camila Grieve</t>
  </si>
  <si>
    <t>24-12-2025</t>
  </si>
  <si>
    <t>Transferencia recibida Angela Justina Cicchitti</t>
  </si>
  <si>
    <t>Transferencia recibida Andreina De Los Angeles Canchi</t>
  </si>
  <si>
    <t>Transferencia recibida Maria Florencia Fleitas</t>
  </si>
  <si>
    <t>Transferencia recibida Javier Alejandro Ruiz</t>
  </si>
  <si>
    <t>Transferencia enviada Sucesion De Satto</t>
  </si>
  <si>
    <t>25-12-2025</t>
  </si>
  <si>
    <t>Transferencia recibida Nadia Belen Acuña</t>
  </si>
  <si>
    <t>Transferencia recibida Katherine Micaela Mayoraz</t>
  </si>
  <si>
    <t>Transferencia recibida Juan Martin Gaggietta</t>
  </si>
  <si>
    <t>26-12-2025</t>
  </si>
  <si>
    <t>Transferencia recibida Noelia Maria Ressel</t>
  </si>
  <si>
    <t>Transferencia recibida Lavadero medio loco</t>
  </si>
  <si>
    <t>27-12-2025</t>
  </si>
  <si>
    <t>Transferencia recibida Keila Micaela Schwarz</t>
  </si>
  <si>
    <t>Transferencia recibida Carlos Maximiliano Krause</t>
  </si>
  <si>
    <t>Transferencia recibida Vanesa Holstein</t>
  </si>
  <si>
    <t>Transferencia recibida Cristian Gastan Gallay</t>
  </si>
  <si>
    <t>Transferencia recibida Enduro REC</t>
  </si>
  <si>
    <t>28-12-2025</t>
  </si>
  <si>
    <t>Transferencia recibida Ignacio Iglesias</t>
  </si>
  <si>
    <t>Transferencia recibida Taqueria mono gordo</t>
  </si>
  <si>
    <t>Transferencia recibida Franco Salvador Maria Wuthrich</t>
  </si>
  <si>
    <t>Transferencia recibida Sofia Ayelen Debrabandere</t>
  </si>
  <si>
    <t>Pago ADAPTO FUNGTASTIC S.R.L.</t>
  </si>
  <si>
    <t>Transferencia recibida Gabriela Alejandra Buriano</t>
  </si>
  <si>
    <t>Transferencia recibida Ariel Damian Fiorenza</t>
  </si>
  <si>
    <t>Transferencia recibida Milagros Rocio Caristi</t>
  </si>
  <si>
    <t>Transferencia recibida Jorge Esteban Etienot</t>
  </si>
  <si>
    <t>Transferencia recibida Celta</t>
  </si>
  <si>
    <t>29-12-2025</t>
  </si>
  <si>
    <t>Transferencia recibida Sol Milagros Bonato</t>
  </si>
  <si>
    <t>Transferencia recibida Laura Agustina Galeano</t>
  </si>
  <si>
    <t>Transferencia recibida Luciana Florencia Baranao</t>
  </si>
  <si>
    <t>Transferencia recibida Daiana Julia Campodonico</t>
  </si>
  <si>
    <t>Transferencia recibida Matías Eduardo Herlax</t>
  </si>
  <si>
    <t>30-12-2025</t>
  </si>
  <si>
    <t>Transferencia recibida ANGELINA/BELEN HARDT</t>
  </si>
  <si>
    <t>Transferencia recibida Miguel Salvador Ahumada</t>
  </si>
  <si>
    <t>Transferencia recibida Silvina Lourdes Rein</t>
  </si>
  <si>
    <t>Transferencia recibida Juan Cruz Vergara</t>
  </si>
  <si>
    <t>Transferencia recibida Mateo Mariani</t>
  </si>
  <si>
    <t>Transferencia recibida Maria Florencia Saade</t>
  </si>
  <si>
    <t>Transferencia recibida Franco Nicolas Moreno Bordet</t>
  </si>
  <si>
    <t>31-12-2025</t>
  </si>
  <si>
    <t>Transferencia recibida Nair Ayelen Chiappella Zarini</t>
  </si>
  <si>
    <t>Transferencia recibida Alexis Maximiliano Dominguez</t>
  </si>
  <si>
    <t>Transferencia recibida Micaela Benitez CM</t>
  </si>
  <si>
    <t>Suma de TRANSACTION_NET_AMOUNT</t>
  </si>
  <si>
    <t>Etiquetas de fila</t>
  </si>
  <si>
    <t>Total general</t>
  </si>
  <si>
    <t>COBRO DS X VENTA</t>
  </si>
  <si>
    <t>PAGO PROVEEDORES</t>
  </si>
  <si>
    <t xml:space="preserve">VER SI HAY COMPRA </t>
  </si>
  <si>
    <t>VER SI CONCILIA CON IMPUESTOS</t>
  </si>
  <si>
    <t xml:space="preserve">VER QUE ES </t>
  </si>
  <si>
    <t>CERVEZA TRACTOR</t>
  </si>
  <si>
    <t xml:space="preserve">Contab. </t>
  </si>
  <si>
    <t xml:space="preserve">Corresponde IDyC ya contabilizados globalmente </t>
  </si>
  <si>
    <t xml:space="preserve">ASIENTO 100 B </t>
  </si>
  <si>
    <t xml:space="preserve">DEPOSITO ENTRE CUENTAS </t>
  </si>
  <si>
    <t>Percepción factura MP + IDyC (contab. Globalmente)</t>
  </si>
  <si>
    <t xml:space="preserve">CAJA </t>
  </si>
  <si>
    <t xml:space="preserve">ASIENTO 101 B </t>
  </si>
  <si>
    <t xml:space="preserve">ASIENTO 102 B </t>
  </si>
  <si>
    <t>FIRST LABEL S.R.L.</t>
  </si>
  <si>
    <t>GALANSINO JORGE ALBERTO</t>
  </si>
  <si>
    <t>NOY TOMAS AGUSTIN</t>
  </si>
  <si>
    <t>FIRST LABEL S.R.L. x $143789,49</t>
  </si>
  <si>
    <t>GALANSINO JORGE ALBERTO x $ 88974</t>
  </si>
  <si>
    <t>NOY TOMAS AGUSTIN x $ 118000</t>
  </si>
  <si>
    <t>ASINTO DE PAGO</t>
  </si>
  <si>
    <t>Reporte-Retención-Impuesto-sobre-los-Créditos-y-Débitos-Diciembre-CC20250609171159-MercadoPago</t>
  </si>
  <si>
    <t>Usuario:</t>
  </si>
  <si>
    <t>CC20250609171159</t>
  </si>
  <si>
    <t>Impuesto:</t>
  </si>
  <si>
    <t>Impuesto sobre los Créditos y Débitos</t>
  </si>
  <si>
    <t>Fecha de descarga:</t>
  </si>
  <si>
    <t>18/03/2026</t>
  </si>
  <si>
    <t>Intervalo de fechas consultadas:</t>
  </si>
  <si>
    <t>01/12/2025 a 01/01/2026</t>
  </si>
  <si>
    <t>Total</t>
  </si>
  <si>
    <t>Monto</t>
  </si>
  <si>
    <t>Base imponible</t>
  </si>
  <si>
    <t>$52.351.112,61</t>
  </si>
  <si>
    <t>Importe retenido</t>
  </si>
  <si>
    <t>$314.106,65</t>
  </si>
  <si>
    <t>Importe devuelto</t>
  </si>
  <si>
    <t>$505,89</t>
  </si>
  <si>
    <t>Encuentra los movimientos de dinero en tu cuenta de Mercado Pago, en informes de balance.</t>
  </si>
  <si>
    <t>Este impuesto se aplica cada vez que hagas operaciones con terceros.</t>
  </si>
  <si>
    <t>Operación</t>
  </si>
  <si>
    <t>Impuesto</t>
  </si>
  <si>
    <t>Número de venta - Referencia externa</t>
  </si>
  <si>
    <t>Fecha de operación</t>
  </si>
  <si>
    <t>Tipo</t>
  </si>
  <si>
    <t>Número de operación</t>
  </si>
  <si>
    <t>Fecha de retención</t>
  </si>
  <si>
    <t>Alícuota</t>
  </si>
  <si>
    <t>Podrás conciliar la información con otros reportes 
de Mercado Libre.</t>
  </si>
  <si>
    <t>Podrás buscar el detalle de lo retenido 
en tu operación en la sección Actividad.</t>
  </si>
  <si>
    <t>30/11/2025</t>
  </si>
  <si>
    <t>Transacción</t>
  </si>
  <si>
    <t>01/12/2025</t>
  </si>
  <si>
    <t>0,60 %</t>
  </si>
  <si>
    <t>Venta presencial</t>
  </si>
  <si>
    <t>03/12/2025</t>
  </si>
  <si>
    <t>tips-135759480719</t>
  </si>
  <si>
    <t>04/12/2025</t>
  </si>
  <si>
    <t>tips-136364441784</t>
  </si>
  <si>
    <t>tips-136383829954</t>
  </si>
  <si>
    <t>tips-136374909026</t>
  </si>
  <si>
    <t>tips-136505580672</t>
  </si>
  <si>
    <t>tips-135903962267</t>
  </si>
  <si>
    <t>tips-135889088143</t>
  </si>
  <si>
    <t>05/12/2025</t>
  </si>
  <si>
    <t>tips-135908897041</t>
  </si>
  <si>
    <t>tips-135900611305</t>
  </si>
  <si>
    <t>tips-136526927868</t>
  </si>
  <si>
    <t>0007eymbh3</t>
  </si>
  <si>
    <t>tips-136675013138</t>
  </si>
  <si>
    <t>tips-136684362466</t>
  </si>
  <si>
    <t>06/12/2025</t>
  </si>
  <si>
    <t>tips-136703140262</t>
  </si>
  <si>
    <t>tips-136707233790</t>
  </si>
  <si>
    <t>tips-136709093234</t>
  </si>
  <si>
    <t>tips-136709365352</t>
  </si>
  <si>
    <t>[4296633946]</t>
  </si>
  <si>
    <t>0007gfotlj</t>
  </si>
  <si>
    <t>Devolución</t>
  </si>
  <si>
    <t>tips-136834634474</t>
  </si>
  <si>
    <t>07/12/2025</t>
  </si>
  <si>
    <t>tips-136220730559</t>
  </si>
  <si>
    <t>tips-136845876898</t>
  </si>
  <si>
    <t>tips-136223962251</t>
  </si>
  <si>
    <t>tips-136204861051</t>
  </si>
  <si>
    <t>tips-136852576368</t>
  </si>
  <si>
    <t>tips-136219156717</t>
  </si>
  <si>
    <t>tips-136220881265</t>
  </si>
  <si>
    <t>tips-136223253361</t>
  </si>
  <si>
    <t>tips-136849253616</t>
  </si>
  <si>
    <t>tips-136226252295</t>
  </si>
  <si>
    <t>tips-136311573047</t>
  </si>
  <si>
    <t>tips-136943872826</t>
  </si>
  <si>
    <t>tips-136946271262</t>
  </si>
  <si>
    <t>tips-136308302633</t>
  </si>
  <si>
    <t>08/12/2025</t>
  </si>
  <si>
    <t>tips-136956632996</t>
  </si>
  <si>
    <t>tips-136334028143</t>
  </si>
  <si>
    <t>tips-136958915420</t>
  </si>
  <si>
    <t>tips-136334940399</t>
  </si>
  <si>
    <t>tips-136319916303</t>
  </si>
  <si>
    <t>tips-136326087677</t>
  </si>
  <si>
    <t>tips-136334261105</t>
  </si>
  <si>
    <t>tips-136958889094</t>
  </si>
  <si>
    <t>tips-136335028573</t>
  </si>
  <si>
    <t>tips-136335038561</t>
  </si>
  <si>
    <t>10/12/2025</t>
  </si>
  <si>
    <t>0007jo88mv</t>
  </si>
  <si>
    <t>0007kfbext</t>
  </si>
  <si>
    <t>0007k2xsjc</t>
  </si>
  <si>
    <t>tips-136759600983</t>
  </si>
  <si>
    <t>11/12/2025</t>
  </si>
  <si>
    <t>0007k5p5n8</t>
  </si>
  <si>
    <t>tips-136750250721</t>
  </si>
  <si>
    <t>0007k4yrq4</t>
  </si>
  <si>
    <t>0007kkf15z</t>
  </si>
  <si>
    <t>tips-136763077907</t>
  </si>
  <si>
    <t>tips-137521468712</t>
  </si>
  <si>
    <t>12/12/2025</t>
  </si>
  <si>
    <t>tips-136901875985</t>
  </si>
  <si>
    <t>tips-136904745081</t>
  </si>
  <si>
    <t>tips-137541156138</t>
  </si>
  <si>
    <t>tips-137545399844</t>
  </si>
  <si>
    <t>tips-136916562339</t>
  </si>
  <si>
    <t>tips-136916906659</t>
  </si>
  <si>
    <t>2000014269743254</t>
  </si>
  <si>
    <t>tips-137682428878</t>
  </si>
  <si>
    <t>13/12/2025</t>
  </si>
  <si>
    <t>tips-137064486565</t>
  </si>
  <si>
    <t>tips-137697994520</t>
  </si>
  <si>
    <t>tips-137053159275</t>
  </si>
  <si>
    <t>tips-137056843823</t>
  </si>
  <si>
    <t>tips-137057641201</t>
  </si>
  <si>
    <t>tips-137694142296</t>
  </si>
  <si>
    <t>tips-137815561874</t>
  </si>
  <si>
    <t>tips-137817891008</t>
  </si>
  <si>
    <t>14/12/2025</t>
  </si>
  <si>
    <t>tips-137194238351</t>
  </si>
  <si>
    <t>tips-137828669992</t>
  </si>
  <si>
    <t>tips-137828147806</t>
  </si>
  <si>
    <t>tips-137195240283</t>
  </si>
  <si>
    <t>tips-137829503666</t>
  </si>
  <si>
    <t>tips-137918261544</t>
  </si>
  <si>
    <t>tips-137920760336</t>
  </si>
  <si>
    <t>tips-137926143226</t>
  </si>
  <si>
    <t>15/12/2025</t>
  </si>
  <si>
    <t>17/12/2025</t>
  </si>
  <si>
    <t>0007q2zlnv</t>
  </si>
  <si>
    <t>2000010622354031</t>
  </si>
  <si>
    <t>2000014362078268</t>
  </si>
  <si>
    <t>0007qari70</t>
  </si>
  <si>
    <t>18/12/2025</t>
  </si>
  <si>
    <t>tips-137733585351</t>
  </si>
  <si>
    <t>tips-137739858471</t>
  </si>
  <si>
    <t>tips-138507536394</t>
  </si>
  <si>
    <t>tips-138522879906</t>
  </si>
  <si>
    <t>tips-137894549499</t>
  </si>
  <si>
    <t>tips-138535116146</t>
  </si>
  <si>
    <t>19/12/2025</t>
  </si>
  <si>
    <t>tips-138536523088</t>
  </si>
  <si>
    <t>tips-138537549358</t>
  </si>
  <si>
    <t>tips-137900842553</t>
  </si>
  <si>
    <t>tips-137901732771</t>
  </si>
  <si>
    <t>tips-137903325729</t>
  </si>
  <si>
    <t>tips-138523156838</t>
  </si>
  <si>
    <t>tips-138544060956</t>
  </si>
  <si>
    <t>tips-138545532014</t>
  </si>
  <si>
    <t>tips-138531133564</t>
  </si>
  <si>
    <t>tips-138536694508</t>
  </si>
  <si>
    <t>tips-138697904534</t>
  </si>
  <si>
    <t>20/12/2025</t>
  </si>
  <si>
    <t>tips-138704550514</t>
  </si>
  <si>
    <t>tips-138053974887</t>
  </si>
  <si>
    <t>tips-138709043828</t>
  </si>
  <si>
    <t>tips-138072784035</t>
  </si>
  <si>
    <t>198015684</t>
  </si>
  <si>
    <t>tips-138205303057</t>
  </si>
  <si>
    <t>tips-138848404496</t>
  </si>
  <si>
    <t>21/12/2025</t>
  </si>
  <si>
    <t>tips-138853192420</t>
  </si>
  <si>
    <t>tips-138213130077</t>
  </si>
  <si>
    <t>tips-138214651007</t>
  </si>
  <si>
    <t>tips-138217710071</t>
  </si>
  <si>
    <t>tips-138848967406</t>
  </si>
  <si>
    <t>tips-138856057240</t>
  </si>
  <si>
    <t>tips-138216488259</t>
  </si>
  <si>
    <t>tips-138857992860</t>
  </si>
  <si>
    <t>tips-138306469365</t>
  </si>
  <si>
    <t>tips-138307273445</t>
  </si>
  <si>
    <t>tips-138307429819</t>
  </si>
  <si>
    <t>tips-138313756607</t>
  </si>
  <si>
    <t>22/12/2025</t>
  </si>
  <si>
    <t>tips-138310086197</t>
  </si>
  <si>
    <t>tips-138956547972</t>
  </si>
  <si>
    <t>tips-138958597390</t>
  </si>
  <si>
    <t>tips-138960552954</t>
  </si>
  <si>
    <t>tips-138964643346</t>
  </si>
  <si>
    <t>0007ujcfdq</t>
  </si>
  <si>
    <t>23/12/2025</t>
  </si>
  <si>
    <t>0007wbra1x</t>
  </si>
  <si>
    <t>tips-139271724608</t>
  </si>
  <si>
    <t>tips-139283314144</t>
  </si>
  <si>
    <t>24/12/2025</t>
  </si>
  <si>
    <t>tips-138638180357</t>
  </si>
  <si>
    <t>tips-139286339902</t>
  </si>
  <si>
    <t>tips-138644468175</t>
  </si>
  <si>
    <t>tips-139274280902</t>
  </si>
  <si>
    <t>tips-138633435065</t>
  </si>
  <si>
    <t>tips-138635021889</t>
  </si>
  <si>
    <t>tips-139281911322</t>
  </si>
  <si>
    <t>tips-139283523776</t>
  </si>
  <si>
    <t>tips-138834348251</t>
  </si>
  <si>
    <t>25/12/2025</t>
  </si>
  <si>
    <t>tips-138846734249</t>
  </si>
  <si>
    <t>26/12/2025</t>
  </si>
  <si>
    <t>tips-139485985744</t>
  </si>
  <si>
    <t>tips-138839833769</t>
  </si>
  <si>
    <t>0007xutr64</t>
  </si>
  <si>
    <t>0007y5pedq</t>
  </si>
  <si>
    <t>tips-138970709575</t>
  </si>
  <si>
    <t>tips-139599090974</t>
  </si>
  <si>
    <t>27/12/2025</t>
  </si>
  <si>
    <t>tips-139630171806</t>
  </si>
  <si>
    <t>tips-138984089477</t>
  </si>
  <si>
    <t>tips-139087711755</t>
  </si>
  <si>
    <t>tips-139089424897</t>
  </si>
  <si>
    <t>28/12/2025</t>
  </si>
  <si>
    <t>tips-139743113042</t>
  </si>
  <si>
    <t>tips-139746652180</t>
  </si>
  <si>
    <t>tips-139090047369</t>
  </si>
  <si>
    <t>tips-139093374485</t>
  </si>
  <si>
    <t>tips-139742892010</t>
  </si>
  <si>
    <t>tips-139100574281</t>
  </si>
  <si>
    <t>1867860829</t>
  </si>
  <si>
    <t>tips-139834422234</t>
  </si>
  <si>
    <t>29/12/2025</t>
  </si>
  <si>
    <t>tips-139836291978</t>
  </si>
  <si>
    <t>tips-139189628517</t>
  </si>
  <si>
    <t>tips-139820048220</t>
  </si>
  <si>
    <t>tips-139820841428</t>
  </si>
  <si>
    <t>tips-139183307389</t>
  </si>
  <si>
    <t>tips-139184358441</t>
  </si>
  <si>
    <t>tips-139188540317</t>
  </si>
  <si>
    <t>tips-139188415481</t>
  </si>
  <si>
    <t>tips-139836502702</t>
  </si>
  <si>
    <t>30/12/2025</t>
  </si>
  <si>
    <t>tips-140111554838</t>
  </si>
  <si>
    <t>tips-139476022875</t>
  </si>
  <si>
    <t>tips-139476781595</t>
  </si>
  <si>
    <t>31/12/2025</t>
  </si>
  <si>
    <t>tips-139480783565</t>
  </si>
  <si>
    <t>tips-140133910726</t>
  </si>
  <si>
    <t>tips-140133907214</t>
  </si>
  <si>
    <t>tips-140113726872</t>
  </si>
  <si>
    <t>tips-139466162181</t>
  </si>
  <si>
    <t>tips-140124952752</t>
  </si>
  <si>
    <t>tips-140126690492</t>
  </si>
  <si>
    <t>tips-140129793484</t>
  </si>
  <si>
    <t>tips-139483146433</t>
  </si>
  <si>
    <t>tips-140133204838</t>
  </si>
  <si>
    <t>tips-140133653336</t>
  </si>
  <si>
    <t>Reporte-Retención-SIRCUPA-Diciembre-CC20250609171159-MercadoPago</t>
  </si>
  <si>
    <t>Retención SIRCUPA</t>
  </si>
  <si>
    <t>$771.778,00</t>
  </si>
  <si>
    <t>Tramo 1 - retenido del 01/12 al 10/12</t>
  </si>
  <si>
    <t>$6.354,32</t>
  </si>
  <si>
    <t>Tramo 2 - retenido del 11/12 al 20/12</t>
  </si>
  <si>
    <t>$2.442,92</t>
  </si>
  <si>
    <t>Tramo 3 - retenido del 21/12 al 31/12</t>
  </si>
  <si>
    <t>$2.779,68</t>
  </si>
  <si>
    <t>$11.576,92</t>
  </si>
  <si>
    <t>$0,00</t>
  </si>
  <si>
    <t>Podrás utilizar este reporte para conciliar lo que retuvimos.</t>
  </si>
  <si>
    <t>Monto de transferencia</t>
  </si>
  <si>
    <t>Transferencia</t>
  </si>
  <si>
    <t>1,50 %</t>
  </si>
  <si>
    <t>Reporte-Retención-SIRTAC-inscripto-1ra-quincena-Diciembre-CC20250609171159-MercadoPago</t>
  </si>
  <si>
    <t>Retención SIRTAC</t>
  </si>
  <si>
    <t>01/12/2025 a 16/12/2025</t>
  </si>
  <si>
    <t>$17.115.463,00</t>
  </si>
  <si>
    <t>$171.154,63</t>
  </si>
  <si>
    <t>$0,15</t>
  </si>
  <si>
    <t>Venta</t>
  </si>
  <si>
    <t>1,00 %</t>
  </si>
  <si>
    <t>Fecha de actualización</t>
  </si>
  <si>
    <t>Sumamos nuevas columnas a tu reporte:
Trabajamos para brindarte más detalle sobre los cargos por utilizar Mercado Pago. Por eso, a partir de ahora, en "Información sobre cargos" incluiremos las siguientes columnas:
- Número del cargo: para que puedas cruzar la información con otros reportes.
 - Cobrado en la operación: para saber si un cargo fue cobrado en la operación o no. 
- Estado del cargo y Cargo que anula: para entender más sobre los cargos anulados.</t>
  </si>
  <si>
    <t>Información sobre cargos</t>
  </si>
  <si>
    <t>Información de la operación sobre la que se aplica</t>
  </si>
  <si>
    <t>Información sobre percepciones</t>
  </si>
  <si>
    <t>Accesos</t>
  </si>
  <si>
    <t>N° de factura fiscal</t>
  </si>
  <si>
    <t>Fecha del cargo</t>
  </si>
  <si>
    <t>Número del cargo</t>
  </si>
  <si>
    <t>Número del movimiento</t>
  </si>
  <si>
    <t>Detalle</t>
  </si>
  <si>
    <t>Cobrado en la operacion</t>
  </si>
  <si>
    <t>Estado del cargo</t>
  </si>
  <si>
    <t>Cargo que anula</t>
  </si>
  <si>
    <t>Valor del cargo</t>
  </si>
  <si>
    <t>Tipo de operación</t>
  </si>
  <si>
    <t>Operación relacionada</t>
  </si>
  <si>
    <t>Tipo de pago</t>
  </si>
  <si>
    <t>Número de sucursal</t>
  </si>
  <si>
    <t>Nombre de sucursal</t>
  </si>
  <si>
    <t>Referencia externa</t>
  </si>
  <si>
    <t>Cliente</t>
  </si>
  <si>
    <t>Valor de la operación</t>
  </si>
  <si>
    <t>Sección de Mercado libre y de Mercado Pago</t>
  </si>
  <si>
    <t>0071A00512168</t>
  </si>
  <si>
    <t>Cargo por cobrar con código QR</t>
  </si>
  <si>
    <t>Si</t>
  </si>
  <si>
    <t>Pago</t>
  </si>
  <si>
    <t>QR</t>
  </si>
  <si>
    <t>71465208</t>
  </si>
  <si>
    <t>Cerveza Träctor</t>
  </si>
  <si>
    <t>MAX_PID</t>
  </si>
  <si>
    <t>Ir al Detalle de la operación en Mercado Pago</t>
  </si>
  <si>
    <t>Cargo por uso de QR - Pagos Interoperables</t>
  </si>
  <si>
    <t>@2489718921</t>
  </si>
  <si>
    <t>PARLATTOCAMILA20220515111643</t>
  </si>
  <si>
    <t>Cargo por cobrar con Point</t>
  </si>
  <si>
    <t>Point</t>
  </si>
  <si>
    <t>VENTASPRESENCIAL</t>
  </si>
  <si>
    <t>DANIELEMARIA20220215211222</t>
  </si>
  <si>
    <t>PALYMASSERA</t>
  </si>
  <si>
    <t>ANDRSZAMPEDRI</t>
  </si>
  <si>
    <t>MARTINRODRIGO20220408110250</t>
  </si>
  <si>
    <t>RUAG4604869</t>
  </si>
  <si>
    <t>NAZARENAMEYER</t>
  </si>
  <si>
    <t>ANARATONERODRIGO20220129212137</t>
  </si>
  <si>
    <t>LUNAENZO20230205075436</t>
  </si>
  <si>
    <t>CARDOZOMARTIN20220731203341</t>
  </si>
  <si>
    <t>VIOLLAZEMILY</t>
  </si>
  <si>
    <t>COBR6408532</t>
  </si>
  <si>
    <t>JUANFOLMERD1</t>
  </si>
  <si>
    <t>FI20250327102836</t>
  </si>
  <si>
    <t>MARTINYULIANA20230627121647</t>
  </si>
  <si>
    <t>NICOLAS SUFFO</t>
  </si>
  <si>
    <t>RIEX1689392</t>
  </si>
  <si>
    <t>GIULIANARADICH</t>
  </si>
  <si>
    <t>MALENACERRUDO</t>
  </si>
  <si>
    <t>MIRSOFIA80</t>
  </si>
  <si>
    <t>ANTONIODODERA</t>
  </si>
  <si>
    <t>SOLGALAURA20230904131215</t>
  </si>
  <si>
    <t>MARIADELFINAMONTEFINALE</t>
  </si>
  <si>
    <t>PERALTASOFIA20220314161646</t>
  </si>
  <si>
    <t>MAMA5498201</t>
  </si>
  <si>
    <t>JULIANABECHIR</t>
  </si>
  <si>
    <t>LUCAS STAGNO</t>
  </si>
  <si>
    <t>RODRIGOCAFFA</t>
  </si>
  <si>
    <t>ROUSSEAUXLUJÁN20221019170946</t>
  </si>
  <si>
    <t>LARAVITTON</t>
  </si>
  <si>
    <t>SABINAREVILLA</t>
  </si>
  <si>
    <t>Cargo por cobrar con Mercado Pago</t>
  </si>
  <si>
    <t>@2027641910</t>
  </si>
  <si>
    <t>MATEOPIEDRABUENABURGOS</t>
  </si>
  <si>
    <t>MAMA2625164</t>
  </si>
  <si>
    <t>ABRUANSALDI</t>
  </si>
  <si>
    <t>GARRIDOFRANCISCA20220605213915</t>
  </si>
  <si>
    <t>PELE5229259</t>
  </si>
  <si>
    <t>No aplica</t>
  </si>
  <si>
    <t>Anulado en factura</t>
  </si>
  <si>
    <t>Anulación del cargo por cobrar con Point</t>
  </si>
  <si>
    <t>DIEGOOLIVER75</t>
  </si>
  <si>
    <t>ALCARAZTIMOTEO20221101202011</t>
  </si>
  <si>
    <t>@1785701758</t>
  </si>
  <si>
    <t>WELLINGTONALVESDOSSANTOSMAR</t>
  </si>
  <si>
    <t>DIAZVELEZANTONELLA</t>
  </si>
  <si>
    <t>MICAELACNIEVA</t>
  </si>
  <si>
    <t>ZAVISZALEANDRO</t>
  </si>
  <si>
    <t>ABRAMOVICHJOSE20220622133807</t>
  </si>
  <si>
    <t>SCHIMFENZO20230910115743</t>
  </si>
  <si>
    <t>GASPARDENIZ</t>
  </si>
  <si>
    <t>PAULAMORBIDUCCI</t>
  </si>
  <si>
    <t>MIRANDACAROSIO</t>
  </si>
  <si>
    <t>NIELO2010</t>
  </si>
  <si>
    <t>FRANCORBAFRANCORBA</t>
  </si>
  <si>
    <t>MARIANO2273</t>
  </si>
  <si>
    <t>JUANNN07</t>
  </si>
  <si>
    <t>LEANDROLARRECHART</t>
  </si>
  <si>
    <t>GAGA3180317</t>
  </si>
  <si>
    <t>GUADALUPECONTRERAS3232</t>
  </si>
  <si>
    <t>TRABICHETMAXIMILIANO2023031509</t>
  </si>
  <si>
    <t>@2054587142</t>
  </si>
  <si>
    <t>@2075347095</t>
  </si>
  <si>
    <t>LÓPEZGUSTAVO LUIS</t>
  </si>
  <si>
    <t>VIVIANANATAL</t>
  </si>
  <si>
    <t>SPRA5240672</t>
  </si>
  <si>
    <t>AGUSTIN.FER</t>
  </si>
  <si>
    <t>FEMA6212064</t>
  </si>
  <si>
    <t>LUCKYCLA</t>
  </si>
  <si>
    <t>FOLU346425</t>
  </si>
  <si>
    <t>NICOLSGEISER</t>
  </si>
  <si>
    <t>AHNI7107885</t>
  </si>
  <si>
    <t>PLESCIALARA</t>
  </si>
  <si>
    <t>DERENDINGERJOAQUIN</t>
  </si>
  <si>
    <t>ROCIOPAVIOTTI</t>
  </si>
  <si>
    <t>BRIELGA69</t>
  </si>
  <si>
    <t>MARTINODIARD</t>
  </si>
  <si>
    <t>MAXIMILIANOAGUSTINCIRIGLIANO</t>
  </si>
  <si>
    <t>VIDALJOAVIDALJOA</t>
  </si>
  <si>
    <t>TORNADO_2015</t>
  </si>
  <si>
    <t>BRAULUCIANO</t>
  </si>
  <si>
    <t>JUANGE01JUANGE01</t>
  </si>
  <si>
    <t>RORO RODRIGUEZ</t>
  </si>
  <si>
    <t>DANIELNORBERTOBARRIOS</t>
  </si>
  <si>
    <t>LALAESQUIVO</t>
  </si>
  <si>
    <t>JOAQUINEF32</t>
  </si>
  <si>
    <t>VILLALBAGONZALO20220201151712</t>
  </si>
  <si>
    <t>OLCR8894812</t>
  </si>
  <si>
    <t>BLANCCELINA20230706095544</t>
  </si>
  <si>
    <t>PAULA_052011</t>
  </si>
  <si>
    <t>MAUROCASENAVE</t>
  </si>
  <si>
    <t>MAXIMILIANOGERARDOIBARRA</t>
  </si>
  <si>
    <t>DAIANJW_07</t>
  </si>
  <si>
    <t>EMAFELLAY10</t>
  </si>
  <si>
    <t>MARCEROD_71</t>
  </si>
  <si>
    <t>ALBIZZATTINAHUEL20211221181330</t>
  </si>
  <si>
    <t>GDFGEBACH96043</t>
  </si>
  <si>
    <t>AGFI641611</t>
  </si>
  <si>
    <t>FREDERIC08</t>
  </si>
  <si>
    <t>TURBOGAMER</t>
  </si>
  <si>
    <t>MARIELC23</t>
  </si>
  <si>
    <t>MARIAFLORENCIAGARCIASCATENA</t>
  </si>
  <si>
    <t>SIENRADELFINA</t>
  </si>
  <si>
    <t>KLAN8034721</t>
  </si>
  <si>
    <t>VILLANOVAMAIRA20230426212105</t>
  </si>
  <si>
    <t>NAOPASCAL</t>
  </si>
  <si>
    <t>DENINGJOHANA20211219230154</t>
  </si>
  <si>
    <t>ALDAZIVANA</t>
  </si>
  <si>
    <t>DELABIGAIL20230802094842</t>
  </si>
  <si>
    <t>CISLAGHIGIANFRANCO</t>
  </si>
  <si>
    <t>LIAMALENAANDR</t>
  </si>
  <si>
    <t>MV20250609213446</t>
  </si>
  <si>
    <t>AILENCHU1D</t>
  </si>
  <si>
    <t>JONAPSAND2</t>
  </si>
  <si>
    <t>TOFL7186824</t>
  </si>
  <si>
    <t>COMA6940914</t>
  </si>
  <si>
    <t>ALEJOGONZALEZ15</t>
  </si>
  <si>
    <t>SUBURBAN0</t>
  </si>
  <si>
    <t>SERGIODANIEL838</t>
  </si>
  <si>
    <t>MARTINJUAN20210620223254</t>
  </si>
  <si>
    <t>RAYANC2012</t>
  </si>
  <si>
    <t>SANTINOFERRONI20210809232343</t>
  </si>
  <si>
    <t>MARKSVICTORIA123456789</t>
  </si>
  <si>
    <t>LIZZIIARA</t>
  </si>
  <si>
    <t>JRAMOYJANA20230711182706</t>
  </si>
  <si>
    <t>ROCIOCANTERO20</t>
  </si>
  <si>
    <t>FLEITAJOHANA20220525211622</t>
  </si>
  <si>
    <t>JULIANANDRESFUCHS</t>
  </si>
  <si>
    <t>JORGEGABRIELSCHENFELD</t>
  </si>
  <si>
    <t>72643380</t>
  </si>
  <si>
    <t>Estación Träctor</t>
  </si>
  <si>
    <t>CAJU1287662</t>
  </si>
  <si>
    <t>WEISHEIMGIMENA</t>
  </si>
  <si>
    <t>ANCHORENABRUNO</t>
  </si>
  <si>
    <t>JONAROSOCHACKI</t>
  </si>
  <si>
    <t>SJ20250412180503</t>
  </si>
  <si>
    <t>ALASINOGUADALUPE20220107153519</t>
  </si>
  <si>
    <t>LUCIORAPALLO</t>
  </si>
  <si>
    <t>ALANNICOLASBOURLOT</t>
  </si>
  <si>
    <t>LAUTAROBALDO123</t>
  </si>
  <si>
    <t>IMMA9507842</t>
  </si>
  <si>
    <t>DANISVETKO16</t>
  </si>
  <si>
    <t>MANOLEIRAO</t>
  </si>
  <si>
    <t>BARI1668028</t>
  </si>
  <si>
    <t>GATH1551551</t>
  </si>
  <si>
    <t>LEFA3717075</t>
  </si>
  <si>
    <t>CAMIPESENTI</t>
  </si>
  <si>
    <t>ACMA20240405132025</t>
  </si>
  <si>
    <t>MILIMAR15</t>
  </si>
  <si>
    <t>SILVESTRIIANINA</t>
  </si>
  <si>
    <t>LOPEZALAN20220802213025</t>
  </si>
  <si>
    <t>FRASCHETTIAGUSTIN</t>
  </si>
  <si>
    <t>CULA5206384</t>
  </si>
  <si>
    <t>STRACKRENZOMARTIN</t>
  </si>
  <si>
    <t>MAJO1504639</t>
  </si>
  <si>
    <t>CAMILABONVIN</t>
  </si>
  <si>
    <t>MANUELSABARROS</t>
  </si>
  <si>
    <t>BODI173178</t>
  </si>
  <si>
    <t>HEINAIXA20230122020323</t>
  </si>
  <si>
    <t>BUSSONMILAGROS20220505164307</t>
  </si>
  <si>
    <t>CARDOZOFELIPE20221013182956</t>
  </si>
  <si>
    <t>SD20241024210552</t>
  </si>
  <si>
    <t>CAMILAGERMANIER</t>
  </si>
  <si>
    <t>HERNANDEZTATIANA20230625225607</t>
  </si>
  <si>
    <t>PALU20240429133715</t>
  </si>
  <si>
    <t>DANYCANAL</t>
  </si>
  <si>
    <t>VEOC7455176</t>
  </si>
  <si>
    <t>AYSO5102710</t>
  </si>
  <si>
    <t>ML20241218213212</t>
  </si>
  <si>
    <t>LAUTAMARTINEZ4</t>
  </si>
  <si>
    <t>HECTORLAUTARO2003</t>
  </si>
  <si>
    <t>BIZZOTTOJUAN20220810160723</t>
  </si>
  <si>
    <t>GIANNECCHINIVICTORIA2023010212</t>
  </si>
  <si>
    <t>AARONWIDE</t>
  </si>
  <si>
    <t>RIQUELMEHEBER</t>
  </si>
  <si>
    <t>LAUTAROBRUCHEZ</t>
  </si>
  <si>
    <t>TOMIBELT</t>
  </si>
  <si>
    <t>ERICKCLOTET</t>
  </si>
  <si>
    <t>ELIANA RETAMAR</t>
  </si>
  <si>
    <t>PEREIRACANDELARIA2022082419070</t>
  </si>
  <si>
    <t>CLARAPEYCHAUX</t>
  </si>
  <si>
    <t>MEDINAMARICEL20220703131543</t>
  </si>
  <si>
    <t>SCEVOLAAGUSTIN20221224111239</t>
  </si>
  <si>
    <t>SIIG9763093</t>
  </si>
  <si>
    <t>MILAGROSARRAYGADA</t>
  </si>
  <si>
    <t>BENI7569166</t>
  </si>
  <si>
    <t>CARRANZALUANA20220322155844</t>
  </si>
  <si>
    <t>SPRO7954166</t>
  </si>
  <si>
    <t>ROJKISJEREMIAS</t>
  </si>
  <si>
    <t>ETPA5016889</t>
  </si>
  <si>
    <t>MARTIN MAHER</t>
  </si>
  <si>
    <t>VICTORIAMASSARDI</t>
  </si>
  <si>
    <t>NICOLASCHAULET</t>
  </si>
  <si>
    <t>JUAMPI747_DRA</t>
  </si>
  <si>
    <t>JESUSOMARLEDESMA</t>
  </si>
  <si>
    <t>MARTINDERR</t>
  </si>
  <si>
    <t>DUMA2891506</t>
  </si>
  <si>
    <t>MIRMÁXIMO20211206164208</t>
  </si>
  <si>
    <t>GODA3417773</t>
  </si>
  <si>
    <t>MATIAS RODRIGUEZ</t>
  </si>
  <si>
    <t>NICOLSLEDERHOS</t>
  </si>
  <si>
    <t>JULA.HOOP</t>
  </si>
  <si>
    <t>METRAILLERANTONELLA5</t>
  </si>
  <si>
    <t>NAHUELDEPARDON</t>
  </si>
  <si>
    <t>VICTORIAROUDEVICTORIAROUDE</t>
  </si>
  <si>
    <t>GADEAA08</t>
  </si>
  <si>
    <t>ARANDACAROLINA20230424181537</t>
  </si>
  <si>
    <t>GOLA3610115</t>
  </si>
  <si>
    <t>@2113574232</t>
  </si>
  <si>
    <t>BA20240921160658</t>
  </si>
  <si>
    <t>MAXIMAPIROVANI2005</t>
  </si>
  <si>
    <t>INGESERV.</t>
  </si>
  <si>
    <t>ARIELVADINO</t>
  </si>
  <si>
    <t>IVAN NOIR</t>
  </si>
  <si>
    <t>HAIDARMAILLEN20220221031209</t>
  </si>
  <si>
    <t>VM20241016201928</t>
  </si>
  <si>
    <t>CHMA20240127092149</t>
  </si>
  <si>
    <t>PRISCILASCHEFFER</t>
  </si>
  <si>
    <t>MANUCHI2108</t>
  </si>
  <si>
    <t>RAMIROALFONSOSPER</t>
  </si>
  <si>
    <t>JOHANABELEN19</t>
  </si>
  <si>
    <t>CORALESMARCOS20230405213653</t>
  </si>
  <si>
    <t>HESO6489116</t>
  </si>
  <si>
    <t>ABRILCASTANEDA17081807</t>
  </si>
  <si>
    <t>JOSEFINAMOIX</t>
  </si>
  <si>
    <t>CS20250216121755</t>
  </si>
  <si>
    <t>BRUTUSLP</t>
  </si>
  <si>
    <t>COTITAAA19</t>
  </si>
  <si>
    <t>CONSTANZABOURNISSEN</t>
  </si>
  <si>
    <t>MARIASOLEDADBLANC</t>
  </si>
  <si>
    <t>MARTINFACUNDO20220707200611</t>
  </si>
  <si>
    <t>ROSARIOVELLO2</t>
  </si>
  <si>
    <t>MAXIGIO_DRA</t>
  </si>
  <si>
    <t>CLERICOFRANCISCO</t>
  </si>
  <si>
    <t>TRONALEJO20230131141538</t>
  </si>
  <si>
    <t>BJ20241008144635</t>
  </si>
  <si>
    <t>MELINAHARTMAN</t>
  </si>
  <si>
    <t>AGUSTINA CORTE</t>
  </si>
  <si>
    <t>GRASFACUNDO1999</t>
  </si>
  <si>
    <t>ROCODEBRABANDERE</t>
  </si>
  <si>
    <t>MANUELARTEAGAVEYTIA</t>
  </si>
  <si>
    <t>MARIAISABELFIGUEROA</t>
  </si>
  <si>
    <t>FEDERICOALEJANDROGAUNA</t>
  </si>
  <si>
    <t>AGUSTINLOUPIAS</t>
  </si>
  <si>
    <t>PAJO5330808</t>
  </si>
  <si>
    <t>ALBARRACINCONSTANZA20230312171</t>
  </si>
  <si>
    <t>PAIZCIELO</t>
  </si>
  <si>
    <t>DANIMAR6</t>
  </si>
  <si>
    <t>NICOPARRA10</t>
  </si>
  <si>
    <t>RODRIGUEZLUISINA20220413230710</t>
  </si>
  <si>
    <t>CABEZASCARLA20220927171419</t>
  </si>
  <si>
    <t>MARIADELOSANGELESCOLOMBO84</t>
  </si>
  <si>
    <t>MARIALUCEROREDING</t>
  </si>
  <si>
    <t>LEO LOKER</t>
  </si>
  <si>
    <t>MEVE8076337</t>
  </si>
  <si>
    <t>SEIBFLORENCIA</t>
  </si>
  <si>
    <t>GONZALEZORIANA20230224142409</t>
  </si>
  <si>
    <t>DELFINASEIJO</t>
  </si>
  <si>
    <t>MATIASRACIGH20211027154052</t>
  </si>
  <si>
    <t>KIKIFRADES</t>
  </si>
  <si>
    <t>ZANONMONICA</t>
  </si>
  <si>
    <t>MORANO JEREMIAS</t>
  </si>
  <si>
    <t>DANIELASANTIZO</t>
  </si>
  <si>
    <t>RIAG5836700</t>
  </si>
  <si>
    <t>LORENZONMARICEL</t>
  </si>
  <si>
    <t>CANDELAABATEDAGA</t>
  </si>
  <si>
    <t>KAPPNICOLAS20220830134836</t>
  </si>
  <si>
    <t>BEFL7402094</t>
  </si>
  <si>
    <t>ANTONIAETCHEPARE</t>
  </si>
  <si>
    <t>IARADAVRIEUX</t>
  </si>
  <si>
    <t>ZANA617907</t>
  </si>
  <si>
    <t>COLO-COLON</t>
  </si>
  <si>
    <t>AGUSTIN BLANC</t>
  </si>
  <si>
    <t>DELFINACARRANZA</t>
  </si>
  <si>
    <t>ANIBAL BEORDA</t>
  </si>
  <si>
    <t>MARTINEZMILAGROS20210810132417</t>
  </si>
  <si>
    <t>72394613</t>
  </si>
  <si>
    <t>Punto Pinta</t>
  </si>
  <si>
    <t>EVELYNMELGARES</t>
  </si>
  <si>
    <t>CHECHIS314</t>
  </si>
  <si>
    <t>BOMA20231214121437</t>
  </si>
  <si>
    <t>NATALIALEONORALMADA</t>
  </si>
  <si>
    <t>ANALIABARRIOSDIAZ</t>
  </si>
  <si>
    <t>PUTALLAZJUSTINA20230801181701</t>
  </si>
  <si>
    <t>PAULIMARTINEZ5</t>
  </si>
  <si>
    <t>CHICHISANTIAGO</t>
  </si>
  <si>
    <t>OLIVAFACUNDO25</t>
  </si>
  <si>
    <t>FLORJOSEFINA</t>
  </si>
  <si>
    <t>ABRILSOTTO</t>
  </si>
  <si>
    <t>REGUEYRAARIADNA20220609125603</t>
  </si>
  <si>
    <t>REYBLANCLUCAS</t>
  </si>
  <si>
    <t>FONTANAMATIAS24</t>
  </si>
  <si>
    <t>LUCIAMARCHIORI01</t>
  </si>
  <si>
    <t>CAMIGONZHANDBALL</t>
  </si>
  <si>
    <t>CHABEUFTIZIANA20230731095234</t>
  </si>
  <si>
    <t>JULI LALOSA</t>
  </si>
  <si>
    <t>JUANJOSELOPEZROMANO</t>
  </si>
  <si>
    <t>CECILIAQUATTORDIO</t>
  </si>
  <si>
    <t>DENO5520385</t>
  </si>
  <si>
    <t>ORZUZALOURDES20210508160023</t>
  </si>
  <si>
    <t>PILIARDOY</t>
  </si>
  <si>
    <t>SOTELOROCIO20220225184917</t>
  </si>
  <si>
    <t>CREENCIASCDU</t>
  </si>
  <si>
    <t>KEVINJESUSCASTILLOCORONEL</t>
  </si>
  <si>
    <t>ARECOANNA20220717215207</t>
  </si>
  <si>
    <t>NICOAHMED</t>
  </si>
  <si>
    <t>RODRIGUEZCATALINA2022110222345</t>
  </si>
  <si>
    <t>MAIRA2307</t>
  </si>
  <si>
    <t>GIULIANAGUIFFREY</t>
  </si>
  <si>
    <t>BARBERAN.S</t>
  </si>
  <si>
    <t>MATIASTEXMER</t>
  </si>
  <si>
    <t>LAVA4187383</t>
  </si>
  <si>
    <t>SEBA_OYARBIDE</t>
  </si>
  <si>
    <t>GIANICHINIANTONELLA20230827182</t>
  </si>
  <si>
    <t>RAPALLOMACARENA</t>
  </si>
  <si>
    <t>ROAN3114421</t>
  </si>
  <si>
    <t>FLUSH_BYANGELA</t>
  </si>
  <si>
    <t>FLEITASSOFIA20230824121614</t>
  </si>
  <si>
    <t>MATEODAVICO785</t>
  </si>
  <si>
    <t>CAFE20240108131713</t>
  </si>
  <si>
    <t>ALFONSOAMINA20220105150517</t>
  </si>
  <si>
    <t>TREPPOJUAN20230211213948</t>
  </si>
  <si>
    <t>RAVASIOJULIAN20220202023751</t>
  </si>
  <si>
    <t>PULIDOJUAN20220408010934</t>
  </si>
  <si>
    <t>MONTAÑANAROCIO20230307164229</t>
  </si>
  <si>
    <t>AGUSTINADOMINGUEZ18</t>
  </si>
  <si>
    <t>MANUELGIGNONE</t>
  </si>
  <si>
    <t>FLOGA_47</t>
  </si>
  <si>
    <t>LEIVARODRIGUEZ20230224195856</t>
  </si>
  <si>
    <t>CARLITA_N</t>
  </si>
  <si>
    <t>CARMONALUDMILA20221118163515</t>
  </si>
  <si>
    <t>ANIZAP94</t>
  </si>
  <si>
    <t>FACUMARQUEZ91</t>
  </si>
  <si>
    <t>BL20240915215552</t>
  </si>
  <si>
    <t>BLTZRHRD04</t>
  </si>
  <si>
    <t>GM20240629203531</t>
  </si>
  <si>
    <t>AZCA2536909</t>
  </si>
  <si>
    <t>LUNASERRUDO</t>
  </si>
  <si>
    <t>MOCA1024751</t>
  </si>
  <si>
    <t>JL20240529132649</t>
  </si>
  <si>
    <t>LASCANOMATEO20220120235043</t>
  </si>
  <si>
    <t>PODELEYLEANDRO20220202041346</t>
  </si>
  <si>
    <t>BENTANCURFRANCO20210907224950</t>
  </si>
  <si>
    <t>TOLE887</t>
  </si>
  <si>
    <t>MAURO9434</t>
  </si>
  <si>
    <t>DIAY20240129104739</t>
  </si>
  <si>
    <t>MARTINEZROBERTO20221014074637</t>
  </si>
  <si>
    <t>SGLUSCHANCOFF</t>
  </si>
  <si>
    <t>BJ20240917130923</t>
  </si>
  <si>
    <t>GRETELBACH</t>
  </si>
  <si>
    <t>GOSA7605110</t>
  </si>
  <si>
    <t>BARDISAMARIANA</t>
  </si>
  <si>
    <t>MAMA6999673</t>
  </si>
  <si>
    <t>SIUKKA</t>
  </si>
  <si>
    <t>GIVI2024</t>
  </si>
  <si>
    <t>ROSSIERJAIR20230805022539</t>
  </si>
  <si>
    <t>CHARREUNJULIAN9</t>
  </si>
  <si>
    <t>FIEX9998188</t>
  </si>
  <si>
    <t>AGUSCAPO78</t>
  </si>
  <si>
    <t>GONZALOELIAS20211030195453</t>
  </si>
  <si>
    <t>FLORFOL2607</t>
  </si>
  <si>
    <t>GAMA9620528</t>
  </si>
  <si>
    <t>CISTIANMONZN</t>
  </si>
  <si>
    <t>GMANUX</t>
  </si>
  <si>
    <t>AGUSTINM6AGUSTINM6</t>
  </si>
  <si>
    <t>RICHEMATEO20220413235152</t>
  </si>
  <si>
    <t>HM20241005230604</t>
  </si>
  <si>
    <t>SOEV3926063</t>
  </si>
  <si>
    <t>FACUNDOROUDE751</t>
  </si>
  <si>
    <t>EMIHEGGLIN</t>
  </si>
  <si>
    <t>AGÜEROIRINA20220822235717</t>
  </si>
  <si>
    <t>PAIZJONATHAN20220627121631</t>
  </si>
  <si>
    <t>ALEJANDROREBOT</t>
  </si>
  <si>
    <t>PECA2486321</t>
  </si>
  <si>
    <t>EMANUEL JURADO</t>
  </si>
  <si>
    <t>BLATTERBERNABELA20220705182609</t>
  </si>
  <si>
    <t>FRANZ324</t>
  </si>
  <si>
    <t>REFE5761578</t>
  </si>
  <si>
    <t>GONZALEZJUAN20220326030131</t>
  </si>
  <si>
    <t>ALLE8854564</t>
  </si>
  <si>
    <t>DAFNEHARTVIG</t>
  </si>
  <si>
    <t>RODA1170868</t>
  </si>
  <si>
    <t>FLACAIMPINI</t>
  </si>
  <si>
    <t>RORROAF</t>
  </si>
  <si>
    <t>RUSOHERRERA</t>
  </si>
  <si>
    <t>BACCIFRANCOBACCIFRANCO</t>
  </si>
  <si>
    <t>FRANZOLINIGIMENA20211201191903</t>
  </si>
  <si>
    <t>GENAROTESSORE</t>
  </si>
  <si>
    <t>CRISTELADELZART</t>
  </si>
  <si>
    <t>STRAUCHATILIOLUISRODRIGO</t>
  </si>
  <si>
    <t>MOBE1733506</t>
  </si>
  <si>
    <t>SCELZIMARIELA20220916191232</t>
  </si>
  <si>
    <t>VALENTINADANIELE06</t>
  </si>
  <si>
    <t>VALENBEDOGNILAMBERT</t>
  </si>
  <si>
    <t>HOLZMANNFRANCO20230421200332</t>
  </si>
  <si>
    <t>GERMNBIANCULLI</t>
  </si>
  <si>
    <t>ADR_1988</t>
  </si>
  <si>
    <t>BALU3731681</t>
  </si>
  <si>
    <t>GERBERRODRIGO20210721223753</t>
  </si>
  <si>
    <t>LORAANDIE</t>
  </si>
  <si>
    <t>IGLU6378411</t>
  </si>
  <si>
    <t>MANUELADALMAO</t>
  </si>
  <si>
    <t>ZAFE20240509212225</t>
  </si>
  <si>
    <t>CIELOALONSO20211107224046</t>
  </si>
  <si>
    <t>TORRESFEDERICO20220904203156</t>
  </si>
  <si>
    <t>FLOR085FLOR085</t>
  </si>
  <si>
    <t>VICKYMARTEN</t>
  </si>
  <si>
    <t>IANPAOLI</t>
  </si>
  <si>
    <t>PM6587</t>
  </si>
  <si>
    <t>VANESAHEIDEL</t>
  </si>
  <si>
    <t>MAHERCARLA20230307110633</t>
  </si>
  <si>
    <t>FERRARIDELFINA20230513224713</t>
  </si>
  <si>
    <t>FGEHDCBAEDCHBGFA</t>
  </si>
  <si>
    <t>AIMONEMIGUEL20210127223808</t>
  </si>
  <si>
    <t>ESTEFANAFRANK</t>
  </si>
  <si>
    <t>TROGOMICAELA20211229000209</t>
  </si>
  <si>
    <t>MARIAFLOR20220314180405</t>
  </si>
  <si>
    <t>CARDOSOLUCIA20231110102300</t>
  </si>
  <si>
    <t>RAMIRO PASCAL123</t>
  </si>
  <si>
    <t>CAFFAJUAN20230124160728</t>
  </si>
  <si>
    <t>DANIELSANTIAGO20220212200630</t>
  </si>
  <si>
    <t>Anulación del cargo por cobrar con código QR</t>
  </si>
  <si>
    <t>CDELU PRINT</t>
  </si>
  <si>
    <t>SN20240706151555</t>
  </si>
  <si>
    <t>PB20250109220005</t>
  </si>
  <si>
    <t>PATH_STORE</t>
  </si>
  <si>
    <t>FELLAYYASMIN20230828194708</t>
  </si>
  <si>
    <t>BARBOSASOFIA20230826144614</t>
  </si>
  <si>
    <t>CANCHARIMARCO20221126184826</t>
  </si>
  <si>
    <t>AGFR8981968</t>
  </si>
  <si>
    <t>VICKYBRT</t>
  </si>
  <si>
    <t>ROLLSVILLAUDDELINA</t>
  </si>
  <si>
    <t>DIHU2084895</t>
  </si>
  <si>
    <t>MIRKOBES</t>
  </si>
  <si>
    <t>LOPEZVIRGINIASOLEDAD</t>
  </si>
  <si>
    <t>BELYAMILA</t>
  </si>
  <si>
    <t>SOLSPOMER</t>
  </si>
  <si>
    <t>GONZA DC</t>
  </si>
  <si>
    <t>CABRERADELFINA20230327110812</t>
  </si>
  <si>
    <t>GONZALEZROQUE20220511112348</t>
  </si>
  <si>
    <t>SANTINOPIZZOLORUSSO</t>
  </si>
  <si>
    <t>CAFR9727161</t>
  </si>
  <si>
    <t>POGGIOFACUNDO20220405000803</t>
  </si>
  <si>
    <t>ALCA8524422</t>
  </si>
  <si>
    <t>JULIANBALTORE</t>
  </si>
  <si>
    <t>FRR_90</t>
  </si>
  <si>
    <t>FACUCUCA</t>
  </si>
  <si>
    <t>WALSERRUBEN</t>
  </si>
  <si>
    <t>DIEGORECHES</t>
  </si>
  <si>
    <t>MONTIELCRISTIAN20210603232206</t>
  </si>
  <si>
    <t>ARDAIZPABLO</t>
  </si>
  <si>
    <t>GONZALEZMELOVICTORIA</t>
  </si>
  <si>
    <t>BURGOSCAMILA95</t>
  </si>
  <si>
    <t>TUPUU.COLOMBO</t>
  </si>
  <si>
    <t>AGUSTINAYAQUEME99</t>
  </si>
  <si>
    <t>FNICOLAS81</t>
  </si>
  <si>
    <t>SANGRAGRAZIANI404</t>
  </si>
  <si>
    <t>MASEJUANITA20221020205513</t>
  </si>
  <si>
    <t>SARDOLU</t>
  </si>
  <si>
    <t>MARCOSAGUSTIN14</t>
  </si>
  <si>
    <t>ILEANABECKER</t>
  </si>
  <si>
    <t>ENZODASILEDS</t>
  </si>
  <si>
    <t>JULIAN_PEREZ88</t>
  </si>
  <si>
    <t>MAC´S</t>
  </si>
  <si>
    <t>MAEN538604</t>
  </si>
  <si>
    <t>NAHUU29</t>
  </si>
  <si>
    <t>IMPINIGABRIELA20221129184945</t>
  </si>
  <si>
    <t>LEZCANOMARTIN20220214014939</t>
  </si>
  <si>
    <t>IGNACIO6339</t>
  </si>
  <si>
    <t>JAZURANGA</t>
  </si>
  <si>
    <t>PERA_BOY</t>
  </si>
  <si>
    <t>MASSIMINOGABRIELA</t>
  </si>
  <si>
    <t>CAMIGRIEVE</t>
  </si>
  <si>
    <t>CAMILAALEM13</t>
  </si>
  <si>
    <t>JUSTINACICCHITTI</t>
  </si>
  <si>
    <t>ACANCHI9</t>
  </si>
  <si>
    <t>FIORELLAGIOVANNAISELLIPAGANI</t>
  </si>
  <si>
    <t>NEKA5354952</t>
  </si>
  <si>
    <t>BARBIHIROZ4</t>
  </si>
  <si>
    <t>GIANLUCACOLOMBATTO</t>
  </si>
  <si>
    <t>GONZALEZLARA20220407214227</t>
  </si>
  <si>
    <t>CARLAJIMENAAMARILLO</t>
  </si>
  <si>
    <t>SOAG20240317170414</t>
  </si>
  <si>
    <t>FLEITASFLORENCIA71</t>
  </si>
  <si>
    <t>SIGOTLUIS</t>
  </si>
  <si>
    <t>JUANFIDELBENITEZ</t>
  </si>
  <si>
    <t>ZURMUHLEIGNACIO20210611014735</t>
  </si>
  <si>
    <t>ARGUSER</t>
  </si>
  <si>
    <t>WALQUIRIAAHUMADA96</t>
  </si>
  <si>
    <t>INFFOMAN</t>
  </si>
  <si>
    <t>ACNA4858977</t>
  </si>
  <si>
    <t>MAYORAZKATHERINE20220428080252</t>
  </si>
  <si>
    <t>JUANGAGGIE</t>
  </si>
  <si>
    <t>MAIRA281990</t>
  </si>
  <si>
    <t>RAUSCHHANS</t>
  </si>
  <si>
    <t>GACINDUMENTARIA</t>
  </si>
  <si>
    <t>MICAELAFRANCOU</t>
  </si>
  <si>
    <t>MARO5013359</t>
  </si>
  <si>
    <t>NOELIAMARIARESSEL</t>
  </si>
  <si>
    <t>2004AGUSTINVARGAS</t>
  </si>
  <si>
    <t>NIEVASEBASTIÁN20220824201504</t>
  </si>
  <si>
    <t>NICOLAFRANZANTE</t>
  </si>
  <si>
    <t>COLLAZOROCIO2000</t>
  </si>
  <si>
    <t>DELFIGIACOBONI</t>
  </si>
  <si>
    <t>GUADALUPEIRUNGARAY</t>
  </si>
  <si>
    <t>ALANFRANCOU</t>
  </si>
  <si>
    <t>PIFA628924</t>
  </si>
  <si>
    <t>LORENAEKARTLORENAEKART</t>
  </si>
  <si>
    <t>RUIZZOE20230803124523</t>
  </si>
  <si>
    <t>JUANCBLANC</t>
  </si>
  <si>
    <t>DELERSEMARICEL20230531170716</t>
  </si>
  <si>
    <t>DONOZOFLORENCIA</t>
  </si>
  <si>
    <t>PAMA704914</t>
  </si>
  <si>
    <t>BRIAN CHARREUN</t>
  </si>
  <si>
    <t>CAMILACAFFACOSTA</t>
  </si>
  <si>
    <t>DICA1852583</t>
  </si>
  <si>
    <t>ROCCAFRANCISCO</t>
  </si>
  <si>
    <t>CLAUDIO9321</t>
  </si>
  <si>
    <t>KEILASCHWARZ</t>
  </si>
  <si>
    <t>JAMARCÓ</t>
  </si>
  <si>
    <t>JUANII_U</t>
  </si>
  <si>
    <t>CARLOSMAXIMILIANOKRAUSE</t>
  </si>
  <si>
    <t>HMNRODRIGUEZ</t>
  </si>
  <si>
    <t>HANZAMATIAS20230319175217</t>
  </si>
  <si>
    <t>GARRIGUEGABRIEL</t>
  </si>
  <si>
    <t>KARENINA_1999</t>
  </si>
  <si>
    <t>ESCALADAJUANIGNACIOESCALADAJUA</t>
  </si>
  <si>
    <t>MATIASBENITEZ20211018164520</t>
  </si>
  <si>
    <t>ARIANAMAHER</t>
  </si>
  <si>
    <t>LVRODRIGUEZ2209</t>
  </si>
  <si>
    <t>TACR4817320</t>
  </si>
  <si>
    <t>ELVIOQUIROZ</t>
  </si>
  <si>
    <t>ROSSIRICARDO42</t>
  </si>
  <si>
    <t>HOLSTEINVANESA20230916083638</t>
  </si>
  <si>
    <t>CHACARERATRUNCACHANGO</t>
  </si>
  <si>
    <t>RECENDURO</t>
  </si>
  <si>
    <t>DAIANABRELAZ</t>
  </si>
  <si>
    <t>IGIG2879856</t>
  </si>
  <si>
    <t>TORRENTSANTIAGO20231024222356</t>
  </si>
  <si>
    <t>SALU190100</t>
  </si>
  <si>
    <t>CELESTEVIERO</t>
  </si>
  <si>
    <t>MAXI_VITALI_97</t>
  </si>
  <si>
    <t>WUTHRICHFRANCO</t>
  </si>
  <si>
    <t>MAURICIO-8</t>
  </si>
  <si>
    <t>FELLAYIGNACIO20211001162316</t>
  </si>
  <si>
    <t>GUADALUPEANDRIOLO</t>
  </si>
  <si>
    <t>ALANBOCHATAY</t>
  </si>
  <si>
    <t>ETCH0800.</t>
  </si>
  <si>
    <t>MM20240623172549</t>
  </si>
  <si>
    <t>BELUNDEL</t>
  </si>
  <si>
    <t>SOFIDEBRA123</t>
  </si>
  <si>
    <t>SUBR8414835</t>
  </si>
  <si>
    <t>GABRIELABURIANO</t>
  </si>
  <si>
    <t>FIORENZAARIEL20220105183742</t>
  </si>
  <si>
    <t>BOLU709184</t>
  </si>
  <si>
    <t>LEMA563656</t>
  </si>
  <si>
    <t>NOBILEFEDERICA6</t>
  </si>
  <si>
    <t>CARISTIMILAGROS</t>
  </si>
  <si>
    <t>FRANCOVOEFFRAY</t>
  </si>
  <si>
    <t>JORGEETIENOT</t>
  </si>
  <si>
    <t>DEGRAFDAIANA20230805175922</t>
  </si>
  <si>
    <t>SANTITREBU</t>
  </si>
  <si>
    <t>MONZONSOL20230702090409</t>
  </si>
  <si>
    <t>BONATOSOL20211219065247</t>
  </si>
  <si>
    <t>LAURAGAL3</t>
  </si>
  <si>
    <t>BARAÑAOLUCIANA20230523182046</t>
  </si>
  <si>
    <t>LADAIAC</t>
  </si>
  <si>
    <t>TIENDAMISHA</t>
  </si>
  <si>
    <t>MATIAS.HX</t>
  </si>
  <si>
    <t>TAMBURLINILUCIANO</t>
  </si>
  <si>
    <t>HEBOLLI</t>
  </si>
  <si>
    <t>NICOLASGOI</t>
  </si>
  <si>
    <t>MIGUELSALVADORAHUMADA18MIGUELS</t>
  </si>
  <si>
    <t>CAGA8962627</t>
  </si>
  <si>
    <t>SILVINAREIN</t>
  </si>
  <si>
    <t>LUCASCAI11</t>
  </si>
  <si>
    <t>TALLAFERJEAN20220305020107</t>
  </si>
  <si>
    <t>JUANVERGARA20220701104534</t>
  </si>
  <si>
    <t>NATALIACORLETA</t>
  </si>
  <si>
    <t>MATY_PAUL84</t>
  </si>
  <si>
    <t>FLORSAADE11</t>
  </si>
  <si>
    <t>KOJA2121774</t>
  </si>
  <si>
    <t>MOFR3660673</t>
  </si>
  <si>
    <t>CATHESILVA92</t>
  </si>
  <si>
    <t>PALAVECINOSANTINO2023071723191</t>
  </si>
  <si>
    <t>NACHIAPPELLA</t>
  </si>
  <si>
    <t>GONZALEZROCIO20230929132003</t>
  </si>
  <si>
    <t>TIENDAFAMILIAR1</t>
  </si>
  <si>
    <t>TOAL7661024</t>
  </si>
  <si>
    <t>ENANO1812</t>
  </si>
  <si>
    <t>JULIOCSARSOTO</t>
  </si>
  <si>
    <t>HUGOSERVICIO</t>
  </si>
  <si>
    <t>MOAI680941</t>
  </si>
  <si>
    <t>SEBE2794202</t>
  </si>
  <si>
    <t>MIAG20240111112328</t>
  </si>
  <si>
    <t>BEMI6986518</t>
  </si>
  <si>
    <t>MISAELKASS</t>
  </si>
  <si>
    <t>JESUSCAIRE</t>
  </si>
  <si>
    <t>MACASACKS</t>
  </si>
  <si>
    <t>FERCHUESCALANTE</t>
  </si>
  <si>
    <t>RELU20240420132647</t>
  </si>
  <si>
    <t>JUANGATTER20220118171612</t>
  </si>
  <si>
    <t>HORACIOCABRAL1206</t>
  </si>
  <si>
    <t>CAGA334282</t>
  </si>
  <si>
    <t>JAVCAFFIERO</t>
  </si>
  <si>
    <t>ANTO.ALTIERI</t>
  </si>
  <si>
    <t>PIPOTOMI2006</t>
  </si>
  <si>
    <t>MEGR4381553</t>
  </si>
  <si>
    <t>GAGINOLORENZO</t>
  </si>
  <si>
    <t>HERNANDEOLAZABAL</t>
  </si>
  <si>
    <t>BIFR2271386</t>
  </si>
  <si>
    <t>@2027635388</t>
  </si>
  <si>
    <t>CINTIA2130</t>
  </si>
  <si>
    <t>OTEROCANDELA20220120231910</t>
  </si>
  <si>
    <t>QUIMICAKING</t>
  </si>
  <si>
    <t>MARAFOLLONIER97</t>
  </si>
  <si>
    <t>LUCIOAGUSTINW05</t>
  </si>
  <si>
    <t>TOMAS GIOIOSO</t>
  </si>
  <si>
    <t>DULU2552861</t>
  </si>
  <si>
    <t>HIERROSGABINO</t>
  </si>
  <si>
    <t>LULA4003566</t>
  </si>
  <si>
    <t>MARTINBANCH</t>
  </si>
  <si>
    <t>SOFIARISULEO</t>
  </si>
  <si>
    <t>ROCOBRUN</t>
  </si>
  <si>
    <t>JUANMANUELYEZZI</t>
  </si>
  <si>
    <t>MIRTAINSCORREACASTILLO</t>
  </si>
  <si>
    <t>BARRIOSROCIO20221223210908</t>
  </si>
  <si>
    <t>NICOLASCHERNOPOLOFF</t>
  </si>
  <si>
    <t>TOMASSISABRINA</t>
  </si>
  <si>
    <t>LEOVELO88</t>
  </si>
  <si>
    <t>LOPESLIVIA20210923161206</t>
  </si>
  <si>
    <t>ALINAOLAGE</t>
  </si>
  <si>
    <t>REAL9321893</t>
  </si>
  <si>
    <t>MIMA6377757</t>
  </si>
  <si>
    <t>MARTINALREL</t>
  </si>
  <si>
    <t>PAULINAEUGENIADIPRETORO</t>
  </si>
  <si>
    <t>SALDIVIAANTONELLA2022120119162</t>
  </si>
  <si>
    <t>GUADALUPESITTNER</t>
  </si>
  <si>
    <t>NAHUELSCARI</t>
  </si>
  <si>
    <t>QUINODOZCATALINA</t>
  </si>
  <si>
    <t>BUAN5157349</t>
  </si>
  <si>
    <t>SCHIMFLUCIANA20230305082944</t>
  </si>
  <si>
    <t>AGUSTINAELBEN</t>
  </si>
  <si>
    <t>DIMA6016569</t>
  </si>
  <si>
    <t>ALEJANDROVINZON</t>
  </si>
  <si>
    <t>ENMA8711251</t>
  </si>
  <si>
    <t>GFAHEBCGD79425</t>
  </si>
  <si>
    <t>PAULABAUCERO</t>
  </si>
  <si>
    <t>RINA4824228</t>
  </si>
  <si>
    <t>CALU5523575</t>
  </si>
  <si>
    <t>AGUSTINMENGHINI</t>
  </si>
  <si>
    <t>GUAY4822911</t>
  </si>
  <si>
    <t>CATA2906.</t>
  </si>
  <si>
    <t>PLLU3133096</t>
  </si>
  <si>
    <t>SOFIAMSE6</t>
  </si>
  <si>
    <t>VERONICALUJANGARIN</t>
  </si>
  <si>
    <t>PAMEEAMARILLO1</t>
  </si>
  <si>
    <t>LISANDRO GODOY</t>
  </si>
  <si>
    <t>TROYA INDUSPORT</t>
  </si>
  <si>
    <t>MATIASNATAL</t>
  </si>
  <si>
    <t>CE20241101010541</t>
  </si>
  <si>
    <t>CAROZAIJ</t>
  </si>
  <si>
    <t>KUSZNIERZLUCAAS</t>
  </si>
  <si>
    <t>MARIAMANUELAMAGGI</t>
  </si>
  <si>
    <t>INGRID350</t>
  </si>
  <si>
    <t>ESTEBANHERLAX</t>
  </si>
  <si>
    <t>40.790.821</t>
  </si>
  <si>
    <t>MAR-OTAZ</t>
  </si>
  <si>
    <t>GUILLE937</t>
  </si>
  <si>
    <t>LEVA20240301103042</t>
  </si>
  <si>
    <t>FELA20240423093540</t>
  </si>
  <si>
    <t>CASARETTOANGELINA12</t>
  </si>
  <si>
    <t>FERNANDEZMARLENE20210506152910</t>
  </si>
  <si>
    <t>LUCAS BLOCK</t>
  </si>
  <si>
    <t>MILAGROSFERREROLIMA2003</t>
  </si>
  <si>
    <t>DODERAFELIPE20230417110050</t>
  </si>
  <si>
    <t>PAMELASCARBOL</t>
  </si>
  <si>
    <t>MORELMACARENA20004</t>
  </si>
  <si>
    <t>AGAG2952554</t>
  </si>
  <si>
    <t>VM20250406161523</t>
  </si>
  <si>
    <t>CARLAFERREIRAMENA</t>
  </si>
  <si>
    <t>MARTINADEGANO22</t>
  </si>
  <si>
    <t>GODI1977709</t>
  </si>
  <si>
    <t>ILEANACAZZULINI</t>
  </si>
  <si>
    <t>GOCE4165092</t>
  </si>
  <si>
    <t>FOPA5824397</t>
  </si>
  <si>
    <t>BRIANROUDE</t>
  </si>
  <si>
    <t>SSGSEBASTIAN</t>
  </si>
  <si>
    <t>EUGEVALENCIA</t>
  </si>
  <si>
    <t>JOSE_DC</t>
  </si>
  <si>
    <t>LESO829660</t>
  </si>
  <si>
    <t>CARLOSNATALIZI</t>
  </si>
  <si>
    <t>FACU_01_09</t>
  </si>
  <si>
    <t>JOAQUIN_83</t>
  </si>
  <si>
    <t>CECITA2_DRA</t>
  </si>
  <si>
    <t>SOFIBMAIDANA</t>
  </si>
  <si>
    <t>JOSE_PL15</t>
  </si>
  <si>
    <t>JLM1988</t>
  </si>
  <si>
    <t>GUARINAJUAN20220403175724</t>
  </si>
  <si>
    <t>ZANETTIFEDE</t>
  </si>
  <si>
    <t>Cargo por percepción de IVA del régimen general</t>
  </si>
  <si>
    <t>No</t>
  </si>
  <si>
    <t>Pago de Factura</t>
  </si>
  <si>
    <t>MELIPAYMENTS-COLLECTIONATTEMPT-24886498202026-01-05T05:56:04.127256906</t>
  </si>
  <si>
    <t>Cargo por percepción de IIBB del régimen general para Entre Ríos</t>
  </si>
  <si>
    <t>VARIOS</t>
  </si>
  <si>
    <t>TRANSACTION_TOTAL_AMOUNT</t>
  </si>
  <si>
    <t>IDC COMPRAS</t>
  </si>
  <si>
    <t>SIRCUPA</t>
  </si>
  <si>
    <t>SIRTAC</t>
  </si>
  <si>
    <t>Gastos</t>
  </si>
  <si>
    <t>IDC</t>
  </si>
  <si>
    <t>MOV TOTAL</t>
  </si>
  <si>
    <t>OBSERV</t>
  </si>
  <si>
    <t>0067A00479529</t>
  </si>
  <si>
    <t>LOTO173795</t>
  </si>
  <si>
    <t>ROLLALUIS20230306203252</t>
  </si>
  <si>
    <t>SOFISILVA8</t>
  </si>
  <si>
    <t>JUSTINAGUELACHE</t>
  </si>
  <si>
    <t>MICAMELLO15</t>
  </si>
  <si>
    <t>ALECOLO68</t>
  </si>
  <si>
    <t>CRISTIANVALDEZPUENTE</t>
  </si>
  <si>
    <t>FLORINOIR</t>
  </si>
  <si>
    <t>CINTHIAJANETBRUCHEZ</t>
  </si>
  <si>
    <t>LUCALUGRIN</t>
  </si>
  <si>
    <t>GONZA.ROMERO11</t>
  </si>
  <si>
    <t>SILDEPRO</t>
  </si>
  <si>
    <t>EZEQUIELBONNIN</t>
  </si>
  <si>
    <t>LOJU4214196</t>
  </si>
  <si>
    <t>MOFE8073706</t>
  </si>
  <si>
    <t>MENTILMARALUCIANA</t>
  </si>
  <si>
    <t>QUIROZAYELEN</t>
  </si>
  <si>
    <t>MARADELFINAGAGGIETTA</t>
  </si>
  <si>
    <t>JOAQUINSCHENONE</t>
  </si>
  <si>
    <t>MATIASSENSIMATIASSENSI</t>
  </si>
  <si>
    <t>BETIANA_RODRIGUEZ_ENTRERIOS</t>
  </si>
  <si>
    <t>TRONCOSOMELISA97</t>
  </si>
  <si>
    <t>MORENDAIANA20210706000336</t>
  </si>
  <si>
    <t>GRI_83</t>
  </si>
  <si>
    <t>ESLU6384315</t>
  </si>
  <si>
    <t>SCALESEJUANI</t>
  </si>
  <si>
    <t>BASO144203</t>
  </si>
  <si>
    <t>MATIASNAHUELBOUCHET</t>
  </si>
  <si>
    <t>QUIIMEY</t>
  </si>
  <si>
    <t>GALVANFEDERIO20221225121930</t>
  </si>
  <si>
    <t>CACERESLUZ25</t>
  </si>
  <si>
    <t>ELMA7548284</t>
  </si>
  <si>
    <t>ISGLEASVICTORIA20230319120404</t>
  </si>
  <si>
    <t>DE20241124220647</t>
  </si>
  <si>
    <t>COBRO</t>
  </si>
  <si>
    <t>PAGO PROVEEDOR</t>
  </si>
  <si>
    <t>ARCA</t>
  </si>
  <si>
    <t>RETIRO / PROV</t>
  </si>
  <si>
    <t>saldo inicio</t>
  </si>
  <si>
    <t>mov brutos</t>
  </si>
  <si>
    <t>sircupa</t>
  </si>
  <si>
    <t>sirtac</t>
  </si>
  <si>
    <t>gastos</t>
  </si>
  <si>
    <t>idc</t>
  </si>
  <si>
    <t>idc discriminado</t>
  </si>
  <si>
    <t>resultado</t>
  </si>
  <si>
    <t>saldo cierre</t>
  </si>
  <si>
    <t>control</t>
  </si>
  <si>
    <t>Etiquetas de columna</t>
  </si>
  <si>
    <t>Suma de MOV TOTAL</t>
  </si>
  <si>
    <t xml:space="preserve"> IMPUESTOS</t>
  </si>
  <si>
    <t>IDYC - GASTO</t>
  </si>
  <si>
    <t>C</t>
  </si>
  <si>
    <t xml:space="preserve">modificado </t>
  </si>
  <si>
    <t>ASIENTO 103</t>
  </si>
  <si>
    <t>ASIENTO 104</t>
  </si>
  <si>
    <t>ASIENTO 105</t>
  </si>
  <si>
    <t xml:space="preserve">NO COBRADO </t>
  </si>
  <si>
    <t>neto</t>
  </si>
  <si>
    <t>iva</t>
  </si>
  <si>
    <t>total provisión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</si>
</sst>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###"/>
  </numFmts>
  <fonts count="17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u/>
      <sz val="9"/>
      <color rgb="FF0000EE"/>
      <name val="Arial"/>
      <family val="2"/>
    </font>
    <font>
      <sz val="9"/>
      <color rgb="FF000000"/>
      <name val="Arial"/>
      <family val="2"/>
    </font>
    <font>
      <sz val="8"/>
      <color rgb="FF000000"/>
      <name val="Proxima Nova"/>
    </font>
    <font>
      <b/>
      <sz val="10"/>
      <color rgb="FF000000"/>
      <name val="Proxima Nova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10"/>
      <color rgb="FFFF0000"/>
      <name val="Arial"/>
      <family val="2"/>
    </font>
    <font>
      <b/>
      <sz val="11"/>
      <name val="Arial"/>
      <family val="2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5E5E5"/>
      </patternFill>
    </fill>
    <fill>
      <patternFill patternType="solid">
        <fgColor rgb="FFD9D9D9"/>
      </patternFill>
    </fill>
    <fill>
      <patternFill patternType="solid">
        <fgColor rgb="FFFBE54D"/>
      </patternFill>
    </fill>
    <fill>
      <patternFill patternType="solid">
        <fgColor rgb="FFFFF39F"/>
      </patternFill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ck">
        <color rgb="FF1976D2"/>
      </left>
      <right/>
      <top/>
      <bottom/>
      <diagonal/>
    </border>
    <border>
      <left style="thick">
        <color rgb="FF9E9E9E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9">
    <xf numFmtId="0" fontId="0" fillId="0" borderId="0" xfId="0"/>
    <xf numFmtId="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 applyAlignment="1">
      <alignment horizontal="left"/>
    </xf>
    <xf numFmtId="0" fontId="0" fillId="4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7" borderId="0" xfId="0" applyFill="1"/>
    <xf numFmtId="164" fontId="0" fillId="0" borderId="0" xfId="1" applyFont="1"/>
    <xf numFmtId="4" fontId="2" fillId="0" borderId="0" xfId="0" applyNumberFormat="1" applyFont="1"/>
    <xf numFmtId="164" fontId="0" fillId="4" borderId="0" xfId="1" applyFont="1" applyFill="1"/>
    <xf numFmtId="164" fontId="0" fillId="6" borderId="0" xfId="1" applyFont="1" applyFill="1"/>
    <xf numFmtId="164" fontId="0" fillId="2" borderId="0" xfId="1" applyFont="1" applyFill="1"/>
    <xf numFmtId="164" fontId="0" fillId="3" borderId="0" xfId="1" applyFont="1" applyFill="1"/>
    <xf numFmtId="164" fontId="0" fillId="5" borderId="0" xfId="1" applyFont="1" applyFill="1"/>
    <xf numFmtId="164" fontId="0" fillId="7" borderId="0" xfId="1" applyFont="1" applyFill="1"/>
    <xf numFmtId="0" fontId="0" fillId="8" borderId="0" xfId="0" applyFill="1" applyAlignment="1">
      <alignment horizontal="left"/>
    </xf>
    <xf numFmtId="164" fontId="0" fillId="8" borderId="0" xfId="1" applyFont="1" applyFill="1"/>
    <xf numFmtId="0" fontId="0" fillId="8" borderId="0" xfId="0" applyFill="1"/>
    <xf numFmtId="0" fontId="2" fillId="0" borderId="0" xfId="0" applyFont="1"/>
    <xf numFmtId="0" fontId="5" fillId="0" borderId="0" xfId="0" applyFont="1"/>
    <xf numFmtId="0" fontId="0" fillId="0" borderId="0" xfId="0" applyAlignment="1">
      <alignment horizontal="right"/>
    </xf>
    <xf numFmtId="0" fontId="5" fillId="9" borderId="0" xfId="0" applyFont="1" applyFill="1"/>
    <xf numFmtId="0" fontId="5" fillId="9" borderId="0" xfId="0" applyFont="1" applyFill="1" applyAlignment="1">
      <alignment horizontal="right"/>
    </xf>
    <xf numFmtId="0" fontId="5" fillId="9" borderId="0" xfId="0" applyFont="1" applyFill="1" applyAlignment="1">
      <alignment horizontal="center"/>
    </xf>
    <xf numFmtId="0" fontId="8" fillId="10" borderId="0" xfId="0" applyFont="1" applyFill="1" applyAlignment="1">
      <alignment horizontal="center"/>
    </xf>
    <xf numFmtId="0" fontId="0" fillId="10" borderId="0" xfId="0" applyFill="1"/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5" fillId="9" borderId="2" xfId="0" applyFont="1" applyFill="1" applyBorder="1" applyAlignment="1">
      <alignment horizontal="right"/>
    </xf>
    <xf numFmtId="0" fontId="0" fillId="0" borderId="2" xfId="0" applyBorder="1" applyAlignment="1">
      <alignment horizontal="right"/>
    </xf>
    <xf numFmtId="0" fontId="9" fillId="9" borderId="0" xfId="0" applyFont="1" applyFill="1" applyAlignment="1">
      <alignment horizontal="center"/>
    </xf>
    <xf numFmtId="4" fontId="0" fillId="0" borderId="0" xfId="0" applyNumberFormat="1" applyAlignment="1">
      <alignment horizontal="center"/>
    </xf>
    <xf numFmtId="0" fontId="10" fillId="0" borderId="0" xfId="0" applyFont="1" applyAlignment="1">
      <alignment horizontal="left" vertical="center"/>
    </xf>
    <xf numFmtId="0" fontId="5" fillId="12" borderId="0" xfId="0" applyFont="1" applyFill="1" applyAlignment="1">
      <alignment horizontal="center" vertical="center" wrapText="1"/>
    </xf>
    <xf numFmtId="0" fontId="5" fillId="9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center"/>
    </xf>
    <xf numFmtId="14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left"/>
    </xf>
    <xf numFmtId="4" fontId="11" fillId="0" borderId="0" xfId="0" applyNumberFormat="1" applyFont="1" applyAlignment="1">
      <alignment horizontal="right"/>
    </xf>
    <xf numFmtId="10" fontId="11" fillId="0" borderId="0" xfId="0" applyNumberFormat="1" applyFont="1" applyAlignment="1">
      <alignment horizontal="right"/>
    </xf>
    <xf numFmtId="2" fontId="0" fillId="0" borderId="0" xfId="0" applyNumberFormat="1"/>
    <xf numFmtId="1" fontId="0" fillId="0" borderId="0" xfId="0" applyNumberFormat="1"/>
    <xf numFmtId="164" fontId="0" fillId="13" borderId="0" xfId="1" applyFont="1" applyFill="1"/>
    <xf numFmtId="165" fontId="12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14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left"/>
    </xf>
    <xf numFmtId="4" fontId="12" fillId="0" borderId="0" xfId="0" applyNumberFormat="1" applyFont="1" applyAlignment="1">
      <alignment horizontal="right"/>
    </xf>
    <xf numFmtId="10" fontId="12" fillId="0" borderId="0" xfId="0" applyNumberFormat="1" applyFont="1" applyAlignment="1">
      <alignment horizontal="right"/>
    </xf>
    <xf numFmtId="0" fontId="3" fillId="0" borderId="0" xfId="0" applyFont="1"/>
    <xf numFmtId="4" fontId="14" fillId="13" borderId="3" xfId="0" applyNumberFormat="1" applyFont="1" applyFill="1" applyBorder="1" applyAlignment="1">
      <alignment horizontal="right"/>
    </xf>
    <xf numFmtId="1" fontId="5" fillId="9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4" fontId="15" fillId="13" borderId="3" xfId="0" applyNumberFormat="1" applyFont="1" applyFill="1" applyBorder="1"/>
    <xf numFmtId="2" fontId="9" fillId="9" borderId="0" xfId="0" applyNumberFormat="1" applyFont="1" applyFill="1" applyAlignment="1">
      <alignment horizontal="center"/>
    </xf>
    <xf numFmtId="1" fontId="3" fillId="0" borderId="0" xfId="0" applyNumberFormat="1" applyFont="1"/>
    <xf numFmtId="4" fontId="3" fillId="0" borderId="0" xfId="0" applyNumberFormat="1" applyFont="1"/>
    <xf numFmtId="164" fontId="3" fillId="0" borderId="0" xfId="1" applyFont="1"/>
    <xf numFmtId="164" fontId="2" fillId="0" borderId="0" xfId="1" applyFont="1"/>
    <xf numFmtId="164" fontId="0" fillId="0" borderId="3" xfId="1" applyFont="1" applyBorder="1"/>
    <xf numFmtId="0" fontId="0" fillId="0" borderId="3" xfId="0" applyBorder="1"/>
    <xf numFmtId="164" fontId="3" fillId="0" borderId="3" xfId="1" applyFont="1" applyBorder="1"/>
    <xf numFmtId="164" fontId="16" fillId="0" borderId="3" xfId="1" applyFont="1" applyBorder="1"/>
    <xf numFmtId="0" fontId="16" fillId="0" borderId="3" xfId="0" applyFont="1" applyBorder="1"/>
    <xf numFmtId="164" fontId="0" fillId="13" borderId="0" xfId="0" applyNumberFormat="1" applyFill="1"/>
    <xf numFmtId="164" fontId="3" fillId="13" borderId="0" xfId="1" applyFont="1" applyFill="1"/>
    <xf numFmtId="164" fontId="15" fillId="0" borderId="3" xfId="1" applyFont="1" applyBorder="1" applyAlignment="1">
      <alignment horizontal="center"/>
    </xf>
    <xf numFmtId="164" fontId="15" fillId="0" borderId="3" xfId="1" applyFont="1" applyBorder="1"/>
    <xf numFmtId="0" fontId="4" fillId="0" borderId="0" xfId="0" applyFont="1"/>
    <xf numFmtId="0" fontId="0" fillId="0" borderId="0" xfId="0"/>
    <xf numFmtId="0" fontId="7" fillId="10" borderId="1" xfId="0" applyFont="1" applyFill="1" applyBorder="1"/>
    <xf numFmtId="0" fontId="5" fillId="11" borderId="0" xfId="0" applyFont="1" applyFill="1" applyAlignment="1">
      <alignment horizontal="center"/>
    </xf>
    <xf numFmtId="0" fontId="5" fillId="12" borderId="0" xfId="0" applyFont="1" applyFill="1" applyAlignment="1">
      <alignment horizontal="center"/>
    </xf>
    <xf numFmtId="0" fontId="5" fillId="11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/>
    </xf>
    <xf numFmtId="22" fontId="11" fillId="0" borderId="0" xfId="0" applyNumberFormat="1" applyFont="1" applyAlignment="1">
      <alignment horizontal="left" vertical="center"/>
    </xf>
    <xf numFmtId="0" fontId="11" fillId="9" borderId="0" xfId="0" applyFont="1" applyFill="1" applyAlignment="1">
      <alignment horizontal="left" vertical="center" wrapText="1"/>
    </xf>
    <xf numFmtId="0" fontId="5" fillId="12" borderId="0" xfId="0" applyFont="1" applyFill="1" applyAlignment="1">
      <alignment horizontal="center" vertical="center" wrapText="1"/>
    </xf>
    <xf numFmtId="0" fontId="6" fillId="10" borderId="1" xfId="0" applyFont="1" applyFill="1" applyBorder="1"/>
  </cellXfs>
  <cellStyles count="2">
    <cellStyle name="Comma" xfId="1" builtinId="3"/>
    <cellStyle name="Normal" xfId="0" builtinId="0"/>
  </cellStyles>
  <dxfs count="5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 patternType="solid">
          <bgColor rgb="FFFFC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0070C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.Bechir" refreshedDate="46101.487754398149" createdVersion="5" refreshedVersion="5" minRefreshableVersion="3" recordCount="1612" xr:uid="{00000000-000A-0000-FFFF-FFFF01000000}">
  <cacheSource type="worksheet">
    <worksheetSource ref="A4:E1616" sheet="sheet0"/>
  </cacheSource>
  <cacheFields count="5">
    <cacheField name="RELEASE_DATE" numFmtId="0">
      <sharedItems/>
    </cacheField>
    <cacheField name="TRANSACTION_TYPE" numFmtId="0">
      <sharedItems count="167">
        <s v="Liquidación de dinero"/>
        <s v="Transferencia enviada EMBOTELLADORA DEL ATLANTICO S.A."/>
        <s v="Impuesto por extracción"/>
        <s v="Transferencia enviada BASSO REPRESENT SRL"/>
        <s v="Transferencia recibida Juan Felipe Folmer Dondena"/>
        <s v="Transferencia recibida Oceana"/>
        <s v="Transferencia recibida Nahuel Ivan Depardon"/>
        <s v="Transferencia recibida María Delfina Gaggietta"/>
        <s v="Transferencia recibida Joaquin Pedro Schenone"/>
        <s v="Transferencia recibida Matias Sensi"/>
        <s v="Transferencia recibida Lara Ana Paula Vitton"/>
        <s v="Transferencia recibida Matias Nahuel Bouchet"/>
        <s v="Transferencia recibida Federico Emiliano Galvan"/>
        <s v="Transferencia recibida Balon 5 Pizza Libre"/>
        <s v="Transferencia recibida Juan Lucas Presas"/>
        <s v="Transferencia recibida Brian Ramon Coronel"/>
        <s v="Transferencia recibida Iván Atilano Fellay"/>
        <s v="Transferencia recibida Lisboa"/>
        <s v="Transferencia recibida Valentina Maité Machado Manfroni"/>
        <s v="Transferencia recibida Francisca Garrido"/>
        <s v="Pago Mercado Libre S R L - MLA MP"/>
        <s v="Liquidación de dinero cancelada Venta cancelada"/>
        <s v="Transferencia recibida Timoteo Nicolás Alcaraz"/>
        <s v="Transferencia recibida Leandro Emanuel Zavisza"/>
        <s v="Transferencia recibida Francisco Corbalan"/>
        <s v="Transferencia recibida Leandro Larrechart Torresan"/>
        <s v="Transferencia recibida Gabriel Alejandro Gauna"/>
        <s v="Transferencia recibida Maximiliano Javier Trabichet"/>
        <s v="Transferencia recibida Gustavo Luis Lopez"/>
        <s v="Transferencia recibida Viviana Patricia Natal"/>
        <s v="Transferencia recibida Juan Agustin Fernandez"/>
        <s v="Transferencia recibida Lucía Belén Fontana"/>
        <s v="Transferencia recibida Nicolas Gabriel Ahumada"/>
        <s v="Transferencia recibida Torneria Odiard"/>
        <s v="Transferencia recibida Joaquin Vidal"/>
        <s v="Transferencia recibida Rodrigo Rodriguez"/>
        <s v="Transferencia recibida Lala Esquivo"/>
        <s v="Transferencia recibida Celina Blanc"/>
        <s v="Transferencia recibida Maximiliano Gerardo Ibarra"/>
        <s v="Transferencia recibida Mariel Yanina Cabrera Toledo"/>
        <s v="Transferencia recibida Maira Agustina Villanova"/>
        <s v="Transferencia recibida Ivana Liliana Aldaz"/>
        <s v="Transferencia recibida Abigail Ayelen Del Valle"/>
        <s v="Transferencia recibida Giuseppe Pacinelli"/>
        <s v="Transferencia recibida Ailen Micaela Trabichet"/>
        <s v="Transferencia recibida Mauricio Martin Cogo"/>
        <s v="Transferencia recibida Flavia Yanina Torres"/>
        <s v="Pago de servicio ARCA"/>
        <s v="Transferencia enviada Cerveza Tractor Sr"/>
        <s v="Transferencia recibida Rodrigo Ezequiel Anaratone"/>
        <s v="Transferencia recibida REBORD FACUNDO"/>
        <s v="Transferencia recibida Martin Totorica"/>
        <s v="Transferencia recibida Sergio Daniel Gareca"/>
        <s v="Transferencia recibida Lucia Paola Sachinelli"/>
        <s v="Transferencia recibida Iara Nahir Lizzi Klug"/>
        <s v="Transferencia recibida Dolores Agustina Barbero"/>
        <s v="Transferencia recibida Victoria Agustina Blanc"/>
        <s v="Transferencia recibida Rocio Belen Cantero"/>
        <s v="Transferencia recibida Juan Cruz Castex"/>
        <s v="Transferencia recibida Hector Ricardo Barros"/>
        <s v="Transferencia recibida Alan Nicolas Opez"/>
        <s v="Transferencia recibida Delfina Sirota"/>
        <s v="Transferencia recibida Aaron Facundo Alarcon"/>
        <s v="Transferencia recibida Rocío Spano"/>
        <s v="Transferencia recibida Martin Angel Maher"/>
        <s v="Compra de Kit De Internet Via Satélite Starlink Mini Mercado Libre"/>
        <s v="Pago MERCADOPAGO POINT AR"/>
        <s v="Transferencia recibida Matias Rodriguez"/>
        <s v="Transferencia recibida Lara Gonzalez"/>
        <s v="Transferencia recibida Agustin Daniel Bastian Alvarez"/>
        <s v="Transferencia recibida Maria Belen Chareun"/>
        <s v="Transferencia recibida Martin Derudder"/>
        <s v="Transferencia recibida Rocio Josefina Moix"/>
        <s v="Transferencia recibida Constanza Lucia Bournissen"/>
        <s v="Transferencia recibida Maria Soledad Blanc"/>
        <s v="Transferencia recibida Juan Pablo Baccon"/>
        <s v="Transferencia recibida Melina Geraldine Hartman"/>
        <s v="Transferencia recibida De todo un poco"/>
        <s v="Transferencia recibida Rocio Micaela Debrabandere"/>
        <s v="Transferencia recibida Maria Isabel Figueroa"/>
        <s v="Transferencia recibida Nicolas Parra"/>
        <s v="Transferencia recibida Carla Melina Cabezas"/>
        <s v="Transferencia enviada Norberto David Dolcet"/>
        <s v="Compra Mercado Libre"/>
        <s v="Compra de Epitrónica Pack 100 Rollos Papel Térmico 80x50 48grs Ticket, Comandera, ..."/>
        <s v="Transferencia recibida Monica Susana Zanon"/>
        <s v="Transferencia recibida Nicolas Kapp"/>
        <s v="Transferencia recibida Carlos Damian Alegre"/>
        <s v="Transferencia recibida Milagros Martinez"/>
        <s v="Transferencia recibida Cecilia Quattordio"/>
        <s v="Transferencia recibida Valentin Lafourcade"/>
        <s v="Transferencia recibida Amina Alfonso"/>
        <s v="Transferencia recibida María Carla Nievas"/>
        <s v="Transferencia recibida Facundo Ariel Marquez De Los Santos"/>
        <s v="Transferencia recibida Sweet Love showroom"/>
        <s v="Transferencia recibida Evelin Florencia Soto"/>
        <s v="Transferencia recibida Dafne Ruth Hartvig"/>
        <s v="Transferencia enviada Municipalidad De Concepcion Del Uru"/>
        <s v="Transferencia recibida Genaro Tessore"/>
        <s v="Transferencia recibida Cristela Belen Delzart"/>
        <s v="Transferencia recibida Franco Guillermo Holzmann"/>
        <s v="Transferencia recibida Rodrigo Agustín Gerber"/>
        <s v="Transferencia recibida Cielo Romina Alonso"/>
        <s v="Pago RIO URUGUAY SEGUROS"/>
        <s v="Transferencia recibida Carla Nira Neftali Maher"/>
        <s v="Transferencia recibida Delfina Magali Ferrari Godoy"/>
        <s v="Transferencia recibida Luciano Pietroboni"/>
        <s v="Transferencia recibida Santiago Daniel Viollaz"/>
        <s v="Transferencia recibida Nora Romina Schierloh"/>
        <s v="Transferencia recibida Victoria Florencia Britos"/>
        <s v="Transferencia recibida Delina Rolls Villaud"/>
        <s v="Transferencia recibida Yamila Lujan Bel"/>
        <s v="Transferencia recibida Sol Stefania Lujan Spomer"/>
        <s v="Transferencia recibida Delfina Cabrera"/>
        <s v="Transferencia recibida Roque Kevin Andres Gonzalez"/>
        <s v="Transferencia recibida Nahuel Zalazar Miño"/>
        <s v="Transferencia recibida Casandra Antonella Alberto"/>
        <s v="Transferencia recibida Franco Rodrigo Rojas"/>
        <s v="Transferencia recibida Pablo Oscar Ardaiz"/>
        <s v="Transferencia recibida Camila Mariel Burgos"/>
        <s v="Transferencia recibida Lucia Belen Sardo"/>
        <s v="Pago de servicio Federación Patronal"/>
        <s v="Transferencia recibida Gabriela Alejandra Impini"/>
        <s v="Transferencia recibida Martín Ezequiel Lezcano"/>
        <s v="Transferencia recibida Pablo Alejandro Macri"/>
        <s v="Transferencia recibida Maria Gabriela Massimino"/>
        <s v="Transferencia recibida Camila Grieve"/>
        <s v="Transferencia recibida Angela Justina Cicchitti"/>
        <s v="Transferencia recibida Andreina De Los Angeles Canchi"/>
        <s v="Transferencia recibida Maria Florencia Fleitas"/>
        <s v="Transferencia recibida Javier Alejandro Ruiz"/>
        <s v="Transferencia enviada Sucesion De Satto"/>
        <s v="Transferencia recibida Nadia Belen Acuña"/>
        <s v="Transferencia recibida Katherine Micaela Mayoraz"/>
        <s v="Transferencia recibida Juan Martin Gaggietta"/>
        <s v="Transferencia recibida Noelia Maria Ressel"/>
        <s v="Transferencia recibida Lavadero medio loco"/>
        <s v="Transferencia recibida Keila Micaela Schwarz"/>
        <s v="Transferencia recibida Carlos Maximiliano Krause"/>
        <s v="Transferencia recibida Vanesa Holstein"/>
        <s v="Transferencia recibida Cristian Gastan Gallay"/>
        <s v="Transferencia recibida Enduro REC"/>
        <s v="Transferencia recibida Ignacio Iglesias"/>
        <s v="Transferencia recibida Taqueria mono gordo"/>
        <s v="Transferencia recibida Franco Salvador Maria Wuthrich"/>
        <s v="Transferencia recibida Sofia Ayelen Debrabandere"/>
        <s v="Pago ADAPTO FUNGTASTIC S.R.L."/>
        <s v="Transferencia recibida Gabriela Alejandra Buriano"/>
        <s v="Transferencia recibida Ariel Damian Fiorenza"/>
        <s v="Transferencia recibida Milagros Rocio Caristi"/>
        <s v="Transferencia recibida Jorge Esteban Etienot"/>
        <s v="Transferencia recibida Celta"/>
        <s v="Transferencia recibida Sol Milagros Bonato"/>
        <s v="Transferencia recibida Laura Agustina Galeano"/>
        <s v="Transferencia recibida Luciana Florencia Baranao"/>
        <s v="Transferencia recibida Daiana Julia Campodonico"/>
        <s v="Transferencia recibida Matías Eduardo Herlax"/>
        <s v="Transferencia recibida ANGELINA/BELEN HARDT"/>
        <s v="Transferencia recibida Miguel Salvador Ahumada"/>
        <s v="Transferencia recibida Silvina Lourdes Rein"/>
        <s v="Transferencia recibida Juan Cruz Vergara"/>
        <s v="Transferencia recibida Mateo Mariani"/>
        <s v="Transferencia recibida Maria Florencia Saade"/>
        <s v="Transferencia recibida Franco Nicolas Moreno Bordet"/>
        <s v="Transferencia recibida Nair Ayelen Chiappella Zarini"/>
        <s v="Transferencia recibida Alexis Maximiliano Dominguez"/>
        <s v="Transferencia recibida Micaela Benitez CM"/>
      </sharedItems>
    </cacheField>
    <cacheField name="REFERENCE_ID" numFmtId="0">
      <sharedItems/>
    </cacheField>
    <cacheField name="TRANSACTION_NET_AMOUNT" numFmtId="0">
      <sharedItems containsSemiMixedTypes="0" containsString="0" containsNumber="1" minValue="-5960492.9299999997" maxValue="217442.05"/>
    </cacheField>
    <cacheField name="PARTIAL_BALANCE" numFmtId="4">
      <sharedItems containsSemiMixedTypes="0" containsString="0" containsNumber="1" minValue="9600467.5899999999" maxValue="28672072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t.Bechir" refreshedDate="46132.616136111108" createdVersion="5" refreshedVersion="5" minRefreshableVersion="3" recordCount="1612" xr:uid="{00000000-000A-0000-FFFF-FFFF02000000}">
  <cacheSource type="worksheet">
    <worksheetSource ref="A4:M1616" sheet="sheet0"/>
  </cacheSource>
  <cacheFields count="13">
    <cacheField name="RELEASE_DATE" numFmtId="0">
      <sharedItems count="28">
        <s v="01-12-2025"/>
        <s v="03-12-2025"/>
        <s v="04-12-2025"/>
        <s v="05-12-2025"/>
        <s v="06-12-2025"/>
        <s v="07-12-2025"/>
        <s v="08-12-2025"/>
        <s v="10-12-2025"/>
        <s v="12-12-2025"/>
        <s v="11-12-2025"/>
        <s v="13-12-2025"/>
        <s v="14-12-2025"/>
        <s v="15-12-2025"/>
        <s v="17-12-2025"/>
        <s v="18-12-2025"/>
        <s v="19-12-2025"/>
        <s v="20-12-2025"/>
        <s v="21-12-2025"/>
        <s v="22-12-2025"/>
        <s v="23-12-2025"/>
        <s v="24-12-2025"/>
        <s v="25-12-2025"/>
        <s v="26-12-2025"/>
        <s v="27-12-2025"/>
        <s v="28-12-2025"/>
        <s v="29-12-2025"/>
        <s v="30-12-2025"/>
        <s v="31-12-2025"/>
      </sharedItems>
    </cacheField>
    <cacheField name="TRANSACTION_TYPE" numFmtId="0">
      <sharedItems count="167">
        <s v="Liquidación de dinero"/>
        <s v="Impuesto por extracción"/>
        <s v="Transferencia enviada BASSO REPRESENT SRL"/>
        <s v="Transferencia enviada EMBOTELLADORA DEL ATLANTICO S.A."/>
        <s v="Transferencia recibida Juan Felipe Folmer Dondena"/>
        <s v="Transferencia recibida Oceana"/>
        <s v="Transferencia recibida Nahuel Ivan Depardon"/>
        <s v="Transferencia recibida María Delfina Gaggietta"/>
        <s v="Transferencia recibida Joaquin Pedro Schenone"/>
        <s v="Transferencia recibida Matias Sensi"/>
        <s v="Transferencia recibida Lara Ana Paula Vitton"/>
        <s v="Transferencia recibida Matias Nahuel Bouchet"/>
        <s v="Transferencia recibida Federico Emiliano Galvan"/>
        <s v="Transferencia recibida Balon 5 Pizza Libre"/>
        <s v="Transferencia recibida Juan Lucas Presas"/>
        <s v="Transferencia recibida Brian Ramon Coronel"/>
        <s v="Transferencia recibida Iván Atilano Fellay"/>
        <s v="Transferencia recibida Lisboa"/>
        <s v="Transferencia recibida Valentina Maité Machado Manfroni"/>
        <s v="Transferencia recibida Francisca Garrido"/>
        <s v="Pago Mercado Libre S R L - MLA MP"/>
        <s v="Liquidación de dinero cancelada Venta cancelada"/>
        <s v="Transferencia recibida Timoteo Nicolás Alcaraz"/>
        <s v="Transferencia recibida Leandro Emanuel Zavisza"/>
        <s v="Transferencia recibida Francisco Corbalan"/>
        <s v="Transferencia recibida Leandro Larrechart Torresan"/>
        <s v="Transferencia recibida Gabriel Alejandro Gauna"/>
        <s v="Transferencia recibida Maximiliano Javier Trabichet"/>
        <s v="Transferencia recibida Gustavo Luis Lopez"/>
        <s v="Transferencia recibida Viviana Patricia Natal"/>
        <s v="Transferencia recibida Juan Agustin Fernandez"/>
        <s v="Transferencia recibida Lucía Belén Fontana"/>
        <s v="Transferencia recibida Nicolas Gabriel Ahumada"/>
        <s v="Transferencia recibida Torneria Odiard"/>
        <s v="Transferencia recibida Joaquin Vidal"/>
        <s v="Transferencia recibida Rodrigo Rodriguez"/>
        <s v="Transferencia recibida Lala Esquivo"/>
        <s v="Transferencia recibida Celina Blanc"/>
        <s v="Transferencia recibida Maximiliano Gerardo Ibarra"/>
        <s v="Transferencia recibida Mariel Yanina Cabrera Toledo"/>
        <s v="Transferencia recibida Maira Agustina Villanova"/>
        <s v="Transferencia recibida Ivana Liliana Aldaz"/>
        <s v="Transferencia recibida Abigail Ayelen Del Valle"/>
        <s v="Transferencia recibida Giuseppe Pacinelli"/>
        <s v="Transferencia recibida Ailen Micaela Trabichet"/>
        <s v="Transferencia recibida Mauricio Martin Cogo"/>
        <s v="Transferencia recibida Flavia Yanina Torres"/>
        <s v="Pago de servicio ARCA"/>
        <s v="Transferencia enviada Cerveza Tractor Sr"/>
        <s v="Transferencia recibida Rodrigo Ezequiel Anaratone"/>
        <s v="Transferencia recibida REBORD FACUNDO"/>
        <s v="Transferencia recibida Martin Totorica"/>
        <s v="Transferencia recibida Sergio Daniel Gareca"/>
        <s v="Transferencia recibida Lucia Paola Sachinelli"/>
        <s v="Transferencia recibida Iara Nahir Lizzi Klug"/>
        <s v="Transferencia recibida Dolores Agustina Barbero"/>
        <s v="Transferencia recibida Victoria Agustina Blanc"/>
        <s v="Transferencia recibida Rocio Belen Cantero"/>
        <s v="Transferencia recibida Juan Cruz Castex"/>
        <s v="Transferencia recibida Hector Ricardo Barros"/>
        <s v="Transferencia recibida Alan Nicolas Opez"/>
        <s v="Transferencia recibida Delfina Sirota"/>
        <s v="Transferencia recibida Aaron Facundo Alarcon"/>
        <s v="Transferencia recibida Rocío Spano"/>
        <s v="Transferencia recibida Martin Angel Maher"/>
        <s v="Transferencia recibida Matias Rodriguez"/>
        <s v="Transferencia recibida Lara Gonzalez"/>
        <s v="Transferencia recibida Agustin Daniel Bastian Alvarez"/>
        <s v="Transferencia recibida Maria Belen Chareun"/>
        <s v="Transferencia recibida Martin Derudder"/>
        <s v="Transferencia recibida Rocio Josefina Moix"/>
        <s v="Transferencia recibida Constanza Lucia Bournissen"/>
        <s v="Transferencia recibida Maria Soledad Blanc"/>
        <s v="Transferencia recibida Juan Pablo Baccon"/>
        <s v="Transferencia recibida Melina Geraldine Hartman"/>
        <s v="Transferencia recibida De todo un poco"/>
        <s v="Transferencia recibida Rocio Micaela Debrabandere"/>
        <s v="Transferencia recibida Maria Isabel Figueroa"/>
        <s v="Transferencia recibida Nicolas Parra"/>
        <s v="Transferencia recibida Carla Melina Cabezas"/>
        <s v="Transferencia recibida Monica Susana Zanon"/>
        <s v="Transferencia recibida Nicolas Kapp"/>
        <s v="Transferencia recibida Carlos Damian Alegre"/>
        <s v="Transferencia recibida Milagros Martinez"/>
        <s v="Transferencia recibida Cecilia Quattordio"/>
        <s v="Transferencia recibida Valentin Lafourcade"/>
        <s v="Transferencia recibida Amina Alfonso"/>
        <s v="Transferencia recibida María Carla Nievas"/>
        <s v="Transferencia recibida Facundo Ariel Marquez De Los Santos"/>
        <s v="Transferencia recibida Sweet Love showroom"/>
        <s v="Transferencia recibida Evelin Florencia Soto"/>
        <s v="Transferencia recibida Dafne Ruth Hartvig"/>
        <s v="Transferencia recibida Genaro Tessore"/>
        <s v="Transferencia recibida Cristela Belen Delzart"/>
        <s v="Transferencia recibida Franco Guillermo Holzmann"/>
        <s v="Transferencia recibida Rodrigo Agustín Gerber"/>
        <s v="Transferencia recibida Cielo Romina Alonso"/>
        <s v="Transferencia recibida Carla Nira Neftali Maher"/>
        <s v="Transferencia recibida Delfina Magali Ferrari Godoy"/>
        <s v="Transferencia recibida Luciano Pietroboni"/>
        <s v="Transferencia recibida Santiago Daniel Viollaz"/>
        <s v="Transferencia recibida Nora Romina Schierloh"/>
        <s v="Transferencia recibida Victoria Florencia Britos"/>
        <s v="Transferencia recibida Delina Rolls Villaud"/>
        <s v="Transferencia recibida Yamila Lujan Bel"/>
        <s v="Transferencia recibida Sol Stefania Lujan Spomer"/>
        <s v="Transferencia recibida Delfina Cabrera"/>
        <s v="Transferencia recibida Roque Kevin Andres Gonzalez"/>
        <s v="Transferencia recibida Nahuel Zalazar Miño"/>
        <s v="Transferencia recibida Casandra Antonella Alberto"/>
        <s v="Transferencia recibida Franco Rodrigo Rojas"/>
        <s v="Transferencia recibida Pablo Oscar Ardaiz"/>
        <s v="Transferencia recibida Camila Mariel Burgos"/>
        <s v="Transferencia recibida Lucia Belen Sardo"/>
        <s v="Transferencia recibida Gabriela Alejandra Impini"/>
        <s v="Transferencia recibida Martín Ezequiel Lezcano"/>
        <s v="Transferencia recibida Pablo Alejandro Macri"/>
        <s v="Transferencia recibida Maria Gabriela Massimino"/>
        <s v="Transferencia recibida Camila Grieve"/>
        <s v="Transferencia recibida Angela Justina Cicchitti"/>
        <s v="Transferencia recibida Andreina De Los Angeles Canchi"/>
        <s v="Transferencia recibida Maria Florencia Fleitas"/>
        <s v="Transferencia recibida Javier Alejandro Ruiz"/>
        <s v="Transferencia recibida Nadia Belen Acuña"/>
        <s v="Transferencia recibida Katherine Micaela Mayoraz"/>
        <s v="Transferencia recibida Juan Martin Gaggietta"/>
        <s v="Transferencia recibida Noelia Maria Ressel"/>
        <s v="Transferencia recibida Lavadero medio loco"/>
        <s v="Transferencia recibida Keila Micaela Schwarz"/>
        <s v="Transferencia recibida Carlos Maximiliano Krause"/>
        <s v="Transferencia recibida Vanesa Holstein"/>
        <s v="Transferencia recibida Cristian Gastan Gallay"/>
        <s v="Transferencia recibida Enduro REC"/>
        <s v="Transferencia recibida Ignacio Iglesias"/>
        <s v="Transferencia recibida Taqueria mono gordo"/>
        <s v="Transferencia recibida Franco Salvador Maria Wuthrich"/>
        <s v="Transferencia recibida Sofia Ayelen Debrabandere"/>
        <s v="Transferencia recibida Gabriela Alejandra Buriano"/>
        <s v="Transferencia recibida Ariel Damian Fiorenza"/>
        <s v="Transferencia recibida Milagros Rocio Caristi"/>
        <s v="Transferencia recibida Jorge Esteban Etienot"/>
        <s v="Transferencia recibida Celta"/>
        <s v="Transferencia recibida Sol Milagros Bonato"/>
        <s v="Transferencia recibida Laura Agustina Galeano"/>
        <s v="Transferencia recibida Luciana Florencia Baranao"/>
        <s v="Transferencia recibida Daiana Julia Campodonico"/>
        <s v="Transferencia recibida Matías Eduardo Herlax"/>
        <s v="Transferencia recibida ANGELINA/BELEN HARDT"/>
        <s v="Transferencia recibida Miguel Salvador Ahumada"/>
        <s v="Transferencia recibida Silvina Lourdes Rein"/>
        <s v="Transferencia recibida Juan Cruz Vergara"/>
        <s v="Transferencia recibida Mateo Mariani"/>
        <s v="Transferencia recibida Maria Florencia Saade"/>
        <s v="Transferencia recibida Franco Nicolas Moreno Bordet"/>
        <s v="Transferencia recibida Nair Ayelen Chiappella Zarini"/>
        <s v="Transferencia recibida Alexis Maximiliano Dominguez"/>
        <s v="Compra de Kit De Internet Via Satélite Starlink Mini Mercado Libre"/>
        <s v="Pago MERCADOPAGO POINT AR"/>
        <s v="Transferencia enviada Norberto David Dolcet"/>
        <s v="Compra Mercado Libre"/>
        <s v="Transferencia enviada Municipalidad De Concepcion Del Uru"/>
        <s v="Compra de Epitrónica Pack 100 Rollos Papel Térmico 80x50 48grs Ticket, Comandera, ..."/>
        <s v="Pago RIO URUGUAY SEGUROS"/>
        <s v="Transferencia recibida Micaela Benitez CM"/>
        <s v="Pago de servicio Federación Patronal"/>
        <s v="Transferencia enviada Sucesion De Satto"/>
        <s v="Pago ADAPTO FUNGTASTIC S.R.L."/>
      </sharedItems>
    </cacheField>
    <cacheField name="REFERENCE_ID" numFmtId="1">
      <sharedItems containsSemiMixedTypes="0" containsString="0" containsNumber="1" containsInteger="1" minValue="135329078135" maxValue="140134432862"/>
    </cacheField>
    <cacheField name="TRANSACTION_NET_AMOUNT" numFmtId="0">
      <sharedItems containsSemiMixedTypes="0" containsString="0" containsNumber="1" minValue="-5960492.9299999997" maxValue="217442.05"/>
    </cacheField>
    <cacheField name="PARTIAL_BALANCE" numFmtId="4">
      <sharedItems containsSemiMixedTypes="0" containsString="0" containsNumber="1" minValue="9600467.5899999999" maxValue="28672072.25"/>
    </cacheField>
    <cacheField name="VARIOS" numFmtId="0">
      <sharedItems count="5">
        <s v="COBRO"/>
        <s v="IDC"/>
        <s v="PAGO PROVEEDOR"/>
        <s v="ARCA"/>
        <s v="RETIRO / PROV"/>
      </sharedItems>
    </cacheField>
    <cacheField name="TRANSACTION_TOTAL_AMOUNT" numFmtId="0">
      <sharedItems containsString="0" containsBlank="1" containsNumber="1" minValue="-5924943.2703777328" maxValue="-30579.880715705767"/>
    </cacheField>
    <cacheField name="IDC COMPRAS" numFmtId="0">
      <sharedItems containsNonDate="0" containsString="0" containsBlank="1"/>
    </cacheField>
    <cacheField name="SIRCUPA" numFmtId="164">
      <sharedItems containsSemiMixedTypes="0" containsString="0" containsNumber="1" minValue="-3192" maxValue="0"/>
    </cacheField>
    <cacheField name="SIRTAC" numFmtId="164">
      <sharedItems containsSemiMixedTypes="0" containsString="0" containsNumber="1" minValue="-2395" maxValue="392"/>
    </cacheField>
    <cacheField name="Gastos" numFmtId="164">
      <sharedItems containsSemiMixedTypes="0" containsString="0" containsNumber="1" minValue="-18225.95" maxValue="1540.56"/>
    </cacheField>
    <cacheField name="IDC" numFmtId="164">
      <sharedItems containsString="0" containsBlank="1" containsNumber="1" minValue="-35549.659622266889" maxValue="235.2"/>
    </cacheField>
    <cacheField name="MOV TOTAL" numFmtId="164">
      <sharedItems containsSemiMixedTypes="0" containsString="0" containsNumber="1" minValue="-5924943.2703777328" maxValue="2395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12">
  <r>
    <s v="01-12-2025"/>
    <x v="0"/>
    <s v="135329078135"/>
    <n v="19388.57"/>
    <n v="20972267.59"/>
  </r>
  <r>
    <s v="01-12-2025"/>
    <x v="0"/>
    <s v="135329349869"/>
    <n v="37599.06"/>
    <n v="21009866.649999999"/>
  </r>
  <r>
    <s v="01-12-2025"/>
    <x v="0"/>
    <s v="135945633656"/>
    <n v="8184.12"/>
    <n v="21018050.77"/>
  </r>
  <r>
    <s v="01-12-2025"/>
    <x v="0"/>
    <s v="135945997406"/>
    <n v="12276.18"/>
    <n v="21030326.949999999"/>
  </r>
  <r>
    <s v="01-12-2025"/>
    <x v="0"/>
    <s v="135330440377"/>
    <n v="55242.81"/>
    <n v="21085569.760000002"/>
  </r>
  <r>
    <s v="01-12-2025"/>
    <x v="0"/>
    <s v="135330988071"/>
    <n v="47518.41"/>
    <n v="21133088.170000002"/>
  </r>
  <r>
    <s v="01-12-2025"/>
    <x v="0"/>
    <s v="135331302959"/>
    <n v="16368.24"/>
    <n v="21149456.41"/>
  </r>
  <r>
    <s v="01-12-2025"/>
    <x v="0"/>
    <s v="135949105672"/>
    <n v="9840.43"/>
    <n v="21159296.84"/>
  </r>
  <r>
    <s v="01-12-2025"/>
    <x v="1"/>
    <s v="135979554276"/>
    <n v="-400000"/>
    <n v="20759296.84"/>
  </r>
  <r>
    <s v="01-12-2025"/>
    <x v="2"/>
    <s v="135979554276"/>
    <n v="-2400"/>
    <n v="20756896.84"/>
  </r>
  <r>
    <s v="01-12-2025"/>
    <x v="3"/>
    <s v="135362543637"/>
    <n v="-551528.92000000004"/>
    <n v="20205367.920000002"/>
  </r>
  <r>
    <s v="01-12-2025"/>
    <x v="2"/>
    <s v="135362543637"/>
    <n v="-3309.17"/>
    <n v="20202058.75"/>
  </r>
  <r>
    <s v="03-12-2025"/>
    <x v="0"/>
    <s v="135734903707"/>
    <n v="11690.63"/>
    <n v="20213749.379999999"/>
  </r>
  <r>
    <s v="03-12-2025"/>
    <x v="0"/>
    <s v="135738371583"/>
    <n v="24467.73"/>
    <n v="20238217.109999999"/>
  </r>
  <r>
    <s v="03-12-2025"/>
    <x v="0"/>
    <s v="135739132419"/>
    <n v="15681.08"/>
    <n v="20253898.190000001"/>
  </r>
  <r>
    <s v="03-12-2025"/>
    <x v="0"/>
    <s v="136364441784"/>
    <n v="4357.92"/>
    <n v="20258256.109999999"/>
  </r>
  <r>
    <s v="03-12-2025"/>
    <x v="4"/>
    <s v="136364596558"/>
    <n v="234.96"/>
    <n v="20258491.07"/>
  </r>
  <r>
    <s v="03-12-2025"/>
    <x v="0"/>
    <s v="136364614462"/>
    <n v="9069.1200000000008"/>
    <n v="20267560.190000001"/>
  </r>
  <r>
    <s v="03-12-2025"/>
    <x v="0"/>
    <s v="136366138324"/>
    <n v="7989.26"/>
    <n v="20275549.449999999"/>
  </r>
  <r>
    <s v="03-12-2025"/>
    <x v="0"/>
    <s v="135748062571"/>
    <n v="45629.01"/>
    <n v="20321178.460000001"/>
  </r>
  <r>
    <s v="03-12-2025"/>
    <x v="0"/>
    <s v="136370129344"/>
    <n v="23675.49"/>
    <n v="20344853.949999999"/>
  </r>
  <r>
    <s v="03-12-2025"/>
    <x v="0"/>
    <s v="135749825345"/>
    <n v="9069.1200000000008"/>
    <n v="20353923.07"/>
  </r>
  <r>
    <s v="03-12-2025"/>
    <x v="0"/>
    <s v="136373560516"/>
    <n v="30203.3"/>
    <n v="20384126.370000001"/>
  </r>
  <r>
    <s v="03-12-2025"/>
    <x v="0"/>
    <s v="136374043234"/>
    <n v="14127.35"/>
    <n v="20398253.719999999"/>
  </r>
  <r>
    <s v="03-12-2025"/>
    <x v="0"/>
    <s v="136374478166"/>
    <n v="29034.14"/>
    <n v="20427287.859999999"/>
  </r>
  <r>
    <s v="03-12-2025"/>
    <x v="0"/>
    <s v="135753489523"/>
    <n v="8573.84"/>
    <n v="20435861.699999999"/>
  </r>
  <r>
    <s v="03-12-2025"/>
    <x v="0"/>
    <s v="136374909026"/>
    <n v="28155.32"/>
    <n v="20464017.02"/>
  </r>
  <r>
    <s v="03-12-2025"/>
    <x v="5"/>
    <s v="136374922986"/>
    <n v="2828.33"/>
    <n v="20466845.350000001"/>
  </r>
  <r>
    <s v="03-12-2025"/>
    <x v="0"/>
    <s v="135754447275"/>
    <n v="11335.46"/>
    <n v="20478180.809999999"/>
  </r>
  <r>
    <s v="03-12-2025"/>
    <x v="0"/>
    <s v="135754874311"/>
    <n v="45848.95"/>
    <n v="20524029.760000002"/>
  </r>
  <r>
    <s v="03-12-2025"/>
    <x v="0"/>
    <s v="136376223468"/>
    <n v="21787.78"/>
    <n v="20545817.539999999"/>
  </r>
  <r>
    <s v="03-12-2025"/>
    <x v="0"/>
    <s v="136377026240"/>
    <n v="32025.33"/>
    <n v="20577842.870000001"/>
  </r>
  <r>
    <s v="03-12-2025"/>
    <x v="0"/>
    <s v="135757136427"/>
    <n v="4676.6400000000003"/>
    <n v="20582519.510000002"/>
  </r>
  <r>
    <s v="03-12-2025"/>
    <x v="0"/>
    <s v="135757391225"/>
    <n v="106198.7"/>
    <n v="20688718.210000001"/>
  </r>
  <r>
    <s v="03-12-2025"/>
    <x v="0"/>
    <s v="135757364099"/>
    <n v="14224.78"/>
    <n v="20702942.989999998"/>
  </r>
  <r>
    <s v="03-12-2025"/>
    <x v="0"/>
    <s v="136379529420"/>
    <n v="69435.45"/>
    <n v="20772378.440000001"/>
  </r>
  <r>
    <s v="03-12-2025"/>
    <x v="0"/>
    <s v="136380032928"/>
    <n v="146331.20000000001"/>
    <n v="20918709.640000001"/>
  </r>
  <r>
    <s v="03-12-2025"/>
    <x v="0"/>
    <s v="136380185164"/>
    <n v="48772.08"/>
    <n v="20967481.719999999"/>
  </r>
  <r>
    <s v="03-12-2025"/>
    <x v="0"/>
    <s v="135759480719"/>
    <n v="23381.25"/>
    <n v="20990862.969999999"/>
  </r>
  <r>
    <s v="03-12-2025"/>
    <x v="6"/>
    <s v="135759329655"/>
    <n v="1173.82"/>
    <n v="20992036.789999999"/>
  </r>
  <r>
    <s v="03-12-2025"/>
    <x v="0"/>
    <s v="136380675948"/>
    <n v="67615.45"/>
    <n v="21059652.239999998"/>
  </r>
  <r>
    <s v="03-12-2025"/>
    <x v="0"/>
    <s v="135759894119"/>
    <n v="35071.879999999997"/>
    <n v="21094724.120000001"/>
  </r>
  <r>
    <s v="04-12-2025"/>
    <x v="0"/>
    <s v="135759931927"/>
    <n v="8184.12"/>
    <n v="21102908.239999998"/>
  </r>
  <r>
    <s v="04-12-2025"/>
    <x v="0"/>
    <s v="136381321286"/>
    <n v="9840.43"/>
    <n v="21112748.670000002"/>
  </r>
  <r>
    <s v="04-12-2025"/>
    <x v="0"/>
    <s v="135760346847"/>
    <n v="11690.63"/>
    <n v="21124439.300000001"/>
  </r>
  <r>
    <s v="04-12-2025"/>
    <x v="0"/>
    <s v="135760275699"/>
    <n v="61868.05"/>
    <n v="21186307.350000001"/>
  </r>
  <r>
    <s v="04-12-2025"/>
    <x v="0"/>
    <s v="136382002426"/>
    <n v="52319.91"/>
    <n v="21238627.260000002"/>
  </r>
  <r>
    <s v="04-12-2025"/>
    <x v="0"/>
    <s v="135762331375"/>
    <n v="4774.07"/>
    <n v="21243401.329999998"/>
  </r>
  <r>
    <s v="04-12-2025"/>
    <x v="0"/>
    <s v="136383695972"/>
    <n v="31320.73"/>
    <n v="21274722.059999999"/>
  </r>
  <r>
    <s v="04-12-2025"/>
    <x v="0"/>
    <s v="136383829954"/>
    <n v="29813.58"/>
    <n v="21304535.640000001"/>
  </r>
  <r>
    <s v="04-12-2025"/>
    <x v="7"/>
    <s v="135762846725"/>
    <n v="1497.87"/>
    <n v="21306033.510000002"/>
  </r>
  <r>
    <s v="04-12-2025"/>
    <x v="0"/>
    <s v="136384024660"/>
    <n v="18901.419999999998"/>
    <n v="21324934.93"/>
  </r>
  <r>
    <s v="04-12-2025"/>
    <x v="0"/>
    <s v="136384104070"/>
    <n v="44967.72"/>
    <n v="21369902.649999999"/>
  </r>
  <r>
    <s v="04-12-2025"/>
    <x v="0"/>
    <s v="135763446201"/>
    <n v="20655.16"/>
    <n v="21390557.809999999"/>
  </r>
  <r>
    <s v="04-12-2025"/>
    <x v="0"/>
    <s v="135877734691"/>
    <n v="13797.42"/>
    <n v="21404355.23"/>
  </r>
  <r>
    <s v="04-12-2025"/>
    <x v="0"/>
    <s v="136505580672"/>
    <n v="25602.78"/>
    <n v="21429958.010000002"/>
  </r>
  <r>
    <s v="04-12-2025"/>
    <x v="8"/>
    <s v="136505473782"/>
    <n v="2760.78"/>
    <n v="21432718.789999999"/>
  </r>
  <r>
    <s v="04-12-2025"/>
    <x v="0"/>
    <s v="135884884887"/>
    <n v="29002.29"/>
    <n v="21461721.079999998"/>
  </r>
  <r>
    <s v="04-12-2025"/>
    <x v="0"/>
    <s v="136507926506"/>
    <n v="9258.06"/>
    <n v="21470979.140000001"/>
  </r>
  <r>
    <s v="04-12-2025"/>
    <x v="0"/>
    <s v="135887589531"/>
    <n v="7935.48"/>
    <n v="21478914.620000001"/>
  </r>
  <r>
    <s v="04-12-2025"/>
    <x v="0"/>
    <s v="135889088143"/>
    <n v="9645.57"/>
    <n v="21488560.190000001"/>
  </r>
  <r>
    <s v="04-12-2025"/>
    <x v="9"/>
    <s v="135888975597"/>
    <n v="484.6"/>
    <n v="21489044.789999999"/>
  </r>
  <r>
    <s v="04-12-2025"/>
    <x v="0"/>
    <s v="136512148984"/>
    <n v="9548.14"/>
    <n v="21498592.93"/>
  </r>
  <r>
    <s v="04-12-2025"/>
    <x v="0"/>
    <s v="135897982183"/>
    <n v="4440.09"/>
    <n v="21503033.02"/>
  </r>
  <r>
    <s v="04-12-2025"/>
    <x v="0"/>
    <s v="136520889392"/>
    <n v="4676.6400000000003"/>
    <n v="21507709.66"/>
  </r>
  <r>
    <s v="04-12-2025"/>
    <x v="0"/>
    <s v="135898239819"/>
    <n v="4092.06"/>
    <n v="21511801.719999999"/>
  </r>
  <r>
    <s v="04-12-2025"/>
    <x v="0"/>
    <s v="136521246224"/>
    <n v="21306.22"/>
    <n v="21533107.940000001"/>
  </r>
  <r>
    <s v="04-12-2025"/>
    <x v="0"/>
    <s v="135899858747"/>
    <n v="12764.96"/>
    <n v="21545872.899999999"/>
  </r>
  <r>
    <s v="04-12-2025"/>
    <x v="0"/>
    <s v="136522852030"/>
    <n v="26988.11"/>
    <n v="21572861.010000002"/>
  </r>
  <r>
    <s v="04-12-2025"/>
    <x v="0"/>
    <s v="135900371775"/>
    <n v="14926.26"/>
    <n v="21587787.27"/>
  </r>
  <r>
    <s v="04-12-2025"/>
    <x v="0"/>
    <s v="135900611305"/>
    <n v="4092.06"/>
    <n v="21591879.329999998"/>
  </r>
  <r>
    <s v="04-12-2025"/>
    <x v="10"/>
    <s v="135900601361"/>
    <n v="205.59"/>
    <n v="21592084.920000002"/>
  </r>
  <r>
    <s v="04-12-2025"/>
    <x v="0"/>
    <s v="136523721252"/>
    <n v="5358.65"/>
    <n v="21597443.57"/>
  </r>
  <r>
    <s v="04-12-2025"/>
    <x v="0"/>
    <s v="136523955074"/>
    <n v="3994.63"/>
    <n v="21601438.199999999"/>
  </r>
  <r>
    <s v="04-12-2025"/>
    <x v="0"/>
    <s v="136524590174"/>
    <n v="31175.1"/>
    <n v="21632613.300000001"/>
  </r>
  <r>
    <s v="04-12-2025"/>
    <x v="0"/>
    <s v="135902300611"/>
    <n v="10985.59"/>
    <n v="21643598.890000001"/>
  </r>
  <r>
    <s v="04-12-2025"/>
    <x v="0"/>
    <s v="135902991043"/>
    <n v="13934.88"/>
    <n v="21657533.77"/>
  </r>
  <r>
    <s v="04-12-2025"/>
    <x v="0"/>
    <s v="135903079939"/>
    <n v="41212.89"/>
    <n v="21698746.66"/>
  </r>
  <r>
    <s v="04-12-2025"/>
    <x v="0"/>
    <s v="135903488753"/>
    <n v="4676.6400000000003"/>
    <n v="21703423.300000001"/>
  </r>
  <r>
    <s v="04-12-2025"/>
    <x v="0"/>
    <s v="136525966018"/>
    <n v="5358.65"/>
    <n v="21708781.949999999"/>
  </r>
  <r>
    <s v="04-12-2025"/>
    <x v="0"/>
    <s v="135903704321"/>
    <n v="4384.3500000000004"/>
    <n v="21713166.300000001"/>
  </r>
  <r>
    <s v="04-12-2025"/>
    <x v="0"/>
    <s v="135903824609"/>
    <n v="31177.599999999999"/>
    <n v="21744343.899999999"/>
  </r>
  <r>
    <s v="04-12-2025"/>
    <x v="0"/>
    <s v="135903962267"/>
    <n v="3897.2"/>
    <n v="21748241.100000001"/>
  </r>
  <r>
    <s v="04-12-2025"/>
    <x v="11"/>
    <s v="135903889629"/>
    <n v="195.8"/>
    <n v="21748436.899999999"/>
  </r>
  <r>
    <s v="04-12-2025"/>
    <x v="0"/>
    <s v="135903977575"/>
    <n v="10717.3"/>
    <n v="21759154.199999999"/>
  </r>
  <r>
    <s v="04-12-2025"/>
    <x v="0"/>
    <s v="135904176073"/>
    <n v="4644.96"/>
    <n v="21763799.16"/>
  </r>
  <r>
    <s v="04-12-2025"/>
    <x v="0"/>
    <s v="136526927868"/>
    <n v="4676.6400000000003"/>
    <n v="21768475.800000001"/>
  </r>
  <r>
    <s v="04-12-2025"/>
    <x v="12"/>
    <s v="135904259461"/>
    <n v="234.96"/>
    <n v="21768710.760000002"/>
  </r>
  <r>
    <s v="04-12-2025"/>
    <x v="0"/>
    <s v="136527051650"/>
    <n v="9353.2800000000007"/>
    <n v="21778064.039999999"/>
  </r>
  <r>
    <s v="04-12-2025"/>
    <x v="0"/>
    <s v="136527375236"/>
    <n v="9353.2800000000007"/>
    <n v="21787417.32"/>
  </r>
  <r>
    <s v="04-12-2025"/>
    <x v="0"/>
    <s v="135904784987"/>
    <n v="5322.35"/>
    <n v="21792739.670000002"/>
  </r>
  <r>
    <s v="04-12-2025"/>
    <x v="0"/>
    <s v="136527796466"/>
    <n v="3994.63"/>
    <n v="21796734.300000001"/>
  </r>
  <r>
    <s v="04-12-2025"/>
    <x v="0"/>
    <s v="136527826814"/>
    <n v="4286.92"/>
    <n v="21801021.219999999"/>
  </r>
  <r>
    <s v="04-12-2025"/>
    <x v="0"/>
    <s v="136528092580"/>
    <n v="22408.9"/>
    <n v="21823430.120000001"/>
  </r>
  <r>
    <s v="04-12-2025"/>
    <x v="0"/>
    <s v="136528512600"/>
    <n v="5358.65"/>
    <n v="21828788.77"/>
  </r>
  <r>
    <s v="04-12-2025"/>
    <x v="0"/>
    <s v="136528767468"/>
    <n v="4286.92"/>
    <n v="21833075.690000001"/>
  </r>
  <r>
    <s v="04-12-2025"/>
    <x v="0"/>
    <s v="136528753792"/>
    <n v="14418.73"/>
    <n v="21847494.420000002"/>
  </r>
  <r>
    <s v="04-12-2025"/>
    <x v="0"/>
    <s v="135906555589"/>
    <n v="14029.92"/>
    <n v="21861524.34"/>
  </r>
  <r>
    <s v="04-12-2025"/>
    <x v="0"/>
    <s v="136529368322"/>
    <n v="16075.95"/>
    <n v="21877600.289999999"/>
  </r>
  <r>
    <s v="04-12-2025"/>
    <x v="0"/>
    <s v="136529601672"/>
    <n v="4676.6400000000003"/>
    <n v="21882276.93"/>
  </r>
  <r>
    <s v="04-12-2025"/>
    <x v="0"/>
    <s v="136529790482"/>
    <n v="3897.2"/>
    <n v="21886174.129999999"/>
  </r>
  <r>
    <s v="04-12-2025"/>
    <x v="0"/>
    <s v="136530047680"/>
    <n v="54239.58"/>
    <n v="21940413.710000001"/>
  </r>
  <r>
    <s v="05-12-2025"/>
    <x v="0"/>
    <s v="135908897041"/>
    <n v="45792.1"/>
    <n v="21986205.809999999"/>
  </r>
  <r>
    <s v="05-12-2025"/>
    <x v="13"/>
    <s v="136531346928"/>
    <n v="2300.65"/>
    <n v="21988506.460000001"/>
  </r>
  <r>
    <s v="05-12-2025"/>
    <x v="0"/>
    <s v="135909210549"/>
    <n v="41700.04"/>
    <n v="22030206.5"/>
  </r>
  <r>
    <s v="05-12-2025"/>
    <x v="0"/>
    <s v="135909548389"/>
    <n v="18803.990000000002"/>
    <n v="22049010.489999998"/>
  </r>
  <r>
    <s v="05-12-2025"/>
    <x v="0"/>
    <s v="136532314330"/>
    <n v="19744.23"/>
    <n v="22068754.719999999"/>
  </r>
  <r>
    <s v="05-12-2025"/>
    <x v="0"/>
    <s v="136532271696"/>
    <n v="26829.48"/>
    <n v="22095584.199999999"/>
  </r>
  <r>
    <s v="05-12-2025"/>
    <x v="0"/>
    <s v="135909801847"/>
    <n v="23772.92"/>
    <n v="22119357.120000001"/>
  </r>
  <r>
    <s v="05-12-2025"/>
    <x v="0"/>
    <s v="135910347159"/>
    <n v="44525.51"/>
    <n v="22163882.629999999"/>
  </r>
  <r>
    <s v="05-12-2025"/>
    <x v="0"/>
    <s v="136532968476"/>
    <n v="175383.55"/>
    <n v="22339266.18"/>
  </r>
  <r>
    <s v="05-12-2025"/>
    <x v="0"/>
    <s v="135910717417"/>
    <n v="83511.48"/>
    <n v="22422777.66"/>
  </r>
  <r>
    <s v="05-12-2025"/>
    <x v="0"/>
    <s v="135910779181"/>
    <n v="5725.46"/>
    <n v="22428503.120000001"/>
  </r>
  <r>
    <s v="05-12-2025"/>
    <x v="0"/>
    <s v="135910838031"/>
    <n v="4384.3500000000004"/>
    <n v="22432887.469999999"/>
  </r>
  <r>
    <s v="05-12-2025"/>
    <x v="0"/>
    <s v="135910964657"/>
    <n v="85933.26"/>
    <n v="22518820.73"/>
  </r>
  <r>
    <s v="05-12-2025"/>
    <x v="0"/>
    <s v="135911102295"/>
    <n v="67546.05"/>
    <n v="22586366.780000001"/>
  </r>
  <r>
    <s v="05-12-2025"/>
    <x v="0"/>
    <s v="135911230541"/>
    <n v="47140.53"/>
    <n v="22633507.309999999"/>
  </r>
  <r>
    <s v="05-12-2025"/>
    <x v="0"/>
    <s v="136534523898"/>
    <n v="15393.94"/>
    <n v="22648901.25"/>
  </r>
  <r>
    <s v="05-12-2025"/>
    <x v="0"/>
    <s v="136535032914"/>
    <n v="4774.07"/>
    <n v="22653675.32"/>
  </r>
  <r>
    <s v="05-12-2025"/>
    <x v="0"/>
    <s v="136535221070"/>
    <n v="62160.34"/>
    <n v="22715835.66"/>
  </r>
  <r>
    <s v="05-12-2025"/>
    <x v="0"/>
    <s v="136535378680"/>
    <n v="43940.93"/>
    <n v="22759776.59"/>
  </r>
  <r>
    <s v="05-12-2025"/>
    <x v="0"/>
    <s v="136537920028"/>
    <n v="19096.28"/>
    <n v="22778872.870000001"/>
  </r>
  <r>
    <s v="05-12-2025"/>
    <x v="0"/>
    <s v="135915566345"/>
    <n v="23480.63"/>
    <n v="22802353.5"/>
  </r>
  <r>
    <s v="05-12-2025"/>
    <x v="0"/>
    <s v="135916127391"/>
    <n v="39946.300000000003"/>
    <n v="22842299.800000001"/>
  </r>
  <r>
    <s v="05-12-2025"/>
    <x v="0"/>
    <s v="136539211002"/>
    <n v="8525.1200000000008"/>
    <n v="22850824.920000002"/>
  </r>
  <r>
    <s v="05-12-2025"/>
    <x v="14"/>
    <s v="136582518616"/>
    <n v="63145.5"/>
    <n v="22913970.420000002"/>
  </r>
  <r>
    <s v="05-12-2025"/>
    <x v="0"/>
    <s v="136675013138"/>
    <n v="4092.06"/>
    <n v="22918062.48"/>
  </r>
  <r>
    <s v="05-12-2025"/>
    <x v="15"/>
    <s v="136051543027"/>
    <n v="205.59"/>
    <n v="22918268.07"/>
  </r>
  <r>
    <s v="05-12-2025"/>
    <x v="0"/>
    <s v="136052254573"/>
    <n v="4534.5600000000004"/>
    <n v="22922802.629999999"/>
  </r>
  <r>
    <s v="05-12-2025"/>
    <x v="0"/>
    <s v="136676483834"/>
    <n v="23969"/>
    <n v="22946771.629999999"/>
  </r>
  <r>
    <s v="05-12-2025"/>
    <x v="0"/>
    <s v="136676932768"/>
    <n v="15870.96"/>
    <n v="22962642.59"/>
  </r>
  <r>
    <s v="05-12-2025"/>
    <x v="0"/>
    <s v="136677967596"/>
    <n v="15296.51"/>
    <n v="22977939.100000001"/>
  </r>
  <r>
    <s v="05-12-2025"/>
    <x v="0"/>
    <s v="136058124483"/>
    <n v="8715.84"/>
    <n v="22986654.940000001"/>
  </r>
  <r>
    <s v="05-12-2025"/>
    <x v="0"/>
    <s v="136684362466"/>
    <n v="26793.25"/>
    <n v="23013448.190000001"/>
  </r>
  <r>
    <s v="05-12-2025"/>
    <x v="16"/>
    <s v="136684356570"/>
    <n v="1346.12"/>
    <n v="23014794.309999999"/>
  </r>
  <r>
    <s v="05-12-2025"/>
    <x v="0"/>
    <s v="136684524618"/>
    <n v="4629.03"/>
    <n v="23019423.34"/>
  </r>
  <r>
    <s v="05-12-2025"/>
    <x v="0"/>
    <s v="136686063362"/>
    <n v="9548.14"/>
    <n v="23028971.48"/>
  </r>
  <r>
    <s v="05-12-2025"/>
    <x v="0"/>
    <s v="136689125144"/>
    <n v="8768.7000000000007"/>
    <n v="23037740.18"/>
  </r>
  <r>
    <s v="05-12-2025"/>
    <x v="0"/>
    <s v="136689207772"/>
    <n v="42889.38"/>
    <n v="23080629.559999999"/>
  </r>
  <r>
    <s v="05-12-2025"/>
    <x v="0"/>
    <s v="136690556608"/>
    <n v="16012.66"/>
    <n v="23096642.219999999"/>
  </r>
  <r>
    <s v="05-12-2025"/>
    <x v="0"/>
    <s v="136067110391"/>
    <n v="18657.82"/>
    <n v="23115300.039999999"/>
  </r>
  <r>
    <s v="05-12-2025"/>
    <x v="0"/>
    <s v="136691246728"/>
    <n v="50176.45"/>
    <n v="23165476.489999998"/>
  </r>
  <r>
    <s v="05-12-2025"/>
    <x v="0"/>
    <s v="136067944241"/>
    <n v="13164.55"/>
    <n v="23178641.039999999"/>
  </r>
  <r>
    <s v="05-12-2025"/>
    <x v="0"/>
    <s v="136693286622"/>
    <n v="4774.07"/>
    <n v="23183415.109999999"/>
  </r>
  <r>
    <s v="05-12-2025"/>
    <x v="0"/>
    <s v="136072576761"/>
    <n v="25136.94"/>
    <n v="23208552.050000001"/>
  </r>
  <r>
    <s v="05-12-2025"/>
    <x v="0"/>
    <s v="136697737900"/>
    <n v="29716.15"/>
    <n v="23238268.199999999"/>
  </r>
  <r>
    <s v="05-12-2025"/>
    <x v="0"/>
    <s v="136075632673"/>
    <n v="63621.79"/>
    <n v="23301889.989999998"/>
  </r>
  <r>
    <s v="05-12-2025"/>
    <x v="0"/>
    <s v="136699638344"/>
    <n v="57386.27"/>
    <n v="23359276.260000002"/>
  </r>
  <r>
    <s v="05-12-2025"/>
    <x v="0"/>
    <s v="136076832363"/>
    <n v="31762.18"/>
    <n v="23391038.440000001"/>
  </r>
  <r>
    <s v="06-12-2025"/>
    <x v="0"/>
    <s v="136078016419"/>
    <n v="39361.72"/>
    <n v="23430400.16"/>
  </r>
  <r>
    <s v="06-12-2025"/>
    <x v="0"/>
    <s v="136078826713"/>
    <n v="37315.69"/>
    <n v="23467715.850000001"/>
  </r>
  <r>
    <s v="06-12-2025"/>
    <x v="0"/>
    <s v="136703140262"/>
    <n v="57191.41"/>
    <n v="23524907.260000002"/>
  </r>
  <r>
    <s v="06-12-2025"/>
    <x v="17"/>
    <s v="136079648859"/>
    <n v="2873.36"/>
    <n v="23527780.620000001"/>
  </r>
  <r>
    <s v="06-12-2025"/>
    <x v="0"/>
    <s v="136703920262"/>
    <n v="42576.91"/>
    <n v="23570357.530000001"/>
  </r>
  <r>
    <s v="06-12-2025"/>
    <x v="0"/>
    <s v="136704187344"/>
    <n v="21546"/>
    <n v="23591903.530000001"/>
  </r>
  <r>
    <s v="06-12-2025"/>
    <x v="0"/>
    <s v="136080717447"/>
    <n v="13445.34"/>
    <n v="23605348.870000001"/>
  </r>
  <r>
    <s v="06-12-2025"/>
    <x v="0"/>
    <s v="136082008275"/>
    <n v="25234.37"/>
    <n v="23630583.239999998"/>
  </r>
  <r>
    <s v="06-12-2025"/>
    <x v="0"/>
    <s v="136082556343"/>
    <n v="13131.33"/>
    <n v="23643714.57"/>
  </r>
  <r>
    <s v="06-12-2025"/>
    <x v="0"/>
    <s v="136706179074"/>
    <n v="93825.09"/>
    <n v="23737539.66"/>
  </r>
  <r>
    <s v="06-12-2025"/>
    <x v="0"/>
    <s v="136706567546"/>
    <n v="18998.849999999999"/>
    <n v="23756538.510000002"/>
  </r>
  <r>
    <s v="06-12-2025"/>
    <x v="0"/>
    <s v="136706595996"/>
    <n v="83497.509999999995"/>
    <n v="23840036.02"/>
  </r>
  <r>
    <s v="06-12-2025"/>
    <x v="0"/>
    <s v="136083238703"/>
    <n v="45304.95"/>
    <n v="23885340.969999999"/>
  </r>
  <r>
    <s v="06-12-2025"/>
    <x v="0"/>
    <s v="136707102110"/>
    <n v="19778.29"/>
    <n v="23905119.260000002"/>
  </r>
  <r>
    <s v="06-12-2025"/>
    <x v="0"/>
    <s v="136707233790"/>
    <n v="47740.7"/>
    <n v="23952859.960000001"/>
  </r>
  <r>
    <s v="06-12-2025"/>
    <x v="10"/>
    <s v="136083759929"/>
    <n v="4797.1000000000004"/>
    <n v="23957657.059999999"/>
  </r>
  <r>
    <s v="06-12-2025"/>
    <x v="0"/>
    <s v="136707892144"/>
    <n v="53001.919999999998"/>
    <n v="24010658.98"/>
  </r>
  <r>
    <s v="06-12-2025"/>
    <x v="0"/>
    <s v="136708150316"/>
    <n v="16075.95"/>
    <n v="24026734.93"/>
  </r>
  <r>
    <s v="06-12-2025"/>
    <x v="0"/>
    <s v="136708166040"/>
    <n v="13547.8"/>
    <n v="24040282.73"/>
  </r>
  <r>
    <s v="06-12-2025"/>
    <x v="0"/>
    <s v="136085098461"/>
    <n v="58068.28"/>
    <n v="24098351.010000002"/>
  </r>
  <r>
    <s v="06-12-2025"/>
    <x v="0"/>
    <s v="136085255891"/>
    <n v="8313.36"/>
    <n v="24106664.370000001"/>
  </r>
  <r>
    <s v="06-12-2025"/>
    <x v="0"/>
    <s v="136709093234"/>
    <n v="30398.16"/>
    <n v="24137062.530000001"/>
  </r>
  <r>
    <s v="06-12-2025"/>
    <x v="18"/>
    <s v="136085501779"/>
    <n v="1527.24"/>
    <n v="24138589.77"/>
  </r>
  <r>
    <s v="06-12-2025"/>
    <x v="0"/>
    <s v="136709325646"/>
    <n v="17537.400000000001"/>
    <n v="24156127.170000002"/>
  </r>
  <r>
    <s v="06-12-2025"/>
    <x v="0"/>
    <s v="136709365352"/>
    <n v="59237.440000000002"/>
    <n v="24215364.609999999"/>
  </r>
  <r>
    <s v="06-12-2025"/>
    <x v="19"/>
    <s v="136709402958"/>
    <n v="2976.16"/>
    <n v="24218340.77"/>
  </r>
  <r>
    <s v="06-12-2025"/>
    <x v="0"/>
    <s v="136086050167"/>
    <n v="10619.87"/>
    <n v="24228960.640000001"/>
  </r>
  <r>
    <s v="06-12-2025"/>
    <x v="0"/>
    <s v="136086178973"/>
    <n v="22896.05"/>
    <n v="24251856.690000001"/>
  </r>
  <r>
    <s v="06-12-2025"/>
    <x v="20"/>
    <s v="136154630259"/>
    <n v="-30763.360000000001"/>
    <n v="24221093.329999998"/>
  </r>
  <r>
    <s v="06-12-2025"/>
    <x v="0"/>
    <s v="136182589345"/>
    <n v="14.17"/>
    <n v="24221107.5"/>
  </r>
  <r>
    <s v="06-12-2025"/>
    <x v="21"/>
    <s v="136182589345"/>
    <n v="-14.17"/>
    <n v="24221093.329999998"/>
  </r>
  <r>
    <s v="06-12-2025"/>
    <x v="0"/>
    <s v="136818536256"/>
    <n v="7935.48"/>
    <n v="24229028.809999999"/>
  </r>
  <r>
    <s v="06-12-2025"/>
    <x v="0"/>
    <s v="136197610809"/>
    <n v="9353.2800000000007"/>
    <n v="24238382.09"/>
  </r>
  <r>
    <s v="06-12-2025"/>
    <x v="0"/>
    <s v="136199301371"/>
    <n v="12081.32"/>
    <n v="24250463.41"/>
  </r>
  <r>
    <s v="06-12-2025"/>
    <x v="0"/>
    <s v="136825810056"/>
    <n v="13225.8"/>
    <n v="24263689.210000001"/>
  </r>
  <r>
    <s v="06-12-2025"/>
    <x v="0"/>
    <s v="136203880503"/>
    <n v="22483.86"/>
    <n v="24286173.07"/>
  </r>
  <r>
    <s v="06-12-2025"/>
    <x v="0"/>
    <s v="136204861051"/>
    <n v="19778.29"/>
    <n v="24305951.359999999"/>
  </r>
  <r>
    <s v="06-12-2025"/>
    <x v="22"/>
    <s v="136829205946"/>
    <n v="993.68"/>
    <n v="24306945.039999999"/>
  </r>
  <r>
    <s v="06-12-2025"/>
    <x v="0"/>
    <s v="136206758325"/>
    <n v="71905.679999999993"/>
    <n v="24378850.719999999"/>
  </r>
  <r>
    <s v="06-12-2025"/>
    <x v="0"/>
    <s v="136206659707"/>
    <n v="34879.94"/>
    <n v="24413730.66"/>
  </r>
  <r>
    <s v="06-12-2025"/>
    <x v="0"/>
    <s v="136830857486"/>
    <n v="9548.14"/>
    <n v="24423278.800000001"/>
  </r>
  <r>
    <s v="06-12-2025"/>
    <x v="0"/>
    <s v="136831622152"/>
    <n v="31536.959999999999"/>
    <n v="24454815.760000002"/>
  </r>
  <r>
    <s v="06-12-2025"/>
    <x v="0"/>
    <s v="136832417604"/>
    <n v="9258.06"/>
    <n v="24464073.82"/>
  </r>
  <r>
    <s v="06-12-2025"/>
    <x v="0"/>
    <s v="136832854604"/>
    <n v="41672.61"/>
    <n v="24505746.43"/>
  </r>
  <r>
    <s v="06-12-2025"/>
    <x v="0"/>
    <s v="136833574628"/>
    <n v="15776.49"/>
    <n v="24521522.920000002"/>
  </r>
  <r>
    <s v="06-12-2025"/>
    <x v="0"/>
    <s v="136834634474"/>
    <n v="55242.81"/>
    <n v="24576765.73"/>
  </r>
  <r>
    <s v="06-12-2025"/>
    <x v="23"/>
    <s v="136210105119"/>
    <n v="5550.93"/>
    <n v="24582316.66"/>
  </r>
  <r>
    <s v="06-12-2025"/>
    <x v="0"/>
    <s v="136210130003"/>
    <n v="9010.56"/>
    <n v="24591327.219999999"/>
  </r>
  <r>
    <s v="06-12-2025"/>
    <x v="0"/>
    <s v="136834993162"/>
    <n v="28059.84"/>
    <n v="24619387.059999999"/>
  </r>
  <r>
    <s v="06-12-2025"/>
    <x v="0"/>
    <s v="136211684499"/>
    <n v="7935.48"/>
    <n v="24627322.539999999"/>
  </r>
  <r>
    <s v="06-12-2025"/>
    <x v="0"/>
    <s v="136213897005"/>
    <n v="27864.98"/>
    <n v="24655187.52"/>
  </r>
  <r>
    <s v="06-12-2025"/>
    <x v="0"/>
    <s v="136838943248"/>
    <n v="53781.36"/>
    <n v="24708968.879999999"/>
  </r>
  <r>
    <s v="06-12-2025"/>
    <x v="0"/>
    <s v="136215527717"/>
    <n v="9548.14"/>
    <n v="24718517.02"/>
  </r>
  <r>
    <s v="06-12-2025"/>
    <x v="0"/>
    <s v="136216655895"/>
    <n v="72975.070000000007"/>
    <n v="24791492.09"/>
  </r>
  <r>
    <s v="06-12-2025"/>
    <x v="0"/>
    <s v="136841338408"/>
    <n v="27600.16"/>
    <n v="24819092.25"/>
  </r>
  <r>
    <s v="06-12-2025"/>
    <x v="0"/>
    <s v="136842377166"/>
    <n v="44720.37"/>
    <n v="24863812.620000001"/>
  </r>
  <r>
    <s v="06-12-2025"/>
    <x v="0"/>
    <s v="136218123829"/>
    <n v="32139.66"/>
    <n v="24895952.280000001"/>
  </r>
  <r>
    <s v="06-12-2025"/>
    <x v="0"/>
    <s v="136218385685"/>
    <n v="11169.34"/>
    <n v="24907121.620000001"/>
  </r>
  <r>
    <s v="06-12-2025"/>
    <x v="0"/>
    <s v="136219156717"/>
    <n v="30105.87"/>
    <n v="24937227.489999998"/>
  </r>
  <r>
    <s v="06-12-2025"/>
    <x v="24"/>
    <s v="136843283090"/>
    <n v="3025.11"/>
    <n v="24940252.600000001"/>
  </r>
  <r>
    <s v="06-12-2025"/>
    <x v="0"/>
    <s v="136219694583"/>
    <n v="13445.34"/>
    <n v="24953697.940000001"/>
  </r>
  <r>
    <s v="06-12-2025"/>
    <x v="0"/>
    <s v="136219721357"/>
    <n v="46181.82"/>
    <n v="24999879.760000002"/>
  </r>
  <r>
    <s v="07-12-2025"/>
    <x v="0"/>
    <s v="136220079091"/>
    <n v="39459.15"/>
    <n v="25039338.91"/>
  </r>
  <r>
    <s v="07-12-2025"/>
    <x v="0"/>
    <s v="136220272599"/>
    <n v="74158.95"/>
    <n v="25113497.859999999"/>
  </r>
  <r>
    <s v="07-12-2025"/>
    <x v="0"/>
    <s v="136220557227"/>
    <n v="39556.58"/>
    <n v="25153054.440000001"/>
  </r>
  <r>
    <s v="07-12-2025"/>
    <x v="0"/>
    <s v="136220730559"/>
    <n v="65667.820000000007"/>
    <n v="25218722.260000002"/>
  </r>
  <r>
    <s v="07-12-2025"/>
    <x v="25"/>
    <s v="136220625165"/>
    <n v="3299.23"/>
    <n v="25222021.489999998"/>
  </r>
  <r>
    <s v="07-12-2025"/>
    <x v="0"/>
    <s v="136220865009"/>
    <n v="104995.45"/>
    <n v="25327016.940000001"/>
  </r>
  <r>
    <s v="07-12-2025"/>
    <x v="0"/>
    <s v="136220881265"/>
    <n v="4774.07"/>
    <n v="25331791.010000002"/>
  </r>
  <r>
    <s v="07-12-2025"/>
    <x v="26"/>
    <s v="136845098224"/>
    <n v="479.71"/>
    <n v="25332270.719999999"/>
  </r>
  <r>
    <s v="07-12-2025"/>
    <x v="0"/>
    <s v="136221145509"/>
    <n v="38192.559999999998"/>
    <n v="25370463.280000001"/>
  </r>
  <r>
    <s v="07-12-2025"/>
    <x v="0"/>
    <s v="136845876898"/>
    <n v="9743"/>
    <n v="25380206.280000001"/>
  </r>
  <r>
    <s v="07-12-2025"/>
    <x v="27"/>
    <s v="136845900762"/>
    <n v="979"/>
    <n v="25381185.280000001"/>
  </r>
  <r>
    <s v="07-12-2025"/>
    <x v="0"/>
    <s v="136221829339"/>
    <n v="64835.9"/>
    <n v="25446021.18"/>
  </r>
  <r>
    <s v="07-12-2025"/>
    <x v="0"/>
    <s v="136222531101"/>
    <n v="65940.06"/>
    <n v="25511961.239999998"/>
  </r>
  <r>
    <s v="07-12-2025"/>
    <x v="0"/>
    <s v="136847009092"/>
    <n v="47707.61"/>
    <n v="25559668.850000001"/>
  </r>
  <r>
    <s v="07-12-2025"/>
    <x v="0"/>
    <s v="136847414214"/>
    <n v="118937.73"/>
    <n v="25678606.579999998"/>
  </r>
  <r>
    <s v="07-12-2025"/>
    <x v="0"/>
    <s v="136223253361"/>
    <n v="39069.43"/>
    <n v="25717676.010000002"/>
  </r>
  <r>
    <s v="07-12-2025"/>
    <x v="28"/>
    <s v="136223263413"/>
    <n v="1962.89"/>
    <n v="25719638.899999999"/>
  </r>
  <r>
    <s v="07-12-2025"/>
    <x v="0"/>
    <s v="136223962251"/>
    <n v="4676.6400000000003"/>
    <n v="25724315.539999999"/>
  </r>
  <r>
    <s v="07-12-2025"/>
    <x v="29"/>
    <s v="136847779382"/>
    <n v="234.96"/>
    <n v="25724550.5"/>
  </r>
  <r>
    <s v="07-12-2025"/>
    <x v="0"/>
    <s v="136847902518"/>
    <n v="34100.5"/>
    <n v="25758651"/>
  </r>
  <r>
    <s v="07-12-2025"/>
    <x v="0"/>
    <s v="136848149164"/>
    <n v="7508.8"/>
    <n v="25766159.800000001"/>
  </r>
  <r>
    <s v="07-12-2025"/>
    <x v="0"/>
    <s v="136224880879"/>
    <n v="28624.41"/>
    <n v="25794784.210000001"/>
  </r>
  <r>
    <s v="07-12-2025"/>
    <x v="0"/>
    <s v="136224867297"/>
    <n v="14829.88"/>
    <n v="25809614.09"/>
  </r>
  <r>
    <s v="07-12-2025"/>
    <x v="0"/>
    <s v="136849120260"/>
    <n v="125100.12"/>
    <n v="25934714.210000001"/>
  </r>
  <r>
    <s v="07-12-2025"/>
    <x v="0"/>
    <s v="136849253616"/>
    <n v="26306.1"/>
    <n v="25961020.309999999"/>
  </r>
  <r>
    <s v="07-12-2025"/>
    <x v="30"/>
    <s v="136849195784"/>
    <n v="2643.3"/>
    <n v="25963663.609999999"/>
  </r>
  <r>
    <s v="07-12-2025"/>
    <x v="0"/>
    <s v="136225228919"/>
    <n v="17571.419999999998"/>
    <n v="25981235.030000001"/>
  </r>
  <r>
    <s v="07-12-2025"/>
    <x v="0"/>
    <s v="136225395513"/>
    <n v="53391.64"/>
    <n v="26034626.670000002"/>
  </r>
  <r>
    <s v="07-12-2025"/>
    <x v="0"/>
    <s v="136850043496"/>
    <n v="7989.26"/>
    <n v="26042615.93"/>
  </r>
  <r>
    <s v="07-12-2025"/>
    <x v="0"/>
    <s v="136225810367"/>
    <n v="13250.48"/>
    <n v="26055866.41"/>
  </r>
  <r>
    <s v="07-12-2025"/>
    <x v="0"/>
    <s v="136226252295"/>
    <n v="38874.57"/>
    <n v="26094740.98"/>
  </r>
  <r>
    <s v="07-12-2025"/>
    <x v="31"/>
    <s v="136850580072"/>
    <n v="1953.1"/>
    <n v="26096694.079999998"/>
  </r>
  <r>
    <s v="07-12-2025"/>
    <x v="0"/>
    <s v="136851154852"/>
    <n v="14980.35"/>
    <n v="26111674.43"/>
  </r>
  <r>
    <s v="07-12-2025"/>
    <x v="0"/>
    <s v="136851820766"/>
    <n v="10717.3"/>
    <n v="26122391.73"/>
  </r>
  <r>
    <s v="07-12-2025"/>
    <x v="0"/>
    <s v="136228392459"/>
    <n v="9069.1200000000008"/>
    <n v="26131460.850000001"/>
  </r>
  <r>
    <s v="07-12-2025"/>
    <x v="0"/>
    <s v="136852498300"/>
    <n v="49591.87"/>
    <n v="26181052.719999999"/>
  </r>
  <r>
    <s v="07-12-2025"/>
    <x v="0"/>
    <s v="136852538278"/>
    <n v="38972"/>
    <n v="26220024.719999999"/>
  </r>
  <r>
    <s v="07-12-2025"/>
    <x v="0"/>
    <s v="136852576368"/>
    <n v="22896.05"/>
    <n v="26242920.77"/>
  </r>
  <r>
    <s v="07-12-2025"/>
    <x v="32"/>
    <s v="136852399824"/>
    <n v="1150.32"/>
    <n v="26244071.09"/>
  </r>
  <r>
    <s v="07-12-2025"/>
    <x v="0"/>
    <s v="136228863049"/>
    <n v="22798.62"/>
    <n v="26266869.710000001"/>
  </r>
  <r>
    <s v="07-12-2025"/>
    <x v="0"/>
    <s v="136853004650"/>
    <n v="12092.16"/>
    <n v="26278961.870000001"/>
  </r>
  <r>
    <s v="07-12-2025"/>
    <x v="0"/>
    <s v="136229026095"/>
    <n v="10717.3"/>
    <n v="26289679.170000002"/>
  </r>
  <r>
    <s v="07-12-2025"/>
    <x v="0"/>
    <s v="136853257216"/>
    <n v="9069.1200000000008"/>
    <n v="26298748.289999999"/>
  </r>
  <r>
    <s v="07-12-2025"/>
    <x v="0"/>
    <s v="136853330906"/>
    <n v="21880.39"/>
    <n v="26320628.68"/>
  </r>
  <r>
    <s v="07-12-2025"/>
    <x v="0"/>
    <s v="136853412720"/>
    <n v="8671.27"/>
    <n v="26329299.949999999"/>
  </r>
  <r>
    <s v="07-12-2025"/>
    <x v="0"/>
    <s v="136853256074"/>
    <n v="4481.78"/>
    <n v="26333781.73"/>
  </r>
  <r>
    <s v="07-12-2025"/>
    <x v="0"/>
    <s v="136853572472"/>
    <n v="23188.34"/>
    <n v="26356970.07"/>
  </r>
  <r>
    <s v="07-12-2025"/>
    <x v="0"/>
    <s v="136229366917"/>
    <n v="18327.18"/>
    <n v="26375297.25"/>
  </r>
  <r>
    <s v="07-12-2025"/>
    <x v="0"/>
    <s v="136307742213"/>
    <n v="13835.06"/>
    <n v="26389132.309999999"/>
  </r>
  <r>
    <s v="07-12-2025"/>
    <x v="0"/>
    <s v="136932804102"/>
    <n v="19096.28"/>
    <n v="26408228.59"/>
  </r>
  <r>
    <s v="07-12-2025"/>
    <x v="0"/>
    <s v="136308302633"/>
    <n v="14127.35"/>
    <n v="26422355.940000001"/>
  </r>
  <r>
    <s v="07-12-2025"/>
    <x v="33"/>
    <s v="136308330289"/>
    <n v="709.77"/>
    <n v="26423065.710000001"/>
  </r>
  <r>
    <s v="07-12-2025"/>
    <x v="0"/>
    <s v="136310829977"/>
    <n v="11301.88"/>
    <n v="26434367.59"/>
  </r>
  <r>
    <s v="07-12-2025"/>
    <x v="0"/>
    <s v="136311573047"/>
    <n v="28352.13"/>
    <n v="26462719.719999999"/>
  </r>
  <r>
    <s v="07-12-2025"/>
    <x v="34"/>
    <s v="136936109502"/>
    <n v="1424.44"/>
    <n v="26464144.16"/>
  </r>
  <r>
    <s v="07-12-2025"/>
    <x v="0"/>
    <s v="136936831094"/>
    <n v="9548.14"/>
    <n v="26473692.300000001"/>
  </r>
  <r>
    <s v="07-12-2025"/>
    <x v="0"/>
    <s v="136941329056"/>
    <n v="7884.24"/>
    <n v="26481576.539999999"/>
  </r>
  <r>
    <s v="07-12-2025"/>
    <x v="0"/>
    <s v="136317195527"/>
    <n v="15661.27"/>
    <n v="26497237.809999999"/>
  </r>
  <r>
    <s v="07-12-2025"/>
    <x v="0"/>
    <s v="136319101835"/>
    <n v="9353.2800000000007"/>
    <n v="26506591.09"/>
  </r>
  <r>
    <s v="07-12-2025"/>
    <x v="0"/>
    <s v="136943872826"/>
    <n v="27475.26"/>
    <n v="26534066.350000001"/>
  </r>
  <r>
    <s v="07-12-2025"/>
    <x v="35"/>
    <s v="136943914206"/>
    <n v="2760.78"/>
    <n v="26536827.129999999"/>
  </r>
  <r>
    <s v="07-12-2025"/>
    <x v="0"/>
    <s v="136944124048"/>
    <n v="8671.27"/>
    <n v="26545498.399999999"/>
  </r>
  <r>
    <s v="07-12-2025"/>
    <x v="0"/>
    <s v="136319916303"/>
    <n v="61186.04"/>
    <n v="26606684.440000001"/>
  </r>
  <r>
    <s v="07-12-2025"/>
    <x v="36"/>
    <s v="136319904505"/>
    <n v="6148.12"/>
    <n v="26612832.559999999"/>
  </r>
  <r>
    <s v="07-12-2025"/>
    <x v="0"/>
    <s v="136319893937"/>
    <n v="65718.64"/>
    <n v="26678551.199999999"/>
  </r>
  <r>
    <s v="07-12-2025"/>
    <x v="0"/>
    <s v="136320927381"/>
    <n v="29474.639999999999"/>
    <n v="26708025.84"/>
  </r>
  <r>
    <s v="07-12-2025"/>
    <x v="0"/>
    <s v="136321148165"/>
    <n v="9353.2800000000007"/>
    <n v="26717379.120000001"/>
  </r>
  <r>
    <s v="07-12-2025"/>
    <x v="0"/>
    <s v="136945689714"/>
    <n v="44233.22"/>
    <n v="26761612.34"/>
  </r>
  <r>
    <s v="07-12-2025"/>
    <x v="0"/>
    <s v="136321226061"/>
    <n v="45012.66"/>
    <n v="26806625"/>
  </r>
  <r>
    <s v="07-12-2025"/>
    <x v="0"/>
    <s v="136946176762"/>
    <n v="76615.17"/>
    <n v="26883240.170000002"/>
  </r>
  <r>
    <s v="07-12-2025"/>
    <x v="0"/>
    <s v="136946271262"/>
    <n v="4676.6400000000003"/>
    <n v="26887916.809999999"/>
  </r>
  <r>
    <s v="07-12-2025"/>
    <x v="37"/>
    <s v="136321620855"/>
    <n v="234.96"/>
    <n v="26888151.77"/>
  </r>
  <r>
    <s v="07-12-2025"/>
    <x v="0"/>
    <s v="136321853917"/>
    <n v="39677.4"/>
    <n v="26927829.170000002"/>
  </r>
  <r>
    <s v="07-12-2025"/>
    <x v="0"/>
    <s v="136948433642"/>
    <n v="29618.720000000001"/>
    <n v="26957447.890000001"/>
  </r>
  <r>
    <s v="07-12-2025"/>
    <x v="0"/>
    <s v="136324281207"/>
    <n v="37504.589999999997"/>
    <n v="26994952.48"/>
  </r>
  <r>
    <s v="07-12-2025"/>
    <x v="0"/>
    <s v="136324541637"/>
    <n v="36276.480000000003"/>
    <n v="27031228.960000001"/>
  </r>
  <r>
    <s v="07-12-2025"/>
    <x v="0"/>
    <s v="136324797799"/>
    <n v="36588.370000000003"/>
    <n v="27067817.329999998"/>
  </r>
  <r>
    <s v="07-12-2025"/>
    <x v="0"/>
    <s v="136325278171"/>
    <n v="9258.06"/>
    <n v="27077075.390000001"/>
  </r>
  <r>
    <s v="07-12-2025"/>
    <x v="0"/>
    <s v="136950108244"/>
    <n v="10035.290000000001"/>
    <n v="27087110.68"/>
  </r>
  <r>
    <s v="07-12-2025"/>
    <x v="0"/>
    <s v="136326087677"/>
    <n v="36341.39"/>
    <n v="27123452.07"/>
  </r>
  <r>
    <s v="07-12-2025"/>
    <x v="38"/>
    <s v="136950519952"/>
    <n v="3651.67"/>
    <n v="27127103.739999998"/>
  </r>
  <r>
    <s v="07-12-2025"/>
    <x v="0"/>
    <s v="136326212539"/>
    <n v="33064.5"/>
    <n v="27160168.239999998"/>
  </r>
  <r>
    <s v="07-12-2025"/>
    <x v="0"/>
    <s v="136950669354"/>
    <n v="34576.019999999997"/>
    <n v="27194744.260000002"/>
  </r>
  <r>
    <s v="07-12-2025"/>
    <x v="0"/>
    <s v="136951233398"/>
    <n v="59529.73"/>
    <n v="27254273.989999998"/>
  </r>
  <r>
    <s v="07-12-2025"/>
    <x v="0"/>
    <s v="136326731001"/>
    <n v="11594.17"/>
    <n v="27265868.16"/>
  </r>
  <r>
    <s v="07-12-2025"/>
    <x v="0"/>
    <s v="136951857762"/>
    <n v="39288.620000000003"/>
    <n v="27305156.780000001"/>
  </r>
  <r>
    <s v="07-12-2025"/>
    <x v="0"/>
    <s v="136327286571"/>
    <n v="19388.57"/>
    <n v="27324545.350000001"/>
  </r>
  <r>
    <s v="07-12-2025"/>
    <x v="0"/>
    <s v="136952258442"/>
    <n v="47545.84"/>
    <n v="27372091.190000001"/>
  </r>
  <r>
    <s v="07-12-2025"/>
    <x v="0"/>
    <s v="136952289620"/>
    <n v="4774.07"/>
    <n v="27376865.260000002"/>
  </r>
  <r>
    <s v="07-12-2025"/>
    <x v="0"/>
    <s v="136328449873"/>
    <n v="141370.93"/>
    <n v="27518236.190000001"/>
  </r>
  <r>
    <s v="07-12-2025"/>
    <x v="0"/>
    <s v="136328990057"/>
    <n v="53564.49"/>
    <n v="27571800.68"/>
  </r>
  <r>
    <s v="07-12-2025"/>
    <x v="0"/>
    <s v="136953884316"/>
    <n v="45345.599999999999"/>
    <n v="27617146.280000001"/>
  </r>
  <r>
    <s v="07-12-2025"/>
    <x v="0"/>
    <s v="136329284763"/>
    <n v="32931.339999999997"/>
    <n v="27650077.620000001"/>
  </r>
  <r>
    <s v="08-12-2025"/>
    <x v="0"/>
    <s v="136954494152"/>
    <n v="27207.360000000001"/>
    <n v="27677284.98"/>
  </r>
  <r>
    <s v="08-12-2025"/>
    <x v="0"/>
    <s v="136330605015"/>
    <n v="18490.419999999998"/>
    <n v="27695775.399999999"/>
  </r>
  <r>
    <s v="08-12-2025"/>
    <x v="0"/>
    <s v="136330599489"/>
    <n v="73949.37"/>
    <n v="27769724.77"/>
  </r>
  <r>
    <s v="08-12-2025"/>
    <x v="0"/>
    <s v="136330783263"/>
    <n v="10391.700000000001"/>
    <n v="27780116.469999999"/>
  </r>
  <r>
    <s v="08-12-2025"/>
    <x v="0"/>
    <s v="136330964239"/>
    <n v="57873.42"/>
    <n v="27837989.890000001"/>
  </r>
  <r>
    <s v="08-12-2025"/>
    <x v="0"/>
    <s v="136955923120"/>
    <n v="8625.0499999999993"/>
    <n v="27846614.940000001"/>
  </r>
  <r>
    <s v="08-12-2025"/>
    <x v="0"/>
    <s v="136331418449"/>
    <n v="53124.76"/>
    <n v="27899739.699999999"/>
  </r>
  <r>
    <s v="08-12-2025"/>
    <x v="0"/>
    <s v="136331423567"/>
    <n v="43064.06"/>
    <n v="27942803.760000002"/>
  </r>
  <r>
    <s v="08-12-2025"/>
    <x v="0"/>
    <s v="136956632996"/>
    <n v="21493.94"/>
    <n v="27964297.699999999"/>
  </r>
  <r>
    <s v="08-12-2025"/>
    <x v="39"/>
    <s v="136956585806"/>
    <n v="1120.95"/>
    <n v="27965418.649999999"/>
  </r>
  <r>
    <s v="08-12-2025"/>
    <x v="0"/>
    <s v="136956816280"/>
    <n v="20881.7"/>
    <n v="27986300.350000001"/>
  </r>
  <r>
    <s v="08-12-2025"/>
    <x v="0"/>
    <s v="136956905972"/>
    <n v="42674.34"/>
    <n v="28028974.690000001"/>
  </r>
  <r>
    <s v="08-12-2025"/>
    <x v="0"/>
    <s v="136332882027"/>
    <n v="76426.23"/>
    <n v="28105400.920000002"/>
  </r>
  <r>
    <s v="08-12-2025"/>
    <x v="0"/>
    <s v="136958169118"/>
    <n v="59529.73"/>
    <n v="28164930.649999999"/>
  </r>
  <r>
    <s v="08-12-2025"/>
    <x v="0"/>
    <s v="136333515769"/>
    <n v="2815.8"/>
    <n v="28167746.449999999"/>
  </r>
  <r>
    <s v="08-12-2025"/>
    <x v="0"/>
    <s v="136333640811"/>
    <n v="8353.5400000000009"/>
    <n v="28176099.989999998"/>
  </r>
  <r>
    <s v="08-12-2025"/>
    <x v="0"/>
    <s v="136333603887"/>
    <n v="31859.61"/>
    <n v="28207959.600000001"/>
  </r>
  <r>
    <s v="08-12-2025"/>
    <x v="0"/>
    <s v="136333850811"/>
    <n v="11886.46"/>
    <n v="28219846.059999999"/>
  </r>
  <r>
    <s v="08-12-2025"/>
    <x v="0"/>
    <s v="136334028143"/>
    <n v="47058.69"/>
    <n v="28266904.75"/>
  </r>
  <r>
    <s v="08-12-2025"/>
    <x v="40"/>
    <s v="136333911623"/>
    <n v="2364.2800000000002"/>
    <n v="28269269.030000001"/>
  </r>
  <r>
    <s v="08-12-2025"/>
    <x v="0"/>
    <s v="136958415842"/>
    <n v="17732.259999999998"/>
    <n v="28287001.289999999"/>
  </r>
  <r>
    <s v="08-12-2025"/>
    <x v="0"/>
    <s v="136334135265"/>
    <n v="29229"/>
    <n v="28316230.289999999"/>
  </r>
  <r>
    <s v="08-12-2025"/>
    <x v="0"/>
    <s v="136334261105"/>
    <n v="7696.97"/>
    <n v="28323927.260000002"/>
  </r>
  <r>
    <s v="08-12-2025"/>
    <x v="41"/>
    <s v="136334300589"/>
    <n v="386.7"/>
    <n v="28324313.960000001"/>
  </r>
  <r>
    <s v="08-12-2025"/>
    <x v="0"/>
    <s v="136334273453"/>
    <n v="15393.94"/>
    <n v="28339707.899999999"/>
  </r>
  <r>
    <s v="08-12-2025"/>
    <x v="0"/>
    <s v="136958889094"/>
    <n v="19680.86"/>
    <n v="28359388.760000002"/>
  </r>
  <r>
    <s v="08-12-2025"/>
    <x v="42"/>
    <s v="136958796086"/>
    <n v="988.79"/>
    <n v="28360377.550000001"/>
  </r>
  <r>
    <s v="08-12-2025"/>
    <x v="0"/>
    <s v="136958915420"/>
    <n v="9255.85"/>
    <n v="28369633.399999999"/>
  </r>
  <r>
    <s v="08-12-2025"/>
    <x v="43"/>
    <s v="136334392821"/>
    <n v="465.02"/>
    <n v="28370098.420000002"/>
  </r>
  <r>
    <s v="08-12-2025"/>
    <x v="0"/>
    <s v="136334494425"/>
    <n v="25526.66"/>
    <n v="28395625.079999998"/>
  </r>
  <r>
    <s v="08-12-2025"/>
    <x v="0"/>
    <s v="136959425226"/>
    <n v="16368.24"/>
    <n v="28411993.32"/>
  </r>
  <r>
    <s v="08-12-2025"/>
    <x v="0"/>
    <s v="136334778599"/>
    <n v="83066.100000000006"/>
    <n v="28495059.420000002"/>
  </r>
  <r>
    <s v="08-12-2025"/>
    <x v="0"/>
    <s v="136959531074"/>
    <n v="20655.16"/>
    <n v="28515714.579999998"/>
  </r>
  <r>
    <s v="08-12-2025"/>
    <x v="0"/>
    <s v="136334764081"/>
    <n v="28059.84"/>
    <n v="28543774.420000002"/>
  </r>
  <r>
    <s v="08-12-2025"/>
    <x v="0"/>
    <s v="136334940399"/>
    <n v="35269.660000000003"/>
    <n v="28579044.079999998"/>
  </r>
  <r>
    <s v="08-12-2025"/>
    <x v="44"/>
    <s v="136334889161"/>
    <n v="3543.98"/>
    <n v="28582588.059999999"/>
  </r>
  <r>
    <s v="08-12-2025"/>
    <x v="0"/>
    <s v="136959626564"/>
    <n v="18138.240000000002"/>
    <n v="28600726.300000001"/>
  </r>
  <r>
    <s v="08-12-2025"/>
    <x v="0"/>
    <s v="136334877837"/>
    <n v="14322.21"/>
    <n v="28615048.510000002"/>
  </r>
  <r>
    <s v="08-12-2025"/>
    <x v="0"/>
    <s v="136335028573"/>
    <n v="10327.58"/>
    <n v="28625376.09"/>
  </r>
  <r>
    <s v="08-12-2025"/>
    <x v="45"/>
    <s v="136334931569"/>
    <n v="518.87"/>
    <n v="28625894.960000001"/>
  </r>
  <r>
    <s v="08-12-2025"/>
    <x v="0"/>
    <s v="136335038561"/>
    <n v="20265.439999999999"/>
    <n v="28646160.399999999"/>
  </r>
  <r>
    <s v="08-12-2025"/>
    <x v="46"/>
    <s v="136959627750"/>
    <n v="1018.16"/>
    <n v="28647178.559999999"/>
  </r>
  <r>
    <s v="08-12-2025"/>
    <x v="0"/>
    <s v="136959665908"/>
    <n v="14906.79"/>
    <n v="28662085.350000001"/>
  </r>
  <r>
    <s v="08-12-2025"/>
    <x v="0"/>
    <s v="136959788742"/>
    <n v="9986.9"/>
    <n v="28672072.25"/>
  </r>
  <r>
    <s v="10-12-2025"/>
    <x v="47"/>
    <s v="136635567927"/>
    <n v="-2368604.66"/>
    <n v="26303467.59"/>
  </r>
  <r>
    <s v="10-12-2025"/>
    <x v="1"/>
    <s v="137266249568"/>
    <n v="-500000"/>
    <n v="25803467.59"/>
  </r>
  <r>
    <s v="10-12-2025"/>
    <x v="2"/>
    <s v="137266249568"/>
    <n v="-3000"/>
    <n v="25800467.59"/>
  </r>
  <r>
    <s v="10-12-2025"/>
    <x v="48"/>
    <s v="136643127123"/>
    <n v="-1000000"/>
    <n v="24800467.59"/>
  </r>
  <r>
    <s v="10-12-2025"/>
    <x v="48"/>
    <s v="136644102125"/>
    <n v="-1000000"/>
    <n v="23800467.59"/>
  </r>
  <r>
    <s v="10-12-2025"/>
    <x v="48"/>
    <s v="136642965749"/>
    <n v="-1000000"/>
    <n v="22800467.59"/>
  </r>
  <r>
    <s v="10-12-2025"/>
    <x v="48"/>
    <s v="137272037684"/>
    <n v="-1000000"/>
    <n v="21800467.59"/>
  </r>
  <r>
    <s v="10-12-2025"/>
    <x v="48"/>
    <s v="136643619197"/>
    <n v="-1000000"/>
    <n v="20800467.59"/>
  </r>
  <r>
    <s v="10-12-2025"/>
    <x v="48"/>
    <s v="136642967981"/>
    <n v="-1000000"/>
    <n v="19800467.59"/>
  </r>
  <r>
    <s v="10-12-2025"/>
    <x v="48"/>
    <s v="137272199862"/>
    <n v="-1000000"/>
    <n v="18800467.59"/>
  </r>
  <r>
    <s v="10-12-2025"/>
    <x v="48"/>
    <s v="136643473817"/>
    <n v="-1000000"/>
    <n v="17800467.59"/>
  </r>
  <r>
    <s v="10-12-2025"/>
    <x v="48"/>
    <s v="136643589881"/>
    <n v="-1000000"/>
    <n v="16800467.59"/>
  </r>
  <r>
    <s v="10-12-2025"/>
    <x v="48"/>
    <s v="136643701755"/>
    <n v="-1000000"/>
    <n v="15800467.59"/>
  </r>
  <r>
    <s v="10-12-2025"/>
    <x v="48"/>
    <s v="137272959812"/>
    <n v="-1000000"/>
    <n v="14800467.59"/>
  </r>
  <r>
    <s v="10-12-2025"/>
    <x v="48"/>
    <s v="137273884824"/>
    <n v="-1000000"/>
    <n v="13800467.59"/>
  </r>
  <r>
    <s v="10-12-2025"/>
    <x v="48"/>
    <s v="137273876874"/>
    <n v="-1000000"/>
    <n v="12800467.59"/>
  </r>
  <r>
    <s v="10-12-2025"/>
    <x v="48"/>
    <s v="136644141961"/>
    <n v="-1000000"/>
    <n v="11800467.59"/>
  </r>
  <r>
    <s v="10-12-2025"/>
    <x v="48"/>
    <s v="137273297958"/>
    <n v="-1000000"/>
    <n v="10800467.59"/>
  </r>
  <r>
    <s v="10-12-2025"/>
    <x v="48"/>
    <s v="137273929588"/>
    <n v="-1000000"/>
    <n v="9800467.5899999999"/>
  </r>
  <r>
    <s v="10-12-2025"/>
    <x v="48"/>
    <s v="136645101177"/>
    <n v="-200000"/>
    <n v="9600467.5899999999"/>
  </r>
  <r>
    <s v="10-12-2025"/>
    <x v="49"/>
    <s v="137371068462"/>
    <n v="30739.62"/>
    <n v="9631207.2100000009"/>
  </r>
  <r>
    <s v="10-12-2025"/>
    <x v="0"/>
    <s v="136740668549"/>
    <n v="4092.06"/>
    <n v="9635299.2699999996"/>
  </r>
  <r>
    <s v="10-12-2025"/>
    <x v="0"/>
    <s v="137373870662"/>
    <n v="29380.17"/>
    <n v="9664679.4399999995"/>
  </r>
  <r>
    <s v="10-12-2025"/>
    <x v="0"/>
    <s v="136743127343"/>
    <n v="9450.7099999999991"/>
    <n v="9674130.1500000004"/>
  </r>
  <r>
    <s v="10-12-2025"/>
    <x v="0"/>
    <s v="136743612291"/>
    <n v="37168.559999999998"/>
    <n v="9711298.7100000009"/>
  </r>
  <r>
    <s v="10-12-2025"/>
    <x v="50"/>
    <s v="137375738068"/>
    <n v="37985.199999999997"/>
    <n v="9749283.9100000001"/>
  </r>
  <r>
    <s v="10-12-2025"/>
    <x v="51"/>
    <s v="137380209516"/>
    <n v="208331.2"/>
    <n v="9957615.1099999994"/>
  </r>
  <r>
    <s v="10-12-2025"/>
    <x v="0"/>
    <s v="136750250721"/>
    <n v="25233.4"/>
    <n v="9982848.5099999998"/>
  </r>
  <r>
    <s v="10-12-2025"/>
    <x v="52"/>
    <s v="137381180222"/>
    <n v="1266.83"/>
    <n v="9984115.3399999999"/>
  </r>
  <r>
    <s v="10-12-2025"/>
    <x v="0"/>
    <s v="137381613934"/>
    <n v="40334.07"/>
    <n v="10024449.41"/>
  </r>
  <r>
    <s v="10-12-2025"/>
    <x v="0"/>
    <s v="136751051819"/>
    <n v="119574.83"/>
    <n v="10144024.24"/>
  </r>
  <r>
    <s v="10-12-2025"/>
    <x v="0"/>
    <s v="136751554233"/>
    <n v="55535.1"/>
    <n v="10199559.34"/>
  </r>
  <r>
    <s v="10-12-2025"/>
    <x v="0"/>
    <s v="137382793626"/>
    <n v="58287.99"/>
    <n v="10257847.33"/>
  </r>
  <r>
    <s v="10-12-2025"/>
    <x v="0"/>
    <s v="136752846325"/>
    <n v="49970.85"/>
    <n v="10307818.18"/>
  </r>
  <r>
    <s v="10-12-2025"/>
    <x v="0"/>
    <s v="136754028045"/>
    <n v="37597.17"/>
    <n v="10345415.35"/>
  </r>
  <r>
    <s v="10-12-2025"/>
    <x v="0"/>
    <s v="136754376295"/>
    <n v="9069.1200000000008"/>
    <n v="10354484.470000001"/>
  </r>
  <r>
    <s v="10-12-2025"/>
    <x v="0"/>
    <s v="136754357781"/>
    <n v="36049.1"/>
    <n v="10390533.57"/>
  </r>
  <r>
    <s v="10-12-2025"/>
    <x v="0"/>
    <s v="136756050703"/>
    <n v="39556.58"/>
    <n v="10430090.15"/>
  </r>
  <r>
    <s v="10-12-2025"/>
    <x v="0"/>
    <s v="137387028658"/>
    <n v="52027.62"/>
    <n v="10482117.77"/>
  </r>
  <r>
    <s v="11-12-2025"/>
    <x v="53"/>
    <s v="137387927580"/>
    <n v="26922.5"/>
    <n v="10509040.27"/>
  </r>
  <r>
    <s v="11-12-2025"/>
    <x v="0"/>
    <s v="137388651946"/>
    <n v="22257.1"/>
    <n v="10531297.369999999"/>
  </r>
  <r>
    <s v="11-12-2025"/>
    <x v="0"/>
    <s v="136758090307"/>
    <n v="8184.12"/>
    <n v="10539481.49"/>
  </r>
  <r>
    <s v="11-12-2025"/>
    <x v="0"/>
    <s v="137389146058"/>
    <n v="46762.5"/>
    <n v="10586243.99"/>
  </r>
  <r>
    <s v="11-12-2025"/>
    <x v="0"/>
    <s v="136759600983"/>
    <n v="65083.24"/>
    <n v="10651327.23"/>
  </r>
  <r>
    <s v="11-12-2025"/>
    <x v="54"/>
    <s v="136759583173"/>
    <n v="3269.86"/>
    <n v="10654597.09"/>
  </r>
  <r>
    <s v="11-12-2025"/>
    <x v="55"/>
    <s v="136759889445"/>
    <n v="8027.8"/>
    <n v="10662624.890000001"/>
  </r>
  <r>
    <s v="11-12-2025"/>
    <x v="56"/>
    <s v="137391748382"/>
    <n v="23494.04"/>
    <n v="10686118.93"/>
  </r>
  <r>
    <s v="11-12-2025"/>
    <x v="0"/>
    <s v="137392666128"/>
    <n v="15101.65"/>
    <n v="10701220.58"/>
  </r>
  <r>
    <s v="11-12-2025"/>
    <x v="0"/>
    <s v="136761788097"/>
    <n v="16059.9"/>
    <n v="10717280.48"/>
  </r>
  <r>
    <s v="11-12-2025"/>
    <x v="0"/>
    <s v="136762890073"/>
    <n v="26451.599999999999"/>
    <n v="10743732.08"/>
  </r>
  <r>
    <s v="11-12-2025"/>
    <x v="0"/>
    <s v="136763077907"/>
    <n v="19875.72"/>
    <n v="10763607.800000001"/>
  </r>
  <r>
    <s v="11-12-2025"/>
    <x v="57"/>
    <s v="136763226203"/>
    <n v="998.58"/>
    <n v="10764606.380000001"/>
  </r>
  <r>
    <s v="11-12-2025"/>
    <x v="0"/>
    <s v="136763246569"/>
    <n v="18414.27"/>
    <n v="10783020.65"/>
  </r>
  <r>
    <s v="11-12-2025"/>
    <x v="0"/>
    <s v="136763251849"/>
    <n v="89243.93"/>
    <n v="10872264.58"/>
  </r>
  <r>
    <s v="11-12-2025"/>
    <x v="0"/>
    <s v="137504808854"/>
    <n v="16368.24"/>
    <n v="10888632.82"/>
  </r>
  <r>
    <s v="11-12-2025"/>
    <x v="0"/>
    <s v="137505117298"/>
    <n v="9573.7199999999993"/>
    <n v="10898206.539999999"/>
  </r>
  <r>
    <s v="11-12-2025"/>
    <x v="0"/>
    <s v="137509141570"/>
    <n v="8573.84"/>
    <n v="10906780.380000001"/>
  </r>
  <r>
    <s v="11-12-2025"/>
    <x v="0"/>
    <s v="137514965726"/>
    <n v="13335.48"/>
    <n v="10920115.859999999"/>
  </r>
  <r>
    <s v="11-12-2025"/>
    <x v="0"/>
    <s v="137516316134"/>
    <n v="24604.09"/>
    <n v="10944719.949999999"/>
  </r>
  <r>
    <s v="11-12-2025"/>
    <x v="0"/>
    <s v="137517341310"/>
    <n v="13328.12"/>
    <n v="10958048.07"/>
  </r>
  <r>
    <s v="11-12-2025"/>
    <x v="0"/>
    <s v="136888436805"/>
    <n v="25285.01"/>
    <n v="10983333.08"/>
  </r>
  <r>
    <s v="11-12-2025"/>
    <x v="0"/>
    <s v="137521468712"/>
    <n v="20362.87"/>
    <n v="11003695.949999999"/>
  </r>
  <r>
    <s v="11-12-2025"/>
    <x v="58"/>
    <s v="136888633383"/>
    <n v="2046.11"/>
    <n v="11005742.060000001"/>
  </r>
  <r>
    <s v="11-12-2025"/>
    <x v="0"/>
    <s v="137523926554"/>
    <n v="28546.99"/>
    <n v="11034289.050000001"/>
  </r>
  <r>
    <s v="11-12-2025"/>
    <x v="0"/>
    <s v="136890753563"/>
    <n v="20972.34"/>
    <n v="11055261.390000001"/>
  </r>
  <r>
    <s v="11-12-2025"/>
    <x v="0"/>
    <s v="136893462517"/>
    <n v="11714.28"/>
    <n v="11066975.67"/>
  </r>
  <r>
    <s v="11-12-2025"/>
    <x v="0"/>
    <s v="136893538091"/>
    <n v="10425.01"/>
    <n v="11077400.68"/>
  </r>
  <r>
    <s v="11-12-2025"/>
    <x v="0"/>
    <s v="136894464427"/>
    <n v="4676.6400000000003"/>
    <n v="11082077.32"/>
  </r>
  <r>
    <s v="11-12-2025"/>
    <x v="0"/>
    <s v="136894824195"/>
    <n v="33418.49"/>
    <n v="11115495.810000001"/>
  </r>
  <r>
    <s v="11-12-2025"/>
    <x v="0"/>
    <s v="137530279132"/>
    <n v="4092.06"/>
    <n v="11119587.869999999"/>
  </r>
  <r>
    <s v="11-12-2025"/>
    <x v="0"/>
    <s v="136898510177"/>
    <n v="34292.61"/>
    <n v="11153880.48"/>
  </r>
  <r>
    <s v="11-12-2025"/>
    <x v="0"/>
    <s v="136898457817"/>
    <n v="4505.28"/>
    <n v="11158385.76"/>
  </r>
  <r>
    <s v="11-12-2025"/>
    <x v="0"/>
    <s v="137531931628"/>
    <n v="7014.96"/>
    <n v="11165400.720000001"/>
  </r>
  <r>
    <s v="11-12-2025"/>
    <x v="0"/>
    <s v="137533326606"/>
    <n v="16160.62"/>
    <n v="11181561.34"/>
  </r>
  <r>
    <s v="11-12-2025"/>
    <x v="0"/>
    <s v="136900364237"/>
    <n v="9353.2800000000007"/>
    <n v="11190914.619999999"/>
  </r>
  <r>
    <s v="11-12-2025"/>
    <x v="0"/>
    <s v="137533431786"/>
    <n v="4676.6400000000003"/>
    <n v="11195591.26"/>
  </r>
  <r>
    <s v="11-12-2025"/>
    <x v="0"/>
    <s v="136901010631"/>
    <n v="10717.3"/>
    <n v="11206308.560000001"/>
  </r>
  <r>
    <s v="11-12-2025"/>
    <x v="0"/>
    <s v="136901033757"/>
    <n v="4357.92"/>
    <n v="11210666.48"/>
  </r>
  <r>
    <s v="11-12-2025"/>
    <x v="0"/>
    <s v="136901169545"/>
    <n v="9255.85"/>
    <n v="11219922.33"/>
  </r>
  <r>
    <s v="11-12-2025"/>
    <x v="0"/>
    <s v="136901524811"/>
    <n v="13250.48"/>
    <n v="11233172.810000001"/>
  </r>
  <r>
    <s v="11-12-2025"/>
    <x v="0"/>
    <s v="137534515306"/>
    <n v="4286.92"/>
    <n v="11237459.73"/>
  </r>
  <r>
    <s v="11-12-2025"/>
    <x v="0"/>
    <s v="136901930449"/>
    <n v="4774.07"/>
    <n v="11242233.800000001"/>
  </r>
  <r>
    <s v="11-12-2025"/>
    <x v="0"/>
    <s v="136901875985"/>
    <n v="10717.3"/>
    <n v="11252951.1"/>
  </r>
  <r>
    <s v="11-12-2025"/>
    <x v="59"/>
    <s v="136902088409"/>
    <n v="1076.9000000000001"/>
    <n v="11254028"/>
  </r>
  <r>
    <s v="11-12-2025"/>
    <x v="0"/>
    <s v="136902227587"/>
    <n v="8534.26"/>
    <n v="11262562.26"/>
  </r>
  <r>
    <s v="11-12-2025"/>
    <x v="0"/>
    <s v="137535694252"/>
    <n v="4676.6400000000003"/>
    <n v="11267238.9"/>
  </r>
  <r>
    <s v="11-12-2025"/>
    <x v="0"/>
    <s v="136902790397"/>
    <n v="4676.6400000000003"/>
    <n v="11271915.539999999"/>
  </r>
  <r>
    <s v="11-12-2025"/>
    <x v="0"/>
    <s v="136903070923"/>
    <n v="4676.6400000000003"/>
    <n v="11276592.18"/>
  </r>
  <r>
    <s v="11-12-2025"/>
    <x v="0"/>
    <s v="137536620552"/>
    <n v="36731.11"/>
    <n v="11313323.289999999"/>
  </r>
  <r>
    <s v="11-12-2025"/>
    <x v="0"/>
    <s v="137536970538"/>
    <n v="5631.6"/>
    <n v="11318954.890000001"/>
  </r>
  <r>
    <s v="11-12-2025"/>
    <x v="0"/>
    <s v="136903665553"/>
    <n v="37851.550000000003"/>
    <n v="11356806.439999999"/>
  </r>
  <r>
    <s v="11-12-2025"/>
    <x v="0"/>
    <s v="136903852707"/>
    <n v="67109.899999999994"/>
    <n v="11423916.34"/>
  </r>
  <r>
    <s v="11-12-2025"/>
    <x v="0"/>
    <s v="136903944835"/>
    <n v="50858.46"/>
    <n v="11474774.800000001"/>
  </r>
  <r>
    <s v="11-12-2025"/>
    <x v="0"/>
    <s v="136903887707"/>
    <n v="4676.6400000000003"/>
    <n v="11479451.439999999"/>
  </r>
  <r>
    <s v="11-12-2025"/>
    <x v="0"/>
    <s v="136904114823"/>
    <n v="4092.06"/>
    <n v="11483543.5"/>
  </r>
  <r>
    <s v="11-12-2025"/>
    <x v="0"/>
    <s v="136904069765"/>
    <n v="58360.57"/>
    <n v="11541904.07"/>
  </r>
  <r>
    <s v="11-12-2025"/>
    <x v="0"/>
    <s v="136904745081"/>
    <n v="4676.6400000000003"/>
    <n v="11546580.710000001"/>
  </r>
  <r>
    <s v="11-12-2025"/>
    <x v="60"/>
    <s v="137537835128"/>
    <n v="234.96"/>
    <n v="11546815.67"/>
  </r>
  <r>
    <s v="11-12-2025"/>
    <x v="0"/>
    <s v="137538383964"/>
    <n v="72836.37"/>
    <n v="11619652.039999999"/>
  </r>
  <r>
    <s v="11-12-2025"/>
    <x v="0"/>
    <s v="136905808451"/>
    <n v="8184.12"/>
    <n v="11627836.16"/>
  </r>
  <r>
    <s v="11-12-2025"/>
    <x v="0"/>
    <s v="136905906851"/>
    <n v="4676.6400000000003"/>
    <n v="11632512.800000001"/>
  </r>
  <r>
    <s v="11-12-2025"/>
    <x v="0"/>
    <s v="137539201804"/>
    <n v="3994.63"/>
    <n v="11636507.43"/>
  </r>
  <r>
    <s v="11-12-2025"/>
    <x v="0"/>
    <s v="137539449132"/>
    <n v="41115.46"/>
    <n v="11677622.890000001"/>
  </r>
  <r>
    <s v="11-12-2025"/>
    <x v="0"/>
    <s v="136906571367"/>
    <n v="15393.94"/>
    <n v="11693016.83"/>
  </r>
  <r>
    <s v="11-12-2025"/>
    <x v="0"/>
    <s v="136906923221"/>
    <n v="106685.85"/>
    <n v="11799702.68"/>
  </r>
  <r>
    <s v="12-12-2025"/>
    <x v="0"/>
    <s v="137540105336"/>
    <n v="4676.6400000000003"/>
    <n v="11804379.32"/>
  </r>
  <r>
    <s v="12-12-2025"/>
    <x v="0"/>
    <s v="136907146003"/>
    <n v="45012.66"/>
    <n v="11849391.98"/>
  </r>
  <r>
    <s v="12-12-2025"/>
    <x v="0"/>
    <s v="137540388010"/>
    <n v="9353.2800000000007"/>
    <n v="11858745.26"/>
  </r>
  <r>
    <s v="12-12-2025"/>
    <x v="0"/>
    <s v="137540595612"/>
    <n v="3897.2"/>
    <n v="11862642.460000001"/>
  </r>
  <r>
    <s v="12-12-2025"/>
    <x v="0"/>
    <s v="137541156138"/>
    <n v="12471.04"/>
    <n v="11875113.5"/>
  </r>
  <r>
    <s v="12-12-2025"/>
    <x v="61"/>
    <s v="137541122404"/>
    <n v="1253.1199999999999"/>
    <n v="11876366.619999999"/>
  </r>
  <r>
    <s v="12-12-2025"/>
    <x v="0"/>
    <s v="136907946313"/>
    <n v="27237"/>
    <n v="11903603.619999999"/>
  </r>
  <r>
    <s v="12-12-2025"/>
    <x v="0"/>
    <s v="137541218458"/>
    <n v="4676.6400000000003"/>
    <n v="11908280.26"/>
  </r>
  <r>
    <s v="12-12-2025"/>
    <x v="0"/>
    <s v="137541514796"/>
    <n v="3994.63"/>
    <n v="11912274.890000001"/>
  </r>
  <r>
    <s v="12-12-2025"/>
    <x v="0"/>
    <s v="137541617978"/>
    <n v="4286.92"/>
    <n v="11916561.810000001"/>
  </r>
  <r>
    <s v="12-12-2025"/>
    <x v="0"/>
    <s v="137542444234"/>
    <n v="46863.83"/>
    <n v="11963425.640000001"/>
  </r>
  <r>
    <s v="12-12-2025"/>
    <x v="0"/>
    <s v="137542387224"/>
    <n v="44030.35"/>
    <n v="12007455.99"/>
  </r>
  <r>
    <s v="12-12-2025"/>
    <x v="0"/>
    <s v="136909607997"/>
    <n v="4676.6400000000003"/>
    <n v="12012132.630000001"/>
  </r>
  <r>
    <s v="12-12-2025"/>
    <x v="0"/>
    <s v="137542736688"/>
    <n v="8715.84"/>
    <n v="12020848.470000001"/>
  </r>
  <r>
    <s v="12-12-2025"/>
    <x v="0"/>
    <s v="137542727460"/>
    <n v="17927.12"/>
    <n v="12038775.59"/>
  </r>
  <r>
    <s v="12-12-2025"/>
    <x v="0"/>
    <s v="136910253133"/>
    <n v="7794.4"/>
    <n v="12046569.99"/>
  </r>
  <r>
    <s v="12-12-2025"/>
    <x v="0"/>
    <s v="137543547888"/>
    <n v="39459.15"/>
    <n v="12086029.140000001"/>
  </r>
  <r>
    <s v="12-12-2025"/>
    <x v="0"/>
    <s v="137544322996"/>
    <n v="80274.36"/>
    <n v="12166303.5"/>
  </r>
  <r>
    <s v="12-12-2025"/>
    <x v="0"/>
    <s v="137544399486"/>
    <n v="4092.06"/>
    <n v="12170395.560000001"/>
  </r>
  <r>
    <s v="12-12-2025"/>
    <x v="0"/>
    <s v="136911982075"/>
    <n v="14322.21"/>
    <n v="12184717.77"/>
  </r>
  <r>
    <s v="12-12-2025"/>
    <x v="0"/>
    <s v="136912149021"/>
    <n v="103762.95"/>
    <n v="12288480.720000001"/>
  </r>
  <r>
    <s v="12-12-2025"/>
    <x v="0"/>
    <s v="137545150932"/>
    <n v="4676.6400000000003"/>
    <n v="12293157.359999999"/>
  </r>
  <r>
    <s v="12-12-2025"/>
    <x v="0"/>
    <s v="136912380571"/>
    <n v="19616.740000000002"/>
    <n v="12312774.1"/>
  </r>
  <r>
    <s v="12-12-2025"/>
    <x v="0"/>
    <s v="137545478442"/>
    <n v="11691.6"/>
    <n v="12324465.699999999"/>
  </r>
  <r>
    <s v="12-12-2025"/>
    <x v="0"/>
    <s v="137545257514"/>
    <n v="20947.45"/>
    <n v="12345413.15"/>
  </r>
  <r>
    <s v="12-12-2025"/>
    <x v="0"/>
    <s v="136912524459"/>
    <n v="26793.25"/>
    <n v="12372206.4"/>
  </r>
  <r>
    <s v="12-12-2025"/>
    <x v="0"/>
    <s v="137545399844"/>
    <n v="42869.2"/>
    <n v="12415075.6"/>
  </r>
  <r>
    <s v="12-12-2025"/>
    <x v="62"/>
    <s v="137545666916"/>
    <n v="2153.8000000000002"/>
    <n v="12417229.4"/>
  </r>
  <r>
    <s v="12-12-2025"/>
    <x v="0"/>
    <s v="136912525375"/>
    <n v="22798.62"/>
    <n v="12440028.02"/>
  </r>
  <r>
    <s v="12-12-2025"/>
    <x v="0"/>
    <s v="136912585861"/>
    <n v="22798.62"/>
    <n v="12462826.640000001"/>
  </r>
  <r>
    <s v="12-12-2025"/>
    <x v="0"/>
    <s v="136912751489"/>
    <n v="13250.48"/>
    <n v="12476077.119999999"/>
  </r>
  <r>
    <s v="12-12-2025"/>
    <x v="0"/>
    <s v="136912732043"/>
    <n v="8184.12"/>
    <n v="12484261.24"/>
  </r>
  <r>
    <s v="12-12-2025"/>
    <x v="0"/>
    <s v="136912975121"/>
    <n v="60406.6"/>
    <n v="12544667.84"/>
  </r>
  <r>
    <s v="12-12-2025"/>
    <x v="0"/>
    <s v="137546227878"/>
    <n v="12568.47"/>
    <n v="12557236.310000001"/>
  </r>
  <r>
    <s v="12-12-2025"/>
    <x v="0"/>
    <s v="137546451270"/>
    <n v="13153.05"/>
    <n v="12570389.359999999"/>
  </r>
  <r>
    <s v="12-12-2025"/>
    <x v="0"/>
    <s v="136913470977"/>
    <n v="9010.56"/>
    <n v="12579399.92"/>
  </r>
  <r>
    <s v="12-12-2025"/>
    <x v="0"/>
    <s v="137546578068"/>
    <n v="7172.41"/>
    <n v="12586572.33"/>
  </r>
  <r>
    <s v="12-12-2025"/>
    <x v="0"/>
    <s v="136914112129"/>
    <n v="4676.6400000000003"/>
    <n v="12591248.970000001"/>
  </r>
  <r>
    <s v="12-12-2025"/>
    <x v="0"/>
    <s v="137547228792"/>
    <n v="9010.56"/>
    <n v="12600259.529999999"/>
  </r>
  <r>
    <s v="12-12-2025"/>
    <x v="0"/>
    <s v="136914446137"/>
    <n v="5650.94"/>
    <n v="12605910.470000001"/>
  </r>
  <r>
    <s v="12-12-2025"/>
    <x v="0"/>
    <s v="136914272051"/>
    <n v="12373.61"/>
    <n v="12618284.08"/>
  </r>
  <r>
    <s v="12-12-2025"/>
    <x v="0"/>
    <s v="136914524535"/>
    <n v="4676.6400000000003"/>
    <n v="12622960.720000001"/>
  </r>
  <r>
    <s v="12-12-2025"/>
    <x v="0"/>
    <s v="137547309798"/>
    <n v="8715.84"/>
    <n v="12631676.560000001"/>
  </r>
  <r>
    <s v="12-12-2025"/>
    <x v="0"/>
    <s v="136914570765"/>
    <n v="20752.59"/>
    <n v="12652429.15"/>
  </r>
  <r>
    <s v="12-12-2025"/>
    <x v="0"/>
    <s v="136914671357"/>
    <n v="26890.68"/>
    <n v="12679319.83"/>
  </r>
  <r>
    <s v="12-12-2025"/>
    <x v="0"/>
    <s v="136915272579"/>
    <n v="7463.13"/>
    <n v="12686782.960000001"/>
  </r>
  <r>
    <s v="12-12-2025"/>
    <x v="0"/>
    <s v="136915988399"/>
    <n v="25331.8"/>
    <n v="12712114.76"/>
  </r>
  <r>
    <s v="12-12-2025"/>
    <x v="0"/>
    <s v="137548968332"/>
    <n v="19616.740000000002"/>
    <n v="12731731.5"/>
  </r>
  <r>
    <s v="12-12-2025"/>
    <x v="0"/>
    <s v="137549050936"/>
    <n v="74241.66"/>
    <n v="12805973.16"/>
  </r>
  <r>
    <s v="12-12-2025"/>
    <x v="0"/>
    <s v="137549612728"/>
    <n v="212884.55"/>
    <n v="13018857.710000001"/>
  </r>
  <r>
    <s v="12-12-2025"/>
    <x v="0"/>
    <s v="137549459378"/>
    <n v="8573.84"/>
    <n v="13027431.550000001"/>
  </r>
  <r>
    <s v="12-12-2025"/>
    <x v="0"/>
    <s v="136916562339"/>
    <n v="10717.3"/>
    <n v="13038148.85"/>
  </r>
  <r>
    <s v="12-12-2025"/>
    <x v="63"/>
    <s v="136916514577"/>
    <n v="538.45000000000005"/>
    <n v="13038687.300000001"/>
  </r>
  <r>
    <s v="12-12-2025"/>
    <x v="0"/>
    <s v="136916652431"/>
    <n v="4676.6400000000003"/>
    <n v="13043363.939999999"/>
  </r>
  <r>
    <s v="12-12-2025"/>
    <x v="0"/>
    <s v="137549976466"/>
    <n v="41115.46"/>
    <n v="13084479.4"/>
  </r>
  <r>
    <s v="12-12-2025"/>
    <x v="0"/>
    <s v="137550029106"/>
    <n v="35572.94"/>
    <n v="13120052.34"/>
  </r>
  <r>
    <s v="12-12-2025"/>
    <x v="0"/>
    <s v="136916906659"/>
    <n v="11107.02"/>
    <n v="13131159.359999999"/>
  </r>
  <r>
    <s v="12-12-2025"/>
    <x v="64"/>
    <s v="137549963508"/>
    <n v="558.03"/>
    <n v="13131717.390000001"/>
  </r>
  <r>
    <s v="12-12-2025"/>
    <x v="65"/>
    <s v="137611435372"/>
    <n v="-144652.32999999999"/>
    <n v="12987065.060000001"/>
  </r>
  <r>
    <s v="12-12-2025"/>
    <x v="66"/>
    <s v="137621114436"/>
    <n v="-45268.99"/>
    <n v="12941796.07"/>
  </r>
  <r>
    <s v="12-12-2025"/>
    <x v="0"/>
    <s v="137649717546"/>
    <n v="9353.2800000000007"/>
    <n v="12951149.35"/>
  </r>
  <r>
    <s v="12-12-2025"/>
    <x v="0"/>
    <s v="137035785219"/>
    <n v="25721.52"/>
    <n v="12976870.869999999"/>
  </r>
  <r>
    <s v="12-12-2025"/>
    <x v="0"/>
    <s v="137670538274"/>
    <n v="3778.8"/>
    <n v="12980649.67"/>
  </r>
  <r>
    <s v="12-12-2025"/>
    <x v="0"/>
    <s v="137671009436"/>
    <n v="18339.580000000002"/>
    <n v="12998989.25"/>
  </r>
  <r>
    <s v="12-12-2025"/>
    <x v="0"/>
    <s v="137040182521"/>
    <n v="9548.14"/>
    <n v="13008537.390000001"/>
  </r>
  <r>
    <s v="12-12-2025"/>
    <x v="0"/>
    <s v="137673449798"/>
    <n v="9069.1200000000008"/>
    <n v="13017606.51"/>
  </r>
  <r>
    <s v="12-12-2025"/>
    <x v="0"/>
    <s v="137042830597"/>
    <n v="5265.82"/>
    <n v="13022872.33"/>
  </r>
  <r>
    <s v="12-12-2025"/>
    <x v="0"/>
    <s v="137676231468"/>
    <n v="4676.6400000000003"/>
    <n v="13027548.970000001"/>
  </r>
  <r>
    <s v="12-12-2025"/>
    <x v="0"/>
    <s v="137677529088"/>
    <n v="8897.42"/>
    <n v="13036446.390000001"/>
  </r>
  <r>
    <s v="12-12-2025"/>
    <x v="0"/>
    <s v="137044469955"/>
    <n v="85887.34"/>
    <n v="13122333.73"/>
  </r>
  <r>
    <s v="12-12-2025"/>
    <x v="0"/>
    <s v="137044959869"/>
    <n v="62160.34"/>
    <n v="13184494.07"/>
  </r>
  <r>
    <s v="12-12-2025"/>
    <x v="0"/>
    <s v="137678741226"/>
    <n v="7557.6"/>
    <n v="13192051.67"/>
  </r>
  <r>
    <s v="12-12-2025"/>
    <x v="0"/>
    <s v="137680175054"/>
    <n v="4357.92"/>
    <n v="13196409.59"/>
  </r>
  <r>
    <s v="12-12-2025"/>
    <x v="0"/>
    <s v="137680805420"/>
    <n v="14322.21"/>
    <n v="13210731.800000001"/>
  </r>
  <r>
    <s v="12-12-2025"/>
    <x v="0"/>
    <s v="137681279634"/>
    <n v="80769.47"/>
    <n v="13291501.27"/>
  </r>
  <r>
    <s v="12-12-2025"/>
    <x v="0"/>
    <s v="137048670453"/>
    <n v="30041.46"/>
    <n v="13321542.73"/>
  </r>
  <r>
    <s v="12-12-2025"/>
    <x v="0"/>
    <s v="137682428878"/>
    <n v="54171.08"/>
    <n v="13375713.810000001"/>
  </r>
  <r>
    <s v="12-12-2025"/>
    <x v="67"/>
    <s v="137048989753"/>
    <n v="2721.62"/>
    <n v="13378435.43"/>
  </r>
  <r>
    <s v="12-12-2025"/>
    <x v="0"/>
    <s v="137683959550"/>
    <n v="4448.71"/>
    <n v="13382884.140000001"/>
  </r>
  <r>
    <s v="12-12-2025"/>
    <x v="0"/>
    <s v="137684305360"/>
    <n v="34685.08"/>
    <n v="13417569.220000001"/>
  </r>
  <r>
    <s v="12-12-2025"/>
    <x v="0"/>
    <s v="137051456749"/>
    <n v="29663.58"/>
    <n v="13447232.800000001"/>
  </r>
  <r>
    <s v="12-12-2025"/>
    <x v="0"/>
    <s v="137051650943"/>
    <n v="35709.660000000003"/>
    <n v="13482942.460000001"/>
  </r>
  <r>
    <s v="12-12-2025"/>
    <x v="0"/>
    <s v="137685229660"/>
    <n v="18511.7"/>
    <n v="13501454.16"/>
  </r>
  <r>
    <s v="12-12-2025"/>
    <x v="0"/>
    <s v="137052357047"/>
    <n v="14029.92"/>
    <n v="13515484.08"/>
  </r>
  <r>
    <s v="12-12-2025"/>
    <x v="0"/>
    <s v="137685932216"/>
    <n v="24747.22"/>
    <n v="13540231.300000001"/>
  </r>
  <r>
    <s v="12-12-2025"/>
    <x v="0"/>
    <s v="137052814137"/>
    <n v="20362.87"/>
    <n v="13560594.17"/>
  </r>
  <r>
    <s v="12-12-2025"/>
    <x v="0"/>
    <s v="137053159275"/>
    <n v="50566.17"/>
    <n v="13611160.34"/>
  </r>
  <r>
    <s v="12-12-2025"/>
    <x v="6"/>
    <s v="137053262509"/>
    <n v="5081.01"/>
    <n v="13616241.35"/>
  </r>
  <r>
    <s v="12-12-2025"/>
    <x v="0"/>
    <s v="137053592771"/>
    <n v="17927.12"/>
    <n v="13634168.470000001"/>
  </r>
  <r>
    <s v="12-12-2025"/>
    <x v="0"/>
    <s v="137053991521"/>
    <n v="43078.32"/>
    <n v="13677246.789999999"/>
  </r>
  <r>
    <s v="12-12-2025"/>
    <x v="0"/>
    <s v="137054667043"/>
    <n v="41854.19"/>
    <n v="13719100.98"/>
  </r>
  <r>
    <s v="12-12-2025"/>
    <x v="0"/>
    <s v="137688726850"/>
    <n v="34103.67"/>
    <n v="13753204.65"/>
  </r>
  <r>
    <s v="13-12-2025"/>
    <x v="0"/>
    <s v="137688911668"/>
    <n v="4774.07"/>
    <n v="13757978.720000001"/>
  </r>
  <r>
    <s v="13-12-2025"/>
    <x v="0"/>
    <s v="137055724405"/>
    <n v="32833.910000000003"/>
    <n v="13790812.630000001"/>
  </r>
  <r>
    <s v="13-12-2025"/>
    <x v="0"/>
    <s v="137689978402"/>
    <n v="48085.23"/>
    <n v="13838897.859999999"/>
  </r>
  <r>
    <s v="13-12-2025"/>
    <x v="0"/>
    <s v="137056843823"/>
    <n v="40336.019999999997"/>
    <n v="13879233.880000001"/>
  </r>
  <r>
    <s v="13-12-2025"/>
    <x v="68"/>
    <s v="137056849773"/>
    <n v="2026.53"/>
    <n v="13881260.41"/>
  </r>
  <r>
    <s v="13-12-2025"/>
    <x v="0"/>
    <s v="137057370005"/>
    <n v="41417.56"/>
    <n v="13922677.970000001"/>
  </r>
  <r>
    <s v="13-12-2025"/>
    <x v="0"/>
    <s v="137057641201"/>
    <n v="34879.94"/>
    <n v="13957557.91"/>
  </r>
  <r>
    <s v="13-12-2025"/>
    <x v="69"/>
    <s v="137691015632"/>
    <n v="1752.41"/>
    <n v="13959310.32"/>
  </r>
  <r>
    <s v="13-12-2025"/>
    <x v="0"/>
    <s v="137057721637"/>
    <n v="40547.519999999997"/>
    <n v="13999857.84"/>
  </r>
  <r>
    <s v="13-12-2025"/>
    <x v="0"/>
    <s v="137057745919"/>
    <n v="26419.89"/>
    <n v="14026277.73"/>
  </r>
  <r>
    <s v="13-12-2025"/>
    <x v="0"/>
    <s v="137691353480"/>
    <n v="19486"/>
    <n v="14045763.73"/>
  </r>
  <r>
    <s v="13-12-2025"/>
    <x v="0"/>
    <s v="137057923599"/>
    <n v="40238.589999999997"/>
    <n v="14086002.32"/>
  </r>
  <r>
    <s v="13-12-2025"/>
    <x v="0"/>
    <s v="137058045427"/>
    <n v="47838.13"/>
    <n v="14133840.449999999"/>
  </r>
  <r>
    <s v="13-12-2025"/>
    <x v="0"/>
    <s v="137691630590"/>
    <n v="4505.28"/>
    <n v="14138345.73"/>
  </r>
  <r>
    <s v="13-12-2025"/>
    <x v="0"/>
    <s v="137691754334"/>
    <n v="15588.8"/>
    <n v="14153934.529999999"/>
  </r>
  <r>
    <s v="13-12-2025"/>
    <x v="0"/>
    <s v="137058507115"/>
    <n v="23675.49"/>
    <n v="14177610.02"/>
  </r>
  <r>
    <s v="13-12-2025"/>
    <x v="0"/>
    <s v="137692068996"/>
    <n v="201644.59"/>
    <n v="14379254.609999999"/>
  </r>
  <r>
    <s v="13-12-2025"/>
    <x v="0"/>
    <s v="137058637227"/>
    <n v="42674.34"/>
    <n v="14421928.949999999"/>
  </r>
  <r>
    <s v="13-12-2025"/>
    <x v="0"/>
    <s v="137058747509"/>
    <n v="56513.68"/>
    <n v="14478442.630000001"/>
  </r>
  <r>
    <s v="13-12-2025"/>
    <x v="0"/>
    <s v="137059550407"/>
    <n v="33320.300000000003"/>
    <n v="14511762.93"/>
  </r>
  <r>
    <s v="13-12-2025"/>
    <x v="0"/>
    <s v="137693029234"/>
    <n v="21434.6"/>
    <n v="14533197.529999999"/>
  </r>
  <r>
    <s v="13-12-2025"/>
    <x v="0"/>
    <s v="137060218899"/>
    <n v="16075.95"/>
    <n v="14549273.48"/>
  </r>
  <r>
    <s v="13-12-2025"/>
    <x v="0"/>
    <s v="137694142296"/>
    <n v="79990.03"/>
    <n v="14629263.51"/>
  </r>
  <r>
    <s v="13-12-2025"/>
    <x v="70"/>
    <s v="137694132400"/>
    <n v="4018.79"/>
    <n v="14633282.300000001"/>
  </r>
  <r>
    <s v="13-12-2025"/>
    <x v="0"/>
    <s v="137694288196"/>
    <n v="4676.6400000000003"/>
    <n v="14637958.939999999"/>
  </r>
  <r>
    <s v="13-12-2025"/>
    <x v="0"/>
    <s v="137060803417"/>
    <n v="160662.07"/>
    <n v="14798621.01"/>
  </r>
  <r>
    <s v="13-12-2025"/>
    <x v="0"/>
    <s v="137061031397"/>
    <n v="44622.94"/>
    <n v="14843243.949999999"/>
  </r>
  <r>
    <s v="13-12-2025"/>
    <x v="0"/>
    <s v="137694509248"/>
    <n v="50079.02"/>
    <n v="14893322.970000001"/>
  </r>
  <r>
    <s v="13-12-2025"/>
    <x v="0"/>
    <s v="137694716170"/>
    <n v="14322.21"/>
    <n v="14907645.18"/>
  </r>
  <r>
    <s v="13-12-2025"/>
    <x v="0"/>
    <s v="137061792333"/>
    <n v="58263.14"/>
    <n v="14965908.32"/>
  </r>
  <r>
    <s v="13-12-2025"/>
    <x v="0"/>
    <s v="137062018711"/>
    <n v="9986.9"/>
    <n v="14975895.220000001"/>
  </r>
  <r>
    <s v="13-12-2025"/>
    <x v="0"/>
    <s v="137695460966"/>
    <n v="9386.69"/>
    <n v="14985281.91"/>
  </r>
  <r>
    <s v="13-12-2025"/>
    <x v="0"/>
    <s v="137695742258"/>
    <n v="4676.6400000000003"/>
    <n v="14989958.550000001"/>
  </r>
  <r>
    <s v="13-12-2025"/>
    <x v="0"/>
    <s v="137695785864"/>
    <n v="4092.06"/>
    <n v="14994050.609999999"/>
  </r>
  <r>
    <s v="13-12-2025"/>
    <x v="0"/>
    <s v="137696623912"/>
    <n v="9386.69"/>
    <n v="15003437.300000001"/>
  </r>
  <r>
    <s v="13-12-2025"/>
    <x v="0"/>
    <s v="137697056830"/>
    <n v="9450.7099999999991"/>
    <n v="15012888.01"/>
  </r>
  <r>
    <s v="13-12-2025"/>
    <x v="0"/>
    <s v="137063694987"/>
    <n v="30787.88"/>
    <n v="15043675.890000001"/>
  </r>
  <r>
    <s v="13-12-2025"/>
    <x v="0"/>
    <s v="137697186668"/>
    <n v="7794.4"/>
    <n v="15051470.289999999"/>
  </r>
  <r>
    <s v="13-12-2025"/>
    <x v="0"/>
    <s v="137063936513"/>
    <n v="7644.83"/>
    <n v="15059115.119999999"/>
  </r>
  <r>
    <s v="13-12-2025"/>
    <x v="0"/>
    <s v="137063983389"/>
    <n v="22408.9"/>
    <n v="15081524.02"/>
  </r>
  <r>
    <s v="13-12-2025"/>
    <x v="0"/>
    <s v="137697604934"/>
    <n v="9483.4599999999991"/>
    <n v="15091007.48"/>
  </r>
  <r>
    <s v="13-12-2025"/>
    <x v="0"/>
    <s v="137064486565"/>
    <n v="9079"/>
    <n v="15100086.48"/>
  </r>
  <r>
    <s v="13-12-2025"/>
    <x v="71"/>
    <s v="137064470797"/>
    <n v="1468.5"/>
    <n v="15101554.98"/>
  </r>
  <r>
    <s v="13-12-2025"/>
    <x v="0"/>
    <s v="137064461761"/>
    <n v="18302.7"/>
    <n v="15119857.68"/>
  </r>
  <r>
    <s v="13-12-2025"/>
    <x v="0"/>
    <s v="137697994520"/>
    <n v="20752.59"/>
    <n v="15140610.27"/>
  </r>
  <r>
    <s v="13-12-2025"/>
    <x v="72"/>
    <s v="137697947034"/>
    <n v="1042.6300000000001"/>
    <n v="15141652.9"/>
  </r>
  <r>
    <s v="13-12-2025"/>
    <x v="0"/>
    <s v="137698157966"/>
    <n v="11691.6"/>
    <n v="15153344.5"/>
  </r>
  <r>
    <s v="13-12-2025"/>
    <x v="0"/>
    <s v="137796402012"/>
    <n v="9548.14"/>
    <n v="15162892.640000001"/>
  </r>
  <r>
    <s v="13-12-2025"/>
    <x v="0"/>
    <s v="137171793459"/>
    <n v="9069.1200000000008"/>
    <n v="15171961.76"/>
  </r>
  <r>
    <s v="13-12-2025"/>
    <x v="0"/>
    <s v="137171897863"/>
    <n v="9069.1200000000008"/>
    <n v="15181030.880000001"/>
  </r>
  <r>
    <s v="13-12-2025"/>
    <x v="0"/>
    <s v="137177682381"/>
    <n v="32736.48"/>
    <n v="15213767.359999999"/>
  </r>
  <r>
    <s v="13-12-2025"/>
    <x v="0"/>
    <s v="137812067506"/>
    <n v="38948.910000000003"/>
    <n v="15252716.27"/>
  </r>
  <r>
    <s v="13-12-2025"/>
    <x v="0"/>
    <s v="137178342215"/>
    <n v="4774.07"/>
    <n v="15257490.34"/>
  </r>
  <r>
    <s v="13-12-2025"/>
    <x v="0"/>
    <s v="137813773910"/>
    <n v="42700.44"/>
    <n v="15300190.779999999"/>
  </r>
  <r>
    <s v="13-12-2025"/>
    <x v="0"/>
    <s v="137814381636"/>
    <n v="30035.200000000001"/>
    <n v="15330225.98"/>
  </r>
  <r>
    <s v="13-12-2025"/>
    <x v="0"/>
    <s v="137815445676"/>
    <n v="4448.71"/>
    <n v="15334674.689999999"/>
  </r>
  <r>
    <s v="13-12-2025"/>
    <x v="0"/>
    <s v="137815561874"/>
    <n v="54481.51"/>
    <n v="15389156.199999999"/>
  </r>
  <r>
    <s v="13-12-2025"/>
    <x v="73"/>
    <s v="137181617531"/>
    <n v="5511.77"/>
    <n v="15394667.970000001"/>
  </r>
  <r>
    <s v="13-12-2025"/>
    <x v="0"/>
    <s v="137815657922"/>
    <n v="4092.06"/>
    <n v="15398760.029999999"/>
  </r>
  <r>
    <s v="13-12-2025"/>
    <x v="0"/>
    <s v="137816314558"/>
    <n v="28152.06"/>
    <n v="15426912.09"/>
  </r>
  <r>
    <s v="13-12-2025"/>
    <x v="74"/>
    <s v="137183950129"/>
    <n v="1781.78"/>
    <n v="15428693.869999999"/>
  </r>
  <r>
    <s v="13-12-2025"/>
    <x v="0"/>
    <s v="137817891008"/>
    <n v="17612.14"/>
    <n v="15446306.01"/>
  </r>
  <r>
    <s v="13-12-2025"/>
    <x v="0"/>
    <s v="137818539048"/>
    <n v="42322.559999999998"/>
    <n v="15488628.57"/>
  </r>
  <r>
    <s v="13-12-2025"/>
    <x v="0"/>
    <s v="137184969243"/>
    <n v="45897.54"/>
    <n v="15534526.109999999"/>
  </r>
  <r>
    <s v="13-12-2025"/>
    <x v="0"/>
    <s v="137819965468"/>
    <n v="8573.84"/>
    <n v="15543099.949999999"/>
  </r>
  <r>
    <s v="13-12-2025"/>
    <x v="0"/>
    <s v="137821059358"/>
    <n v="22432.54"/>
    <n v="15565532.49"/>
  </r>
  <r>
    <s v="13-12-2025"/>
    <x v="0"/>
    <s v="137187141275"/>
    <n v="16532.25"/>
    <n v="15582064.74"/>
  </r>
  <r>
    <s v="13-12-2025"/>
    <x v="0"/>
    <s v="137187223345"/>
    <n v="45629.01"/>
    <n v="15627693.75"/>
  </r>
  <r>
    <s v="13-12-2025"/>
    <x v="0"/>
    <s v="137187632023"/>
    <n v="9548.14"/>
    <n v="15637241.890000001"/>
  </r>
  <r>
    <s v="13-12-2025"/>
    <x v="0"/>
    <s v="137188255017"/>
    <n v="30495.59"/>
    <n v="15667737.48"/>
  </r>
  <r>
    <s v="14-12-2025"/>
    <x v="0"/>
    <s v="137188599895"/>
    <n v="82127.5"/>
    <n v="15749864.98"/>
  </r>
  <r>
    <s v="14-12-2025"/>
    <x v="0"/>
    <s v="137188753725"/>
    <n v="34103.67"/>
    <n v="15783968.65"/>
  </r>
  <r>
    <s v="14-12-2025"/>
    <x v="0"/>
    <s v="137188881167"/>
    <n v="8715.84"/>
    <n v="15792684.49"/>
  </r>
  <r>
    <s v="14-12-2025"/>
    <x v="0"/>
    <s v="137823102664"/>
    <n v="19744.23"/>
    <n v="15812428.720000001"/>
  </r>
  <r>
    <s v="14-12-2025"/>
    <x v="0"/>
    <s v="137823153712"/>
    <n v="4092.06"/>
    <n v="15816520.779999999"/>
  </r>
  <r>
    <s v="14-12-2025"/>
    <x v="0"/>
    <s v="137825138680"/>
    <n v="32497.68"/>
    <n v="15849018.460000001"/>
  </r>
  <r>
    <s v="14-12-2025"/>
    <x v="0"/>
    <s v="137825644378"/>
    <n v="31957.040000000001"/>
    <n v="15880975.5"/>
  </r>
  <r>
    <s v="14-12-2025"/>
    <x v="0"/>
    <s v="137192517701"/>
    <n v="9450.7099999999991"/>
    <n v="15890426.210000001"/>
  </r>
  <r>
    <s v="14-12-2025"/>
    <x v="0"/>
    <s v="137193138653"/>
    <n v="32100.12"/>
    <n v="15922526.33"/>
  </r>
  <r>
    <s v="14-12-2025"/>
    <x v="0"/>
    <s v="137193254909"/>
    <n v="85211.94"/>
    <n v="16007738.27"/>
  </r>
  <r>
    <s v="14-12-2025"/>
    <x v="0"/>
    <s v="137827259984"/>
    <n v="15493.08"/>
    <n v="16023231.35"/>
  </r>
  <r>
    <s v="14-12-2025"/>
    <x v="0"/>
    <s v="137193951755"/>
    <n v="35172.230000000003"/>
    <n v="16058403.58"/>
  </r>
  <r>
    <s v="14-12-2025"/>
    <x v="0"/>
    <s v="137828147806"/>
    <n v="52514.77"/>
    <n v="16110918.35"/>
  </r>
  <r>
    <s v="14-12-2025"/>
    <x v="75"/>
    <s v="137194166731"/>
    <n v="5276.81"/>
    <n v="16116195.16"/>
  </r>
  <r>
    <s v="14-12-2025"/>
    <x v="0"/>
    <s v="137194238351"/>
    <n v="52125.05"/>
    <n v="16168320.210000001"/>
  </r>
  <r>
    <s v="14-12-2025"/>
    <x v="76"/>
    <s v="137194236351"/>
    <n v="2618.8200000000002"/>
    <n v="16170939.029999999"/>
  </r>
  <r>
    <s v="14-12-2025"/>
    <x v="0"/>
    <s v="137828514220"/>
    <n v="18219.41"/>
    <n v="16189158.439999999"/>
  </r>
  <r>
    <s v="14-12-2025"/>
    <x v="0"/>
    <s v="137828669992"/>
    <n v="29514.85"/>
    <n v="16218673.289999999"/>
  </r>
  <r>
    <s v="14-12-2025"/>
    <x v="77"/>
    <s v="137828683812"/>
    <n v="1492.97"/>
    <n v="16220166.26"/>
  </r>
  <r>
    <s v="14-12-2025"/>
    <x v="0"/>
    <s v="137194977689"/>
    <n v="14517.07"/>
    <n v="16234683.33"/>
  </r>
  <r>
    <s v="14-12-2025"/>
    <x v="0"/>
    <s v="137195240283"/>
    <n v="5358.65"/>
    <n v="16240041.98"/>
  </r>
  <r>
    <s v="14-12-2025"/>
    <x v="78"/>
    <s v="137829278598"/>
    <n v="269.22000000000003"/>
    <n v="16240311.199999999"/>
  </r>
  <r>
    <s v="14-12-2025"/>
    <x v="0"/>
    <s v="137195238631"/>
    <n v="33613.35"/>
    <n v="16273924.550000001"/>
  </r>
  <r>
    <s v="14-12-2025"/>
    <x v="0"/>
    <s v="137195257543"/>
    <n v="103350.36"/>
    <n v="16377274.91"/>
  </r>
  <r>
    <s v="14-12-2025"/>
    <x v="0"/>
    <s v="137829359830"/>
    <n v="13055.62"/>
    <n v="16390330.529999999"/>
  </r>
  <r>
    <s v="14-12-2025"/>
    <x v="0"/>
    <s v="137829503666"/>
    <n v="20655.16"/>
    <n v="16410985.689999999"/>
  </r>
  <r>
    <s v="14-12-2025"/>
    <x v="79"/>
    <s v="137829499784"/>
    <n v="1037.74"/>
    <n v="16412023.43"/>
  </r>
  <r>
    <s v="14-12-2025"/>
    <x v="0"/>
    <s v="137195473277"/>
    <n v="21726.89"/>
    <n v="16433750.32"/>
  </r>
  <r>
    <s v="14-12-2025"/>
    <x v="0"/>
    <s v="137829747920"/>
    <n v="10327.58"/>
    <n v="16444077.9"/>
  </r>
  <r>
    <s v="14-12-2025"/>
    <x v="0"/>
    <s v="137196458579"/>
    <n v="49933.32"/>
    <n v="16494011.220000001"/>
  </r>
  <r>
    <s v="14-12-2025"/>
    <x v="0"/>
    <s v="137830863958"/>
    <n v="163487.54"/>
    <n v="16657498.76"/>
  </r>
  <r>
    <s v="14-12-2025"/>
    <x v="0"/>
    <s v="137831029106"/>
    <n v="8671.27"/>
    <n v="16666170.029999999"/>
  </r>
  <r>
    <s v="14-12-2025"/>
    <x v="0"/>
    <s v="137197267481"/>
    <n v="14805.81"/>
    <n v="16680975.84"/>
  </r>
  <r>
    <s v="14-12-2025"/>
    <x v="0"/>
    <s v="137831398946"/>
    <n v="21434.6"/>
    <n v="16702410.439999999"/>
  </r>
  <r>
    <s v="14-12-2025"/>
    <x v="0"/>
    <s v="137831433098"/>
    <n v="14322.21"/>
    <n v="16716732.65"/>
  </r>
  <r>
    <s v="14-12-2025"/>
    <x v="0"/>
    <s v="137272856787"/>
    <n v="25331.8"/>
    <n v="16742064.449999999"/>
  </r>
  <r>
    <s v="14-12-2025"/>
    <x v="0"/>
    <s v="137274462155"/>
    <n v="55831.77"/>
    <n v="16797896.219999999"/>
  </r>
  <r>
    <s v="14-12-2025"/>
    <x v="0"/>
    <s v="137915080182"/>
    <n v="29758.05"/>
    <n v="16827654.27"/>
  </r>
  <r>
    <s v="14-12-2025"/>
    <x v="0"/>
    <s v="137917455156"/>
    <n v="18138.240000000002"/>
    <n v="16845792.510000002"/>
  </r>
  <r>
    <s v="14-12-2025"/>
    <x v="0"/>
    <s v="137918261544"/>
    <n v="47740.7"/>
    <n v="16893533.210000001"/>
  </r>
  <r>
    <s v="14-12-2025"/>
    <x v="80"/>
    <s v="137283589283"/>
    <n v="4797.1000000000004"/>
    <n v="16898330.309999999"/>
  </r>
  <r>
    <s v="14-12-2025"/>
    <x v="0"/>
    <s v="137284390157"/>
    <n v="16757.96"/>
    <n v="16915088.27"/>
  </r>
  <r>
    <s v="14-12-2025"/>
    <x v="0"/>
    <s v="137919655398"/>
    <n v="4599.1400000000003"/>
    <n v="16919687.41"/>
  </r>
  <r>
    <s v="14-12-2025"/>
    <x v="0"/>
    <s v="137919990346"/>
    <n v="4448.71"/>
    <n v="16924136.120000001"/>
  </r>
  <r>
    <s v="14-12-2025"/>
    <x v="0"/>
    <s v="137920602650"/>
    <n v="73781.070000000007"/>
    <n v="16997917.190000001"/>
  </r>
  <r>
    <s v="14-12-2025"/>
    <x v="0"/>
    <s v="137920760336"/>
    <n v="38484.85"/>
    <n v="17036402.039999999"/>
  </r>
  <r>
    <s v="14-12-2025"/>
    <x v="81"/>
    <s v="137920633474"/>
    <n v="1933.52"/>
    <n v="17038335.559999999"/>
  </r>
  <r>
    <s v="14-12-2025"/>
    <x v="0"/>
    <s v="137286737407"/>
    <n v="96163.41"/>
    <n v="17134498.969999999"/>
  </r>
  <r>
    <s v="14-12-2025"/>
    <x v="0"/>
    <s v="137287058345"/>
    <n v="71513.62"/>
    <n v="17206012.59"/>
  </r>
  <r>
    <s v="14-12-2025"/>
    <x v="0"/>
    <s v="137287882597"/>
    <n v="106003.84"/>
    <n v="17312016.43"/>
  </r>
  <r>
    <s v="14-12-2025"/>
    <x v="0"/>
    <s v="137287763759"/>
    <n v="64914.85"/>
    <n v="17376931.280000001"/>
  </r>
  <r>
    <s v="14-12-2025"/>
    <x v="0"/>
    <s v="137288757543"/>
    <n v="4599.1400000000003"/>
    <n v="17381530.420000002"/>
  </r>
  <r>
    <s v="14-12-2025"/>
    <x v="0"/>
    <s v="137924517588"/>
    <n v="37043"/>
    <n v="17418573.420000002"/>
  </r>
  <r>
    <s v="14-12-2025"/>
    <x v="0"/>
    <s v="137290068965"/>
    <n v="9158.42"/>
    <n v="17427731.84"/>
  </r>
  <r>
    <s v="14-12-2025"/>
    <x v="0"/>
    <s v="137926143226"/>
    <n v="4357.92"/>
    <n v="17432089.760000002"/>
  </r>
  <r>
    <s v="14-12-2025"/>
    <x v="4"/>
    <s v="137926260696"/>
    <n v="234.96"/>
    <n v="17432324.719999999"/>
  </r>
  <r>
    <s v="14-12-2025"/>
    <x v="0"/>
    <s v="137926389112"/>
    <n v="29190.46"/>
    <n v="17461515.18"/>
  </r>
  <r>
    <s v="14-12-2025"/>
    <x v="0"/>
    <s v="137291943369"/>
    <n v="14029.92"/>
    <n v="17475545.100000001"/>
  </r>
  <r>
    <s v="14-12-2025"/>
    <x v="0"/>
    <s v="137292138799"/>
    <n v="4774.07"/>
    <n v="17480319.170000002"/>
  </r>
  <r>
    <s v="14-12-2025"/>
    <x v="0"/>
    <s v="137926932048"/>
    <n v="15588.8"/>
    <n v="17495907.969999999"/>
  </r>
  <r>
    <s v="15-12-2025"/>
    <x v="0"/>
    <s v="137927636060"/>
    <n v="44135.79"/>
    <n v="17540043.760000002"/>
  </r>
  <r>
    <s v="15-12-2025"/>
    <x v="0"/>
    <s v="137293936969"/>
    <n v="11691.6"/>
    <n v="17551735.359999999"/>
  </r>
  <r>
    <s v="15-12-2025"/>
    <x v="0"/>
    <s v="137928893544"/>
    <n v="34879.94"/>
    <n v="17586615.300000001"/>
  </r>
  <r>
    <s v="15-12-2025"/>
    <x v="0"/>
    <s v="137929233114"/>
    <n v="9353.2800000000007"/>
    <n v="17595968.579999998"/>
  </r>
  <r>
    <s v="15-12-2025"/>
    <x v="0"/>
    <s v="137295139849"/>
    <n v="9548.14"/>
    <n v="17605516.719999999"/>
  </r>
  <r>
    <s v="15-12-2025"/>
    <x v="0"/>
    <s v="137930498598"/>
    <n v="27085.54"/>
    <n v="17632602.260000002"/>
  </r>
  <r>
    <s v="15-12-2025"/>
    <x v="0"/>
    <s v="137931462000"/>
    <n v="18121.98"/>
    <n v="17650724.239999998"/>
  </r>
  <r>
    <s v="17-12-2025"/>
    <x v="1"/>
    <s v="137625617225"/>
    <n v="-300000"/>
    <n v="17350724.239999998"/>
  </r>
  <r>
    <s v="17-12-2025"/>
    <x v="2"/>
    <s v="137625617225"/>
    <n v="-1800"/>
    <n v="17348924.239999998"/>
  </r>
  <r>
    <s v="17-12-2025"/>
    <x v="82"/>
    <s v="137628567805"/>
    <n v="-366988.79999999999"/>
    <n v="16981935.440000001"/>
  </r>
  <r>
    <s v="17-12-2025"/>
    <x v="48"/>
    <s v="137647504691"/>
    <n v="-3200000"/>
    <n v="13781935.439999999"/>
  </r>
  <r>
    <s v="17-12-2025"/>
    <x v="83"/>
    <s v="137676769397"/>
    <n v="-89507.839999999997"/>
    <n v="13692427.6"/>
  </r>
  <r>
    <s v="17-12-2025"/>
    <x v="84"/>
    <s v="138355746802"/>
    <n v="-118708"/>
    <n v="13573719.6"/>
  </r>
  <r>
    <s v="17-12-2025"/>
    <x v="0"/>
    <s v="137718027151"/>
    <n v="26890.68"/>
    <n v="13600610.279999999"/>
  </r>
  <r>
    <s v="17-12-2025"/>
    <x v="0"/>
    <s v="138364372438"/>
    <n v="23675.49"/>
    <n v="13624285.77"/>
  </r>
  <r>
    <s v="17-12-2025"/>
    <x v="0"/>
    <s v="137726653777"/>
    <n v="9255.85"/>
    <n v="13633541.619999999"/>
  </r>
  <r>
    <s v="17-12-2025"/>
    <x v="0"/>
    <s v="137727368801"/>
    <n v="4774.07"/>
    <n v="13638315.689999999"/>
  </r>
  <r>
    <s v="17-12-2025"/>
    <x v="0"/>
    <s v="138366452506"/>
    <n v="12568.47"/>
    <n v="13650884.16"/>
  </r>
  <r>
    <s v="17-12-2025"/>
    <x v="0"/>
    <s v="137729187113"/>
    <n v="13887.09"/>
    <n v="13664771.25"/>
  </r>
  <r>
    <s v="17-12-2025"/>
    <x v="0"/>
    <s v="137732048829"/>
    <n v="45248.3"/>
    <n v="13710019.550000001"/>
  </r>
  <r>
    <s v="17-12-2025"/>
    <x v="0"/>
    <s v="138370582356"/>
    <n v="8128.68"/>
    <n v="13718148.23"/>
  </r>
  <r>
    <s v="17-12-2025"/>
    <x v="0"/>
    <s v="137732395913"/>
    <n v="4357.92"/>
    <n v="13722506.15"/>
  </r>
  <r>
    <s v="17-12-2025"/>
    <x v="0"/>
    <s v="138370811186"/>
    <n v="23381.25"/>
    <n v="13745887.4"/>
  </r>
  <r>
    <s v="17-12-2025"/>
    <x v="0"/>
    <s v="137733585351"/>
    <n v="46762.5"/>
    <n v="13792649.9"/>
  </r>
  <r>
    <s v="17-12-2025"/>
    <x v="85"/>
    <s v="138371875180"/>
    <n v="2348.62"/>
    <n v="13794998.52"/>
  </r>
  <r>
    <s v="17-12-2025"/>
    <x v="0"/>
    <s v="137735636327"/>
    <n v="23381.25"/>
    <n v="13818379.77"/>
  </r>
  <r>
    <s v="17-12-2025"/>
    <x v="0"/>
    <s v="137735718137"/>
    <n v="62826.68"/>
    <n v="13881206.449999999"/>
  </r>
  <r>
    <s v="17-12-2025"/>
    <x v="0"/>
    <s v="138375001336"/>
    <n v="7626.36"/>
    <n v="13888832.810000001"/>
  </r>
  <r>
    <s v="17-12-2025"/>
    <x v="0"/>
    <s v="137736891041"/>
    <n v="8476.41"/>
    <n v="13897309.220000001"/>
  </r>
  <r>
    <s v="17-12-2025"/>
    <x v="0"/>
    <s v="137737033763"/>
    <n v="37119.86"/>
    <n v="13934429.08"/>
  </r>
  <r>
    <s v="17-12-2025"/>
    <x v="0"/>
    <s v="138375441034"/>
    <n v="20752.59"/>
    <n v="13955181.67"/>
  </r>
  <r>
    <s v="17-12-2025"/>
    <x v="0"/>
    <s v="138376025552"/>
    <n v="24967.25"/>
    <n v="13980148.92"/>
  </r>
  <r>
    <s v="17-12-2025"/>
    <x v="0"/>
    <s v="137738555625"/>
    <n v="4629.03"/>
    <n v="13984777.949999999"/>
  </r>
  <r>
    <s v="17-12-2025"/>
    <x v="0"/>
    <s v="138377865080"/>
    <n v="65278.1"/>
    <n v="14050056.050000001"/>
  </r>
  <r>
    <s v="17-12-2025"/>
    <x v="0"/>
    <s v="137739858471"/>
    <n v="60309.17"/>
    <n v="14110365.220000001"/>
  </r>
  <r>
    <s v="17-12-2025"/>
    <x v="86"/>
    <s v="137739797245"/>
    <n v="6060.01"/>
    <n v="14116425.23"/>
  </r>
  <r>
    <s v="17-12-2025"/>
    <x v="0"/>
    <s v="138378205560"/>
    <n v="4676.6400000000003"/>
    <n v="14121101.869999999"/>
  </r>
  <r>
    <s v="17-12-2025"/>
    <x v="0"/>
    <s v="138378705392"/>
    <n v="45597.24"/>
    <n v="14166699.109999999"/>
  </r>
  <r>
    <s v="17-12-2025"/>
    <x v="0"/>
    <s v="138379731852"/>
    <n v="38449.29"/>
    <n v="14205148.4"/>
  </r>
  <r>
    <s v="17-12-2025"/>
    <x v="0"/>
    <s v="138380103176"/>
    <n v="49884.160000000003"/>
    <n v="14255032.560000001"/>
  </r>
  <r>
    <s v="18-12-2025"/>
    <x v="0"/>
    <s v="138380825924"/>
    <n v="44328.7"/>
    <n v="14299361.26"/>
  </r>
  <r>
    <s v="18-12-2025"/>
    <x v="0"/>
    <s v="138381183046"/>
    <n v="4774.07"/>
    <n v="14304135.33"/>
  </r>
  <r>
    <s v="18-12-2025"/>
    <x v="0"/>
    <s v="138382866740"/>
    <n v="32831.96"/>
    <n v="14336967.289999999"/>
  </r>
  <r>
    <s v="18-12-2025"/>
    <x v="0"/>
    <s v="138386617202"/>
    <n v="3870.8"/>
    <n v="14340838.09"/>
  </r>
  <r>
    <s v="18-12-2025"/>
    <x v="0"/>
    <s v="137748725081"/>
    <n v="18316.84"/>
    <n v="14359154.93"/>
  </r>
  <r>
    <s v="18-12-2025"/>
    <x v="0"/>
    <s v="137748780603"/>
    <n v="19146.509999999998"/>
    <n v="14378301.439999999"/>
  </r>
  <r>
    <s v="18-12-2025"/>
    <x v="0"/>
    <s v="138386893506"/>
    <n v="18579.84"/>
    <n v="14396881.279999999"/>
  </r>
  <r>
    <s v="18-12-2025"/>
    <x v="0"/>
    <s v="137748840969"/>
    <n v="16614.57"/>
    <n v="14413495.85"/>
  </r>
  <r>
    <s v="18-12-2025"/>
    <x v="0"/>
    <s v="138387393028"/>
    <n v="33126.199999999997"/>
    <n v="14446622.050000001"/>
  </r>
  <r>
    <s v="18-12-2025"/>
    <x v="0"/>
    <s v="137862760785"/>
    <n v="12178.75"/>
    <n v="14458800.800000001"/>
  </r>
  <r>
    <s v="18-12-2025"/>
    <x v="0"/>
    <s v="137866056777"/>
    <n v="14419.64"/>
    <n v="14473220.439999999"/>
  </r>
  <r>
    <s v="18-12-2025"/>
    <x v="0"/>
    <s v="138506489490"/>
    <n v="4871.5"/>
    <n v="14478091.939999999"/>
  </r>
  <r>
    <s v="18-12-2025"/>
    <x v="0"/>
    <s v="138507536394"/>
    <n v="9743"/>
    <n v="14487834.939999999"/>
  </r>
  <r>
    <s v="18-12-2025"/>
    <x v="87"/>
    <s v="138507542274"/>
    <n v="979"/>
    <n v="14488813.939999999"/>
  </r>
  <r>
    <s v="18-12-2025"/>
    <x v="0"/>
    <s v="137875762085"/>
    <n v="9743"/>
    <n v="14498556.939999999"/>
  </r>
  <r>
    <s v="18-12-2025"/>
    <x v="0"/>
    <s v="138515609406"/>
    <n v="20405.52"/>
    <n v="14518962.460000001"/>
  </r>
  <r>
    <s v="18-12-2025"/>
    <x v="0"/>
    <s v="137878494033"/>
    <n v="5358.65"/>
    <n v="14524321.109999999"/>
  </r>
  <r>
    <s v="18-12-2025"/>
    <x v="0"/>
    <s v="137879551043"/>
    <n v="4539.5"/>
    <n v="14528860.609999999"/>
  </r>
  <r>
    <s v="18-12-2025"/>
    <x v="0"/>
    <s v="137881102495"/>
    <n v="4774.07"/>
    <n v="14533634.68"/>
  </r>
  <r>
    <s v="18-12-2025"/>
    <x v="0"/>
    <s v="137881181395"/>
    <n v="25317.96"/>
    <n v="14558952.640000001"/>
  </r>
  <r>
    <s v="18-12-2025"/>
    <x v="0"/>
    <s v="137881574967"/>
    <n v="4871.5"/>
    <n v="14563824.140000001"/>
  </r>
  <r>
    <s v="18-12-2025"/>
    <x v="0"/>
    <s v="137881925783"/>
    <n v="4448.71"/>
    <n v="14568272.85"/>
  </r>
  <r>
    <s v="18-12-2025"/>
    <x v="0"/>
    <s v="137882122931"/>
    <n v="4629.03"/>
    <n v="14572901.880000001"/>
  </r>
  <r>
    <s v="18-12-2025"/>
    <x v="0"/>
    <s v="138521571152"/>
    <n v="7557.6"/>
    <n v="14580459.48"/>
  </r>
  <r>
    <s v="18-12-2025"/>
    <x v="0"/>
    <s v="137883296031"/>
    <n v="14711.93"/>
    <n v="14595171.41"/>
  </r>
  <r>
    <s v="18-12-2025"/>
    <x v="0"/>
    <s v="138522879906"/>
    <n v="7307.25"/>
    <n v="14602478.66"/>
  </r>
  <r>
    <s v="18-12-2025"/>
    <x v="4"/>
    <s v="137883804495"/>
    <n v="367.12"/>
    <n v="14602845.779999999"/>
  </r>
  <r>
    <s v="18-12-2025"/>
    <x v="0"/>
    <s v="138523156838"/>
    <n v="21337.17"/>
    <n v="14624182.949999999"/>
  </r>
  <r>
    <s v="18-12-2025"/>
    <x v="88"/>
    <s v="137883883605"/>
    <n v="1072"/>
    <n v="14625254.949999999"/>
  </r>
  <r>
    <s v="18-12-2025"/>
    <x v="0"/>
    <s v="138523183892"/>
    <n v="4774.07"/>
    <n v="14630029.02"/>
  </r>
  <r>
    <s v="18-12-2025"/>
    <x v="0"/>
    <s v="138523355880"/>
    <n v="4774.07"/>
    <n v="14634803.09"/>
  </r>
  <r>
    <s v="18-12-2025"/>
    <x v="0"/>
    <s v="138523750984"/>
    <n v="10717.3"/>
    <n v="14645520.390000001"/>
  </r>
  <r>
    <s v="18-12-2025"/>
    <x v="0"/>
    <s v="138523835674"/>
    <n v="2435.75"/>
    <n v="14647956.140000001"/>
  </r>
  <r>
    <s v="18-12-2025"/>
    <x v="0"/>
    <s v="137885651617"/>
    <n v="4774.07"/>
    <n v="14652730.210000001"/>
  </r>
  <r>
    <s v="18-12-2025"/>
    <x v="0"/>
    <s v="138525332522"/>
    <n v="4676.6400000000003"/>
    <n v="14657406.85"/>
  </r>
  <r>
    <s v="18-12-2025"/>
    <x v="0"/>
    <s v="138525274966"/>
    <n v="9353.2800000000007"/>
    <n v="14666760.130000001"/>
  </r>
  <r>
    <s v="18-12-2025"/>
    <x v="0"/>
    <s v="137886337273"/>
    <n v="4539.5"/>
    <n v="14671299.630000001"/>
  </r>
  <r>
    <s v="18-12-2025"/>
    <x v="0"/>
    <s v="138527208218"/>
    <n v="4871.5"/>
    <n v="14676171.130000001"/>
  </r>
  <r>
    <s v="18-12-2025"/>
    <x v="0"/>
    <s v="137888300955"/>
    <n v="4774.07"/>
    <n v="14680945.199999999"/>
  </r>
  <r>
    <s v="18-12-2025"/>
    <x v="0"/>
    <s v="137888265807"/>
    <n v="9743"/>
    <n v="14690688.199999999"/>
  </r>
  <r>
    <s v="18-12-2025"/>
    <x v="0"/>
    <s v="137888580429"/>
    <n v="40547.519999999997"/>
    <n v="14731235.720000001"/>
  </r>
  <r>
    <s v="18-12-2025"/>
    <x v="0"/>
    <s v="138527881428"/>
    <n v="9743"/>
    <n v="14740978.720000001"/>
  </r>
  <r>
    <s v="18-12-2025"/>
    <x v="0"/>
    <s v="138527945930"/>
    <n v="4676.6400000000003"/>
    <n v="14745655.359999999"/>
  </r>
  <r>
    <s v="18-12-2025"/>
    <x v="0"/>
    <s v="137888937331"/>
    <n v="45597.24"/>
    <n v="14791252.6"/>
  </r>
  <r>
    <s v="18-12-2025"/>
    <x v="0"/>
    <s v="138528055052"/>
    <n v="2338.3200000000002"/>
    <n v="14793590.92"/>
  </r>
  <r>
    <s v="18-12-2025"/>
    <x v="0"/>
    <s v="138528129514"/>
    <n v="4871.5"/>
    <n v="14798462.42"/>
  </r>
  <r>
    <s v="18-12-2025"/>
    <x v="0"/>
    <s v="138528213452"/>
    <n v="4676.6400000000003"/>
    <n v="14803139.060000001"/>
  </r>
  <r>
    <s v="18-12-2025"/>
    <x v="0"/>
    <s v="138528194054"/>
    <n v="4871.5"/>
    <n v="14808010.560000001"/>
  </r>
  <r>
    <s v="18-12-2025"/>
    <x v="0"/>
    <s v="137889297597"/>
    <n v="4774.07"/>
    <n v="14812784.630000001"/>
  </r>
  <r>
    <s v="18-12-2025"/>
    <x v="0"/>
    <s v="138528391464"/>
    <n v="5358.65"/>
    <n v="14818143.279999999"/>
  </r>
  <r>
    <s v="18-12-2025"/>
    <x v="0"/>
    <s v="137889879715"/>
    <n v="9548.14"/>
    <n v="14827691.42"/>
  </r>
  <r>
    <s v="18-12-2025"/>
    <x v="0"/>
    <s v="138529185350"/>
    <n v="14614.5"/>
    <n v="14842305.92"/>
  </r>
  <r>
    <s v="18-12-2025"/>
    <x v="0"/>
    <s v="137890291451"/>
    <n v="44915.23"/>
    <n v="14887221.15"/>
  </r>
  <r>
    <s v="18-12-2025"/>
    <x v="0"/>
    <s v="137890414465"/>
    <n v="10717.3"/>
    <n v="14897938.449999999"/>
  </r>
  <r>
    <s v="18-12-2025"/>
    <x v="0"/>
    <s v="138529603148"/>
    <n v="21633.63"/>
    <n v="14919572.08"/>
  </r>
  <r>
    <s v="18-12-2025"/>
    <x v="0"/>
    <s v="137890542783"/>
    <n v="4871.5"/>
    <n v="14924443.58"/>
  </r>
  <r>
    <s v="18-12-2025"/>
    <x v="0"/>
    <s v="138529709640"/>
    <n v="4505.28"/>
    <n v="14928948.859999999"/>
  </r>
  <r>
    <s v="18-12-2025"/>
    <x v="0"/>
    <s v="138529964152"/>
    <n v="9743"/>
    <n v="14938691.859999999"/>
  </r>
  <r>
    <s v="18-12-2025"/>
    <x v="0"/>
    <s v="138530250704"/>
    <n v="54414.720000000001"/>
    <n v="14993106.58"/>
  </r>
  <r>
    <s v="18-12-2025"/>
    <x v="0"/>
    <s v="137891309225"/>
    <n v="35659.379999999997"/>
    <n v="15028765.960000001"/>
  </r>
  <r>
    <s v="18-12-2025"/>
    <x v="0"/>
    <s v="137891544975"/>
    <n v="4676.6400000000003"/>
    <n v="15033442.6"/>
  </r>
  <r>
    <s v="18-12-2025"/>
    <x v="0"/>
    <s v="138530623524"/>
    <n v="2435.75"/>
    <n v="15035878.35"/>
  </r>
  <r>
    <s v="18-12-2025"/>
    <x v="0"/>
    <s v="137891888729"/>
    <n v="10717.3"/>
    <n v="15046595.65"/>
  </r>
  <r>
    <s v="18-12-2025"/>
    <x v="0"/>
    <s v="137891966741"/>
    <n v="4838.5"/>
    <n v="15051434.15"/>
  </r>
  <r>
    <s v="18-12-2025"/>
    <x v="0"/>
    <s v="137891994961"/>
    <n v="14614.5"/>
    <n v="15066048.65"/>
  </r>
  <r>
    <s v="18-12-2025"/>
    <x v="0"/>
    <s v="138531133564"/>
    <n v="17732.259999999998"/>
    <n v="15083780.91"/>
  </r>
  <r>
    <s v="18-12-2025"/>
    <x v="89"/>
    <s v="138531210626"/>
    <n v="890.89"/>
    <n v="15084671.800000001"/>
  </r>
  <r>
    <s v="18-12-2025"/>
    <x v="0"/>
    <s v="138531264710"/>
    <n v="13153.05"/>
    <n v="15097824.85"/>
  </r>
  <r>
    <s v="18-12-2025"/>
    <x v="0"/>
    <s v="138531301154"/>
    <n v="32151.9"/>
    <n v="15129976.75"/>
  </r>
  <r>
    <s v="18-12-2025"/>
    <x v="0"/>
    <s v="138531468148"/>
    <n v="10035.290000000001"/>
    <n v="15140012.039999999"/>
  </r>
  <r>
    <s v="18-12-2025"/>
    <x v="0"/>
    <s v="138531411036"/>
    <n v="35026.080000000002"/>
    <n v="15175038.119999999"/>
  </r>
  <r>
    <s v="18-12-2025"/>
    <x v="0"/>
    <s v="137892466823"/>
    <n v="20168.009999999998"/>
    <n v="15195206.130000001"/>
  </r>
  <r>
    <s v="18-12-2025"/>
    <x v="0"/>
    <s v="137892552965"/>
    <n v="5358.65"/>
    <n v="15200564.779999999"/>
  </r>
  <r>
    <s v="18-12-2025"/>
    <x v="0"/>
    <s v="138532020272"/>
    <n v="7414.94"/>
    <n v="15207979.720000001"/>
  </r>
  <r>
    <s v="18-12-2025"/>
    <x v="0"/>
    <s v="137892926953"/>
    <n v="14614.5"/>
    <n v="15222594.220000001"/>
  </r>
  <r>
    <s v="18-12-2025"/>
    <x v="0"/>
    <s v="137892927031"/>
    <n v="4871.5"/>
    <n v="15227465.720000001"/>
  </r>
  <r>
    <s v="18-12-2025"/>
    <x v="0"/>
    <s v="138532396696"/>
    <n v="4871.5"/>
    <n v="15232337.220000001"/>
  </r>
  <r>
    <s v="18-12-2025"/>
    <x v="0"/>
    <s v="137893308257"/>
    <n v="4774.07"/>
    <n v="15237111.289999999"/>
  </r>
  <r>
    <s v="18-12-2025"/>
    <x v="0"/>
    <s v="138532436086"/>
    <n v="19082.939999999999"/>
    <n v="15256194.23"/>
  </r>
  <r>
    <s v="18-12-2025"/>
    <x v="0"/>
    <s v="137893744373"/>
    <n v="7014.96"/>
    <n v="15263209.189999999"/>
  </r>
  <r>
    <s v="18-12-2025"/>
    <x v="0"/>
    <s v="138533100352"/>
    <n v="9743"/>
    <n v="15272952.189999999"/>
  </r>
  <r>
    <s v="18-12-2025"/>
    <x v="0"/>
    <s v="137893863741"/>
    <n v="30398.16"/>
    <n v="15303350.35"/>
  </r>
  <r>
    <s v="18-12-2025"/>
    <x v="0"/>
    <s v="137893950695"/>
    <n v="9743"/>
    <n v="15313093.35"/>
  </r>
  <r>
    <s v="18-12-2025"/>
    <x v="0"/>
    <s v="137894038283"/>
    <n v="4676.6400000000003"/>
    <n v="15317769.99"/>
  </r>
  <r>
    <s v="18-12-2025"/>
    <x v="0"/>
    <s v="137893963885"/>
    <n v="4871.5"/>
    <n v="15322641.49"/>
  </r>
  <r>
    <s v="18-12-2025"/>
    <x v="0"/>
    <s v="138533430762"/>
    <n v="51540.47"/>
    <n v="15374181.960000001"/>
  </r>
  <r>
    <s v="18-12-2025"/>
    <x v="0"/>
    <s v="138533495288"/>
    <n v="4676.6400000000003"/>
    <n v="15378858.6"/>
  </r>
  <r>
    <s v="18-12-2025"/>
    <x v="0"/>
    <s v="137894380257"/>
    <n v="4676.6400000000003"/>
    <n v="15383535.24"/>
  </r>
  <r>
    <s v="18-12-2025"/>
    <x v="0"/>
    <s v="137894534529"/>
    <n v="127349.32"/>
    <n v="15510884.560000001"/>
  </r>
  <r>
    <s v="18-12-2025"/>
    <x v="0"/>
    <s v="137894549499"/>
    <n v="4871.5"/>
    <n v="15515756.060000001"/>
  </r>
  <r>
    <s v="18-12-2025"/>
    <x v="90"/>
    <s v="138533691820"/>
    <n v="244.75"/>
    <n v="15516000.810000001"/>
  </r>
  <r>
    <s v="18-12-2025"/>
    <x v="0"/>
    <s v="137894672723"/>
    <n v="14614.5"/>
    <n v="15530615.310000001"/>
  </r>
  <r>
    <s v="18-12-2025"/>
    <x v="0"/>
    <s v="137894766465"/>
    <n v="50955.89"/>
    <n v="15581571.199999999"/>
  </r>
  <r>
    <s v="18-12-2025"/>
    <x v="0"/>
    <s v="138533953280"/>
    <n v="24357.5"/>
    <n v="15605928.699999999"/>
  </r>
  <r>
    <s v="18-12-2025"/>
    <x v="0"/>
    <s v="137894899763"/>
    <n v="4871.5"/>
    <n v="15610800.199999999"/>
  </r>
  <r>
    <s v="18-12-2025"/>
    <x v="0"/>
    <s v="138534165884"/>
    <n v="4676.6400000000003"/>
    <n v="15615476.84"/>
  </r>
  <r>
    <s v="18-12-2025"/>
    <x v="0"/>
    <s v="138534343360"/>
    <n v="4676.6400000000003"/>
    <n v="15620153.48"/>
  </r>
  <r>
    <s v="18-12-2025"/>
    <x v="0"/>
    <s v="138534337942"/>
    <n v="7307.25"/>
    <n v="15627460.73"/>
  </r>
  <r>
    <s v="18-12-2025"/>
    <x v="0"/>
    <s v="137895364073"/>
    <n v="4534.5600000000004"/>
    <n v="15631995.289999999"/>
  </r>
  <r>
    <s v="18-12-2025"/>
    <x v="0"/>
    <s v="138534631434"/>
    <n v="7307.25"/>
    <n v="15639302.539999999"/>
  </r>
  <r>
    <s v="18-12-2025"/>
    <x v="0"/>
    <s v="138534793054"/>
    <n v="10717.3"/>
    <n v="15650019.84"/>
  </r>
  <r>
    <s v="18-12-2025"/>
    <x v="0"/>
    <s v="137895836485"/>
    <n v="4871.5"/>
    <n v="15654891.34"/>
  </r>
  <r>
    <s v="18-12-2025"/>
    <x v="0"/>
    <s v="138534996160"/>
    <n v="4871.5"/>
    <n v="15659762.84"/>
  </r>
  <r>
    <s v="18-12-2025"/>
    <x v="0"/>
    <s v="138534978934"/>
    <n v="4838.5"/>
    <n v="15664601.34"/>
  </r>
  <r>
    <s v="18-12-2025"/>
    <x v="0"/>
    <s v="137895887285"/>
    <n v="9743"/>
    <n v="15674344.34"/>
  </r>
  <r>
    <s v="18-12-2025"/>
    <x v="0"/>
    <s v="138535116146"/>
    <n v="4871.5"/>
    <n v="15679215.84"/>
  </r>
  <r>
    <s v="18-12-2025"/>
    <x v="91"/>
    <s v="138534987942"/>
    <n v="244.75"/>
    <n v="15679460.59"/>
  </r>
  <r>
    <s v="18-12-2025"/>
    <x v="0"/>
    <s v="138535053938"/>
    <n v="4676.6400000000003"/>
    <n v="15684137.23"/>
  </r>
  <r>
    <s v="18-12-2025"/>
    <x v="0"/>
    <s v="138535089536"/>
    <n v="15491.37"/>
    <n v="15699628.6"/>
  </r>
  <r>
    <s v="18-12-2025"/>
    <x v="0"/>
    <s v="137896094497"/>
    <n v="9743"/>
    <n v="15709371.6"/>
  </r>
  <r>
    <s v="19-12-2025"/>
    <x v="0"/>
    <s v="137896413189"/>
    <n v="9353.2800000000007"/>
    <n v="15718724.880000001"/>
  </r>
  <r>
    <s v="19-12-2025"/>
    <x v="0"/>
    <s v="138535507900"/>
    <n v="4871.5"/>
    <n v="15723596.380000001"/>
  </r>
  <r>
    <s v="19-12-2025"/>
    <x v="0"/>
    <s v="137896500919"/>
    <n v="4871.5"/>
    <n v="15728467.880000001"/>
  </r>
  <r>
    <s v="19-12-2025"/>
    <x v="0"/>
    <s v="138535706824"/>
    <n v="4838.5"/>
    <n v="15733306.380000001"/>
  </r>
  <r>
    <s v="19-12-2025"/>
    <x v="0"/>
    <s v="137896651907"/>
    <n v="12178.75"/>
    <n v="15745485.130000001"/>
  </r>
  <r>
    <s v="19-12-2025"/>
    <x v="0"/>
    <s v="138535920782"/>
    <n v="14614.5"/>
    <n v="15760099.630000001"/>
  </r>
  <r>
    <s v="19-12-2025"/>
    <x v="0"/>
    <s v="137896807477"/>
    <n v="8367.36"/>
    <n v="15768466.99"/>
  </r>
  <r>
    <s v="19-12-2025"/>
    <x v="0"/>
    <s v="137896837169"/>
    <n v="4871.5"/>
    <n v="15773338.49"/>
  </r>
  <r>
    <s v="19-12-2025"/>
    <x v="0"/>
    <s v="137896861447"/>
    <n v="4774.07"/>
    <n v="15778112.560000001"/>
  </r>
  <r>
    <s v="19-12-2025"/>
    <x v="0"/>
    <s v="137896976563"/>
    <n v="4676.6400000000003"/>
    <n v="15782789.199999999"/>
  </r>
  <r>
    <s v="19-12-2025"/>
    <x v="0"/>
    <s v="137896955087"/>
    <n v="42869.2"/>
    <n v="15825658.4"/>
  </r>
  <r>
    <s v="19-12-2025"/>
    <x v="0"/>
    <s v="138536070026"/>
    <n v="28450.38"/>
    <n v="15854108.779999999"/>
  </r>
  <r>
    <s v="19-12-2025"/>
    <x v="0"/>
    <s v="137897183137"/>
    <n v="68207.34"/>
    <n v="15922316.119999999"/>
  </r>
  <r>
    <s v="19-12-2025"/>
    <x v="0"/>
    <s v="138536451722"/>
    <n v="4871.5"/>
    <n v="15927187.619999999"/>
  </r>
  <r>
    <s v="19-12-2025"/>
    <x v="0"/>
    <s v="138536523088"/>
    <n v="76872.27"/>
    <n v="16004059.890000001"/>
  </r>
  <r>
    <s v="19-12-2025"/>
    <x v="92"/>
    <s v="138536531052"/>
    <n v="3862.15"/>
    <n v="16007922.039999999"/>
  </r>
  <r>
    <s v="19-12-2025"/>
    <x v="0"/>
    <s v="138536523820"/>
    <n v="75800.539999999994"/>
    <n v="16083722.58"/>
  </r>
  <r>
    <s v="19-12-2025"/>
    <x v="0"/>
    <s v="137897499495"/>
    <n v="4676.6400000000003"/>
    <n v="16088399.220000001"/>
  </r>
  <r>
    <s v="19-12-2025"/>
    <x v="0"/>
    <s v="138536694508"/>
    <n v="9079"/>
    <n v="16097478.220000001"/>
  </r>
  <r>
    <s v="19-12-2025"/>
    <x v="93"/>
    <s v="138536663026"/>
    <n v="979"/>
    <n v="16098457.220000001"/>
  </r>
  <r>
    <s v="19-12-2025"/>
    <x v="0"/>
    <s v="138536621798"/>
    <n v="4871.5"/>
    <n v="16103328.720000001"/>
  </r>
  <r>
    <s v="19-12-2025"/>
    <x v="0"/>
    <s v="138536804822"/>
    <n v="4741.7299999999996"/>
    <n v="16108070.449999999"/>
  </r>
  <r>
    <s v="19-12-2025"/>
    <x v="0"/>
    <s v="137897818889"/>
    <n v="7209.82"/>
    <n v="16115280.27"/>
  </r>
  <r>
    <s v="19-12-2025"/>
    <x v="0"/>
    <s v="137897873121"/>
    <n v="4871.5"/>
    <n v="16120151.77"/>
  </r>
  <r>
    <s v="19-12-2025"/>
    <x v="0"/>
    <s v="138536945536"/>
    <n v="4676.6400000000003"/>
    <n v="16124828.41"/>
  </r>
  <r>
    <s v="19-12-2025"/>
    <x v="0"/>
    <s v="138537038742"/>
    <n v="4774.07"/>
    <n v="16129602.48"/>
  </r>
  <r>
    <s v="19-12-2025"/>
    <x v="0"/>
    <s v="137897957069"/>
    <n v="4676.6400000000003"/>
    <n v="16134279.119999999"/>
  </r>
  <r>
    <s v="19-12-2025"/>
    <x v="0"/>
    <s v="137898000905"/>
    <n v="4676.6400000000003"/>
    <n v="16138955.76"/>
  </r>
  <r>
    <s v="19-12-2025"/>
    <x v="0"/>
    <s v="137898074457"/>
    <n v="4676.6400000000003"/>
    <n v="16143632.4"/>
  </r>
  <r>
    <s v="19-12-2025"/>
    <x v="0"/>
    <s v="138537226196"/>
    <n v="4838.5"/>
    <n v="16148470.9"/>
  </r>
  <r>
    <s v="19-12-2025"/>
    <x v="0"/>
    <s v="138537157486"/>
    <n v="4676.6400000000003"/>
    <n v="16153147.539999999"/>
  </r>
  <r>
    <s v="19-12-2025"/>
    <x v="0"/>
    <s v="137898095891"/>
    <n v="7307.25"/>
    <n v="16160454.789999999"/>
  </r>
  <r>
    <s v="19-12-2025"/>
    <x v="0"/>
    <s v="137898141923"/>
    <n v="4676.6400000000003"/>
    <n v="16165131.43"/>
  </r>
  <r>
    <s v="19-12-2025"/>
    <x v="0"/>
    <s v="138537259896"/>
    <n v="2338.3200000000002"/>
    <n v="16167469.75"/>
  </r>
  <r>
    <s v="19-12-2025"/>
    <x v="0"/>
    <s v="138537415846"/>
    <n v="4774.07"/>
    <n v="16172243.82"/>
  </r>
  <r>
    <s v="19-12-2025"/>
    <x v="0"/>
    <s v="137898434267"/>
    <n v="4871.5"/>
    <n v="16177115.32"/>
  </r>
  <r>
    <s v="19-12-2025"/>
    <x v="0"/>
    <s v="137898470195"/>
    <n v="9743"/>
    <n v="16186858.32"/>
  </r>
  <r>
    <s v="19-12-2025"/>
    <x v="0"/>
    <s v="138537549358"/>
    <n v="4871.5"/>
    <n v="16191729.82"/>
  </r>
  <r>
    <s v="19-12-2025"/>
    <x v="91"/>
    <s v="137898435063"/>
    <n v="244.75"/>
    <n v="16191974.57"/>
  </r>
  <r>
    <s v="19-12-2025"/>
    <x v="0"/>
    <s v="137898593083"/>
    <n v="7172.41"/>
    <n v="16199146.98"/>
  </r>
  <r>
    <s v="19-12-2025"/>
    <x v="0"/>
    <s v="138537858578"/>
    <n v="4871.5"/>
    <n v="16204018.48"/>
  </r>
  <r>
    <s v="19-12-2025"/>
    <x v="0"/>
    <s v="138537959300"/>
    <n v="14614.5"/>
    <n v="16218632.98"/>
  </r>
  <r>
    <s v="19-12-2025"/>
    <x v="0"/>
    <s v="138538192316"/>
    <n v="26208.67"/>
    <n v="16244841.65"/>
  </r>
  <r>
    <s v="19-12-2025"/>
    <x v="0"/>
    <s v="138538294534"/>
    <n v="9743"/>
    <n v="16254584.65"/>
  </r>
  <r>
    <s v="19-12-2025"/>
    <x v="0"/>
    <s v="137899248237"/>
    <n v="4871.5"/>
    <n v="16259456.15"/>
  </r>
  <r>
    <s v="19-12-2025"/>
    <x v="0"/>
    <s v="138538371730"/>
    <n v="9743"/>
    <n v="16269199.15"/>
  </r>
  <r>
    <s v="19-12-2025"/>
    <x v="0"/>
    <s v="138538409638"/>
    <n v="71513.789999999994"/>
    <n v="16340712.939999999"/>
  </r>
  <r>
    <s v="19-12-2025"/>
    <x v="0"/>
    <s v="138538526420"/>
    <n v="4871.5"/>
    <n v="16345584.439999999"/>
  </r>
  <r>
    <s v="19-12-2025"/>
    <x v="0"/>
    <s v="137899463333"/>
    <n v="5358.65"/>
    <n v="16350943.09"/>
  </r>
  <r>
    <s v="19-12-2025"/>
    <x v="0"/>
    <s v="138538764448"/>
    <n v="21142.31"/>
    <n v="16372085.4"/>
  </r>
  <r>
    <s v="19-12-2025"/>
    <x v="0"/>
    <s v="138538774982"/>
    <n v="9743"/>
    <n v="16381828.4"/>
  </r>
  <r>
    <s v="19-12-2025"/>
    <x v="0"/>
    <s v="137899567743"/>
    <n v="46961.26"/>
    <n v="16428789.66"/>
  </r>
  <r>
    <s v="19-12-2025"/>
    <x v="0"/>
    <s v="138538968416"/>
    <n v="5358.65"/>
    <n v="16434148.310000001"/>
  </r>
  <r>
    <s v="19-12-2025"/>
    <x v="0"/>
    <s v="138538877614"/>
    <n v="9450.7099999999991"/>
    <n v="16443599.02"/>
  </r>
  <r>
    <s v="19-12-2025"/>
    <x v="0"/>
    <s v="137900124225"/>
    <n v="4676.6400000000003"/>
    <n v="16448275.66"/>
  </r>
  <r>
    <s v="19-12-2025"/>
    <x v="0"/>
    <s v="137899983959"/>
    <n v="65960.11"/>
    <n v="16514235.77"/>
  </r>
  <r>
    <s v="19-12-2025"/>
    <x v="0"/>
    <s v="137900051953"/>
    <n v="4871.5"/>
    <n v="16519107.27"/>
  </r>
  <r>
    <s v="19-12-2025"/>
    <x v="0"/>
    <s v="138539450730"/>
    <n v="10717.3"/>
    <n v="16529824.57"/>
  </r>
  <r>
    <s v="19-12-2025"/>
    <x v="0"/>
    <s v="137900357205"/>
    <n v="9353.2800000000007"/>
    <n v="16539177.85"/>
  </r>
  <r>
    <s v="19-12-2025"/>
    <x v="0"/>
    <s v="137900480563"/>
    <n v="2338.3200000000002"/>
    <n v="16541516.17"/>
  </r>
  <r>
    <s v="19-12-2025"/>
    <x v="0"/>
    <s v="138539540062"/>
    <n v="4774.07"/>
    <n v="16546290.24"/>
  </r>
  <r>
    <s v="19-12-2025"/>
    <x v="0"/>
    <s v="138539639336"/>
    <n v="86907.56"/>
    <n v="16633197.800000001"/>
  </r>
  <r>
    <s v="19-12-2025"/>
    <x v="0"/>
    <s v="137900568985"/>
    <n v="14517.07"/>
    <n v="16647714.869999999"/>
  </r>
  <r>
    <s v="19-12-2025"/>
    <x v="0"/>
    <s v="138539685694"/>
    <n v="4774.07"/>
    <n v="16652488.939999999"/>
  </r>
  <r>
    <s v="19-12-2025"/>
    <x v="0"/>
    <s v="137900583251"/>
    <n v="4871.5"/>
    <n v="16657360.439999999"/>
  </r>
  <r>
    <s v="19-12-2025"/>
    <x v="0"/>
    <s v="137900724285"/>
    <n v="4774.07"/>
    <n v="16662134.51"/>
  </r>
  <r>
    <s v="19-12-2025"/>
    <x v="0"/>
    <s v="137900842553"/>
    <n v="11594.17"/>
    <n v="16673728.68"/>
  </r>
  <r>
    <s v="19-12-2025"/>
    <x v="54"/>
    <s v="138540024370"/>
    <n v="582.5"/>
    <n v="16674311.18"/>
  </r>
  <r>
    <s v="19-12-2025"/>
    <x v="0"/>
    <s v="138539991186"/>
    <n v="4644.96"/>
    <n v="16678956.140000001"/>
  </r>
  <r>
    <s v="19-12-2025"/>
    <x v="0"/>
    <s v="138540017574"/>
    <n v="15491.37"/>
    <n v="16694447.51"/>
  </r>
  <r>
    <s v="19-12-2025"/>
    <x v="0"/>
    <s v="137901100913"/>
    <n v="4676.6400000000003"/>
    <n v="16699124.15"/>
  </r>
  <r>
    <s v="19-12-2025"/>
    <x v="0"/>
    <s v="138540272932"/>
    <n v="9743"/>
    <n v="16708867.15"/>
  </r>
  <r>
    <s v="19-12-2025"/>
    <x v="0"/>
    <s v="138540271020"/>
    <n v="19193.71"/>
    <n v="16728060.859999999"/>
  </r>
  <r>
    <s v="19-12-2025"/>
    <x v="0"/>
    <s v="138540355548"/>
    <n v="4871.5"/>
    <n v="16732932.359999999"/>
  </r>
  <r>
    <s v="19-12-2025"/>
    <x v="0"/>
    <s v="138540490748"/>
    <n v="2346.5"/>
    <n v="16735278.859999999"/>
  </r>
  <r>
    <s v="19-12-2025"/>
    <x v="0"/>
    <s v="138540518482"/>
    <n v="9548.14"/>
    <n v="16744827"/>
  </r>
  <r>
    <s v="19-12-2025"/>
    <x v="0"/>
    <s v="138540544612"/>
    <n v="19486"/>
    <n v="16764313"/>
  </r>
  <r>
    <s v="19-12-2025"/>
    <x v="0"/>
    <s v="138540460020"/>
    <n v="4871.5"/>
    <n v="16769184.5"/>
  </r>
  <r>
    <s v="19-12-2025"/>
    <x v="0"/>
    <s v="137901496673"/>
    <n v="23967.78"/>
    <n v="16793152.280000001"/>
  </r>
  <r>
    <s v="19-12-2025"/>
    <x v="0"/>
    <s v="138540533782"/>
    <n v="4676.6400000000003"/>
    <n v="16797828.920000002"/>
  </r>
  <r>
    <s v="19-12-2025"/>
    <x v="0"/>
    <s v="138540748380"/>
    <n v="4774.07"/>
    <n v="16802602.989999998"/>
  </r>
  <r>
    <s v="19-12-2025"/>
    <x v="0"/>
    <s v="137901634467"/>
    <n v="12568.47"/>
    <n v="16815171.460000001"/>
  </r>
  <r>
    <s v="19-12-2025"/>
    <x v="0"/>
    <s v="137901732771"/>
    <n v="4871.5"/>
    <n v="16820042.960000001"/>
  </r>
  <r>
    <s v="19-12-2025"/>
    <x v="94"/>
    <s v="138540813558"/>
    <n v="244.75"/>
    <n v="16820287.710000001"/>
  </r>
  <r>
    <s v="19-12-2025"/>
    <x v="0"/>
    <s v="137901777597"/>
    <n v="15393.94"/>
    <n v="16835681.649999999"/>
  </r>
  <r>
    <s v="19-12-2025"/>
    <x v="0"/>
    <s v="138541087572"/>
    <n v="12665.9"/>
    <n v="16848347.550000001"/>
  </r>
  <r>
    <s v="19-12-2025"/>
    <x v="0"/>
    <s v="138541267178"/>
    <n v="4676.6400000000003"/>
    <n v="16853024.190000001"/>
  </r>
  <r>
    <s v="19-12-2025"/>
    <x v="0"/>
    <s v="138541611002"/>
    <n v="9198.2800000000007"/>
    <n v="16862222.469999999"/>
  </r>
  <r>
    <s v="19-12-2025"/>
    <x v="0"/>
    <s v="137902485901"/>
    <n v="9743"/>
    <n v="16871965.469999999"/>
  </r>
  <r>
    <s v="19-12-2025"/>
    <x v="0"/>
    <s v="137902691017"/>
    <n v="10035.290000000001"/>
    <n v="16882000.760000002"/>
  </r>
  <r>
    <s v="19-12-2025"/>
    <x v="0"/>
    <s v="137902854741"/>
    <n v="12178.75"/>
    <n v="16894179.510000002"/>
  </r>
  <r>
    <s v="19-12-2025"/>
    <x v="0"/>
    <s v="138542085322"/>
    <n v="14614.5"/>
    <n v="16908794.010000002"/>
  </r>
  <r>
    <s v="19-12-2025"/>
    <x v="0"/>
    <s v="137903168103"/>
    <n v="4505.28"/>
    <n v="16913299.289999999"/>
  </r>
  <r>
    <s v="19-12-2025"/>
    <x v="0"/>
    <s v="138542183900"/>
    <n v="9353.2800000000007"/>
    <n v="16922652.57"/>
  </r>
  <r>
    <s v="19-12-2025"/>
    <x v="0"/>
    <s v="137903253005"/>
    <n v="9743"/>
    <n v="16932395.57"/>
  </r>
  <r>
    <s v="19-12-2025"/>
    <x v="0"/>
    <s v="137903325729"/>
    <n v="50468.74"/>
    <n v="16982864.309999999"/>
  </r>
  <r>
    <s v="19-12-2025"/>
    <x v="95"/>
    <s v="137903470371"/>
    <n v="2535.61"/>
    <n v="16985399.920000002"/>
  </r>
  <r>
    <s v="19-12-2025"/>
    <x v="0"/>
    <s v="138542590960"/>
    <n v="43832.62"/>
    <n v="17029232.539999999"/>
  </r>
  <r>
    <s v="19-12-2025"/>
    <x v="0"/>
    <s v="138542676996"/>
    <n v="10717.3"/>
    <n v="17039949.84"/>
  </r>
  <r>
    <s v="19-12-2025"/>
    <x v="0"/>
    <s v="137903782181"/>
    <n v="9548.14"/>
    <n v="17049497.98"/>
  </r>
  <r>
    <s v="19-12-2025"/>
    <x v="0"/>
    <s v="137903699165"/>
    <n v="4871.5"/>
    <n v="17054369.48"/>
  </r>
  <r>
    <s v="19-12-2025"/>
    <x v="0"/>
    <s v="137903674013"/>
    <n v="4871.5"/>
    <n v="17059240.98"/>
  </r>
  <r>
    <s v="19-12-2025"/>
    <x v="0"/>
    <s v="137903890489"/>
    <n v="10717.3"/>
    <n v="17069958.280000001"/>
  </r>
  <r>
    <s v="19-12-2025"/>
    <x v="0"/>
    <s v="138543115054"/>
    <n v="4676.6400000000003"/>
    <n v="17074634.920000002"/>
  </r>
  <r>
    <s v="19-12-2025"/>
    <x v="0"/>
    <s v="138543218206"/>
    <n v="14614.5"/>
    <n v="17089249.420000002"/>
  </r>
  <r>
    <s v="19-12-2025"/>
    <x v="0"/>
    <s v="138543129840"/>
    <n v="10717.3"/>
    <n v="17099966.719999999"/>
  </r>
  <r>
    <s v="19-12-2025"/>
    <x v="0"/>
    <s v="137904241645"/>
    <n v="4871.5"/>
    <n v="17104838.219999999"/>
  </r>
  <r>
    <s v="19-12-2025"/>
    <x v="0"/>
    <s v="138543548466"/>
    <n v="2338.3200000000002"/>
    <n v="17107176.539999999"/>
  </r>
  <r>
    <s v="19-12-2025"/>
    <x v="0"/>
    <s v="138543772980"/>
    <n v="4871.5"/>
    <n v="17112048.039999999"/>
  </r>
  <r>
    <s v="19-12-2025"/>
    <x v="0"/>
    <s v="137904711931"/>
    <n v="4871.5"/>
    <n v="17116919.539999999"/>
  </r>
  <r>
    <s v="19-12-2025"/>
    <x v="0"/>
    <s v="137904878419"/>
    <n v="4871.5"/>
    <n v="17121791.039999999"/>
  </r>
  <r>
    <s v="19-12-2025"/>
    <x v="0"/>
    <s v="137904833777"/>
    <n v="9743"/>
    <n v="17131534.039999999"/>
  </r>
  <r>
    <s v="19-12-2025"/>
    <x v="0"/>
    <s v="138544060956"/>
    <n v="4871.5"/>
    <n v="17136405.539999999"/>
  </r>
  <r>
    <s v="19-12-2025"/>
    <x v="94"/>
    <s v="137904879445"/>
    <n v="244.75"/>
    <n v="17136650.289999999"/>
  </r>
  <r>
    <s v="19-12-2025"/>
    <x v="0"/>
    <s v="138544134616"/>
    <n v="75764.94"/>
    <n v="17212415.23"/>
  </r>
  <r>
    <s v="19-12-2025"/>
    <x v="0"/>
    <s v="138544075084"/>
    <n v="4871.5"/>
    <n v="17217286.73"/>
  </r>
  <r>
    <s v="19-12-2025"/>
    <x v="0"/>
    <s v="137905264613"/>
    <n v="41094.449999999997"/>
    <n v="17258381.18"/>
  </r>
  <r>
    <s v="19-12-2025"/>
    <x v="0"/>
    <s v="138544276084"/>
    <n v="4871.5"/>
    <n v="17263252.68"/>
  </r>
  <r>
    <s v="19-12-2025"/>
    <x v="0"/>
    <s v="138544457004"/>
    <n v="5358.65"/>
    <n v="17268611.329999998"/>
  </r>
  <r>
    <s v="19-12-2025"/>
    <x v="0"/>
    <s v="137905494935"/>
    <n v="10717.3"/>
    <n v="17279328.629999999"/>
  </r>
  <r>
    <s v="19-12-2025"/>
    <x v="0"/>
    <s v="138544549666"/>
    <n v="4871.5"/>
    <n v="17284200.129999999"/>
  </r>
  <r>
    <s v="19-12-2025"/>
    <x v="0"/>
    <s v="138544583838"/>
    <n v="4286.92"/>
    <n v="17288487.050000001"/>
  </r>
  <r>
    <s v="19-12-2025"/>
    <x v="0"/>
    <s v="138544846336"/>
    <n v="4774.07"/>
    <n v="17293261.120000001"/>
  </r>
  <r>
    <s v="19-12-2025"/>
    <x v="0"/>
    <s v="137905815953"/>
    <n v="7794.4"/>
    <n v="17301055.52"/>
  </r>
  <r>
    <s v="19-12-2025"/>
    <x v="0"/>
    <s v="138545094492"/>
    <n v="4871.5"/>
    <n v="17305927.02"/>
  </r>
  <r>
    <s v="19-12-2025"/>
    <x v="0"/>
    <s v="137906026971"/>
    <n v="12471.04"/>
    <n v="17318398.059999999"/>
  </r>
  <r>
    <s v="19-12-2025"/>
    <x v="0"/>
    <s v="138545509656"/>
    <n v="17050.25"/>
    <n v="17335448.309999999"/>
  </r>
  <r>
    <s v="19-12-2025"/>
    <x v="0"/>
    <s v="138545532014"/>
    <n v="13153.05"/>
    <n v="17348601.359999999"/>
  </r>
  <r>
    <s v="19-12-2025"/>
    <x v="96"/>
    <s v="138545543956"/>
    <n v="660.82"/>
    <n v="17349262.18"/>
  </r>
  <r>
    <s v="19-12-2025"/>
    <x v="0"/>
    <s v="137906505763"/>
    <n v="9548.14"/>
    <n v="17358810.32"/>
  </r>
  <r>
    <s v="19-12-2025"/>
    <x v="0"/>
    <s v="137906502057"/>
    <n v="10230.15"/>
    <n v="17369040.469999999"/>
  </r>
  <r>
    <s v="19-12-2025"/>
    <x v="97"/>
    <s v="137934058475"/>
    <n v="-514069.75"/>
    <n v="16854970.719999999"/>
  </r>
  <r>
    <s v="19-12-2025"/>
    <x v="2"/>
    <s v="137934058475"/>
    <n v="-3084.42"/>
    <n v="16851886.300000001"/>
  </r>
  <r>
    <s v="19-12-2025"/>
    <x v="48"/>
    <s v="138579090174"/>
    <n v="-2000000"/>
    <n v="14851886.300000001"/>
  </r>
  <r>
    <s v="19-12-2025"/>
    <x v="48"/>
    <s v="138579078470"/>
    <n v="-2000000"/>
    <n v="12851886.300000001"/>
  </r>
  <r>
    <s v="19-12-2025"/>
    <x v="48"/>
    <s v="137938761795"/>
    <n v="-2000000"/>
    <n v="10851886.300000001"/>
  </r>
  <r>
    <s v="19-12-2025"/>
    <x v="1"/>
    <s v="138016711113"/>
    <n v="-400000"/>
    <n v="10451886.300000001"/>
  </r>
  <r>
    <s v="19-12-2025"/>
    <x v="2"/>
    <s v="138016711113"/>
    <n v="-2400"/>
    <n v="10449486.300000001"/>
  </r>
  <r>
    <s v="19-12-2025"/>
    <x v="0"/>
    <s v="138034620679"/>
    <n v="18138.240000000002"/>
    <n v="10467624.539999999"/>
  </r>
  <r>
    <s v="19-12-2025"/>
    <x v="21"/>
    <s v="138034620679"/>
    <n v="-18138.240000000002"/>
    <n v="10449486.300000001"/>
  </r>
  <r>
    <s v="19-12-2025"/>
    <x v="0"/>
    <s v="138674677786"/>
    <n v="18138.240000000002"/>
    <n v="10467624.539999999"/>
  </r>
  <r>
    <s v="19-12-2025"/>
    <x v="0"/>
    <s v="138034929089"/>
    <n v="94.47"/>
    <n v="10467719.01"/>
  </r>
  <r>
    <s v="19-12-2025"/>
    <x v="21"/>
    <s v="138034929089"/>
    <n v="-94.47"/>
    <n v="10467624.539999999"/>
  </r>
  <r>
    <s v="19-12-2025"/>
    <x v="0"/>
    <s v="138039811091"/>
    <n v="4534.5600000000004"/>
    <n v="10472159.1"/>
  </r>
  <r>
    <s v="19-12-2025"/>
    <x v="0"/>
    <s v="138041526863"/>
    <n v="16160.59"/>
    <n v="10488319.689999999"/>
  </r>
  <r>
    <s v="19-12-2025"/>
    <x v="0"/>
    <s v="138043978781"/>
    <n v="5358.65"/>
    <n v="10493678.34"/>
  </r>
  <r>
    <s v="19-12-2025"/>
    <x v="0"/>
    <s v="138685012854"/>
    <n v="14614.5"/>
    <n v="10508292.84"/>
  </r>
  <r>
    <s v="19-12-2025"/>
    <x v="0"/>
    <s v="138685196796"/>
    <n v="9079"/>
    <n v="10517371.84"/>
  </r>
  <r>
    <s v="19-12-2025"/>
    <x v="0"/>
    <s v="138045999405"/>
    <n v="103152.14"/>
    <n v="10620523.98"/>
  </r>
  <r>
    <s v="19-12-2025"/>
    <x v="0"/>
    <s v="138687056118"/>
    <n v="10717.3"/>
    <n v="10631241.279999999"/>
  </r>
  <r>
    <s v="19-12-2025"/>
    <x v="0"/>
    <s v="138047673181"/>
    <n v="30230.400000000001"/>
    <n v="10661471.68"/>
  </r>
  <r>
    <s v="19-12-2025"/>
    <x v="0"/>
    <s v="138049357257"/>
    <n v="10230.15"/>
    <n v="10671701.83"/>
  </r>
  <r>
    <s v="19-12-2025"/>
    <x v="0"/>
    <s v="138691649412"/>
    <n v="14614.5"/>
    <n v="10686316.33"/>
  </r>
  <r>
    <s v="19-12-2025"/>
    <x v="0"/>
    <s v="138052305423"/>
    <n v="11808.75"/>
    <n v="10698125.08"/>
  </r>
  <r>
    <s v="19-12-2025"/>
    <x v="0"/>
    <s v="138052500883"/>
    <n v="4693"/>
    <n v="10702818.08"/>
  </r>
  <r>
    <s v="19-12-2025"/>
    <x v="0"/>
    <s v="138692382652"/>
    <n v="9532.9500000000007"/>
    <n v="10712351.029999999"/>
  </r>
  <r>
    <s v="19-12-2025"/>
    <x v="0"/>
    <s v="138053465951"/>
    <n v="10230.15"/>
    <n v="10722581.18"/>
  </r>
  <r>
    <s v="19-12-2025"/>
    <x v="0"/>
    <s v="138053974887"/>
    <n v="39556.58"/>
    <n v="10762137.76"/>
  </r>
  <r>
    <s v="19-12-2025"/>
    <x v="98"/>
    <s v="138053901839"/>
    <n v="3974.74"/>
    <n v="10766112.5"/>
  </r>
  <r>
    <s v="19-12-2025"/>
    <x v="0"/>
    <s v="138055103481"/>
    <n v="56493.06"/>
    <n v="10822605.560000001"/>
  </r>
  <r>
    <s v="19-12-2025"/>
    <x v="0"/>
    <s v="138055864673"/>
    <n v="167211.9"/>
    <n v="10989817.460000001"/>
  </r>
  <r>
    <s v="19-12-2025"/>
    <x v="0"/>
    <s v="138695928646"/>
    <n v="32025.33"/>
    <n v="11021842.789999999"/>
  </r>
  <r>
    <s v="19-12-2025"/>
    <x v="0"/>
    <s v="138696344716"/>
    <n v="47846.33"/>
    <n v="11069689.119999999"/>
  </r>
  <r>
    <s v="19-12-2025"/>
    <x v="0"/>
    <s v="138056660625"/>
    <n v="28813.35"/>
    <n v="11098502.470000001"/>
  </r>
  <r>
    <s v="19-12-2025"/>
    <x v="0"/>
    <s v="138697904534"/>
    <n v="58165.71"/>
    <n v="11156668.18"/>
  </r>
  <r>
    <s v="19-12-2025"/>
    <x v="99"/>
    <s v="138697916442"/>
    <n v="2922.31"/>
    <n v="11159590.49"/>
  </r>
  <r>
    <s v="19-12-2025"/>
    <x v="0"/>
    <s v="138058107457"/>
    <n v="50273.88"/>
    <n v="11209864.369999999"/>
  </r>
  <r>
    <s v="19-12-2025"/>
    <x v="0"/>
    <s v="138699426344"/>
    <n v="30690.45"/>
    <n v="11240554.82"/>
  </r>
  <r>
    <s v="19-12-2025"/>
    <x v="0"/>
    <s v="138060170477"/>
    <n v="28546.99"/>
    <n v="11269101.810000001"/>
  </r>
  <r>
    <s v="19-12-2025"/>
    <x v="0"/>
    <s v="138060572491"/>
    <n v="15588.8"/>
    <n v="11284690.609999999"/>
  </r>
  <r>
    <s v="19-12-2025"/>
    <x v="0"/>
    <s v="138061721195"/>
    <n v="72080.61"/>
    <n v="11356771.220000001"/>
  </r>
  <r>
    <s v="19-12-2025"/>
    <x v="0"/>
    <s v="138061896843"/>
    <n v="34387.08"/>
    <n v="11391158.300000001"/>
  </r>
  <r>
    <s v="19-12-2025"/>
    <x v="0"/>
    <s v="138701890684"/>
    <n v="107601.33"/>
    <n v="11498759.630000001"/>
  </r>
  <r>
    <s v="19-12-2025"/>
    <x v="0"/>
    <s v="138062703771"/>
    <n v="56304.12"/>
    <n v="11555063.75"/>
  </r>
  <r>
    <s v="19-12-2025"/>
    <x v="0"/>
    <s v="138702659938"/>
    <n v="101716.92"/>
    <n v="11656780.67"/>
  </r>
  <r>
    <s v="19-12-2025"/>
    <x v="0"/>
    <s v="138702853772"/>
    <n v="4505.28"/>
    <n v="11661285.949999999"/>
  </r>
  <r>
    <s v="19-12-2025"/>
    <x v="0"/>
    <s v="138703142834"/>
    <n v="4676.6400000000003"/>
    <n v="11665962.59"/>
  </r>
  <r>
    <s v="20-12-2025"/>
    <x v="0"/>
    <s v="138703994676"/>
    <n v="49397.01"/>
    <n v="11715359.6"/>
  </r>
  <r>
    <s v="20-12-2025"/>
    <x v="0"/>
    <s v="138704550514"/>
    <n v="64206.37"/>
    <n v="11779565.970000001"/>
  </r>
  <r>
    <s v="20-12-2025"/>
    <x v="100"/>
    <s v="138064631729"/>
    <n v="6451.61"/>
    <n v="11786017.58"/>
  </r>
  <r>
    <s v="20-12-2025"/>
    <x v="0"/>
    <s v="138705039232"/>
    <n v="4871.5"/>
    <n v="11790889.08"/>
  </r>
  <r>
    <s v="20-12-2025"/>
    <x v="0"/>
    <s v="138706049188"/>
    <n v="42511.5"/>
    <n v="11833400.58"/>
  </r>
  <r>
    <s v="20-12-2025"/>
    <x v="0"/>
    <s v="138066372851"/>
    <n v="4505.28"/>
    <n v="11837905.859999999"/>
  </r>
  <r>
    <s v="20-12-2025"/>
    <x v="0"/>
    <s v="138706937248"/>
    <n v="52619.79"/>
    <n v="11890525.65"/>
  </r>
  <r>
    <s v="20-12-2025"/>
    <x v="0"/>
    <s v="138707444206"/>
    <n v="86156.64"/>
    <n v="11976682.289999999"/>
  </r>
  <r>
    <s v="20-12-2025"/>
    <x v="0"/>
    <s v="138067716027"/>
    <n v="42869.11"/>
    <n v="12019551.4"/>
  </r>
  <r>
    <s v="20-12-2025"/>
    <x v="0"/>
    <s v="138708147740"/>
    <n v="41700.04"/>
    <n v="12061251.439999999"/>
  </r>
  <r>
    <s v="20-12-2025"/>
    <x v="0"/>
    <s v="138068490929"/>
    <n v="33613.35"/>
    <n v="12094864.789999999"/>
  </r>
  <r>
    <s v="20-12-2025"/>
    <x v="0"/>
    <s v="138068724249"/>
    <n v="46279.25"/>
    <n v="12141144.039999999"/>
  </r>
  <r>
    <s v="20-12-2025"/>
    <x v="0"/>
    <s v="138709041032"/>
    <n v="65765.25"/>
    <n v="12206909.289999999"/>
  </r>
  <r>
    <s v="20-12-2025"/>
    <x v="0"/>
    <s v="138709043828"/>
    <n v="45986.96"/>
    <n v="12252896.25"/>
  </r>
  <r>
    <s v="20-12-2025"/>
    <x v="101"/>
    <s v="138069276345"/>
    <n v="4620.88"/>
    <n v="12257517.130000001"/>
  </r>
  <r>
    <s v="20-12-2025"/>
    <x v="0"/>
    <s v="138709514288"/>
    <n v="20168.009999999998"/>
    <n v="12277685.140000001"/>
  </r>
  <r>
    <s v="20-12-2025"/>
    <x v="0"/>
    <s v="138710020218"/>
    <n v="36633.68"/>
    <n v="12314318.82"/>
  </r>
  <r>
    <s v="20-12-2025"/>
    <x v="0"/>
    <s v="138710023050"/>
    <n v="4723.5"/>
    <n v="12319042.32"/>
  </r>
  <r>
    <s v="20-12-2025"/>
    <x v="0"/>
    <s v="138069999425"/>
    <n v="4534.5600000000004"/>
    <n v="12323576.880000001"/>
  </r>
  <r>
    <s v="20-12-2025"/>
    <x v="0"/>
    <s v="138070771505"/>
    <n v="5358.65"/>
    <n v="12328935.529999999"/>
  </r>
  <r>
    <s v="20-12-2025"/>
    <x v="0"/>
    <s v="138710725930"/>
    <n v="5358.65"/>
    <n v="12334294.18"/>
  </r>
  <r>
    <s v="20-12-2025"/>
    <x v="0"/>
    <s v="138071304667"/>
    <n v="25818.95"/>
    <n v="12360113.130000001"/>
  </r>
  <r>
    <s v="20-12-2025"/>
    <x v="0"/>
    <s v="138711660284"/>
    <n v="19486"/>
    <n v="12379599.130000001"/>
  </r>
  <r>
    <s v="20-12-2025"/>
    <x v="0"/>
    <s v="138071717769"/>
    <n v="25450.51"/>
    <n v="12405049.640000001"/>
  </r>
  <r>
    <s v="20-12-2025"/>
    <x v="0"/>
    <s v="138712596668"/>
    <n v="26186.94"/>
    <n v="12431236.58"/>
  </r>
  <r>
    <s v="20-12-2025"/>
    <x v="0"/>
    <s v="138072709179"/>
    <n v="26322.32"/>
    <n v="12457558.9"/>
  </r>
  <r>
    <s v="20-12-2025"/>
    <x v="0"/>
    <s v="138072727715"/>
    <n v="26793.25"/>
    <n v="12484352.15"/>
  </r>
  <r>
    <s v="20-12-2025"/>
    <x v="0"/>
    <s v="138712746706"/>
    <n v="10230.15"/>
    <n v="12494582.300000001"/>
  </r>
  <r>
    <s v="20-12-2025"/>
    <x v="0"/>
    <s v="138072784035"/>
    <n v="57288.84"/>
    <n v="12551871.140000001"/>
  </r>
  <r>
    <s v="20-12-2025"/>
    <x v="102"/>
    <s v="138072847151"/>
    <n v="2878.26"/>
    <n v="12554749.4"/>
  </r>
  <r>
    <s v="20-12-2025"/>
    <x v="0"/>
    <s v="138713132944"/>
    <n v="34587.65"/>
    <n v="12589337.050000001"/>
  </r>
  <r>
    <s v="20-12-2025"/>
    <x v="0"/>
    <s v="138713390948"/>
    <n v="22138.639999999999"/>
    <n v="12611475.689999999"/>
  </r>
  <r>
    <s v="20-12-2025"/>
    <x v="0"/>
    <s v="138073452173"/>
    <n v="19486"/>
    <n v="12630961.689999999"/>
  </r>
  <r>
    <s v="20-12-2025"/>
    <x v="0"/>
    <s v="138713517800"/>
    <n v="47399.3"/>
    <n v="12678360.99"/>
  </r>
  <r>
    <s v="20-12-2025"/>
    <x v="103"/>
    <s v="138781228844"/>
    <n v="-66827.570000000007"/>
    <n v="12611533.42"/>
  </r>
  <r>
    <s v="20-12-2025"/>
    <x v="0"/>
    <s v="138820146078"/>
    <n v="9743"/>
    <n v="12621276.42"/>
  </r>
  <r>
    <s v="20-12-2025"/>
    <x v="0"/>
    <s v="138180185879"/>
    <n v="9743"/>
    <n v="12631019.42"/>
  </r>
  <r>
    <s v="20-12-2025"/>
    <x v="0"/>
    <s v="138825658218"/>
    <n v="9447"/>
    <n v="12640466.42"/>
  </r>
  <r>
    <s v="20-12-2025"/>
    <x v="0"/>
    <s v="138830273878"/>
    <n v="5447.4"/>
    <n v="12645913.82"/>
  </r>
  <r>
    <s v="20-12-2025"/>
    <x v="0"/>
    <s v="138831169662"/>
    <n v="5358.65"/>
    <n v="12651272.470000001"/>
  </r>
  <r>
    <s v="20-12-2025"/>
    <x v="0"/>
    <s v="138834531356"/>
    <n v="12568.47"/>
    <n v="12663840.939999999"/>
  </r>
  <r>
    <s v="20-12-2025"/>
    <x v="0"/>
    <s v="138194400553"/>
    <n v="11158.5"/>
    <n v="12674999.439999999"/>
  </r>
  <r>
    <s v="20-12-2025"/>
    <x v="0"/>
    <s v="138837938928"/>
    <n v="14614.5"/>
    <n v="12689613.939999999"/>
  </r>
  <r>
    <s v="20-12-2025"/>
    <x v="0"/>
    <s v="138198187679"/>
    <n v="19486"/>
    <n v="12709099.939999999"/>
  </r>
  <r>
    <s v="20-12-2025"/>
    <x v="0"/>
    <s v="138198737449"/>
    <n v="41673.839999999997"/>
    <n v="12750773.779999999"/>
  </r>
  <r>
    <s v="20-12-2025"/>
    <x v="0"/>
    <s v="138840860684"/>
    <n v="15587.55"/>
    <n v="12766361.33"/>
  </r>
  <r>
    <s v="20-12-2025"/>
    <x v="0"/>
    <s v="138201157087"/>
    <n v="33864.67"/>
    <n v="12800226"/>
  </r>
  <r>
    <s v="20-12-2025"/>
    <x v="0"/>
    <s v="138201252687"/>
    <n v="33126.199999999997"/>
    <n v="12833352.199999999"/>
  </r>
  <r>
    <s v="20-12-2025"/>
    <x v="0"/>
    <s v="138841653890"/>
    <n v="35048.370000000003"/>
    <n v="12868400.57"/>
  </r>
  <r>
    <s v="20-12-2025"/>
    <x v="0"/>
    <s v="138201467989"/>
    <n v="26598.39"/>
    <n v="12894998.960000001"/>
  </r>
  <r>
    <s v="20-12-2025"/>
    <x v="0"/>
    <s v="138843315510"/>
    <n v="20783.400000000001"/>
    <n v="12915782.359999999"/>
  </r>
  <r>
    <s v="20-12-2025"/>
    <x v="0"/>
    <s v="138204114191"/>
    <n v="4838.5"/>
    <n v="12920620.859999999"/>
  </r>
  <r>
    <s v="20-12-2025"/>
    <x v="0"/>
    <s v="138205303057"/>
    <n v="24065.21"/>
    <n v="12944686.07"/>
  </r>
  <r>
    <s v="20-12-2025"/>
    <x v="104"/>
    <s v="138205242047"/>
    <n v="2418.13"/>
    <n v="12947104.199999999"/>
  </r>
  <r>
    <s v="20-12-2025"/>
    <x v="0"/>
    <s v="138846074058"/>
    <n v="42869.11"/>
    <n v="12989973.310000001"/>
  </r>
  <r>
    <s v="20-12-2025"/>
    <x v="0"/>
    <s v="138206888477"/>
    <n v="55264.95"/>
    <n v="13045238.26"/>
  </r>
  <r>
    <s v="20-12-2025"/>
    <x v="0"/>
    <s v="138847468360"/>
    <n v="15486.9"/>
    <n v="13060725.16"/>
  </r>
  <r>
    <s v="20-12-2025"/>
    <x v="0"/>
    <s v="138207560423"/>
    <n v="79405.45"/>
    <n v="13140130.609999999"/>
  </r>
  <r>
    <s v="20-12-2025"/>
    <x v="0"/>
    <s v="138207547971"/>
    <n v="4871.5"/>
    <n v="13145002.109999999"/>
  </r>
  <r>
    <s v="20-12-2025"/>
    <x v="0"/>
    <s v="138848404496"/>
    <n v="19291.14"/>
    <n v="13164293.25"/>
  </r>
  <r>
    <s v="20-12-2025"/>
    <x v="105"/>
    <s v="138207819305"/>
    <n v="969.21"/>
    <n v="13165262.460000001"/>
  </r>
  <r>
    <s v="21-12-2025"/>
    <x v="0"/>
    <s v="138848967406"/>
    <n v="14127.35"/>
    <n v="13179389.810000001"/>
  </r>
  <r>
    <s v="21-12-2025"/>
    <x v="106"/>
    <s v="138849001012"/>
    <n v="1419.55"/>
    <n v="13180809.359999999"/>
  </r>
  <r>
    <s v="21-12-2025"/>
    <x v="0"/>
    <s v="138849036742"/>
    <n v="2922.9"/>
    <n v="13183732.26"/>
  </r>
  <r>
    <s v="21-12-2025"/>
    <x v="0"/>
    <s v="138849101350"/>
    <n v="40055.279999999999"/>
    <n v="13223787.539999999"/>
  </r>
  <r>
    <s v="21-12-2025"/>
    <x v="0"/>
    <s v="138849267594"/>
    <n v="44400.9"/>
    <n v="13268188.439999999"/>
  </r>
  <r>
    <s v="21-12-2025"/>
    <x v="0"/>
    <s v="138849484320"/>
    <n v="9386"/>
    <n v="13277574.439999999"/>
  </r>
  <r>
    <s v="21-12-2025"/>
    <x v="0"/>
    <s v="138849998288"/>
    <n v="70734.179999999993"/>
    <n v="13348308.619999999"/>
  </r>
  <r>
    <s v="21-12-2025"/>
    <x v="0"/>
    <s v="138850633872"/>
    <n v="10230.15"/>
    <n v="13358538.77"/>
  </r>
  <r>
    <s v="21-12-2025"/>
    <x v="0"/>
    <s v="138210363935"/>
    <n v="33914.730000000003"/>
    <n v="13392453.5"/>
  </r>
  <r>
    <s v="21-12-2025"/>
    <x v="0"/>
    <s v="138210648291"/>
    <n v="10035.290000000001"/>
    <n v="13402488.789999999"/>
  </r>
  <r>
    <s v="21-12-2025"/>
    <x v="0"/>
    <s v="138851061664"/>
    <n v="28057.59"/>
    <n v="13430546.380000001"/>
  </r>
  <r>
    <s v="21-12-2025"/>
    <x v="0"/>
    <s v="138211297097"/>
    <n v="14127.35"/>
    <n v="13444673.73"/>
  </r>
  <r>
    <s v="21-12-2025"/>
    <x v="0"/>
    <s v="138211329819"/>
    <n v="25331.8"/>
    <n v="13470005.529999999"/>
  </r>
  <r>
    <s v="21-12-2025"/>
    <x v="0"/>
    <s v="138851977854"/>
    <n v="42576.91"/>
    <n v="13512582.439999999"/>
  </r>
  <r>
    <s v="21-12-2025"/>
    <x v="0"/>
    <s v="138211671171"/>
    <n v="10717.3"/>
    <n v="13523299.74"/>
  </r>
  <r>
    <s v="21-12-2025"/>
    <x v="0"/>
    <s v="138211779431"/>
    <n v="63426.93"/>
    <n v="13586726.67"/>
  </r>
  <r>
    <s v="21-12-2025"/>
    <x v="0"/>
    <s v="138852403078"/>
    <n v="9353.2800000000007"/>
    <n v="13596079.949999999"/>
  </r>
  <r>
    <s v="21-12-2025"/>
    <x v="0"/>
    <s v="138852498598"/>
    <n v="9548.14"/>
    <n v="13605628.09"/>
  </r>
  <r>
    <s v="21-12-2025"/>
    <x v="0"/>
    <s v="138852696652"/>
    <n v="10717.3"/>
    <n v="13616345.390000001"/>
  </r>
  <r>
    <s v="21-12-2025"/>
    <x v="0"/>
    <s v="138212356555"/>
    <n v="9743"/>
    <n v="13626088.390000001"/>
  </r>
  <r>
    <s v="21-12-2025"/>
    <x v="0"/>
    <s v="138853192420"/>
    <n v="25136.94"/>
    <n v="13651225.33"/>
  </r>
  <r>
    <s v="21-12-2025"/>
    <x v="107"/>
    <s v="138853147094"/>
    <n v="1262.9100000000001"/>
    <n v="13652488.24"/>
  </r>
  <r>
    <s v="21-12-2025"/>
    <x v="0"/>
    <s v="138853202756"/>
    <n v="91635.9"/>
    <n v="13744124.140000001"/>
  </r>
  <r>
    <s v="21-12-2025"/>
    <x v="0"/>
    <s v="138212818677"/>
    <n v="75313.39"/>
    <n v="13819437.529999999"/>
  </r>
  <r>
    <s v="21-12-2025"/>
    <x v="21"/>
    <s v="138853192420"/>
    <n v="-25136.94"/>
    <n v="13794300.59"/>
  </r>
  <r>
    <s v="21-12-2025"/>
    <x v="0"/>
    <s v="138853313116"/>
    <n v="20460.3"/>
    <n v="13814760.890000001"/>
  </r>
  <r>
    <s v="21-12-2025"/>
    <x v="0"/>
    <s v="138853442612"/>
    <n v="10035.290000000001"/>
    <n v="13824796.18"/>
  </r>
  <r>
    <s v="21-12-2025"/>
    <x v="0"/>
    <s v="138213130077"/>
    <n v="19486"/>
    <n v="13844282.18"/>
  </r>
  <r>
    <s v="21-12-2025"/>
    <x v="108"/>
    <s v="138213161831"/>
    <n v="979"/>
    <n v="13845261.18"/>
  </r>
  <r>
    <s v="21-12-2025"/>
    <x v="0"/>
    <s v="138853958868"/>
    <n v="14926.26"/>
    <n v="13860187.439999999"/>
  </r>
  <r>
    <s v="21-12-2025"/>
    <x v="0"/>
    <s v="138213612905"/>
    <n v="10230.15"/>
    <n v="13870417.59"/>
  </r>
  <r>
    <s v="21-12-2025"/>
    <x v="0"/>
    <s v="138213756749"/>
    <n v="26695.82"/>
    <n v="13897113.41"/>
  </r>
  <r>
    <s v="21-12-2025"/>
    <x v="0"/>
    <s v="138854466710"/>
    <n v="29284.32"/>
    <n v="13926397.73"/>
  </r>
  <r>
    <s v="21-12-2025"/>
    <x v="0"/>
    <s v="138854698280"/>
    <n v="16075.95"/>
    <n v="13942473.68"/>
  </r>
  <r>
    <s v="21-12-2025"/>
    <x v="0"/>
    <s v="138854732718"/>
    <n v="4676.6400000000003"/>
    <n v="13947150.32"/>
  </r>
  <r>
    <s v="21-12-2025"/>
    <x v="0"/>
    <s v="138214397525"/>
    <n v="9548.14"/>
    <n v="13956698.460000001"/>
  </r>
  <r>
    <s v="21-12-2025"/>
    <x v="0"/>
    <s v="138854924608"/>
    <n v="4871.5"/>
    <n v="13961569.960000001"/>
  </r>
  <r>
    <s v="21-12-2025"/>
    <x v="0"/>
    <s v="138214651007"/>
    <n v="138448.03"/>
    <n v="14100017.99"/>
  </r>
  <r>
    <s v="21-12-2025"/>
    <x v="64"/>
    <s v="138214690391"/>
    <n v="6955.79"/>
    <n v="14106973.779999999"/>
  </r>
  <r>
    <s v="21-12-2025"/>
    <x v="0"/>
    <s v="138855188874"/>
    <n v="9548.14"/>
    <n v="14116521.92"/>
  </r>
  <r>
    <s v="21-12-2025"/>
    <x v="0"/>
    <s v="138855285094"/>
    <n v="125197.55"/>
    <n v="14241719.470000001"/>
  </r>
  <r>
    <s v="21-12-2025"/>
    <x v="0"/>
    <s v="138214932755"/>
    <n v="35212.639999999999"/>
    <n v="14276932.109999999"/>
  </r>
  <r>
    <s v="21-12-2025"/>
    <x v="0"/>
    <s v="138215041405"/>
    <n v="14029.92"/>
    <n v="14290962.029999999"/>
  </r>
  <r>
    <s v="21-12-2025"/>
    <x v="0"/>
    <s v="138215082017"/>
    <n v="10717.3"/>
    <n v="14301679.33"/>
  </r>
  <r>
    <s v="21-12-2025"/>
    <x v="0"/>
    <s v="138215130073"/>
    <n v="9198.2800000000007"/>
    <n v="14310877.609999999"/>
  </r>
  <r>
    <s v="21-12-2025"/>
    <x v="0"/>
    <s v="138215334949"/>
    <n v="18414.27"/>
    <n v="14329291.880000001"/>
  </r>
  <r>
    <s v="21-12-2025"/>
    <x v="0"/>
    <s v="138855980124"/>
    <n v="19291.14"/>
    <n v="14348583.02"/>
  </r>
  <r>
    <s v="21-12-2025"/>
    <x v="0"/>
    <s v="138855967168"/>
    <n v="10230.15"/>
    <n v="14358813.17"/>
  </r>
  <r>
    <s v="21-12-2025"/>
    <x v="0"/>
    <s v="138856026646"/>
    <n v="44778.78"/>
    <n v="14403591.949999999"/>
  </r>
  <r>
    <s v="21-12-2025"/>
    <x v="0"/>
    <s v="138856057240"/>
    <n v="49007.29"/>
    <n v="14452599.24"/>
  </r>
  <r>
    <s v="21-12-2025"/>
    <x v="109"/>
    <s v="138215505465"/>
    <n v="2462.1799999999998"/>
    <n v="14455061.42"/>
  </r>
  <r>
    <s v="21-12-2025"/>
    <x v="0"/>
    <s v="138216488259"/>
    <n v="15978.52"/>
    <n v="14471039.939999999"/>
  </r>
  <r>
    <s v="21-12-2025"/>
    <x v="110"/>
    <s v="138856908296"/>
    <n v="802.78"/>
    <n v="14471842.720000001"/>
  </r>
  <r>
    <s v="21-12-2025"/>
    <x v="0"/>
    <s v="138216467745"/>
    <n v="109253.04"/>
    <n v="14581095.76"/>
  </r>
  <r>
    <s v="21-12-2025"/>
    <x v="0"/>
    <s v="138856950028"/>
    <n v="30702.75"/>
    <n v="14611798.51"/>
  </r>
  <r>
    <s v="21-12-2025"/>
    <x v="0"/>
    <s v="138857415050"/>
    <n v="9986.9"/>
    <n v="14621785.41"/>
  </r>
  <r>
    <s v="21-12-2025"/>
    <x v="0"/>
    <s v="138217368551"/>
    <n v="49007.29"/>
    <n v="14670792.699999999"/>
  </r>
  <r>
    <s v="21-12-2025"/>
    <x v="0"/>
    <s v="138857784600"/>
    <n v="14711.93"/>
    <n v="14685504.630000001"/>
  </r>
  <r>
    <s v="21-12-2025"/>
    <x v="0"/>
    <s v="138217572119"/>
    <n v="10035.290000000001"/>
    <n v="14695539.92"/>
  </r>
  <r>
    <s v="21-12-2025"/>
    <x v="0"/>
    <s v="138217537137"/>
    <n v="10717.3"/>
    <n v="14706257.220000001"/>
  </r>
  <r>
    <s v="21-12-2025"/>
    <x v="0"/>
    <s v="138217640499"/>
    <n v="19096.28"/>
    <n v="14725353.5"/>
  </r>
  <r>
    <s v="21-12-2025"/>
    <x v="0"/>
    <s v="138857992860"/>
    <n v="62160.34"/>
    <n v="14787513.84"/>
  </r>
  <r>
    <s v="21-12-2025"/>
    <x v="111"/>
    <s v="138217676459"/>
    <n v="3123.01"/>
    <n v="14790636.85"/>
  </r>
  <r>
    <s v="21-12-2025"/>
    <x v="0"/>
    <s v="138217702891"/>
    <n v="98794.02"/>
    <n v="14889430.869999999"/>
  </r>
  <r>
    <s v="21-12-2025"/>
    <x v="0"/>
    <s v="138217707315"/>
    <n v="26306.1"/>
    <n v="14915736.970000001"/>
  </r>
  <r>
    <s v="21-12-2025"/>
    <x v="0"/>
    <s v="138217710071"/>
    <n v="14711.93"/>
    <n v="14930448.9"/>
  </r>
  <r>
    <s v="21-12-2025"/>
    <x v="112"/>
    <s v="138217820543"/>
    <n v="739.14"/>
    <n v="14931188.039999999"/>
  </r>
  <r>
    <s v="21-12-2025"/>
    <x v="0"/>
    <s v="138931151502"/>
    <n v="5358.65"/>
    <n v="14936546.689999999"/>
  </r>
  <r>
    <s v="21-12-2025"/>
    <x v="0"/>
    <s v="138298749187"/>
    <n v="12847.92"/>
    <n v="14949394.609999999"/>
  </r>
  <r>
    <s v="21-12-2025"/>
    <x v="0"/>
    <s v="138305568797"/>
    <n v="18073.259999999998"/>
    <n v="14967467.869999999"/>
  </r>
  <r>
    <s v="21-12-2025"/>
    <x v="0"/>
    <s v="138305709893"/>
    <n v="48715"/>
    <n v="15016182.869999999"/>
  </r>
  <r>
    <s v="21-12-2025"/>
    <x v="0"/>
    <s v="138946864896"/>
    <n v="4629.03"/>
    <n v="15020811.9"/>
  </r>
  <r>
    <s v="21-12-2025"/>
    <x v="0"/>
    <s v="138306469365"/>
    <n v="24065.21"/>
    <n v="15044877.109999999"/>
  </r>
  <r>
    <s v="21-12-2025"/>
    <x v="113"/>
    <s v="138306522707"/>
    <n v="1209.06"/>
    <n v="15046086.17"/>
  </r>
  <r>
    <s v="21-12-2025"/>
    <x v="0"/>
    <s v="138307234725"/>
    <n v="28152.06"/>
    <n v="15074238.23"/>
  </r>
  <r>
    <s v="21-12-2025"/>
    <x v="0"/>
    <s v="138307273445"/>
    <n v="23870.35"/>
    <n v="15098108.58"/>
  </r>
  <r>
    <s v="21-12-2025"/>
    <x v="4"/>
    <s v="138948009288"/>
    <n v="2398.5500000000002"/>
    <n v="15100507.130000001"/>
  </r>
  <r>
    <s v="21-12-2025"/>
    <x v="0"/>
    <s v="138307429819"/>
    <n v="4871.5"/>
    <n v="15105378.630000001"/>
  </r>
  <r>
    <s v="21-12-2025"/>
    <x v="114"/>
    <s v="138948247016"/>
    <n v="244.75"/>
    <n v="15105623.380000001"/>
  </r>
  <r>
    <s v="21-12-2025"/>
    <x v="0"/>
    <s v="138307491501"/>
    <n v="10391.700000000001"/>
    <n v="15116015.08"/>
  </r>
  <r>
    <s v="21-12-2025"/>
    <x v="0"/>
    <s v="138950747256"/>
    <n v="24656.67"/>
    <n v="15140671.75"/>
  </r>
  <r>
    <s v="21-12-2025"/>
    <x v="0"/>
    <s v="138310086197"/>
    <n v="30495.59"/>
    <n v="15171167.34"/>
  </r>
  <r>
    <s v="21-12-2025"/>
    <x v="115"/>
    <s v="138950884454"/>
    <n v="3064.27"/>
    <n v="15174231.609999999"/>
  </r>
  <r>
    <s v="21-12-2025"/>
    <x v="0"/>
    <s v="138951541508"/>
    <n v="60460.800000000003"/>
    <n v="15234692.41"/>
  </r>
  <r>
    <s v="21-12-2025"/>
    <x v="0"/>
    <s v="138311072677"/>
    <n v="45889.53"/>
    <n v="15280581.939999999"/>
  </r>
  <r>
    <s v="21-12-2025"/>
    <x v="0"/>
    <s v="138312353835"/>
    <n v="10259.27"/>
    <n v="15290841.210000001"/>
  </r>
  <r>
    <s v="21-12-2025"/>
    <x v="0"/>
    <s v="138312563103"/>
    <n v="9353.2800000000007"/>
    <n v="15300194.49"/>
  </r>
  <r>
    <s v="21-12-2025"/>
    <x v="0"/>
    <s v="138313163771"/>
    <n v="19583.43"/>
    <n v="15319777.92"/>
  </r>
  <r>
    <s v="21-12-2025"/>
    <x v="0"/>
    <s v="138313756607"/>
    <n v="66934.41"/>
    <n v="15386712.33"/>
  </r>
  <r>
    <s v="21-12-2025"/>
    <x v="116"/>
    <s v="138954494952"/>
    <n v="6725.73"/>
    <n v="15393438.060000001"/>
  </r>
  <r>
    <s v="21-12-2025"/>
    <x v="0"/>
    <s v="138955332676"/>
    <n v="21471.83"/>
    <n v="15414909.890000001"/>
  </r>
  <r>
    <s v="21-12-2025"/>
    <x v="0"/>
    <s v="138955737872"/>
    <n v="20070.580000000002"/>
    <n v="15434980.470000001"/>
  </r>
  <r>
    <s v="21-12-2025"/>
    <x v="0"/>
    <s v="138956547972"/>
    <n v="86322.98"/>
    <n v="15521303.449999999"/>
  </r>
  <r>
    <s v="21-12-2025"/>
    <x v="117"/>
    <s v="138315661395"/>
    <n v="8673.94"/>
    <n v="15529977.390000001"/>
  </r>
  <r>
    <s v="21-12-2025"/>
    <x v="0"/>
    <s v="138316277365"/>
    <n v="105686.36"/>
    <n v="15635663.75"/>
  </r>
  <r>
    <s v="21-12-2025"/>
    <x v="0"/>
    <s v="138316534489"/>
    <n v="10717.3"/>
    <n v="15646381.050000001"/>
  </r>
  <r>
    <s v="21-12-2025"/>
    <x v="0"/>
    <s v="138316537299"/>
    <n v="54463.37"/>
    <n v="15700844.42"/>
  </r>
  <r>
    <s v="21-12-2025"/>
    <x v="0"/>
    <s v="138957550940"/>
    <n v="41992.33"/>
    <n v="15742836.75"/>
  </r>
  <r>
    <s v="21-12-2025"/>
    <x v="0"/>
    <s v="138316909509"/>
    <n v="31080.17"/>
    <n v="15773916.92"/>
  </r>
  <r>
    <s v="21-12-2025"/>
    <x v="0"/>
    <s v="138317483911"/>
    <n v="27962.41"/>
    <n v="15801879.33"/>
  </r>
  <r>
    <s v="21-12-2025"/>
    <x v="0"/>
    <s v="138958608370"/>
    <n v="19486"/>
    <n v="15821365.33"/>
  </r>
  <r>
    <s v="21-12-2025"/>
    <x v="0"/>
    <s v="138958597390"/>
    <n v="35854.239999999998"/>
    <n v="15857219.57"/>
  </r>
  <r>
    <s v="21-12-2025"/>
    <x v="118"/>
    <s v="138317696189"/>
    <n v="5404.08"/>
    <n v="15862623.65"/>
  </r>
  <r>
    <s v="21-12-2025"/>
    <x v="0"/>
    <s v="138317694879"/>
    <n v="37405.480000000003"/>
    <n v="15900029.130000001"/>
  </r>
  <r>
    <s v="21-12-2025"/>
    <x v="0"/>
    <s v="138317772859"/>
    <n v="33820.26"/>
    <n v="15933849.390000001"/>
  </r>
  <r>
    <s v="21-12-2025"/>
    <x v="0"/>
    <s v="138958894822"/>
    <n v="18024.55"/>
    <n v="15951873.939999999"/>
  </r>
  <r>
    <s v="21-12-2025"/>
    <x v="0"/>
    <s v="138958895424"/>
    <n v="71608.259999999995"/>
    <n v="16023482.199999999"/>
  </r>
  <r>
    <s v="21-12-2025"/>
    <x v="0"/>
    <s v="138318135687"/>
    <n v="18894"/>
    <n v="16042376.199999999"/>
  </r>
  <r>
    <s v="21-12-2025"/>
    <x v="0"/>
    <s v="138318627905"/>
    <n v="39771.870000000003"/>
    <n v="16082148.07"/>
  </r>
  <r>
    <s v="21-12-2025"/>
    <x v="0"/>
    <s v="138960552954"/>
    <n v="72877.64"/>
    <n v="16155025.710000001"/>
  </r>
  <r>
    <s v="21-12-2025"/>
    <x v="119"/>
    <s v="138319640265"/>
    <n v="3661.46"/>
    <n v="16158687.17"/>
  </r>
  <r>
    <s v="21-12-2025"/>
    <x v="0"/>
    <s v="138960529926"/>
    <n v="66934.41"/>
    <n v="16225621.58"/>
  </r>
  <r>
    <s v="21-12-2025"/>
    <x v="0"/>
    <s v="138320030417"/>
    <n v="9353.2800000000007"/>
    <n v="16234974.859999999"/>
  </r>
  <r>
    <s v="21-12-2025"/>
    <x v="0"/>
    <s v="138961200208"/>
    <n v="49974.63"/>
    <n v="16284949.49"/>
  </r>
  <r>
    <s v="22-12-2025"/>
    <x v="0"/>
    <s v="138961724050"/>
    <n v="10717.3"/>
    <n v="16295666.789999999"/>
  </r>
  <r>
    <s v="22-12-2025"/>
    <x v="0"/>
    <s v="138321453321"/>
    <n v="119546.61"/>
    <n v="16415213.4"/>
  </r>
  <r>
    <s v="22-12-2025"/>
    <x v="0"/>
    <s v="138962445080"/>
    <n v="149555.04999999999"/>
    <n v="16564768.449999999"/>
  </r>
  <r>
    <s v="22-12-2025"/>
    <x v="0"/>
    <s v="138962720678"/>
    <n v="42382.05"/>
    <n v="16607150.5"/>
  </r>
  <r>
    <s v="22-12-2025"/>
    <x v="0"/>
    <s v="138962805222"/>
    <n v="4871.5"/>
    <n v="16612022"/>
  </r>
  <r>
    <s v="22-12-2025"/>
    <x v="0"/>
    <s v="138321908051"/>
    <n v="70906.990000000005"/>
    <n v="16682928.99"/>
  </r>
  <r>
    <s v="22-12-2025"/>
    <x v="0"/>
    <s v="138962996942"/>
    <n v="69370.16"/>
    <n v="16752299.15"/>
  </r>
  <r>
    <s v="22-12-2025"/>
    <x v="0"/>
    <s v="138963015400"/>
    <n v="53619.66"/>
    <n v="16805918.809999999"/>
  </r>
  <r>
    <s v="22-12-2025"/>
    <x v="0"/>
    <s v="138322192323"/>
    <n v="19744.23"/>
    <n v="16825663.039999999"/>
  </r>
  <r>
    <s v="22-12-2025"/>
    <x v="0"/>
    <s v="138963097522"/>
    <n v="38858.120000000003"/>
    <n v="16864521.16"/>
  </r>
  <r>
    <s v="22-12-2025"/>
    <x v="0"/>
    <s v="138963123706"/>
    <n v="31912.400000000001"/>
    <n v="16896433.559999999"/>
  </r>
  <r>
    <s v="22-12-2025"/>
    <x v="0"/>
    <s v="138963448102"/>
    <n v="35074.800000000003"/>
    <n v="16931508.359999999"/>
  </r>
  <r>
    <s v="22-12-2025"/>
    <x v="0"/>
    <s v="138964643346"/>
    <n v="133186.81"/>
    <n v="17064695.170000002"/>
  </r>
  <r>
    <s v="22-12-2025"/>
    <x v="120"/>
    <s v="138323774237"/>
    <n v="6691.46"/>
    <n v="17071386.629999999"/>
  </r>
  <r>
    <s v="22-12-2025"/>
    <x v="0"/>
    <s v="138964725768"/>
    <n v="16075.95"/>
    <n v="17087462.579999998"/>
  </r>
  <r>
    <s v="22-12-2025"/>
    <x v="0"/>
    <s v="138964781728"/>
    <n v="19486"/>
    <n v="17106948.579999998"/>
  </r>
  <r>
    <s v="22-12-2025"/>
    <x v="0"/>
    <s v="138964996976"/>
    <n v="72682.78"/>
    <n v="17179631.359999999"/>
  </r>
  <r>
    <s v="22-12-2025"/>
    <x v="0"/>
    <s v="138966323446"/>
    <n v="9677"/>
    <n v="17189308.359999999"/>
  </r>
  <r>
    <s v="22-12-2025"/>
    <x v="0"/>
    <s v="138966619264"/>
    <n v="60893.75"/>
    <n v="17250202.109999999"/>
  </r>
  <r>
    <s v="22-12-2025"/>
    <x v="1"/>
    <s v="139008795034"/>
    <n v="-500000"/>
    <n v="16750202.109999999"/>
  </r>
  <r>
    <s v="22-12-2025"/>
    <x v="2"/>
    <s v="139008795034"/>
    <n v="-3000"/>
    <n v="16747202.109999999"/>
  </r>
  <r>
    <s v="22-12-2025"/>
    <x v="47"/>
    <s v="138371810153"/>
    <n v="-716612.4"/>
    <n v="16030589.710000001"/>
  </r>
  <r>
    <s v="23-12-2025"/>
    <x v="121"/>
    <s v="139221936120"/>
    <n v="-169242.76"/>
    <n v="15861346.949999999"/>
  </r>
  <r>
    <s v="23-12-2025"/>
    <x v="0"/>
    <s v="139256588728"/>
    <n v="9353.2800000000007"/>
    <n v="15870700.23"/>
  </r>
  <r>
    <s v="23-12-2025"/>
    <x v="0"/>
    <s v="138615245287"/>
    <n v="9677"/>
    <n v="15880377.23"/>
  </r>
  <r>
    <s v="23-12-2025"/>
    <x v="0"/>
    <s v="139263142212"/>
    <n v="11691.6"/>
    <n v="15892068.83"/>
  </r>
  <r>
    <s v="23-12-2025"/>
    <x v="0"/>
    <s v="139263155880"/>
    <n v="9447"/>
    <n v="15901515.83"/>
  </r>
  <r>
    <s v="23-12-2025"/>
    <x v="0"/>
    <s v="138620385257"/>
    <n v="22767.27"/>
    <n v="15924283.1"/>
  </r>
  <r>
    <s v="23-12-2025"/>
    <x v="0"/>
    <s v="138620961365"/>
    <n v="5845.8"/>
    <n v="15930128.9"/>
  </r>
  <r>
    <s v="23-12-2025"/>
    <x v="0"/>
    <s v="139268810486"/>
    <n v="20783.400000000001"/>
    <n v="15950912.300000001"/>
  </r>
  <r>
    <s v="23-12-2025"/>
    <x v="0"/>
    <s v="138624066329"/>
    <n v="21824.32"/>
    <n v="15972736.619999999"/>
  </r>
  <r>
    <s v="23-12-2025"/>
    <x v="0"/>
    <s v="139270327646"/>
    <n v="9743"/>
    <n v="15982479.619999999"/>
  </r>
  <r>
    <s v="23-12-2025"/>
    <x v="0"/>
    <s v="139271087224"/>
    <n v="28546.99"/>
    <n v="16011026.609999999"/>
  </r>
  <r>
    <s v="23-12-2025"/>
    <x v="0"/>
    <s v="138626144163"/>
    <n v="4676.6400000000003"/>
    <n v="16015703.25"/>
  </r>
  <r>
    <s v="23-12-2025"/>
    <x v="0"/>
    <s v="139271724608"/>
    <n v="4676.6400000000003"/>
    <n v="16020379.890000001"/>
  </r>
  <r>
    <s v="23-12-2025"/>
    <x v="122"/>
    <s v="138626440873"/>
    <n v="234.96"/>
    <n v="16020614.85"/>
  </r>
  <r>
    <s v="23-12-2025"/>
    <x v="0"/>
    <s v="139272015484"/>
    <n v="18511.7"/>
    <n v="16039126.550000001"/>
  </r>
  <r>
    <s v="23-12-2025"/>
    <x v="0"/>
    <s v="139272408922"/>
    <n v="37510.550000000003"/>
    <n v="16076637.1"/>
  </r>
  <r>
    <s v="23-12-2025"/>
    <x v="0"/>
    <s v="139273670082"/>
    <n v="37032.239999999998"/>
    <n v="16113669.34"/>
  </r>
  <r>
    <s v="23-12-2025"/>
    <x v="21"/>
    <s v="139273670082"/>
    <n v="-37032.239999999998"/>
    <n v="16076637.1"/>
  </r>
  <r>
    <s v="23-12-2025"/>
    <x v="0"/>
    <s v="138628677131"/>
    <n v="31836.39"/>
    <n v="16108473.49"/>
  </r>
  <r>
    <s v="23-12-2025"/>
    <x v="0"/>
    <s v="139274280902"/>
    <n v="4871.5"/>
    <n v="16113344.99"/>
  </r>
  <r>
    <s v="23-12-2025"/>
    <x v="123"/>
    <s v="139274304686"/>
    <n v="489.5"/>
    <n v="16113834.49"/>
  </r>
  <r>
    <s v="23-12-2025"/>
    <x v="0"/>
    <s v="139275103290"/>
    <n v="4871.5"/>
    <n v="16118705.99"/>
  </r>
  <r>
    <s v="23-12-2025"/>
    <x v="0"/>
    <s v="139275323288"/>
    <n v="17050.25"/>
    <n v="16135756.24"/>
  </r>
  <r>
    <s v="23-12-2025"/>
    <x v="0"/>
    <s v="139276302934"/>
    <n v="21824.32"/>
    <n v="16157580.560000001"/>
  </r>
  <r>
    <s v="23-12-2025"/>
    <x v="0"/>
    <s v="138631353807"/>
    <n v="4599.1400000000003"/>
    <n v="16162179.699999999"/>
  </r>
  <r>
    <s v="23-12-2025"/>
    <x v="0"/>
    <s v="138633140959"/>
    <n v="11802.7"/>
    <n v="16173982.4"/>
  </r>
  <r>
    <s v="23-12-2025"/>
    <x v="0"/>
    <s v="138633302091"/>
    <n v="4676.6400000000003"/>
    <n v="16178659.039999999"/>
  </r>
  <r>
    <s v="23-12-2025"/>
    <x v="0"/>
    <s v="138633435065"/>
    <n v="9548.14"/>
    <n v="16188207.18"/>
  </r>
  <r>
    <s v="23-12-2025"/>
    <x v="124"/>
    <s v="138633472447"/>
    <n v="479.71"/>
    <n v="16188686.890000001"/>
  </r>
  <r>
    <s v="23-12-2025"/>
    <x v="0"/>
    <s v="138633489427"/>
    <n v="4871.5"/>
    <n v="16193558.390000001"/>
  </r>
  <r>
    <s v="23-12-2025"/>
    <x v="0"/>
    <s v="138633605923"/>
    <n v="82472.31"/>
    <n v="16276030.699999999"/>
  </r>
  <r>
    <s v="23-12-2025"/>
    <x v="0"/>
    <s v="139279213150"/>
    <n v="9743"/>
    <n v="16285773.699999999"/>
  </r>
  <r>
    <s v="23-12-2025"/>
    <x v="0"/>
    <s v="138634295411"/>
    <n v="2435.75"/>
    <n v="16288209.449999999"/>
  </r>
  <r>
    <s v="23-12-2025"/>
    <x v="0"/>
    <s v="138635021889"/>
    <n v="34879.94"/>
    <n v="16323089.390000001"/>
  </r>
  <r>
    <s v="23-12-2025"/>
    <x v="125"/>
    <s v="138635067467"/>
    <n v="1752.41"/>
    <n v="16324841.800000001"/>
  </r>
  <r>
    <s v="23-12-2025"/>
    <x v="0"/>
    <s v="139280438028"/>
    <n v="44135.79"/>
    <n v="16368977.59"/>
  </r>
  <r>
    <s v="23-12-2025"/>
    <x v="0"/>
    <s v="139280754312"/>
    <n v="13347.91"/>
    <n v="16382325.5"/>
  </r>
  <r>
    <s v="23-12-2025"/>
    <x v="0"/>
    <s v="139281632816"/>
    <n v="2252.64"/>
    <n v="16384578.140000001"/>
  </r>
  <r>
    <s v="23-12-2025"/>
    <x v="0"/>
    <s v="138636328031"/>
    <n v="9855.2999999999993"/>
    <n v="16394433.439999999"/>
  </r>
  <r>
    <s v="23-12-2025"/>
    <x v="0"/>
    <s v="139281926234"/>
    <n v="2435.75"/>
    <n v="16396869.189999999"/>
  </r>
  <r>
    <s v="23-12-2025"/>
    <x v="0"/>
    <s v="139281911322"/>
    <n v="30982.74"/>
    <n v="16427851.93"/>
  </r>
  <r>
    <s v="23-12-2025"/>
    <x v="126"/>
    <s v="138636696367"/>
    <n v="3113.22"/>
    <n v="16430965.15"/>
  </r>
  <r>
    <s v="23-12-2025"/>
    <x v="0"/>
    <s v="138636840479"/>
    <n v="92769.54"/>
    <n v="16523734.689999999"/>
  </r>
  <r>
    <s v="23-12-2025"/>
    <x v="0"/>
    <s v="138637654465"/>
    <n v="29423.86"/>
    <n v="16553158.550000001"/>
  </r>
  <r>
    <s v="23-12-2025"/>
    <x v="0"/>
    <s v="138637623891"/>
    <n v="4723.5"/>
    <n v="16557882.050000001"/>
  </r>
  <r>
    <s v="24-12-2025"/>
    <x v="0"/>
    <s v="139283314144"/>
    <n v="82718.070000000007"/>
    <n v="16640600.119999999"/>
  </r>
  <r>
    <s v="24-12-2025"/>
    <x v="127"/>
    <s v="138638016173"/>
    <n v="4155.8500000000004"/>
    <n v="16644755.970000001"/>
  </r>
  <r>
    <s v="24-12-2025"/>
    <x v="0"/>
    <s v="138638180357"/>
    <n v="17683.54"/>
    <n v="16662439.51"/>
  </r>
  <r>
    <s v="24-12-2025"/>
    <x v="4"/>
    <s v="139283452990"/>
    <n v="1776.88"/>
    <n v="16664216.390000001"/>
  </r>
  <r>
    <s v="24-12-2025"/>
    <x v="0"/>
    <s v="139283485552"/>
    <n v="4539.5"/>
    <n v="16668755.890000001"/>
  </r>
  <r>
    <s v="24-12-2025"/>
    <x v="0"/>
    <s v="139283523776"/>
    <n v="25624.09"/>
    <n v="16694379.98"/>
  </r>
  <r>
    <s v="24-12-2025"/>
    <x v="128"/>
    <s v="138638300625"/>
    <n v="1287.3800000000001"/>
    <n v="16695667.359999999"/>
  </r>
  <r>
    <s v="24-12-2025"/>
    <x v="0"/>
    <s v="138638356415"/>
    <n v="47029.22"/>
    <n v="16742696.58"/>
  </r>
  <r>
    <s v="24-12-2025"/>
    <x v="0"/>
    <s v="139283726956"/>
    <n v="4774.07"/>
    <n v="16747470.65"/>
  </r>
  <r>
    <s v="24-12-2025"/>
    <x v="0"/>
    <s v="138638643557"/>
    <n v="4871.5"/>
    <n v="16752342.15"/>
  </r>
  <r>
    <s v="24-12-2025"/>
    <x v="0"/>
    <s v="139284640396"/>
    <n v="43942.36"/>
    <n v="16796284.510000002"/>
  </r>
  <r>
    <s v="24-12-2025"/>
    <x v="0"/>
    <s v="138639507879"/>
    <n v="4676.6400000000003"/>
    <n v="16800961.149999999"/>
  </r>
  <r>
    <s v="24-12-2025"/>
    <x v="0"/>
    <s v="138639685509"/>
    <n v="4871.5"/>
    <n v="16805832.649999999"/>
  </r>
  <r>
    <s v="24-12-2025"/>
    <x v="0"/>
    <s v="138639735813"/>
    <n v="66734.460000000006"/>
    <n v="16872567.109999999"/>
  </r>
  <r>
    <s v="24-12-2025"/>
    <x v="0"/>
    <s v="138640068139"/>
    <n v="9743"/>
    <n v="16882310.109999999"/>
  </r>
  <r>
    <s v="24-12-2025"/>
    <x v="0"/>
    <s v="139285356220"/>
    <n v="4871.5"/>
    <n v="16887181.609999999"/>
  </r>
  <r>
    <s v="24-12-2025"/>
    <x v="0"/>
    <s v="138640123705"/>
    <n v="4871.5"/>
    <n v="16892053.109999999"/>
  </r>
  <r>
    <s v="24-12-2025"/>
    <x v="0"/>
    <s v="138640349487"/>
    <n v="4871.5"/>
    <n v="16896924.609999999"/>
  </r>
  <r>
    <s v="24-12-2025"/>
    <x v="0"/>
    <s v="139285806502"/>
    <n v="53683.93"/>
    <n v="16950608.539999999"/>
  </r>
  <r>
    <s v="24-12-2025"/>
    <x v="0"/>
    <s v="138640656927"/>
    <n v="51958.5"/>
    <n v="17002567.039999999"/>
  </r>
  <r>
    <s v="24-12-2025"/>
    <x v="0"/>
    <s v="139286070746"/>
    <n v="9743"/>
    <n v="17012310.039999999"/>
  </r>
  <r>
    <s v="24-12-2025"/>
    <x v="0"/>
    <s v="139286071896"/>
    <n v="4676.6400000000003"/>
    <n v="17016986.68"/>
  </r>
  <r>
    <s v="24-12-2025"/>
    <x v="0"/>
    <s v="138640943505"/>
    <n v="4871.5"/>
    <n v="17021858.18"/>
  </r>
  <r>
    <s v="24-12-2025"/>
    <x v="0"/>
    <s v="139286339902"/>
    <n v="32054.47"/>
    <n v="17053912.649999999"/>
  </r>
  <r>
    <s v="24-12-2025"/>
    <x v="129"/>
    <s v="139286484298"/>
    <n v="1610.45"/>
    <n v="17055523.100000001"/>
  </r>
  <r>
    <s v="24-12-2025"/>
    <x v="0"/>
    <s v="138641600673"/>
    <n v="30222.92"/>
    <n v="17085746.02"/>
  </r>
  <r>
    <s v="24-12-2025"/>
    <x v="0"/>
    <s v="139286935926"/>
    <n v="10230.15"/>
    <n v="17095976.170000002"/>
  </r>
  <r>
    <s v="24-12-2025"/>
    <x v="0"/>
    <s v="139287660210"/>
    <n v="4693"/>
    <n v="17100669.170000002"/>
  </r>
  <r>
    <s v="24-12-2025"/>
    <x v="0"/>
    <s v="139287633758"/>
    <n v="37904.82"/>
    <n v="17138573.989999998"/>
  </r>
  <r>
    <s v="24-12-2025"/>
    <x v="0"/>
    <s v="138642549705"/>
    <n v="46998.82"/>
    <n v="17185572.809999999"/>
  </r>
  <r>
    <s v="24-12-2025"/>
    <x v="0"/>
    <s v="138642802769"/>
    <n v="4871.5"/>
    <n v="17190444.309999999"/>
  </r>
  <r>
    <s v="24-12-2025"/>
    <x v="0"/>
    <s v="139288035188"/>
    <n v="5017.6400000000003"/>
    <n v="17195461.949999999"/>
  </r>
  <r>
    <s v="24-12-2025"/>
    <x v="0"/>
    <s v="138643137433"/>
    <n v="4871.5"/>
    <n v="17200333.449999999"/>
  </r>
  <r>
    <s v="24-12-2025"/>
    <x v="0"/>
    <s v="138643246265"/>
    <n v="4871.5"/>
    <n v="17205204.949999999"/>
  </r>
  <r>
    <s v="24-12-2025"/>
    <x v="0"/>
    <s v="139288624988"/>
    <n v="2922.9"/>
    <n v="17208127.850000001"/>
  </r>
  <r>
    <s v="24-12-2025"/>
    <x v="0"/>
    <s v="138643534943"/>
    <n v="37950.22"/>
    <n v="17246078.07"/>
  </r>
  <r>
    <s v="24-12-2025"/>
    <x v="0"/>
    <s v="138643607209"/>
    <n v="18609.13"/>
    <n v="17264687.199999999"/>
  </r>
  <r>
    <s v="24-12-2025"/>
    <x v="0"/>
    <s v="138643629879"/>
    <n v="4871.5"/>
    <n v="17269558.699999999"/>
  </r>
  <r>
    <s v="24-12-2025"/>
    <x v="0"/>
    <s v="138643753585"/>
    <n v="13797.42"/>
    <n v="17283356.120000001"/>
  </r>
  <r>
    <s v="24-12-2025"/>
    <x v="0"/>
    <s v="139289109558"/>
    <n v="23529.34"/>
    <n v="17306885.460000001"/>
  </r>
  <r>
    <s v="24-12-2025"/>
    <x v="0"/>
    <s v="138644107181"/>
    <n v="4676.6400000000003"/>
    <n v="17311562.100000001"/>
  </r>
  <r>
    <s v="24-12-2025"/>
    <x v="0"/>
    <s v="139289529016"/>
    <n v="2419.25"/>
    <n v="17313981.350000001"/>
  </r>
  <r>
    <s v="24-12-2025"/>
    <x v="0"/>
    <s v="138644468175"/>
    <n v="63621.79"/>
    <n v="17377603.140000001"/>
  </r>
  <r>
    <s v="24-12-2025"/>
    <x v="130"/>
    <s v="138644454343"/>
    <n v="3196.43"/>
    <n v="17380799.57"/>
  </r>
  <r>
    <s v="24-12-2025"/>
    <x v="131"/>
    <s v="139334412514"/>
    <n v="-40308"/>
    <n v="17340491.57"/>
  </r>
  <r>
    <s v="24-12-2025"/>
    <x v="2"/>
    <s v="139334412514"/>
    <n v="-241.85"/>
    <n v="17340249.719999999"/>
  </r>
  <r>
    <s v="25-12-2025"/>
    <x v="0"/>
    <s v="138834348251"/>
    <n v="42284.62"/>
    <n v="17382534.34"/>
  </r>
  <r>
    <s v="25-12-2025"/>
    <x v="132"/>
    <s v="139480526116"/>
    <n v="2124.4299999999998"/>
    <n v="17384658.77"/>
  </r>
  <r>
    <s v="25-12-2025"/>
    <x v="0"/>
    <s v="138835077283"/>
    <n v="38921.64"/>
    <n v="17423580.41"/>
  </r>
  <r>
    <s v="25-12-2025"/>
    <x v="0"/>
    <s v="139482937318"/>
    <n v="38354.82"/>
    <n v="17461935.23"/>
  </r>
  <r>
    <s v="25-12-2025"/>
    <x v="0"/>
    <s v="138837039887"/>
    <n v="29758.05"/>
    <n v="17491693.280000001"/>
  </r>
  <r>
    <s v="25-12-2025"/>
    <x v="0"/>
    <s v="139483867620"/>
    <n v="26829.48"/>
    <n v="17518522.760000002"/>
  </r>
  <r>
    <s v="25-12-2025"/>
    <x v="0"/>
    <s v="138838194005"/>
    <n v="31930.86"/>
    <n v="17550453.620000001"/>
  </r>
  <r>
    <s v="25-12-2025"/>
    <x v="0"/>
    <s v="139485985744"/>
    <n v="25916.38"/>
    <n v="17576370"/>
  </r>
  <r>
    <s v="25-12-2025"/>
    <x v="133"/>
    <s v="139485979798"/>
    <n v="2604.14"/>
    <n v="17578974.140000001"/>
  </r>
  <r>
    <s v="25-12-2025"/>
    <x v="0"/>
    <s v="138839833769"/>
    <n v="40823.17"/>
    <n v="17619797.309999999"/>
  </r>
  <r>
    <s v="25-12-2025"/>
    <x v="134"/>
    <s v="139486139202"/>
    <n v="2051"/>
    <n v="17621848.309999999"/>
  </r>
  <r>
    <s v="25-12-2025"/>
    <x v="0"/>
    <s v="138841317619"/>
    <n v="80771.850000000006"/>
    <n v="17702620.16"/>
  </r>
  <r>
    <s v="25-12-2025"/>
    <x v="0"/>
    <s v="139488051760"/>
    <n v="49202.15"/>
    <n v="17751822.309999999"/>
  </r>
  <r>
    <s v="25-12-2025"/>
    <x v="0"/>
    <s v="139489872526"/>
    <n v="46571.54"/>
    <n v="17798393.850000001"/>
  </r>
  <r>
    <s v="25-12-2025"/>
    <x v="0"/>
    <s v="139489922698"/>
    <n v="9548.14"/>
    <n v="17807941.989999998"/>
  </r>
  <r>
    <s v="25-12-2025"/>
    <x v="0"/>
    <s v="139489925702"/>
    <n v="12753.45"/>
    <n v="17820695.440000001"/>
  </r>
  <r>
    <s v="26-12-2025"/>
    <x v="0"/>
    <s v="139490512936"/>
    <n v="28059.84"/>
    <n v="17848755.280000001"/>
  </r>
  <r>
    <s v="26-12-2025"/>
    <x v="0"/>
    <s v="138845223977"/>
    <n v="22847.33"/>
    <n v="17871602.609999999"/>
  </r>
  <r>
    <s v="26-12-2025"/>
    <x v="0"/>
    <s v="138845587111"/>
    <n v="45110.09"/>
    <n v="17916712.699999999"/>
  </r>
  <r>
    <s v="26-12-2025"/>
    <x v="0"/>
    <s v="138846734249"/>
    <n v="16270.81"/>
    <n v="17932983.510000002"/>
  </r>
  <r>
    <s v="26-12-2025"/>
    <x v="135"/>
    <s v="138846676695"/>
    <n v="817.46"/>
    <n v="17933800.969999999"/>
  </r>
  <r>
    <s v="26-12-2025"/>
    <x v="0"/>
    <s v="139493377384"/>
    <n v="4871.5"/>
    <n v="17938672.469999999"/>
  </r>
  <r>
    <s v="26-12-2025"/>
    <x v="0"/>
    <s v="138847199637"/>
    <n v="4676.6400000000003"/>
    <n v="17943349.109999999"/>
  </r>
  <r>
    <s v="26-12-2025"/>
    <x v="0"/>
    <s v="138847521569"/>
    <n v="36316"/>
    <n v="17979665.109999999"/>
  </r>
  <r>
    <s v="26-12-2025"/>
    <x v="0"/>
    <s v="138848287941"/>
    <n v="44720.37"/>
    <n v="18024385.48"/>
  </r>
  <r>
    <s v="26-12-2025"/>
    <x v="47"/>
    <s v="138873529219"/>
    <n v="-5960492.9299999997"/>
    <n v="12063892.550000001"/>
  </r>
  <r>
    <s v="26-12-2025"/>
    <x v="131"/>
    <s v="139546743318"/>
    <n v="-132384.29"/>
    <n v="11931508.26"/>
  </r>
  <r>
    <s v="26-12-2025"/>
    <x v="2"/>
    <s v="139546743318"/>
    <n v="-794.31"/>
    <n v="11930713.949999999"/>
  </r>
  <r>
    <s v="26-12-2025"/>
    <x v="82"/>
    <s v="139565543138"/>
    <n v="-192385.12"/>
    <n v="11738328.83"/>
  </r>
  <r>
    <s v="26-12-2025"/>
    <x v="0"/>
    <s v="138946899375"/>
    <n v="5358.65"/>
    <n v="11743687.48"/>
  </r>
  <r>
    <s v="26-12-2025"/>
    <x v="0"/>
    <s v="139599090974"/>
    <n v="49934.5"/>
    <n v="11793621.98"/>
  </r>
  <r>
    <s v="26-12-2025"/>
    <x v="71"/>
    <s v="138952390031"/>
    <n v="2692.25"/>
    <n v="11796314.23"/>
  </r>
  <r>
    <s v="26-12-2025"/>
    <x v="0"/>
    <s v="138959611901"/>
    <n v="13073.76"/>
    <n v="11809387.99"/>
  </r>
  <r>
    <s v="26-12-2025"/>
    <x v="0"/>
    <s v="138960532407"/>
    <n v="18705.060000000001"/>
    <n v="11828093.050000001"/>
  </r>
  <r>
    <s v="26-12-2025"/>
    <x v="0"/>
    <s v="138963343339"/>
    <n v="4357.92"/>
    <n v="11832450.970000001"/>
  </r>
  <r>
    <s v="26-12-2025"/>
    <x v="0"/>
    <s v="138963614327"/>
    <n v="34046.25"/>
    <n v="11866497.220000001"/>
  </r>
  <r>
    <s v="26-12-2025"/>
    <x v="0"/>
    <s v="138965535883"/>
    <n v="9447"/>
    <n v="11875944.220000001"/>
  </r>
  <r>
    <s v="26-12-2025"/>
    <x v="0"/>
    <s v="138965717981"/>
    <n v="9447"/>
    <n v="11885391.220000001"/>
  </r>
  <r>
    <s v="26-12-2025"/>
    <x v="0"/>
    <s v="138966237485"/>
    <n v="9069.1200000000008"/>
    <n v="11894460.34"/>
  </r>
  <r>
    <s v="26-12-2025"/>
    <x v="0"/>
    <s v="139613303416"/>
    <n v="28254.7"/>
    <n v="11922715.039999999"/>
  </r>
  <r>
    <s v="26-12-2025"/>
    <x v="0"/>
    <s v="138967782947"/>
    <n v="4838.5"/>
    <n v="11927553.539999999"/>
  </r>
  <r>
    <s v="26-12-2025"/>
    <x v="0"/>
    <s v="139615922224"/>
    <n v="20367.62"/>
    <n v="11947921.16"/>
  </r>
  <r>
    <s v="26-12-2025"/>
    <x v="0"/>
    <s v="138969778077"/>
    <n v="57154.35"/>
    <n v="12005075.51"/>
  </r>
  <r>
    <s v="26-12-2025"/>
    <x v="0"/>
    <s v="139617244154"/>
    <n v="33710.78"/>
    <n v="12038786.289999999"/>
  </r>
  <r>
    <s v="26-12-2025"/>
    <x v="0"/>
    <s v="138970709575"/>
    <n v="9743"/>
    <n v="12048529.289999999"/>
  </r>
  <r>
    <s v="26-12-2025"/>
    <x v="136"/>
    <s v="139617382916"/>
    <n v="979"/>
    <n v="12049508.289999999"/>
  </r>
  <r>
    <s v="26-12-2025"/>
    <x v="0"/>
    <s v="139618386762"/>
    <n v="37693.53"/>
    <n v="12087201.82"/>
  </r>
  <r>
    <s v="26-12-2025"/>
    <x v="0"/>
    <s v="139618771272"/>
    <n v="40622.1"/>
    <n v="12127823.92"/>
  </r>
  <r>
    <s v="26-12-2025"/>
    <x v="0"/>
    <s v="139619856274"/>
    <n v="4838.5"/>
    <n v="12132662.42"/>
  </r>
  <r>
    <s v="26-12-2025"/>
    <x v="0"/>
    <s v="138973548859"/>
    <n v="36731.11"/>
    <n v="12169393.529999999"/>
  </r>
  <r>
    <s v="26-12-2025"/>
    <x v="0"/>
    <s v="139620716118"/>
    <n v="8715.84"/>
    <n v="12178109.369999999"/>
  </r>
  <r>
    <s v="26-12-2025"/>
    <x v="0"/>
    <s v="139621844894"/>
    <n v="86628.99"/>
    <n v="12264738.359999999"/>
  </r>
  <r>
    <s v="26-12-2025"/>
    <x v="0"/>
    <s v="138975586959"/>
    <n v="63861.72"/>
    <n v="12328600.08"/>
  </r>
  <r>
    <s v="26-12-2025"/>
    <x v="0"/>
    <s v="139622764004"/>
    <n v="69175.3"/>
    <n v="12397775.380000001"/>
  </r>
  <r>
    <s v="26-12-2025"/>
    <x v="0"/>
    <s v="138976300439"/>
    <n v="105516.69"/>
    <n v="12503292.07"/>
  </r>
  <r>
    <s v="26-12-2025"/>
    <x v="0"/>
    <s v="139623660942"/>
    <n v="8378.98"/>
    <n v="12511671.050000001"/>
  </r>
  <r>
    <s v="27-12-2025"/>
    <x v="0"/>
    <s v="139624260564"/>
    <n v="9986.9"/>
    <n v="12521657.949999999"/>
  </r>
  <r>
    <s v="27-12-2025"/>
    <x v="0"/>
    <s v="139625026608"/>
    <n v="50858.46"/>
    <n v="12572516.41"/>
  </r>
  <r>
    <s v="27-12-2025"/>
    <x v="0"/>
    <s v="138978259553"/>
    <n v="7414.94"/>
    <n v="12579931.35"/>
  </r>
  <r>
    <s v="27-12-2025"/>
    <x v="0"/>
    <s v="139625329332"/>
    <n v="64523.01"/>
    <n v="12644454.359999999"/>
  </r>
  <r>
    <s v="27-12-2025"/>
    <x v="0"/>
    <s v="138978844689"/>
    <n v="74241.66"/>
    <n v="12718696.02"/>
  </r>
  <r>
    <s v="27-12-2025"/>
    <x v="0"/>
    <s v="138978851547"/>
    <n v="15588.8"/>
    <n v="12734284.82"/>
  </r>
  <r>
    <s v="27-12-2025"/>
    <x v="0"/>
    <s v="139626692140"/>
    <n v="42284.62"/>
    <n v="12776569.439999999"/>
  </r>
  <r>
    <s v="27-12-2025"/>
    <x v="0"/>
    <s v="138979990983"/>
    <n v="76872.27"/>
    <n v="12853441.710000001"/>
  </r>
  <r>
    <s v="27-12-2025"/>
    <x v="0"/>
    <s v="139626843748"/>
    <n v="4871.5"/>
    <n v="12858313.210000001"/>
  </r>
  <r>
    <s v="27-12-2025"/>
    <x v="0"/>
    <s v="138980531813"/>
    <n v="11147.46"/>
    <n v="12869460.67"/>
  </r>
  <r>
    <s v="27-12-2025"/>
    <x v="0"/>
    <s v="138981018173"/>
    <n v="28157.27"/>
    <n v="12897617.939999999"/>
  </r>
  <r>
    <s v="27-12-2025"/>
    <x v="0"/>
    <s v="139627710518"/>
    <n v="35009.78"/>
    <n v="12932627.720000001"/>
  </r>
  <r>
    <s v="27-12-2025"/>
    <x v="0"/>
    <s v="138981406123"/>
    <n v="30300.73"/>
    <n v="12962928.449999999"/>
  </r>
  <r>
    <s v="27-12-2025"/>
    <x v="0"/>
    <s v="139628504836"/>
    <n v="9743"/>
    <n v="12972671.449999999"/>
  </r>
  <r>
    <s v="27-12-2025"/>
    <x v="0"/>
    <s v="139628583816"/>
    <n v="18901.419999999998"/>
    <n v="12991572.869999999"/>
  </r>
  <r>
    <s v="27-12-2025"/>
    <x v="0"/>
    <s v="138982147639"/>
    <n v="4871.5"/>
    <n v="12996444.369999999"/>
  </r>
  <r>
    <s v="27-12-2025"/>
    <x v="0"/>
    <s v="138982236909"/>
    <n v="5358.65"/>
    <n v="13001803.02"/>
  </r>
  <r>
    <s v="27-12-2025"/>
    <x v="0"/>
    <s v="138982300437"/>
    <n v="5358.65"/>
    <n v="13007161.67"/>
  </r>
  <r>
    <s v="27-12-2025"/>
    <x v="0"/>
    <s v="138982362887"/>
    <n v="4676.6400000000003"/>
    <n v="13011838.310000001"/>
  </r>
  <r>
    <s v="27-12-2025"/>
    <x v="0"/>
    <s v="138982602723"/>
    <n v="13445.34"/>
    <n v="13025283.65"/>
  </r>
  <r>
    <s v="27-12-2025"/>
    <x v="0"/>
    <s v="138982952411"/>
    <n v="4871.5"/>
    <n v="13030155.15"/>
  </r>
  <r>
    <s v="27-12-2025"/>
    <x v="0"/>
    <s v="138982968973"/>
    <n v="29096.76"/>
    <n v="13059251.91"/>
  </r>
  <r>
    <s v="27-12-2025"/>
    <x v="0"/>
    <s v="139630051996"/>
    <n v="24649.79"/>
    <n v="13083901.699999999"/>
  </r>
  <r>
    <s v="27-12-2025"/>
    <x v="0"/>
    <s v="139630170634"/>
    <n v="56704.26"/>
    <n v="13140605.960000001"/>
  </r>
  <r>
    <s v="27-12-2025"/>
    <x v="0"/>
    <s v="139630137722"/>
    <n v="56304.12"/>
    <n v="13196910.08"/>
  </r>
  <r>
    <s v="27-12-2025"/>
    <x v="0"/>
    <s v="139630171806"/>
    <n v="5358.65"/>
    <n v="13202268.73"/>
  </r>
  <r>
    <s v="27-12-2025"/>
    <x v="137"/>
    <s v="138983534997"/>
    <n v="269.22000000000003"/>
    <n v="13202537.949999999"/>
  </r>
  <r>
    <s v="27-12-2025"/>
    <x v="0"/>
    <s v="138983545497"/>
    <n v="34977.370000000003"/>
    <n v="13237515.32"/>
  </r>
  <r>
    <s v="27-12-2025"/>
    <x v="0"/>
    <s v="139630576538"/>
    <n v="4871.5"/>
    <n v="13242386.82"/>
  </r>
  <r>
    <s v="27-12-2025"/>
    <x v="0"/>
    <s v="139630636244"/>
    <n v="4676.6400000000003"/>
    <n v="13247063.460000001"/>
  </r>
  <r>
    <s v="27-12-2025"/>
    <x v="0"/>
    <s v="139630821520"/>
    <n v="51832.76"/>
    <n v="13298896.220000001"/>
  </r>
  <r>
    <s v="27-12-2025"/>
    <x v="0"/>
    <s v="138984089477"/>
    <n v="14029.92"/>
    <n v="13312926.140000001"/>
  </r>
  <r>
    <s v="27-12-2025"/>
    <x v="138"/>
    <s v="139630899542"/>
    <n v="704.88"/>
    <n v="13313631.02"/>
  </r>
  <r>
    <s v="27-12-2025"/>
    <x v="0"/>
    <s v="138984279097"/>
    <n v="19354"/>
    <n v="13332985.02"/>
  </r>
  <r>
    <s v="27-12-2025"/>
    <x v="0"/>
    <s v="139631095712"/>
    <n v="121202.92"/>
    <n v="13454187.939999999"/>
  </r>
  <r>
    <s v="27-12-2025"/>
    <x v="0"/>
    <s v="139631277772"/>
    <n v="68103.570000000007"/>
    <n v="13522291.51"/>
  </r>
  <r>
    <s v="27-12-2025"/>
    <x v="0"/>
    <s v="138984795275"/>
    <n v="53586.5"/>
    <n v="13575878.01"/>
  </r>
  <r>
    <s v="27-12-2025"/>
    <x v="0"/>
    <s v="138984902535"/>
    <n v="23480.63"/>
    <n v="13599358.640000001"/>
  </r>
  <r>
    <s v="27-12-2025"/>
    <x v="0"/>
    <s v="139631549822"/>
    <n v="4871.5"/>
    <n v="13604230.140000001"/>
  </r>
  <r>
    <s v="27-12-2025"/>
    <x v="0"/>
    <s v="139063218521"/>
    <n v="20460.3"/>
    <n v="13624690.439999999"/>
  </r>
  <r>
    <s v="27-12-2025"/>
    <x v="0"/>
    <s v="139072847851"/>
    <n v="4358"/>
    <n v="13629048.439999999"/>
  </r>
  <r>
    <s v="27-12-2025"/>
    <x v="0"/>
    <s v="139720219596"/>
    <n v="9353.2800000000007"/>
    <n v="13638401.720000001"/>
  </r>
  <r>
    <s v="27-12-2025"/>
    <x v="0"/>
    <s v="139073157963"/>
    <n v="11496.74"/>
    <n v="13649898.460000001"/>
  </r>
  <r>
    <s v="27-12-2025"/>
    <x v="0"/>
    <s v="139074196447"/>
    <n v="24357.5"/>
    <n v="13674255.960000001"/>
  </r>
  <r>
    <s v="27-12-2025"/>
    <x v="0"/>
    <s v="139721874566"/>
    <n v="13981.56"/>
    <n v="13688237.52"/>
  </r>
  <r>
    <s v="27-12-2025"/>
    <x v="0"/>
    <s v="139723099764"/>
    <n v="19973.150000000001"/>
    <n v="13708210.67"/>
  </r>
  <r>
    <s v="27-12-2025"/>
    <x v="0"/>
    <s v="139077062539"/>
    <n v="4723.5"/>
    <n v="13712934.17"/>
  </r>
  <r>
    <s v="27-12-2025"/>
    <x v="0"/>
    <s v="139724393082"/>
    <n v="9447"/>
    <n v="13722381.17"/>
  </r>
  <r>
    <s v="27-12-2025"/>
    <x v="0"/>
    <s v="139079138431"/>
    <n v="9677"/>
    <n v="13732058.17"/>
  </r>
  <r>
    <s v="27-12-2025"/>
    <x v="0"/>
    <s v="139729250792"/>
    <n v="7794.4"/>
    <n v="13739852.57"/>
  </r>
  <r>
    <s v="27-12-2025"/>
    <x v="0"/>
    <s v="139082306869"/>
    <n v="45759"/>
    <n v="13785611.57"/>
  </r>
  <r>
    <s v="27-12-2025"/>
    <x v="0"/>
    <s v="139082797497"/>
    <n v="47545.84"/>
    <n v="13833157.41"/>
  </r>
  <r>
    <s v="27-12-2025"/>
    <x v="0"/>
    <s v="139082973003"/>
    <n v="9447"/>
    <n v="13842604.41"/>
  </r>
  <r>
    <s v="27-12-2025"/>
    <x v="0"/>
    <s v="139730594000"/>
    <n v="46384.77"/>
    <n v="13888989.18"/>
  </r>
  <r>
    <s v="27-12-2025"/>
    <x v="0"/>
    <s v="139083518057"/>
    <n v="77807.03"/>
    <n v="13966796.210000001"/>
  </r>
  <r>
    <s v="27-12-2025"/>
    <x v="0"/>
    <s v="139084107193"/>
    <n v="36633.68"/>
    <n v="14003429.890000001"/>
  </r>
  <r>
    <s v="27-12-2025"/>
    <x v="0"/>
    <s v="139085202049"/>
    <n v="4723.5"/>
    <n v="14008153.390000001"/>
  </r>
  <r>
    <s v="27-12-2025"/>
    <x v="0"/>
    <s v="139734214508"/>
    <n v="48663.44"/>
    <n v="14056816.83"/>
  </r>
  <r>
    <s v="27-12-2025"/>
    <x v="0"/>
    <s v="139087122709"/>
    <n v="13225.8"/>
    <n v="14070042.630000001"/>
  </r>
  <r>
    <s v="27-12-2025"/>
    <x v="0"/>
    <s v="139734505018"/>
    <n v="51904.58"/>
    <n v="14121947.210000001"/>
  </r>
  <r>
    <s v="27-12-2025"/>
    <x v="0"/>
    <s v="139087711755"/>
    <n v="24649.79"/>
    <n v="14146597"/>
  </r>
  <r>
    <s v="27-12-2025"/>
    <x v="139"/>
    <s v="139087916413"/>
    <n v="2476.87"/>
    <n v="14149073.869999999"/>
  </r>
  <r>
    <s v="27-12-2025"/>
    <x v="0"/>
    <s v="139089424897"/>
    <n v="4871.5"/>
    <n v="14153945.369999999"/>
  </r>
  <r>
    <s v="27-12-2025"/>
    <x v="140"/>
    <s v="139089399095"/>
    <n v="489.5"/>
    <n v="14154434.869999999"/>
  </r>
  <r>
    <s v="27-12-2025"/>
    <x v="0"/>
    <s v="139736694770"/>
    <n v="40141.160000000003"/>
    <n v="14194576.029999999"/>
  </r>
  <r>
    <s v="27-12-2025"/>
    <x v="0"/>
    <s v="139089767285"/>
    <n v="19257.23"/>
    <n v="14213833.26"/>
  </r>
  <r>
    <s v="27-12-2025"/>
    <x v="0"/>
    <s v="139090047369"/>
    <n v="26890.68"/>
    <n v="14240723.939999999"/>
  </r>
  <r>
    <s v="27-12-2025"/>
    <x v="141"/>
    <s v="139737185630"/>
    <n v="2702.04"/>
    <n v="14243425.98"/>
  </r>
  <r>
    <s v="27-12-2025"/>
    <x v="0"/>
    <s v="139090278709"/>
    <n v="71135.91"/>
    <n v="14314561.890000001"/>
  </r>
  <r>
    <s v="27-12-2025"/>
    <x v="0"/>
    <s v="139738821200"/>
    <n v="33321.06"/>
    <n v="14347882.949999999"/>
  </r>
  <r>
    <s v="27-12-2025"/>
    <x v="0"/>
    <s v="139092164837"/>
    <n v="85835.83"/>
    <n v="14433718.779999999"/>
  </r>
  <r>
    <s v="28-12-2025"/>
    <x v="0"/>
    <s v="139740074742"/>
    <n v="9548.14"/>
    <n v="14443266.92"/>
  </r>
  <r>
    <s v="28-12-2025"/>
    <x v="0"/>
    <s v="139093374485"/>
    <n v="19291.14"/>
    <n v="14462558.060000001"/>
  </r>
  <r>
    <s v="28-12-2025"/>
    <x v="142"/>
    <s v="139093172083"/>
    <n v="969.21"/>
    <n v="14463527.27"/>
  </r>
  <r>
    <s v="28-12-2025"/>
    <x v="0"/>
    <s v="139093878133"/>
    <n v="29852.52"/>
    <n v="14493379.789999999"/>
  </r>
  <r>
    <s v="28-12-2025"/>
    <x v="0"/>
    <s v="139094071125"/>
    <n v="18138.240000000002"/>
    <n v="14511518.029999999"/>
  </r>
  <r>
    <s v="28-12-2025"/>
    <x v="0"/>
    <s v="139741640206"/>
    <n v="9743"/>
    <n v="14521261.029999999"/>
  </r>
  <r>
    <s v="28-12-2025"/>
    <x v="0"/>
    <s v="139094631503"/>
    <n v="147373.20000000001"/>
    <n v="14668634.23"/>
  </r>
  <r>
    <s v="28-12-2025"/>
    <x v="0"/>
    <s v="139742005488"/>
    <n v="9743"/>
    <n v="14678377.23"/>
  </r>
  <r>
    <s v="28-12-2025"/>
    <x v="0"/>
    <s v="139742125860"/>
    <n v="54171.08"/>
    <n v="14732548.310000001"/>
  </r>
  <r>
    <s v="28-12-2025"/>
    <x v="0"/>
    <s v="139742356014"/>
    <n v="81433.14"/>
    <n v="14813981.449999999"/>
  </r>
  <r>
    <s v="28-12-2025"/>
    <x v="0"/>
    <s v="139742892010"/>
    <n v="45110.09"/>
    <n v="14859091.539999999"/>
  </r>
  <r>
    <s v="28-12-2025"/>
    <x v="143"/>
    <s v="139095760979"/>
    <n v="2266.38"/>
    <n v="14861357.92"/>
  </r>
  <r>
    <s v="28-12-2025"/>
    <x v="0"/>
    <s v="139743113042"/>
    <n v="55145.38"/>
    <n v="14916503.300000001"/>
  </r>
  <r>
    <s v="28-12-2025"/>
    <x v="144"/>
    <s v="139095930685"/>
    <n v="2770.57"/>
    <n v="14919273.869999999"/>
  </r>
  <r>
    <s v="28-12-2025"/>
    <x v="0"/>
    <s v="139095819989"/>
    <n v="13257.49"/>
    <n v="14932531.359999999"/>
  </r>
  <r>
    <s v="28-12-2025"/>
    <x v="0"/>
    <s v="139096355877"/>
    <n v="69077.87"/>
    <n v="15001609.23"/>
  </r>
  <r>
    <s v="28-12-2025"/>
    <x v="0"/>
    <s v="139743764936"/>
    <n v="35331.78"/>
    <n v="15036941.01"/>
  </r>
  <r>
    <s v="28-12-2025"/>
    <x v="0"/>
    <s v="139743954796"/>
    <n v="27585.24"/>
    <n v="15064526.25"/>
  </r>
  <r>
    <s v="28-12-2025"/>
    <x v="0"/>
    <s v="139744308788"/>
    <n v="10035.290000000001"/>
    <n v="15074561.539999999"/>
  </r>
  <r>
    <s v="28-12-2025"/>
    <x v="0"/>
    <s v="139745018564"/>
    <n v="56509.4"/>
    <n v="15131070.939999999"/>
  </r>
  <r>
    <s v="28-12-2025"/>
    <x v="0"/>
    <s v="139745156910"/>
    <n v="31175.1"/>
    <n v="15162246.039999999"/>
  </r>
  <r>
    <s v="28-12-2025"/>
    <x v="0"/>
    <s v="139745222594"/>
    <n v="106845.57"/>
    <n v="15269091.609999999"/>
  </r>
  <r>
    <s v="28-12-2025"/>
    <x v="0"/>
    <s v="139098023351"/>
    <n v="14906.79"/>
    <n v="15283998.4"/>
  </r>
  <r>
    <s v="28-12-2025"/>
    <x v="0"/>
    <s v="139098272395"/>
    <n v="74436.52"/>
    <n v="15358434.92"/>
  </r>
  <r>
    <s v="28-12-2025"/>
    <x v="0"/>
    <s v="139746116204"/>
    <n v="39946.300000000003"/>
    <n v="15398381.220000001"/>
  </r>
  <r>
    <s v="28-12-2025"/>
    <x v="0"/>
    <s v="139746110436"/>
    <n v="44135.79"/>
    <n v="15442517.01"/>
  </r>
  <r>
    <s v="28-12-2025"/>
    <x v="0"/>
    <s v="139746069422"/>
    <n v="15393.94"/>
    <n v="15457910.949999999"/>
  </r>
  <r>
    <s v="28-12-2025"/>
    <x v="0"/>
    <s v="139098946275"/>
    <n v="97040.28"/>
    <n v="15554951.23"/>
  </r>
  <r>
    <s v="28-12-2025"/>
    <x v="0"/>
    <s v="139746652180"/>
    <n v="40043.730000000003"/>
    <n v="15594994.960000001"/>
  </r>
  <r>
    <s v="28-12-2025"/>
    <x v="145"/>
    <s v="139099300533"/>
    <n v="2011.84"/>
    <n v="15597006.800000001"/>
  </r>
  <r>
    <s v="28-12-2025"/>
    <x v="0"/>
    <s v="139746956110"/>
    <n v="25695.84"/>
    <n v="15622702.640000001"/>
  </r>
  <r>
    <s v="28-12-2025"/>
    <x v="0"/>
    <s v="139746996378"/>
    <n v="72269.55"/>
    <n v="15694972.189999999"/>
  </r>
  <r>
    <s v="28-12-2025"/>
    <x v="0"/>
    <s v="139747108932"/>
    <n v="29229"/>
    <n v="15724201.189999999"/>
  </r>
  <r>
    <s v="28-12-2025"/>
    <x v="0"/>
    <s v="139747250496"/>
    <n v="140760.29999999999"/>
    <n v="15864961.49"/>
  </r>
  <r>
    <s v="28-12-2025"/>
    <x v="0"/>
    <s v="139100436161"/>
    <n v="14029.92"/>
    <n v="15878991.41"/>
  </r>
  <r>
    <s v="28-12-2025"/>
    <x v="0"/>
    <s v="139100574281"/>
    <n v="30203.3"/>
    <n v="15909194.710000001"/>
  </r>
  <r>
    <s v="28-12-2025"/>
    <x v="126"/>
    <s v="139747543928"/>
    <n v="3034.9"/>
    <n v="15912229.609999999"/>
  </r>
  <r>
    <s v="28-12-2025"/>
    <x v="146"/>
    <s v="139791742310"/>
    <n v="-86803.41"/>
    <n v="15825426.199999999"/>
  </r>
  <r>
    <s v="28-12-2025"/>
    <x v="0"/>
    <s v="139808799678"/>
    <n v="5322.35"/>
    <n v="15830748.550000001"/>
  </r>
  <r>
    <s v="28-12-2025"/>
    <x v="0"/>
    <s v="139811178548"/>
    <n v="18894"/>
    <n v="15849642.550000001"/>
  </r>
  <r>
    <s v="28-12-2025"/>
    <x v="0"/>
    <s v="139172546173"/>
    <n v="4774.07"/>
    <n v="15854416.619999999"/>
  </r>
  <r>
    <s v="28-12-2025"/>
    <x v="0"/>
    <s v="139172710465"/>
    <n v="6275.52"/>
    <n v="15860692.140000001"/>
  </r>
  <r>
    <s v="28-12-2025"/>
    <x v="0"/>
    <s v="139820048220"/>
    <n v="18901.419999999998"/>
    <n v="15879593.560000001"/>
  </r>
  <r>
    <s v="28-12-2025"/>
    <x v="147"/>
    <s v="139819986828"/>
    <n v="1899.26"/>
    <n v="15881492.82"/>
  </r>
  <r>
    <s v="28-12-2025"/>
    <x v="0"/>
    <s v="139173070093"/>
    <n v="18894"/>
    <n v="15900386.82"/>
  </r>
  <r>
    <s v="28-12-2025"/>
    <x v="0"/>
    <s v="139820841428"/>
    <n v="12165.86"/>
    <n v="15912552.68"/>
  </r>
  <r>
    <s v="28-12-2025"/>
    <x v="148"/>
    <s v="139173662641"/>
    <n v="1311.86"/>
    <n v="15913864.539999999"/>
  </r>
  <r>
    <s v="28-12-2025"/>
    <x v="0"/>
    <s v="139820905374"/>
    <n v="9447"/>
    <n v="15923311.539999999"/>
  </r>
  <r>
    <s v="28-12-2025"/>
    <x v="0"/>
    <s v="139174210059"/>
    <n v="4539.5"/>
    <n v="15927851.039999999"/>
  </r>
  <r>
    <s v="28-12-2025"/>
    <x v="0"/>
    <s v="139174873593"/>
    <n v="9743"/>
    <n v="15937594.039999999"/>
  </r>
  <r>
    <s v="28-12-2025"/>
    <x v="0"/>
    <s v="139174829827"/>
    <n v="4774.07"/>
    <n v="15942368.109999999"/>
  </r>
  <r>
    <s v="28-12-2025"/>
    <x v="0"/>
    <s v="139175369981"/>
    <n v="7209.82"/>
    <n v="15949577.93"/>
  </r>
  <r>
    <s v="28-12-2025"/>
    <x v="0"/>
    <s v="139176331131"/>
    <n v="13640.2"/>
    <n v="15963218.130000001"/>
  </r>
  <r>
    <s v="28-12-2025"/>
    <x v="0"/>
    <s v="139825993870"/>
    <n v="28529.94"/>
    <n v="15991748.07"/>
  </r>
  <r>
    <s v="28-12-2025"/>
    <x v="0"/>
    <s v="139827276052"/>
    <n v="38699.040000000001"/>
    <n v="16030447.109999999"/>
  </r>
  <r>
    <s v="28-12-2025"/>
    <x v="0"/>
    <s v="139181298385"/>
    <n v="82566.78"/>
    <n v="16113013.890000001"/>
  </r>
  <r>
    <s v="28-12-2025"/>
    <x v="0"/>
    <s v="139828941790"/>
    <n v="31664.75"/>
    <n v="16144678.640000001"/>
  </r>
  <r>
    <s v="28-12-2025"/>
    <x v="0"/>
    <s v="139182522797"/>
    <n v="14419.64"/>
    <n v="16159098.279999999"/>
  </r>
  <r>
    <s v="28-12-2025"/>
    <x v="0"/>
    <s v="139829873234"/>
    <n v="53196.78"/>
    <n v="16212295.060000001"/>
  </r>
  <r>
    <s v="28-12-2025"/>
    <x v="0"/>
    <s v="139182797023"/>
    <n v="32931.339999999997"/>
    <n v="16245226.4"/>
  </r>
  <r>
    <s v="28-12-2025"/>
    <x v="0"/>
    <s v="139183086281"/>
    <n v="23967.78"/>
    <n v="16269194.18"/>
  </r>
  <r>
    <s v="28-12-2025"/>
    <x v="0"/>
    <s v="139183307389"/>
    <n v="23675.49"/>
    <n v="16292869.67"/>
  </r>
  <r>
    <s v="28-12-2025"/>
    <x v="149"/>
    <s v="139830676398"/>
    <n v="1189.48"/>
    <n v="16294059.15"/>
  </r>
  <r>
    <s v="28-12-2025"/>
    <x v="0"/>
    <s v="139830848786"/>
    <n v="83789.8"/>
    <n v="16377848.949999999"/>
  </r>
  <r>
    <s v="28-12-2025"/>
    <x v="0"/>
    <s v="139184104301"/>
    <n v="40811.040000000001"/>
    <n v="16418659.99"/>
  </r>
  <r>
    <s v="28-12-2025"/>
    <x v="0"/>
    <s v="139184358441"/>
    <n v="27280.400000000001"/>
    <n v="16445940.390000001"/>
  </r>
  <r>
    <s v="28-12-2025"/>
    <x v="150"/>
    <s v="139184362387"/>
    <n v="1370.6"/>
    <n v="16447310.99"/>
  </r>
  <r>
    <s v="28-12-2025"/>
    <x v="0"/>
    <s v="139832577514"/>
    <n v="34685.08"/>
    <n v="16481996.07"/>
  </r>
  <r>
    <s v="28-12-2025"/>
    <x v="0"/>
    <s v="139832669638"/>
    <n v="52159.03"/>
    <n v="16534155.1"/>
  </r>
  <r>
    <s v="28-12-2025"/>
    <x v="0"/>
    <s v="139186007717"/>
    <n v="40920.6"/>
    <n v="16575075.699999999"/>
  </r>
  <r>
    <s v="28-12-2025"/>
    <x v="0"/>
    <s v="139834422234"/>
    <n v="9743"/>
    <n v="16584818.699999999"/>
  </r>
  <r>
    <s v="28-12-2025"/>
    <x v="151"/>
    <s v="139187005321"/>
    <n v="979"/>
    <n v="16585797.699999999"/>
  </r>
  <r>
    <s v="28-12-2025"/>
    <x v="0"/>
    <s v="139187061995"/>
    <n v="26357.13"/>
    <n v="16612154.83"/>
  </r>
  <r>
    <s v="28-12-2025"/>
    <x v="0"/>
    <s v="139834672452"/>
    <n v="39264.29"/>
    <n v="16651419.119999999"/>
  </r>
  <r>
    <s v="29-12-2025"/>
    <x v="0"/>
    <s v="139188540317"/>
    <n v="36828.54"/>
    <n v="16688247.66"/>
  </r>
  <r>
    <s v="29-12-2025"/>
    <x v="152"/>
    <s v="139188337731"/>
    <n v="5550.93"/>
    <n v="16693798.59"/>
  </r>
  <r>
    <s v="29-12-2025"/>
    <x v="0"/>
    <s v="139188415481"/>
    <n v="52904.49"/>
    <n v="16746703.08"/>
  </r>
  <r>
    <s v="29-12-2025"/>
    <x v="153"/>
    <s v="139835864462"/>
    <n v="5315.97"/>
    <n v="16752019.050000001"/>
  </r>
  <r>
    <s v="29-12-2025"/>
    <x v="0"/>
    <s v="139836291978"/>
    <n v="37218.26"/>
    <n v="16789237.309999999"/>
  </r>
  <r>
    <s v="29-12-2025"/>
    <x v="154"/>
    <s v="139836327732"/>
    <n v="3739.78"/>
    <n v="16792977.09"/>
  </r>
  <r>
    <s v="29-12-2025"/>
    <x v="0"/>
    <s v="139836502702"/>
    <n v="39751.440000000002"/>
    <n v="16832728.530000001"/>
  </r>
  <r>
    <s v="29-12-2025"/>
    <x v="155"/>
    <s v="139836544342"/>
    <n v="1997.16"/>
    <n v="16834725.690000001"/>
  </r>
  <r>
    <s v="29-12-2025"/>
    <x v="0"/>
    <s v="139836675072"/>
    <n v="48617.57"/>
    <n v="16883343.260000002"/>
  </r>
  <r>
    <s v="29-12-2025"/>
    <x v="0"/>
    <s v="139189628517"/>
    <n v="19486"/>
    <n v="16902829.260000002"/>
  </r>
  <r>
    <s v="29-12-2025"/>
    <x v="156"/>
    <s v="139836791360"/>
    <n v="1958"/>
    <n v="16904787.260000002"/>
  </r>
  <r>
    <s v="29-12-2025"/>
    <x v="0"/>
    <s v="139837986428"/>
    <n v="9447"/>
    <n v="16914234.260000002"/>
  </r>
  <r>
    <s v="29-12-2025"/>
    <x v="0"/>
    <s v="139191028607"/>
    <n v="180399.73"/>
    <n v="17094633.989999998"/>
  </r>
  <r>
    <s v="29-12-2025"/>
    <x v="0"/>
    <s v="139838247870"/>
    <n v="9919.35"/>
    <n v="17104553.34"/>
  </r>
  <r>
    <s v="29-12-2025"/>
    <x v="0"/>
    <s v="139191376159"/>
    <n v="28644.42"/>
    <n v="17133197.760000002"/>
  </r>
  <r>
    <s v="29-12-2025"/>
    <x v="0"/>
    <s v="139191318807"/>
    <n v="28627.3"/>
    <n v="17161825.059999999"/>
  </r>
  <r>
    <s v="29-12-2025"/>
    <x v="0"/>
    <s v="139191239891"/>
    <n v="15588.8"/>
    <n v="17177413.859999999"/>
  </r>
  <r>
    <s v="30-12-2025"/>
    <x v="48"/>
    <s v="140025042408"/>
    <n v="-2000000"/>
    <n v="15177413.859999999"/>
  </r>
  <r>
    <s v="30-12-2025"/>
    <x v="48"/>
    <s v="140025370240"/>
    <n v="-2000000"/>
    <n v="13177413.859999999"/>
  </r>
  <r>
    <s v="30-12-2025"/>
    <x v="48"/>
    <s v="139377235019"/>
    <n v="-2000000"/>
    <n v="11177413.859999999"/>
  </r>
  <r>
    <s v="30-12-2025"/>
    <x v="48"/>
    <s v="140025238710"/>
    <n v="-1000000"/>
    <n v="10177413.859999999"/>
  </r>
  <r>
    <s v="30-12-2025"/>
    <x v="157"/>
    <s v="139427737813"/>
    <n v="39160"/>
    <n v="10216573.859999999"/>
  </r>
  <r>
    <s v="30-12-2025"/>
    <x v="0"/>
    <s v="139441467593"/>
    <n v="27585.24"/>
    <n v="10244159.1"/>
  </r>
  <r>
    <s v="30-12-2025"/>
    <x v="0"/>
    <s v="139447802567"/>
    <n v="14614.5"/>
    <n v="10258773.6"/>
  </r>
  <r>
    <s v="30-12-2025"/>
    <x v="0"/>
    <s v="140096941494"/>
    <n v="37410.120000000003"/>
    <n v="10296183.720000001"/>
  </r>
  <r>
    <s v="30-12-2025"/>
    <x v="0"/>
    <s v="139450291447"/>
    <n v="9743"/>
    <n v="10305926.720000001"/>
  </r>
  <r>
    <s v="30-12-2025"/>
    <x v="0"/>
    <s v="140102435218"/>
    <n v="18516.12"/>
    <n v="10324442.84"/>
  </r>
  <r>
    <s v="30-12-2025"/>
    <x v="0"/>
    <s v="140105601398"/>
    <n v="35074.800000000003"/>
    <n v="10359517.640000001"/>
  </r>
  <r>
    <s v="30-12-2025"/>
    <x v="0"/>
    <s v="139459696295"/>
    <n v="19271.88"/>
    <n v="10378789.52"/>
  </r>
  <r>
    <s v="30-12-2025"/>
    <x v="0"/>
    <s v="139460219937"/>
    <n v="4871.5"/>
    <n v="10383661.02"/>
  </r>
  <r>
    <s v="30-12-2025"/>
    <x v="0"/>
    <s v="140108556622"/>
    <n v="5845.8"/>
    <n v="10389506.82"/>
  </r>
  <r>
    <s v="30-12-2025"/>
    <x v="0"/>
    <s v="140110342078"/>
    <n v="19193.71"/>
    <n v="10408700.529999999"/>
  </r>
  <r>
    <s v="30-12-2025"/>
    <x v="0"/>
    <s v="140111554838"/>
    <n v="16270.81"/>
    <n v="10424971.34"/>
  </r>
  <r>
    <s v="30-12-2025"/>
    <x v="158"/>
    <s v="140111640118"/>
    <n v="2452.39"/>
    <n v="10427423.73"/>
  </r>
  <r>
    <s v="30-12-2025"/>
    <x v="0"/>
    <s v="139464638853"/>
    <n v="16705.36"/>
    <n v="10444129.09"/>
  </r>
  <r>
    <s v="30-12-2025"/>
    <x v="0"/>
    <s v="139465107537"/>
    <n v="9743"/>
    <n v="10453872.09"/>
  </r>
  <r>
    <s v="30-12-2025"/>
    <x v="0"/>
    <s v="140113726872"/>
    <n v="9743"/>
    <n v="10463615.09"/>
  </r>
  <r>
    <s v="30-12-2025"/>
    <x v="159"/>
    <s v="140113621612"/>
    <n v="489.5"/>
    <n v="10464104.59"/>
  </r>
  <r>
    <s v="30-12-2025"/>
    <x v="0"/>
    <s v="139466162181"/>
    <n v="19486"/>
    <n v="10483590.59"/>
  </r>
  <r>
    <s v="30-12-2025"/>
    <x v="141"/>
    <s v="139466124447"/>
    <n v="979"/>
    <n v="10484569.59"/>
  </r>
  <r>
    <s v="30-12-2025"/>
    <x v="0"/>
    <s v="140115445908"/>
    <n v="10644.7"/>
    <n v="10495214.289999999"/>
  </r>
  <r>
    <s v="30-12-2025"/>
    <x v="0"/>
    <s v="140115663656"/>
    <n v="9447"/>
    <n v="10504661.289999999"/>
  </r>
  <r>
    <s v="30-12-2025"/>
    <x v="0"/>
    <s v="140116601668"/>
    <n v="18396.560000000001"/>
    <n v="10523057.85"/>
  </r>
  <r>
    <s v="30-12-2025"/>
    <x v="0"/>
    <s v="140116779156"/>
    <n v="9353.2800000000007"/>
    <n v="10532411.130000001"/>
  </r>
  <r>
    <s v="30-12-2025"/>
    <x v="0"/>
    <s v="140117650322"/>
    <n v="12096.25"/>
    <n v="10544507.380000001"/>
  </r>
  <r>
    <s v="30-12-2025"/>
    <x v="0"/>
    <s v="139469521293"/>
    <n v="42089.760000000002"/>
    <n v="10586597.140000001"/>
  </r>
  <r>
    <s v="30-12-2025"/>
    <x v="0"/>
    <s v="139472364079"/>
    <n v="9447"/>
    <n v="10596044.140000001"/>
  </r>
  <r>
    <s v="30-12-2025"/>
    <x v="0"/>
    <s v="139472867537"/>
    <n v="28254.7"/>
    <n v="10624298.84"/>
  </r>
  <r>
    <s v="30-12-2025"/>
    <x v="0"/>
    <s v="139473304409"/>
    <n v="7085.25"/>
    <n v="10631384.09"/>
  </r>
  <r>
    <s v="30-12-2025"/>
    <x v="0"/>
    <s v="140122127434"/>
    <n v="4723.5"/>
    <n v="10636107.59"/>
  </r>
  <r>
    <s v="30-12-2025"/>
    <x v="0"/>
    <s v="139474299533"/>
    <n v="4723.5"/>
    <n v="10640831.09"/>
  </r>
  <r>
    <s v="30-12-2025"/>
    <x v="0"/>
    <s v="139474831259"/>
    <n v="9743"/>
    <n v="10650574.09"/>
  </r>
  <r>
    <s v="30-12-2025"/>
    <x v="0"/>
    <s v="139474889257"/>
    <n v="27280.400000000001"/>
    <n v="10677854.49"/>
  </r>
  <r>
    <s v="30-12-2025"/>
    <x v="0"/>
    <s v="139475371877"/>
    <n v="7307.25"/>
    <n v="10685161.74"/>
  </r>
  <r>
    <s v="30-12-2025"/>
    <x v="0"/>
    <s v="139476022875"/>
    <n v="4676.6400000000003"/>
    <n v="10689838.380000001"/>
  </r>
  <r>
    <s v="30-12-2025"/>
    <x v="160"/>
    <s v="140124023076"/>
    <n v="234.96"/>
    <n v="10690073.34"/>
  </r>
  <r>
    <s v="30-12-2025"/>
    <x v="0"/>
    <s v="139476163297"/>
    <n v="18386.3"/>
    <n v="10708459.640000001"/>
  </r>
  <r>
    <s v="30-12-2025"/>
    <x v="0"/>
    <s v="139476380341"/>
    <n v="14614.5"/>
    <n v="10723074.140000001"/>
  </r>
  <r>
    <s v="30-12-2025"/>
    <x v="0"/>
    <s v="139476781595"/>
    <n v="9743"/>
    <n v="10732817.140000001"/>
  </r>
  <r>
    <s v="30-12-2025"/>
    <x v="161"/>
    <s v="139476918527"/>
    <n v="489.5"/>
    <n v="10733306.640000001"/>
  </r>
  <r>
    <s v="30-12-2025"/>
    <x v="0"/>
    <s v="140124952752"/>
    <n v="31080.17"/>
    <n v="10764386.810000001"/>
  </r>
  <r>
    <s v="30-12-2025"/>
    <x v="162"/>
    <s v="139476996191"/>
    <n v="3123.01"/>
    <n v="10767509.82"/>
  </r>
  <r>
    <s v="30-12-2025"/>
    <x v="0"/>
    <s v="140125689836"/>
    <n v="7557.6"/>
    <n v="10775067.42"/>
  </r>
  <r>
    <s v="30-12-2025"/>
    <x v="0"/>
    <s v="139478121971"/>
    <n v="7112.39"/>
    <n v="10782179.810000001"/>
  </r>
  <r>
    <s v="30-12-2025"/>
    <x v="0"/>
    <s v="140126690492"/>
    <n v="7307.25"/>
    <n v="10789487.060000001"/>
  </r>
  <r>
    <s v="30-12-2025"/>
    <x v="163"/>
    <s v="139478507609"/>
    <n v="367.12"/>
    <n v="10789854.18"/>
  </r>
  <r>
    <s v="30-12-2025"/>
    <x v="0"/>
    <s v="139478863041"/>
    <n v="46863.83"/>
    <n v="10836718.01"/>
  </r>
  <r>
    <s v="30-12-2025"/>
    <x v="0"/>
    <s v="140126955086"/>
    <n v="40628.31"/>
    <n v="10877346.32"/>
  </r>
  <r>
    <s v="30-12-2025"/>
    <x v="0"/>
    <s v="139479170537"/>
    <n v="30410.639999999999"/>
    <n v="10907756.960000001"/>
  </r>
  <r>
    <s v="30-12-2025"/>
    <x v="0"/>
    <s v="140127339266"/>
    <n v="4505.28"/>
    <n v="10912262.24"/>
  </r>
  <r>
    <s v="31-12-2025"/>
    <x v="0"/>
    <s v="140128375658"/>
    <n v="8378.98"/>
    <n v="10920641.220000001"/>
  </r>
  <r>
    <s v="31-12-2025"/>
    <x v="0"/>
    <s v="139480783565"/>
    <n v="9743"/>
    <n v="10930384.220000001"/>
  </r>
  <r>
    <s v="31-12-2025"/>
    <x v="163"/>
    <s v="139480876737"/>
    <n v="489.5"/>
    <n v="10930873.720000001"/>
  </r>
  <r>
    <s v="31-12-2025"/>
    <x v="0"/>
    <s v="140129124980"/>
    <n v="10391.700000000001"/>
    <n v="10941265.42"/>
  </r>
  <r>
    <s v="31-12-2025"/>
    <x v="0"/>
    <s v="139481099341"/>
    <n v="4723.5"/>
    <n v="10945988.92"/>
  </r>
  <r>
    <s v="31-12-2025"/>
    <x v="0"/>
    <s v="140129225334"/>
    <n v="4723.5"/>
    <n v="10950712.42"/>
  </r>
  <r>
    <s v="31-12-2025"/>
    <x v="0"/>
    <s v="140129793484"/>
    <n v="7696.97"/>
    <n v="10958409.390000001"/>
  </r>
  <r>
    <s v="31-12-2025"/>
    <x v="164"/>
    <s v="140129960332"/>
    <n v="386.7"/>
    <n v="10958796.09"/>
  </r>
  <r>
    <s v="31-12-2025"/>
    <x v="0"/>
    <s v="139482482409"/>
    <n v="4871.5"/>
    <n v="10963667.59"/>
  </r>
  <r>
    <s v="31-12-2025"/>
    <x v="0"/>
    <s v="139482363759"/>
    <n v="5358.65"/>
    <n v="10969026.24"/>
  </r>
  <r>
    <s v="31-12-2025"/>
    <x v="0"/>
    <s v="140130674408"/>
    <n v="4774.07"/>
    <n v="10973800.310000001"/>
  </r>
  <r>
    <s v="31-12-2025"/>
    <x v="0"/>
    <s v="139483078587"/>
    <n v="23050.68"/>
    <n v="10996850.99"/>
  </r>
  <r>
    <s v="31-12-2025"/>
    <x v="0"/>
    <s v="139483146433"/>
    <n v="47058.69"/>
    <n v="11043909.68"/>
  </r>
  <r>
    <s v="31-12-2025"/>
    <x v="165"/>
    <s v="140131190404"/>
    <n v="2364.2800000000002"/>
    <n v="11046273.960000001"/>
  </r>
  <r>
    <s v="31-12-2025"/>
    <x v="0"/>
    <s v="139483278643"/>
    <n v="7039.5"/>
    <n v="11053313.460000001"/>
  </r>
  <r>
    <s v="31-12-2025"/>
    <x v="0"/>
    <s v="139483504133"/>
    <n v="7696.97"/>
    <n v="11061010.43"/>
  </r>
  <r>
    <s v="31-12-2025"/>
    <x v="0"/>
    <s v="139483492351"/>
    <n v="10391.700000000001"/>
    <n v="11071402.130000001"/>
  </r>
  <r>
    <s v="31-12-2025"/>
    <x v="0"/>
    <s v="139483449131"/>
    <n v="4644.96"/>
    <n v="11076047.09"/>
  </r>
  <r>
    <s v="31-12-2025"/>
    <x v="0"/>
    <s v="140132323268"/>
    <n v="17634.830000000002"/>
    <n v="11093681.92"/>
  </r>
  <r>
    <s v="31-12-2025"/>
    <x v="0"/>
    <s v="139484535079"/>
    <n v="23578.06"/>
    <n v="11117259.98"/>
  </r>
  <r>
    <s v="31-12-2025"/>
    <x v="0"/>
    <s v="140132565856"/>
    <n v="10230.15"/>
    <n v="11127490.130000001"/>
  </r>
  <r>
    <s v="31-12-2025"/>
    <x v="0"/>
    <s v="140132858928"/>
    <n v="29031"/>
    <n v="11156521.130000001"/>
  </r>
  <r>
    <s v="31-12-2025"/>
    <x v="0"/>
    <s v="140132881300"/>
    <n v="15881.09"/>
    <n v="11172402.220000001"/>
  </r>
  <r>
    <s v="31-12-2025"/>
    <x v="0"/>
    <s v="139484972295"/>
    <n v="31063.17"/>
    <n v="11203465.390000001"/>
  </r>
  <r>
    <s v="31-12-2025"/>
    <x v="0"/>
    <s v="140133204838"/>
    <n v="7696.97"/>
    <n v="11211162.359999999"/>
  </r>
  <r>
    <s v="31-12-2025"/>
    <x v="164"/>
    <s v="139485224387"/>
    <n v="773.41"/>
    <n v="11211935.77"/>
  </r>
  <r>
    <s v="31-12-2025"/>
    <x v="0"/>
    <s v="139485340871"/>
    <n v="2361.75"/>
    <n v="11214297.52"/>
  </r>
  <r>
    <s v="31-12-2025"/>
    <x v="0"/>
    <s v="139485632399"/>
    <n v="9824.8799999999992"/>
    <n v="11224122.4"/>
  </r>
  <r>
    <s v="31-12-2025"/>
    <x v="0"/>
    <s v="139485607001"/>
    <n v="34071.18"/>
    <n v="11258193.58"/>
  </r>
  <r>
    <s v="31-12-2025"/>
    <x v="0"/>
    <s v="140133653336"/>
    <n v="14419.64"/>
    <n v="11272613.220000001"/>
  </r>
  <r>
    <s v="31-12-2025"/>
    <x v="163"/>
    <s v="139485730265"/>
    <n v="724.46"/>
    <n v="11273337.68"/>
  </r>
  <r>
    <s v="31-12-2025"/>
    <x v="0"/>
    <s v="139485756335"/>
    <n v="25818.95"/>
    <n v="11299156.630000001"/>
  </r>
  <r>
    <s v="31-12-2025"/>
    <x v="0"/>
    <s v="140133896184"/>
    <n v="107845.14"/>
    <n v="11407001.77"/>
  </r>
  <r>
    <s v="31-12-2025"/>
    <x v="0"/>
    <s v="140133763234"/>
    <n v="18706.560000000001"/>
    <n v="11425708.33"/>
  </r>
  <r>
    <s v="31-12-2025"/>
    <x v="0"/>
    <s v="140133910726"/>
    <n v="14322.21"/>
    <n v="11440030.539999999"/>
  </r>
  <r>
    <s v="31-12-2025"/>
    <x v="166"/>
    <s v="140133811442"/>
    <n v="719.56"/>
    <n v="11440750.1"/>
  </r>
  <r>
    <s v="31-12-2025"/>
    <x v="0"/>
    <s v="139485908731"/>
    <n v="79308.02"/>
    <n v="11520058.119999999"/>
  </r>
  <r>
    <s v="31-12-2025"/>
    <x v="0"/>
    <s v="140133907214"/>
    <n v="9353.2800000000007"/>
    <n v="11529411.4"/>
  </r>
  <r>
    <s v="31-12-2025"/>
    <x v="160"/>
    <s v="140133851874"/>
    <n v="469.92"/>
    <n v="11529881.32"/>
  </r>
  <r>
    <s v="31-12-2025"/>
    <x v="0"/>
    <s v="139485954691"/>
    <n v="7307.25"/>
    <n v="11537188.57"/>
  </r>
  <r>
    <s v="31-12-2025"/>
    <x v="0"/>
    <s v="140133989406"/>
    <n v="81938.63"/>
    <n v="11619127.199999999"/>
  </r>
  <r>
    <s v="31-12-2025"/>
    <x v="0"/>
    <s v="139486142195"/>
    <n v="39166.86"/>
    <n v="11658294.060000001"/>
  </r>
  <r>
    <s v="31-12-2025"/>
    <x v="0"/>
    <s v="139486182203"/>
    <n v="35561.949999999997"/>
    <n v="11693856.01"/>
  </r>
  <r>
    <s v="31-12-2025"/>
    <x v="0"/>
    <s v="140134110924"/>
    <n v="4723.5"/>
    <n v="11698579.51"/>
  </r>
  <r>
    <s v="31-12-2025"/>
    <x v="0"/>
    <s v="140134031710"/>
    <n v="4774.07"/>
    <n v="11703353.58"/>
  </r>
  <r>
    <s v="31-12-2025"/>
    <x v="0"/>
    <s v="139486025795"/>
    <n v="12276.18"/>
    <n v="11715629.76"/>
  </r>
  <r>
    <s v="31-12-2025"/>
    <x v="0"/>
    <s v="139486246871"/>
    <n v="7794.4"/>
    <n v="11723424.16"/>
  </r>
  <r>
    <s v="31-12-2025"/>
    <x v="0"/>
    <s v="140134313280"/>
    <n v="39166.86"/>
    <n v="11762591.02"/>
  </r>
  <r>
    <s v="31-12-2025"/>
    <x v="0"/>
    <s v="139486404629"/>
    <n v="3312.62"/>
    <n v="11765903.640000001"/>
  </r>
  <r>
    <s v="31-12-2025"/>
    <x v="0"/>
    <s v="140134432862"/>
    <n v="217442.05"/>
    <n v="11983345.689999999"/>
  </r>
  <r>
    <s v="31-12-2025"/>
    <x v="0"/>
    <s v="139486393553"/>
    <n v="3702.34"/>
    <n v="11987048.02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612">
  <r>
    <x v="0"/>
    <x v="0"/>
    <n v="135329078135"/>
    <n v="19388.57"/>
    <n v="20972267.59"/>
    <x v="0"/>
    <m/>
    <m/>
    <n v="0"/>
    <n v="-199"/>
    <n v="-193.03"/>
    <n v="-119.4"/>
    <n v="19900"/>
  </r>
  <r>
    <x v="0"/>
    <x v="0"/>
    <n v="135329349869"/>
    <n v="37599.06"/>
    <n v="21009866.649999999"/>
    <x v="0"/>
    <m/>
    <m/>
    <n v="0"/>
    <n v="-398"/>
    <n v="-1564.14"/>
    <n v="-238.8"/>
    <n v="39800"/>
  </r>
  <r>
    <x v="0"/>
    <x v="0"/>
    <n v="135945633656"/>
    <n v="8184.12"/>
    <n v="21018050.77"/>
    <x v="0"/>
    <m/>
    <m/>
    <n v="0"/>
    <n v="-84"/>
    <n v="-81.48"/>
    <n v="-50.4"/>
    <n v="8399.9999999999982"/>
  </r>
  <r>
    <x v="0"/>
    <x v="0"/>
    <n v="135945997406"/>
    <n v="12276.18"/>
    <n v="21030326.949999999"/>
    <x v="0"/>
    <m/>
    <m/>
    <n v="0"/>
    <n v="-126"/>
    <n v="-122.22"/>
    <n v="-75.599999999999994"/>
    <n v="12600"/>
  </r>
  <r>
    <x v="0"/>
    <x v="0"/>
    <n v="135330440377"/>
    <n v="55242.81"/>
    <n v="21085569.760000002"/>
    <x v="0"/>
    <m/>
    <m/>
    <n v="0"/>
    <n v="-567"/>
    <n v="-549.99"/>
    <n v="-340.2"/>
    <n v="56699.999999999993"/>
  </r>
  <r>
    <x v="0"/>
    <x v="0"/>
    <n v="135330988071"/>
    <n v="47518.41"/>
    <n v="21133088.170000002"/>
    <x v="0"/>
    <m/>
    <m/>
    <n v="0"/>
    <n v="-503"/>
    <n v="-1976.79"/>
    <n v="-301.8"/>
    <n v="50300.000000000007"/>
  </r>
  <r>
    <x v="0"/>
    <x v="0"/>
    <n v="135331302959"/>
    <n v="16368.24"/>
    <n v="21149456.41"/>
    <x v="0"/>
    <m/>
    <m/>
    <n v="0"/>
    <n v="-168"/>
    <n v="-162.96"/>
    <n v="-100.8"/>
    <n v="16799.999999999996"/>
  </r>
  <r>
    <x v="0"/>
    <x v="0"/>
    <n v="135949105672"/>
    <n v="9840.43"/>
    <n v="21159296.84"/>
    <x v="0"/>
    <m/>
    <m/>
    <n v="0"/>
    <n v="-101"/>
    <n v="-97.97"/>
    <n v="-60.6"/>
    <n v="10100"/>
  </r>
  <r>
    <x v="0"/>
    <x v="1"/>
    <n v="135362543637"/>
    <n v="-3309.17"/>
    <n v="20202058.75"/>
    <x v="1"/>
    <n v="-551528.33333333337"/>
    <m/>
    <n v="0"/>
    <n v="0"/>
    <n v="0"/>
    <m/>
    <n v="-3309.17"/>
  </r>
  <r>
    <x v="0"/>
    <x v="2"/>
    <n v="135362543637"/>
    <n v="-551528.92000000004"/>
    <n v="20205367.920000002"/>
    <x v="2"/>
    <n v="-548239.4831013917"/>
    <m/>
    <n v="0"/>
    <n v="0"/>
    <n v="0"/>
    <n v="-3309.17"/>
    <n v="-551528.92000000004"/>
  </r>
  <r>
    <x v="0"/>
    <x v="1"/>
    <n v="135979554276"/>
    <n v="-2400"/>
    <n v="20756896.84"/>
    <x v="1"/>
    <n v="-400000"/>
    <m/>
    <n v="0"/>
    <n v="0"/>
    <n v="0"/>
    <m/>
    <n v="-2400"/>
  </r>
  <r>
    <x v="0"/>
    <x v="3"/>
    <n v="135979554276"/>
    <n v="-400000"/>
    <n v="20759296.84"/>
    <x v="2"/>
    <m/>
    <m/>
    <n v="0"/>
    <n v="0"/>
    <n v="0"/>
    <n v="-2400"/>
    <n v="-400000"/>
  </r>
  <r>
    <x v="1"/>
    <x v="0"/>
    <n v="135734903707"/>
    <n v="11690.63"/>
    <n v="20213749.379999999"/>
    <x v="0"/>
    <m/>
    <m/>
    <n v="0"/>
    <n v="-119.99"/>
    <n v="-116.39"/>
    <n v="-71.989999999999995"/>
    <n v="11998.999999999998"/>
  </r>
  <r>
    <x v="1"/>
    <x v="0"/>
    <n v="135738371583"/>
    <n v="24467.73"/>
    <n v="20238217.109999999"/>
    <x v="0"/>
    <m/>
    <m/>
    <n v="0"/>
    <n v="-259"/>
    <n v="-1017.87"/>
    <n v="-155.4"/>
    <n v="25900"/>
  </r>
  <r>
    <x v="1"/>
    <x v="0"/>
    <n v="135739132419"/>
    <n v="15681.08"/>
    <n v="20253898.190000001"/>
    <x v="0"/>
    <m/>
    <m/>
    <n v="0"/>
    <n v="-165.99"/>
    <n v="-652.34"/>
    <n v="-99.59"/>
    <n v="16599"/>
  </r>
  <r>
    <x v="1"/>
    <x v="0"/>
    <n v="136364441784"/>
    <n v="4357.92"/>
    <n v="20258256.109999999"/>
    <x v="0"/>
    <m/>
    <m/>
    <n v="0"/>
    <n v="-48"/>
    <n v="-365.28"/>
    <n v="-28.8"/>
    <n v="4800"/>
  </r>
  <r>
    <x v="1"/>
    <x v="4"/>
    <n v="136364596558"/>
    <n v="234.96"/>
    <n v="20258491.07"/>
    <x v="0"/>
    <m/>
    <m/>
    <n v="-3.6"/>
    <n v="0"/>
    <n v="0"/>
    <n v="-1.44"/>
    <n v="240"/>
  </r>
  <r>
    <x v="1"/>
    <x v="0"/>
    <n v="136364614462"/>
    <n v="9069.1200000000008"/>
    <n v="20267560.190000001"/>
    <x v="0"/>
    <m/>
    <m/>
    <n v="0"/>
    <n v="-96"/>
    <n v="-377.28"/>
    <n v="-57.6"/>
    <n v="9600.0000000000018"/>
  </r>
  <r>
    <x v="1"/>
    <x v="0"/>
    <n v="136366138324"/>
    <n v="7989.26"/>
    <n v="20275549.449999999"/>
    <x v="0"/>
    <m/>
    <m/>
    <n v="0"/>
    <n v="-82"/>
    <n v="-79.540000000000006"/>
    <n v="-49.2"/>
    <n v="8200"/>
  </r>
  <r>
    <x v="1"/>
    <x v="0"/>
    <n v="135748062571"/>
    <n v="45629.01"/>
    <n v="20321178.460000001"/>
    <x v="0"/>
    <m/>
    <m/>
    <n v="0"/>
    <n v="-483"/>
    <n v="-1898.19"/>
    <n v="-289.8"/>
    <n v="48300.000000000007"/>
  </r>
  <r>
    <x v="1"/>
    <x v="0"/>
    <n v="136370129344"/>
    <n v="23675.49"/>
    <n v="20344853.949999999"/>
    <x v="0"/>
    <m/>
    <m/>
    <n v="0"/>
    <n v="-243"/>
    <n v="-235.71"/>
    <n v="-145.80000000000001"/>
    <n v="24300"/>
  </r>
  <r>
    <x v="1"/>
    <x v="0"/>
    <n v="135749825345"/>
    <n v="9069.1200000000008"/>
    <n v="20353923.07"/>
    <x v="0"/>
    <m/>
    <m/>
    <n v="0"/>
    <n v="-96"/>
    <n v="-377.28"/>
    <n v="-57.6"/>
    <n v="9600.0000000000018"/>
  </r>
  <r>
    <x v="1"/>
    <x v="0"/>
    <n v="136373560516"/>
    <n v="30203.3"/>
    <n v="20384126.370000001"/>
    <x v="0"/>
    <m/>
    <m/>
    <n v="0"/>
    <n v="-310"/>
    <n v="-300.7"/>
    <n v="-186"/>
    <n v="31000"/>
  </r>
  <r>
    <x v="1"/>
    <x v="0"/>
    <n v="136374043234"/>
    <n v="14127.35"/>
    <n v="20398253.719999999"/>
    <x v="0"/>
    <m/>
    <m/>
    <n v="0"/>
    <n v="-145"/>
    <n v="-140.65"/>
    <n v="-87"/>
    <n v="14500"/>
  </r>
  <r>
    <x v="1"/>
    <x v="0"/>
    <n v="136374478166"/>
    <n v="29034.14"/>
    <n v="20427287.859999999"/>
    <x v="0"/>
    <m/>
    <m/>
    <n v="0"/>
    <n v="-298"/>
    <n v="-289.06"/>
    <n v="-178.8"/>
    <n v="29800"/>
  </r>
  <r>
    <x v="1"/>
    <x v="0"/>
    <n v="135753489523"/>
    <n v="8573.84"/>
    <n v="20435861.699999999"/>
    <x v="0"/>
    <m/>
    <m/>
    <n v="0"/>
    <n v="-88"/>
    <n v="-85.36"/>
    <n v="-52.8"/>
    <n v="8800"/>
  </r>
  <r>
    <x v="1"/>
    <x v="0"/>
    <n v="136374909026"/>
    <n v="28155.32"/>
    <n v="20464017.02"/>
    <x v="0"/>
    <m/>
    <m/>
    <n v="0"/>
    <n v="-288.98"/>
    <n v="-280.31"/>
    <n v="-173.39"/>
    <n v="28898"/>
  </r>
  <r>
    <x v="1"/>
    <x v="5"/>
    <n v="136374922986"/>
    <n v="2828.33"/>
    <n v="20466845.350000001"/>
    <x v="0"/>
    <m/>
    <m/>
    <n v="-43.34"/>
    <n v="0"/>
    <n v="0"/>
    <n v="-17.329999999999998"/>
    <n v="2889"/>
  </r>
  <r>
    <x v="1"/>
    <x v="0"/>
    <n v="135754447275"/>
    <n v="11335.46"/>
    <n v="20478180.809999999"/>
    <x v="0"/>
    <m/>
    <m/>
    <n v="0"/>
    <n v="-119.99"/>
    <n v="-471.56"/>
    <n v="-71.989999999999995"/>
    <n v="11998.999999999998"/>
  </r>
  <r>
    <x v="1"/>
    <x v="0"/>
    <n v="135754874311"/>
    <n v="45848.95"/>
    <n v="20524029.760000002"/>
    <x v="0"/>
    <m/>
    <m/>
    <n v="0"/>
    <n v="-505"/>
    <n v="-3843.05"/>
    <n v="-303"/>
    <n v="50500"/>
  </r>
  <r>
    <x v="1"/>
    <x v="0"/>
    <n v="136376223468"/>
    <n v="21787.78"/>
    <n v="20545817.539999999"/>
    <x v="0"/>
    <m/>
    <m/>
    <n v="0"/>
    <n v="-239.98"/>
    <n v="-1826.25"/>
    <n v="-143.99"/>
    <n v="23998"/>
  </r>
  <r>
    <x v="1"/>
    <x v="0"/>
    <n v="136377026240"/>
    <n v="32025.33"/>
    <n v="20577842.870000001"/>
    <x v="0"/>
    <m/>
    <m/>
    <n v="0"/>
    <n v="-339"/>
    <n v="-1332.27"/>
    <n v="-203.4"/>
    <n v="33900"/>
  </r>
  <r>
    <x v="1"/>
    <x v="0"/>
    <n v="135757136427"/>
    <n v="4676.6400000000003"/>
    <n v="20582519.510000002"/>
    <x v="0"/>
    <m/>
    <m/>
    <n v="0"/>
    <n v="-48"/>
    <n v="-46.56"/>
    <n v="-28.8"/>
    <n v="4800.0000000000009"/>
  </r>
  <r>
    <x v="1"/>
    <x v="0"/>
    <n v="135757391225"/>
    <n v="106198.7"/>
    <n v="20688718.210000001"/>
    <x v="0"/>
    <m/>
    <m/>
    <n v="0"/>
    <n v="-1090"/>
    <n v="-1057.3"/>
    <n v="-654"/>
    <n v="109000"/>
  </r>
  <r>
    <x v="1"/>
    <x v="0"/>
    <n v="135757364099"/>
    <n v="14224.78"/>
    <n v="20702942.989999998"/>
    <x v="0"/>
    <m/>
    <m/>
    <n v="0"/>
    <n v="-146"/>
    <n v="-141.62"/>
    <n v="-87.6"/>
    <n v="14600.000000000002"/>
  </r>
  <r>
    <x v="1"/>
    <x v="0"/>
    <n v="136379529420"/>
    <n v="69435.45"/>
    <n v="20772378.440000001"/>
    <x v="0"/>
    <m/>
    <m/>
    <n v="0"/>
    <n v="-735"/>
    <n v="-2888.55"/>
    <n v="-441"/>
    <n v="73500"/>
  </r>
  <r>
    <x v="1"/>
    <x v="0"/>
    <n v="136380032928"/>
    <n v="146331.20000000001"/>
    <n v="20918709.640000001"/>
    <x v="0"/>
    <m/>
    <m/>
    <n v="0"/>
    <n v="-1548.97"/>
    <n v="-6087.45"/>
    <n v="-929.38"/>
    <n v="154897.00000000003"/>
  </r>
  <r>
    <x v="1"/>
    <x v="0"/>
    <n v="136380185164"/>
    <n v="48772.08"/>
    <n v="20967481.719999999"/>
    <x v="0"/>
    <m/>
    <m/>
    <n v="0"/>
    <n v="-504"/>
    <n v="-821.52"/>
    <n v="-302.39999999999998"/>
    <n v="50400"/>
  </r>
  <r>
    <x v="1"/>
    <x v="0"/>
    <n v="135759480719"/>
    <n v="23381.25"/>
    <n v="20990862.969999999"/>
    <x v="0"/>
    <m/>
    <m/>
    <n v="0"/>
    <n v="-239.98"/>
    <n v="-232.78"/>
    <n v="-143.99"/>
    <n v="23998"/>
  </r>
  <r>
    <x v="1"/>
    <x v="6"/>
    <n v="135759329655"/>
    <n v="1173.82"/>
    <n v="20992036.789999999"/>
    <x v="0"/>
    <m/>
    <m/>
    <n v="-17.989999999999998"/>
    <n v="0"/>
    <n v="0"/>
    <n v="-7.19"/>
    <n v="1199"/>
  </r>
  <r>
    <x v="1"/>
    <x v="0"/>
    <n v="136380675948"/>
    <n v="67615.45"/>
    <n v="21059652.239999998"/>
    <x v="0"/>
    <m/>
    <m/>
    <n v="0"/>
    <n v="-693.99"/>
    <n v="-673.17"/>
    <n v="-416.39"/>
    <n v="69399"/>
  </r>
  <r>
    <x v="1"/>
    <x v="0"/>
    <n v="135759894119"/>
    <n v="35071.879999999997"/>
    <n v="21094724.120000001"/>
    <x v="0"/>
    <m/>
    <m/>
    <n v="0"/>
    <n v="-359.97"/>
    <n v="-349.17"/>
    <n v="-215.98"/>
    <n v="35997"/>
  </r>
  <r>
    <x v="2"/>
    <x v="0"/>
    <n v="135759931927"/>
    <n v="8184.12"/>
    <n v="21102908.239999998"/>
    <x v="0"/>
    <m/>
    <m/>
    <n v="0"/>
    <n v="-84"/>
    <n v="-81.48"/>
    <n v="-50.4"/>
    <n v="8399.9999999999982"/>
  </r>
  <r>
    <x v="2"/>
    <x v="0"/>
    <n v="136381321286"/>
    <n v="9840.43"/>
    <n v="21112748.670000002"/>
    <x v="0"/>
    <m/>
    <m/>
    <n v="0"/>
    <n v="-101"/>
    <n v="-97.97"/>
    <n v="-60.6"/>
    <n v="10100"/>
  </r>
  <r>
    <x v="2"/>
    <x v="0"/>
    <n v="135760346847"/>
    <n v="11690.63"/>
    <n v="21124439.300000001"/>
    <x v="0"/>
    <m/>
    <m/>
    <n v="0"/>
    <n v="-119.99"/>
    <n v="-116.39"/>
    <n v="-71.989999999999995"/>
    <n v="11998.999999999998"/>
  </r>
  <r>
    <x v="2"/>
    <x v="0"/>
    <n v="135760275699"/>
    <n v="61868.05"/>
    <n v="21186307.350000001"/>
    <x v="0"/>
    <m/>
    <m/>
    <n v="0"/>
    <n v="-635"/>
    <n v="-615.95000000000005"/>
    <n v="-381"/>
    <n v="63500"/>
  </r>
  <r>
    <x v="2"/>
    <x v="0"/>
    <n v="136382002426"/>
    <n v="52319.91"/>
    <n v="21238627.260000002"/>
    <x v="0"/>
    <m/>
    <m/>
    <n v="0"/>
    <n v="-537"/>
    <n v="-520.89"/>
    <n v="-322.2"/>
    <n v="53700"/>
  </r>
  <r>
    <x v="2"/>
    <x v="0"/>
    <n v="135762331375"/>
    <n v="4774.07"/>
    <n v="21243401.329999998"/>
    <x v="0"/>
    <m/>
    <m/>
    <n v="0"/>
    <n v="-49"/>
    <n v="-47.53"/>
    <n v="-29.4"/>
    <n v="4899.9999999999991"/>
  </r>
  <r>
    <x v="2"/>
    <x v="0"/>
    <n v="136383695972"/>
    <n v="31320.73"/>
    <n v="21274722.059999999"/>
    <x v="0"/>
    <m/>
    <m/>
    <n v="0"/>
    <n v="-344.98"/>
    <n v="-2625.3"/>
    <n v="-206.99"/>
    <n v="34498"/>
  </r>
  <r>
    <x v="2"/>
    <x v="0"/>
    <n v="136383829954"/>
    <n v="29813.58"/>
    <n v="21304535.640000001"/>
    <x v="0"/>
    <m/>
    <m/>
    <n v="0"/>
    <n v="-306"/>
    <n v="-296.82"/>
    <n v="-183.6"/>
    <n v="30600"/>
  </r>
  <r>
    <x v="2"/>
    <x v="7"/>
    <n v="135762846725"/>
    <n v="1497.87"/>
    <n v="21306033.510000002"/>
    <x v="0"/>
    <m/>
    <m/>
    <n v="-22.95"/>
    <n v="0"/>
    <n v="0"/>
    <n v="-9.18"/>
    <n v="1530"/>
  </r>
  <r>
    <x v="2"/>
    <x v="0"/>
    <n v="136384024660"/>
    <n v="18901.419999999998"/>
    <n v="21324934.93"/>
    <x v="0"/>
    <m/>
    <m/>
    <n v="0"/>
    <n v="-194"/>
    <n v="-188.18"/>
    <n v="-116.4"/>
    <n v="19400"/>
  </r>
  <r>
    <x v="2"/>
    <x v="0"/>
    <n v="136384104070"/>
    <n v="44967.72"/>
    <n v="21369902.649999999"/>
    <x v="0"/>
    <m/>
    <m/>
    <n v="0"/>
    <n v="-476"/>
    <n v="-1870.68"/>
    <n v="-285.60000000000002"/>
    <n v="47600"/>
  </r>
  <r>
    <x v="2"/>
    <x v="0"/>
    <n v="135763446201"/>
    <n v="20655.16"/>
    <n v="21390557.809999999"/>
    <x v="0"/>
    <m/>
    <m/>
    <n v="0"/>
    <n v="-212"/>
    <n v="-205.64"/>
    <n v="-127.2"/>
    <n v="21200"/>
  </r>
  <r>
    <x v="2"/>
    <x v="0"/>
    <n v="135877734691"/>
    <n v="13797.42"/>
    <n v="21404355.23"/>
    <x v="0"/>
    <m/>
    <m/>
    <n v="0"/>
    <n v="-147"/>
    <n v="-667.38"/>
    <n v="-88.2"/>
    <n v="14700"/>
  </r>
  <r>
    <x v="2"/>
    <x v="0"/>
    <n v="136505580672"/>
    <n v="25602.78"/>
    <n v="21429958.010000002"/>
    <x v="0"/>
    <m/>
    <m/>
    <n v="0"/>
    <n v="-282"/>
    <n v="-2146.02"/>
    <n v="-169.2"/>
    <n v="28200"/>
  </r>
  <r>
    <x v="2"/>
    <x v="8"/>
    <n v="136505473782"/>
    <n v="2760.78"/>
    <n v="21432718.789999999"/>
    <x v="0"/>
    <m/>
    <m/>
    <n v="-42.3"/>
    <n v="0"/>
    <n v="0"/>
    <n v="-16.920000000000002"/>
    <n v="2820.0000000000005"/>
  </r>
  <r>
    <x v="2"/>
    <x v="0"/>
    <n v="135884884887"/>
    <n v="29002.29"/>
    <n v="21461721.079999998"/>
    <x v="0"/>
    <m/>
    <m/>
    <n v="0"/>
    <n v="-307"/>
    <n v="-1206.51"/>
    <n v="-184.2"/>
    <n v="30700"/>
  </r>
  <r>
    <x v="2"/>
    <x v="0"/>
    <n v="136507926506"/>
    <n v="9258.06"/>
    <n v="21470979.140000001"/>
    <x v="0"/>
    <m/>
    <m/>
    <n v="0"/>
    <n v="-98"/>
    <n v="-385.14"/>
    <n v="-58.8"/>
    <n v="9799.9999999999982"/>
  </r>
  <r>
    <x v="2"/>
    <x v="0"/>
    <n v="135887589531"/>
    <n v="7935.48"/>
    <n v="21478914.620000001"/>
    <x v="0"/>
    <m/>
    <m/>
    <n v="0"/>
    <n v="-84"/>
    <n v="-330.12"/>
    <n v="-50.4"/>
    <n v="8400"/>
  </r>
  <r>
    <x v="2"/>
    <x v="0"/>
    <n v="135889088143"/>
    <n v="9645.57"/>
    <n v="21488560.190000001"/>
    <x v="0"/>
    <m/>
    <m/>
    <n v="0"/>
    <n v="-99"/>
    <n v="-96.03"/>
    <n v="-59.4"/>
    <n v="9900"/>
  </r>
  <r>
    <x v="2"/>
    <x v="9"/>
    <n v="135888975597"/>
    <n v="484.6"/>
    <n v="21489044.789999999"/>
    <x v="0"/>
    <m/>
    <m/>
    <n v="-7.43"/>
    <n v="0"/>
    <n v="0"/>
    <n v="-2.97"/>
    <n v="495.00000000000006"/>
  </r>
  <r>
    <x v="2"/>
    <x v="0"/>
    <n v="136512148984"/>
    <n v="9548.14"/>
    <n v="21498592.93"/>
    <x v="0"/>
    <m/>
    <m/>
    <n v="0"/>
    <n v="-98"/>
    <n v="-95.06"/>
    <n v="-58.8"/>
    <n v="9799.9999999999982"/>
  </r>
  <r>
    <x v="2"/>
    <x v="0"/>
    <n v="135897982183"/>
    <n v="4440.09"/>
    <n v="21503033.02"/>
    <x v="0"/>
    <m/>
    <m/>
    <n v="0"/>
    <n v="-47"/>
    <n v="-184.71"/>
    <n v="-28.2"/>
    <n v="4700"/>
  </r>
  <r>
    <x v="2"/>
    <x v="0"/>
    <n v="136520889392"/>
    <n v="4676.6400000000003"/>
    <n v="21507709.66"/>
    <x v="0"/>
    <m/>
    <m/>
    <n v="0"/>
    <n v="-48"/>
    <n v="-46.56"/>
    <n v="-28.8"/>
    <n v="4800.0000000000009"/>
  </r>
  <r>
    <x v="2"/>
    <x v="0"/>
    <n v="135898239819"/>
    <n v="4092.06"/>
    <n v="21511801.719999999"/>
    <x v="0"/>
    <m/>
    <m/>
    <n v="0"/>
    <n v="-42"/>
    <n v="-40.74"/>
    <n v="-25.2"/>
    <n v="4199.9999999999991"/>
  </r>
  <r>
    <x v="2"/>
    <x v="0"/>
    <n v="136521246224"/>
    <n v="21306.22"/>
    <n v="21533107.940000001"/>
    <x v="0"/>
    <m/>
    <m/>
    <n v="0"/>
    <n v="-227"/>
    <n v="-1030.58"/>
    <n v="-136.19999999999999"/>
    <n v="22700.000000000004"/>
  </r>
  <r>
    <x v="2"/>
    <x v="0"/>
    <n v="135899858747"/>
    <n v="12764.96"/>
    <n v="21545872.899999999"/>
    <x v="0"/>
    <m/>
    <m/>
    <n v="0"/>
    <n v="-136"/>
    <n v="-617.44000000000005"/>
    <n v="-81.599999999999994"/>
    <n v="13600"/>
  </r>
  <r>
    <x v="2"/>
    <x v="0"/>
    <n v="136522852030"/>
    <n v="26988.11"/>
    <n v="21572861.010000002"/>
    <x v="0"/>
    <m/>
    <m/>
    <n v="0"/>
    <n v="-277"/>
    <n v="-268.69"/>
    <n v="-166.2"/>
    <n v="27700"/>
  </r>
  <r>
    <x v="2"/>
    <x v="0"/>
    <n v="135900371775"/>
    <n v="14926.26"/>
    <n v="21587787.27"/>
    <x v="0"/>
    <m/>
    <m/>
    <n v="0"/>
    <n v="-158"/>
    <n v="-620.94000000000005"/>
    <n v="-94.8"/>
    <n v="15800"/>
  </r>
  <r>
    <x v="2"/>
    <x v="0"/>
    <n v="135900611305"/>
    <n v="4092.06"/>
    <n v="21591879.329999998"/>
    <x v="0"/>
    <m/>
    <m/>
    <n v="0"/>
    <n v="-42"/>
    <n v="-40.74"/>
    <n v="-25.2"/>
    <n v="4199.9999999999991"/>
  </r>
  <r>
    <x v="2"/>
    <x v="10"/>
    <n v="135900601361"/>
    <n v="205.59"/>
    <n v="21592084.920000002"/>
    <x v="0"/>
    <m/>
    <m/>
    <n v="-3.15"/>
    <n v="0"/>
    <n v="0"/>
    <n v="-1.26"/>
    <n v="210"/>
  </r>
  <r>
    <x v="2"/>
    <x v="0"/>
    <n v="136523721252"/>
    <n v="5358.65"/>
    <n v="21597443.57"/>
    <x v="0"/>
    <m/>
    <m/>
    <n v="0"/>
    <n v="-55"/>
    <n v="-53.35"/>
    <n v="-33"/>
    <n v="5500"/>
  </r>
  <r>
    <x v="2"/>
    <x v="0"/>
    <n v="136523955074"/>
    <n v="3994.63"/>
    <n v="21601438.199999999"/>
    <x v="0"/>
    <m/>
    <m/>
    <n v="0"/>
    <n v="-41"/>
    <n v="-39.770000000000003"/>
    <n v="-24.6"/>
    <n v="4100"/>
  </r>
  <r>
    <x v="2"/>
    <x v="0"/>
    <n v="136524590174"/>
    <n v="31175.1"/>
    <n v="21632613.300000001"/>
    <x v="0"/>
    <m/>
    <m/>
    <n v="0"/>
    <n v="-330"/>
    <n v="-1296.9000000000001"/>
    <n v="-198"/>
    <n v="33000"/>
  </r>
  <r>
    <x v="2"/>
    <x v="0"/>
    <n v="135902300611"/>
    <n v="10985.59"/>
    <n v="21643598.890000001"/>
    <x v="0"/>
    <m/>
    <m/>
    <n v="0"/>
    <n v="-121"/>
    <n v="-920.81"/>
    <n v="-72.599999999999994"/>
    <n v="12100"/>
  </r>
  <r>
    <x v="2"/>
    <x v="0"/>
    <n v="135902991043"/>
    <n v="13934.88"/>
    <n v="21657533.77"/>
    <x v="0"/>
    <m/>
    <m/>
    <n v="0"/>
    <n v="-144"/>
    <n v="-234.72"/>
    <n v="-86.4"/>
    <n v="14399.999999999998"/>
  </r>
  <r>
    <x v="2"/>
    <x v="0"/>
    <n v="135903079939"/>
    <n v="41212.89"/>
    <n v="21698746.66"/>
    <x v="0"/>
    <m/>
    <m/>
    <n v="0"/>
    <n v="-423"/>
    <n v="-410.31"/>
    <n v="-253.8"/>
    <n v="42300"/>
  </r>
  <r>
    <x v="2"/>
    <x v="0"/>
    <n v="135903488753"/>
    <n v="4676.6400000000003"/>
    <n v="21703423.300000001"/>
    <x v="0"/>
    <m/>
    <m/>
    <n v="0"/>
    <n v="-48"/>
    <n v="-46.56"/>
    <n v="-28.8"/>
    <n v="4800.0000000000009"/>
  </r>
  <r>
    <x v="2"/>
    <x v="0"/>
    <n v="136525966018"/>
    <n v="5358.65"/>
    <n v="21708781.949999999"/>
    <x v="0"/>
    <m/>
    <m/>
    <n v="0"/>
    <n v="-55"/>
    <n v="-53.35"/>
    <n v="-33"/>
    <n v="5500"/>
  </r>
  <r>
    <x v="2"/>
    <x v="0"/>
    <n v="135903704321"/>
    <n v="4384.3500000000004"/>
    <n v="21713166.300000001"/>
    <x v="0"/>
    <m/>
    <m/>
    <n v="0"/>
    <n v="-45"/>
    <n v="-43.65"/>
    <n v="-27"/>
    <n v="4500"/>
  </r>
  <r>
    <x v="2"/>
    <x v="0"/>
    <n v="135903824609"/>
    <n v="31177.599999999999"/>
    <n v="21744343.899999999"/>
    <x v="0"/>
    <m/>
    <m/>
    <n v="0"/>
    <n v="-320"/>
    <n v="-310.39999999999998"/>
    <n v="-192"/>
    <n v="32000"/>
  </r>
  <r>
    <x v="2"/>
    <x v="0"/>
    <n v="135903962267"/>
    <n v="3897.2"/>
    <n v="21748241.100000001"/>
    <x v="0"/>
    <m/>
    <m/>
    <n v="0"/>
    <n v="-40"/>
    <n v="-38.799999999999997"/>
    <n v="-24"/>
    <n v="4000"/>
  </r>
  <r>
    <x v="2"/>
    <x v="11"/>
    <n v="135903889629"/>
    <n v="195.8"/>
    <n v="21748436.899999999"/>
    <x v="0"/>
    <m/>
    <m/>
    <n v="-3"/>
    <n v="0"/>
    <n v="0"/>
    <n v="-1.2"/>
    <n v="200"/>
  </r>
  <r>
    <x v="2"/>
    <x v="0"/>
    <n v="135903977575"/>
    <n v="10717.3"/>
    <n v="21759154.199999999"/>
    <x v="0"/>
    <m/>
    <m/>
    <n v="0"/>
    <n v="-110"/>
    <n v="-106.7"/>
    <n v="-66"/>
    <n v="11000"/>
  </r>
  <r>
    <x v="2"/>
    <x v="0"/>
    <n v="135904176073"/>
    <n v="4644.96"/>
    <n v="21763799.16"/>
    <x v="0"/>
    <m/>
    <m/>
    <n v="0"/>
    <n v="-48"/>
    <n v="-78.239999999999995"/>
    <n v="-28.8"/>
    <n v="4800"/>
  </r>
  <r>
    <x v="2"/>
    <x v="0"/>
    <n v="136526927868"/>
    <n v="4676.6400000000003"/>
    <n v="21768475.800000001"/>
    <x v="0"/>
    <m/>
    <m/>
    <n v="0"/>
    <n v="-48"/>
    <n v="-46.56"/>
    <n v="-28.8"/>
    <n v="4800.0000000000009"/>
  </r>
  <r>
    <x v="2"/>
    <x v="12"/>
    <n v="135904259461"/>
    <n v="234.96"/>
    <n v="21768710.760000002"/>
    <x v="0"/>
    <m/>
    <m/>
    <n v="-3.6"/>
    <n v="0"/>
    <n v="0"/>
    <n v="-1.44"/>
    <n v="240"/>
  </r>
  <r>
    <x v="2"/>
    <x v="0"/>
    <n v="136527051650"/>
    <n v="9353.2800000000007"/>
    <n v="21778064.039999999"/>
    <x v="0"/>
    <m/>
    <m/>
    <n v="0"/>
    <n v="-96"/>
    <n v="-93.12"/>
    <n v="-57.6"/>
    <n v="9600.0000000000018"/>
  </r>
  <r>
    <x v="2"/>
    <x v="0"/>
    <n v="136527375236"/>
    <n v="9353.2800000000007"/>
    <n v="21787417.32"/>
    <x v="0"/>
    <m/>
    <m/>
    <n v="0"/>
    <n v="-96"/>
    <n v="-93.12"/>
    <n v="-57.6"/>
    <n v="9600.0000000000018"/>
  </r>
  <r>
    <x v="2"/>
    <x v="0"/>
    <n v="135904784987"/>
    <n v="5322.35"/>
    <n v="21792739.670000002"/>
    <x v="0"/>
    <m/>
    <m/>
    <n v="0"/>
    <n v="-55"/>
    <n v="-89.65"/>
    <n v="-33"/>
    <n v="5500"/>
  </r>
  <r>
    <x v="2"/>
    <x v="0"/>
    <n v="136527796466"/>
    <n v="3994.63"/>
    <n v="21796734.300000001"/>
    <x v="0"/>
    <m/>
    <m/>
    <n v="0"/>
    <n v="-41"/>
    <n v="-39.770000000000003"/>
    <n v="-24.6"/>
    <n v="4100"/>
  </r>
  <r>
    <x v="2"/>
    <x v="0"/>
    <n v="136527826814"/>
    <n v="4286.92"/>
    <n v="21801021.219999999"/>
    <x v="0"/>
    <m/>
    <m/>
    <n v="0"/>
    <n v="-44"/>
    <n v="-42.68"/>
    <n v="-26.4"/>
    <n v="4400"/>
  </r>
  <r>
    <x v="2"/>
    <x v="0"/>
    <n v="136528092580"/>
    <n v="22408.9"/>
    <n v="21823430.120000001"/>
    <x v="0"/>
    <m/>
    <m/>
    <n v="0"/>
    <n v="-230"/>
    <n v="-223.1"/>
    <n v="-138"/>
    <n v="23000"/>
  </r>
  <r>
    <x v="2"/>
    <x v="0"/>
    <n v="136528512600"/>
    <n v="5358.65"/>
    <n v="21828788.77"/>
    <x v="0"/>
    <m/>
    <m/>
    <n v="0"/>
    <n v="-55"/>
    <n v="-53.35"/>
    <n v="-33"/>
    <n v="5500"/>
  </r>
  <r>
    <x v="2"/>
    <x v="0"/>
    <n v="136528767468"/>
    <n v="4286.92"/>
    <n v="21833075.690000001"/>
    <x v="0"/>
    <m/>
    <m/>
    <n v="0"/>
    <n v="-44"/>
    <n v="-42.68"/>
    <n v="-26.4"/>
    <n v="4400"/>
  </r>
  <r>
    <x v="2"/>
    <x v="0"/>
    <n v="136528753792"/>
    <n v="14418.73"/>
    <n v="21847494.420000002"/>
    <x v="0"/>
    <m/>
    <m/>
    <n v="0"/>
    <n v="-149"/>
    <n v="-242.87"/>
    <n v="-89.4"/>
    <n v="14900"/>
  </r>
  <r>
    <x v="2"/>
    <x v="0"/>
    <n v="135906555589"/>
    <n v="14029.92"/>
    <n v="21861524.34"/>
    <x v="0"/>
    <m/>
    <m/>
    <n v="0"/>
    <n v="-144"/>
    <n v="-139.68"/>
    <n v="-86.4"/>
    <n v="14400"/>
  </r>
  <r>
    <x v="2"/>
    <x v="0"/>
    <n v="136529368322"/>
    <n v="16075.95"/>
    <n v="21877600.289999999"/>
    <x v="0"/>
    <m/>
    <m/>
    <n v="0"/>
    <n v="-165"/>
    <n v="-160.05000000000001"/>
    <n v="-99"/>
    <n v="16500"/>
  </r>
  <r>
    <x v="2"/>
    <x v="0"/>
    <n v="136529601672"/>
    <n v="4676.6400000000003"/>
    <n v="21882276.93"/>
    <x v="0"/>
    <m/>
    <m/>
    <n v="0"/>
    <n v="-48"/>
    <n v="-46.56"/>
    <n v="-28.8"/>
    <n v="4800.0000000000009"/>
  </r>
  <r>
    <x v="2"/>
    <x v="0"/>
    <n v="136529790482"/>
    <n v="3897.2"/>
    <n v="21886174.129999999"/>
    <x v="0"/>
    <m/>
    <m/>
    <n v="0"/>
    <n v="-40"/>
    <n v="-38.799999999999997"/>
    <n v="-24"/>
    <n v="4000"/>
  </r>
  <r>
    <x v="2"/>
    <x v="0"/>
    <n v="136530047680"/>
    <n v="54239.58"/>
    <n v="21940413.710000001"/>
    <x v="0"/>
    <m/>
    <m/>
    <n v="0"/>
    <n v="-560.5"/>
    <n v="-913.62"/>
    <n v="-336.3"/>
    <n v="56050.000000000007"/>
  </r>
  <r>
    <x v="3"/>
    <x v="0"/>
    <n v="135908897041"/>
    <n v="45792.1"/>
    <n v="21986205.809999999"/>
    <x v="0"/>
    <m/>
    <m/>
    <n v="0"/>
    <n v="-470"/>
    <n v="-455.9"/>
    <n v="-282"/>
    <n v="47000"/>
  </r>
  <r>
    <x v="3"/>
    <x v="13"/>
    <n v="136531346928"/>
    <n v="2300.65"/>
    <n v="21988506.460000001"/>
    <x v="0"/>
    <m/>
    <m/>
    <n v="-35.25"/>
    <n v="0"/>
    <n v="0"/>
    <n v="-14.1"/>
    <n v="2350"/>
  </r>
  <r>
    <x v="3"/>
    <x v="0"/>
    <n v="135909210549"/>
    <n v="41700.04"/>
    <n v="22030206.5"/>
    <x v="0"/>
    <m/>
    <m/>
    <n v="0"/>
    <n v="-428"/>
    <n v="-415.16"/>
    <n v="-256.8"/>
    <n v="42800.000000000007"/>
  </r>
  <r>
    <x v="3"/>
    <x v="0"/>
    <n v="135909548389"/>
    <n v="18803.990000000002"/>
    <n v="22049010.489999998"/>
    <x v="0"/>
    <m/>
    <m/>
    <n v="0"/>
    <n v="-193"/>
    <n v="-187.21"/>
    <n v="-115.8"/>
    <n v="19300"/>
  </r>
  <r>
    <x v="3"/>
    <x v="0"/>
    <n v="136532314330"/>
    <n v="19744.23"/>
    <n v="22068754.719999999"/>
    <x v="0"/>
    <m/>
    <m/>
    <n v="0"/>
    <n v="-209"/>
    <n v="-821.37"/>
    <n v="-125.4"/>
    <n v="20900"/>
  </r>
  <r>
    <x v="3"/>
    <x v="0"/>
    <n v="136532271696"/>
    <n v="26829.48"/>
    <n v="22095584.199999999"/>
    <x v="0"/>
    <m/>
    <m/>
    <n v="0"/>
    <n v="-284"/>
    <n v="-1116.1199999999999"/>
    <n v="-170.4"/>
    <n v="28400"/>
  </r>
  <r>
    <x v="3"/>
    <x v="0"/>
    <n v="135909801847"/>
    <n v="23772.92"/>
    <n v="22119357.120000001"/>
    <x v="0"/>
    <m/>
    <m/>
    <n v="0"/>
    <n v="-244"/>
    <n v="-236.68"/>
    <n v="-146.4"/>
    <n v="24400"/>
  </r>
  <r>
    <x v="3"/>
    <x v="0"/>
    <n v="135910347159"/>
    <n v="44525.51"/>
    <n v="22163882.629999999"/>
    <x v="0"/>
    <m/>
    <m/>
    <n v="0"/>
    <n v="-457"/>
    <n v="-443.29"/>
    <n v="-274.2"/>
    <n v="45700"/>
  </r>
  <r>
    <x v="3"/>
    <x v="0"/>
    <n v="136532968476"/>
    <n v="175383.55"/>
    <n v="22339266.18"/>
    <x v="0"/>
    <m/>
    <m/>
    <n v="0"/>
    <n v="-1856.5"/>
    <n v="-7296.05"/>
    <n v="-1113.9000000000001"/>
    <n v="185649.99999999997"/>
  </r>
  <r>
    <x v="3"/>
    <x v="0"/>
    <n v="135910717417"/>
    <n v="83511.48"/>
    <n v="22422777.66"/>
    <x v="0"/>
    <m/>
    <m/>
    <n v="0"/>
    <n v="-884"/>
    <n v="-3474.12"/>
    <n v="-530.4"/>
    <n v="88399.999999999985"/>
  </r>
  <r>
    <x v="3"/>
    <x v="0"/>
    <n v="135910779181"/>
    <n v="5725.46"/>
    <n v="22428503.120000001"/>
    <x v="0"/>
    <m/>
    <m/>
    <n v="0"/>
    <n v="-61"/>
    <n v="-276.94"/>
    <n v="-36.6"/>
    <n v="6100"/>
  </r>
  <r>
    <x v="3"/>
    <x v="0"/>
    <n v="135910838031"/>
    <n v="4384.3500000000004"/>
    <n v="22432887.469999999"/>
    <x v="0"/>
    <m/>
    <m/>
    <n v="0"/>
    <n v="-45"/>
    <n v="-43.65"/>
    <n v="-27"/>
    <n v="4500"/>
  </r>
  <r>
    <x v="3"/>
    <x v="0"/>
    <n v="135910964657"/>
    <n v="85933.26"/>
    <n v="22518820.73"/>
    <x v="0"/>
    <m/>
    <m/>
    <n v="0"/>
    <n v="-882"/>
    <n v="-855.54"/>
    <n v="-529.20000000000005"/>
    <n v="88199.999999999985"/>
  </r>
  <r>
    <x v="3"/>
    <x v="0"/>
    <n v="135911102295"/>
    <n v="67546.05"/>
    <n v="22586366.780000001"/>
    <x v="0"/>
    <m/>
    <m/>
    <n v="0"/>
    <n v="-715"/>
    <n v="-2809.95"/>
    <n v="-429"/>
    <n v="71500"/>
  </r>
  <r>
    <x v="3"/>
    <x v="0"/>
    <n v="135911230541"/>
    <n v="47140.53"/>
    <n v="22633507.309999999"/>
    <x v="0"/>
    <m/>
    <m/>
    <n v="0"/>
    <n v="-499"/>
    <n v="-1961.07"/>
    <n v="-299.39999999999998"/>
    <n v="49900"/>
  </r>
  <r>
    <x v="3"/>
    <x v="0"/>
    <n v="136534523898"/>
    <n v="15393.94"/>
    <n v="22648901.25"/>
    <x v="0"/>
    <m/>
    <m/>
    <n v="0"/>
    <n v="-158"/>
    <n v="-153.26"/>
    <n v="-94.8"/>
    <n v="15800"/>
  </r>
  <r>
    <x v="3"/>
    <x v="0"/>
    <n v="136535032914"/>
    <n v="4774.07"/>
    <n v="22653675.32"/>
    <x v="0"/>
    <m/>
    <m/>
    <n v="0"/>
    <n v="-49"/>
    <n v="-47.53"/>
    <n v="-29.4"/>
    <n v="4899.9999999999991"/>
  </r>
  <r>
    <x v="3"/>
    <x v="0"/>
    <n v="136535221070"/>
    <n v="62160.34"/>
    <n v="22715835.66"/>
    <x v="0"/>
    <m/>
    <m/>
    <n v="0"/>
    <n v="-638"/>
    <n v="-618.86"/>
    <n v="-382.8"/>
    <n v="63800"/>
  </r>
  <r>
    <x v="3"/>
    <x v="0"/>
    <n v="136535378680"/>
    <n v="43940.93"/>
    <n v="22759776.59"/>
    <x v="0"/>
    <m/>
    <m/>
    <n v="0"/>
    <n v="-451"/>
    <n v="-437.47"/>
    <n v="-270.60000000000002"/>
    <n v="45100"/>
  </r>
  <r>
    <x v="3"/>
    <x v="0"/>
    <n v="136537920028"/>
    <n v="19096.28"/>
    <n v="22778872.870000001"/>
    <x v="0"/>
    <m/>
    <m/>
    <n v="0"/>
    <n v="-196"/>
    <n v="-190.12"/>
    <n v="-117.6"/>
    <n v="19599.999999999996"/>
  </r>
  <r>
    <x v="3"/>
    <x v="0"/>
    <n v="135915566345"/>
    <n v="23480.63"/>
    <n v="22802353.5"/>
    <x v="0"/>
    <m/>
    <m/>
    <n v="0"/>
    <n v="-241"/>
    <n v="-233.77"/>
    <n v="-144.6"/>
    <n v="24100"/>
  </r>
  <r>
    <x v="3"/>
    <x v="0"/>
    <n v="135916127391"/>
    <n v="39946.300000000003"/>
    <n v="22842299.800000001"/>
    <x v="0"/>
    <m/>
    <m/>
    <n v="0"/>
    <n v="-410"/>
    <n v="-397.7"/>
    <n v="-246"/>
    <n v="41000"/>
  </r>
  <r>
    <x v="3"/>
    <x v="0"/>
    <n v="136539211002"/>
    <n v="8525.1200000000008"/>
    <n v="22850824.920000002"/>
    <x v="0"/>
    <m/>
    <m/>
    <n v="0"/>
    <n v="-87.5"/>
    <n v="-84.88"/>
    <n v="-52.5"/>
    <n v="8750"/>
  </r>
  <r>
    <x v="3"/>
    <x v="14"/>
    <n v="136582518616"/>
    <n v="63145.5"/>
    <n v="22913970.420000002"/>
    <x v="0"/>
    <m/>
    <m/>
    <n v="-967.5"/>
    <n v="0"/>
    <n v="0"/>
    <n v="-387"/>
    <n v="64500"/>
  </r>
  <r>
    <x v="3"/>
    <x v="0"/>
    <n v="136675013138"/>
    <n v="4092.06"/>
    <n v="22918062.48"/>
    <x v="0"/>
    <m/>
    <m/>
    <n v="0"/>
    <n v="-42"/>
    <n v="-40.74"/>
    <n v="-25.2"/>
    <n v="4199.9999999999991"/>
  </r>
  <r>
    <x v="3"/>
    <x v="15"/>
    <n v="136051543027"/>
    <n v="205.59"/>
    <n v="22918268.07"/>
    <x v="0"/>
    <m/>
    <m/>
    <n v="-3.15"/>
    <n v="0"/>
    <n v="0"/>
    <n v="-1.26"/>
    <n v="210"/>
  </r>
  <r>
    <x v="3"/>
    <x v="0"/>
    <n v="136052254573"/>
    <n v="4534.5600000000004"/>
    <n v="22922802.629999999"/>
    <x v="0"/>
    <m/>
    <m/>
    <n v="0"/>
    <n v="-48"/>
    <n v="-188.64"/>
    <n v="-28.8"/>
    <n v="4800.0000000000009"/>
  </r>
  <r>
    <x v="3"/>
    <x v="0"/>
    <n v="136676483834"/>
    <n v="23969"/>
    <n v="22946771.629999999"/>
    <x v="0"/>
    <m/>
    <m/>
    <n v="0"/>
    <n v="-275"/>
    <n v="-3091"/>
    <n v="-165"/>
    <n v="27500"/>
  </r>
  <r>
    <x v="3"/>
    <x v="0"/>
    <n v="136676932768"/>
    <n v="15870.96"/>
    <n v="22962642.59"/>
    <x v="0"/>
    <m/>
    <m/>
    <n v="0"/>
    <n v="-168"/>
    <n v="-660.24"/>
    <n v="-100.8"/>
    <n v="16800"/>
  </r>
  <r>
    <x v="3"/>
    <x v="0"/>
    <n v="136677967596"/>
    <n v="15296.51"/>
    <n v="22977939.100000001"/>
    <x v="0"/>
    <m/>
    <m/>
    <n v="0"/>
    <n v="-157"/>
    <n v="-152.29"/>
    <n v="-94.2"/>
    <n v="15700.000000000002"/>
  </r>
  <r>
    <x v="3"/>
    <x v="0"/>
    <n v="136058124483"/>
    <n v="8715.84"/>
    <n v="22986654.940000001"/>
    <x v="0"/>
    <m/>
    <m/>
    <n v="0"/>
    <n v="-96"/>
    <n v="-730.56"/>
    <n v="-57.6"/>
    <n v="9600"/>
  </r>
  <r>
    <x v="3"/>
    <x v="0"/>
    <n v="136684362466"/>
    <n v="26793.25"/>
    <n v="23013448.190000001"/>
    <x v="0"/>
    <m/>
    <m/>
    <n v="0"/>
    <n v="-275"/>
    <n v="-266.75"/>
    <n v="-165"/>
    <n v="27500"/>
  </r>
  <r>
    <x v="3"/>
    <x v="16"/>
    <n v="136684356570"/>
    <n v="1346.12"/>
    <n v="23014794.309999999"/>
    <x v="0"/>
    <m/>
    <m/>
    <n v="-20.63"/>
    <n v="0"/>
    <n v="0"/>
    <n v="-8.25"/>
    <n v="1375"/>
  </r>
  <r>
    <x v="3"/>
    <x v="0"/>
    <n v="136684524618"/>
    <n v="4629.03"/>
    <n v="23019423.34"/>
    <x v="0"/>
    <m/>
    <m/>
    <n v="0"/>
    <n v="-49"/>
    <n v="-192.57"/>
    <n v="-29.4"/>
    <n v="4899.9999999999991"/>
  </r>
  <r>
    <x v="3"/>
    <x v="0"/>
    <n v="136686063362"/>
    <n v="9548.14"/>
    <n v="23028971.48"/>
    <x v="0"/>
    <m/>
    <m/>
    <n v="0"/>
    <n v="-98"/>
    <n v="-95.06"/>
    <n v="-58.8"/>
    <n v="9799.9999999999982"/>
  </r>
  <r>
    <x v="3"/>
    <x v="0"/>
    <n v="136689125144"/>
    <n v="8768.7000000000007"/>
    <n v="23037740.18"/>
    <x v="0"/>
    <m/>
    <m/>
    <n v="0"/>
    <n v="-90"/>
    <n v="-87.3"/>
    <n v="-54"/>
    <n v="9000"/>
  </r>
  <r>
    <x v="3"/>
    <x v="0"/>
    <n v="136689207772"/>
    <n v="42889.38"/>
    <n v="23080629.559999999"/>
    <x v="0"/>
    <m/>
    <m/>
    <n v="0"/>
    <n v="-454"/>
    <n v="-1784.22"/>
    <n v="-272.39999999999998"/>
    <n v="45400"/>
  </r>
  <r>
    <x v="3"/>
    <x v="0"/>
    <n v="136690556608"/>
    <n v="16012.66"/>
    <n v="23096642.219999999"/>
    <x v="0"/>
    <m/>
    <m/>
    <n v="0"/>
    <n v="-169.5"/>
    <n v="-666.14"/>
    <n v="-101.7"/>
    <n v="16950"/>
  </r>
  <r>
    <x v="3"/>
    <x v="0"/>
    <n v="136067110391"/>
    <n v="18657.82"/>
    <n v="23115300.039999999"/>
    <x v="0"/>
    <m/>
    <m/>
    <n v="0"/>
    <n v="-197.5"/>
    <n v="-776.18"/>
    <n v="-118.5"/>
    <n v="19750"/>
  </r>
  <r>
    <x v="3"/>
    <x v="0"/>
    <n v="136691246728"/>
    <n v="50176.45"/>
    <n v="23165476.489999998"/>
    <x v="0"/>
    <m/>
    <m/>
    <n v="0"/>
    <n v="-515"/>
    <n v="-499.55"/>
    <n v="-309"/>
    <n v="51500"/>
  </r>
  <r>
    <x v="3"/>
    <x v="0"/>
    <n v="136067944241"/>
    <n v="13164.55"/>
    <n v="23178641.039999999"/>
    <x v="0"/>
    <m/>
    <m/>
    <n v="0"/>
    <n v="-145"/>
    <n v="-1103.45"/>
    <n v="-87"/>
    <n v="14500"/>
  </r>
  <r>
    <x v="3"/>
    <x v="0"/>
    <n v="136693286622"/>
    <n v="4774.07"/>
    <n v="23183415.109999999"/>
    <x v="0"/>
    <m/>
    <m/>
    <n v="0"/>
    <n v="-49"/>
    <n v="-47.53"/>
    <n v="-29.4"/>
    <n v="4899.9999999999991"/>
  </r>
  <r>
    <x v="3"/>
    <x v="0"/>
    <n v="136072576761"/>
    <n v="25136.94"/>
    <n v="23208552.050000001"/>
    <x v="0"/>
    <m/>
    <m/>
    <n v="0"/>
    <n v="-258"/>
    <n v="-250.26"/>
    <n v="-154.80000000000001"/>
    <n v="25799.999999999996"/>
  </r>
  <r>
    <x v="3"/>
    <x v="0"/>
    <n v="136697737900"/>
    <n v="29716.15"/>
    <n v="23238268.199999999"/>
    <x v="0"/>
    <m/>
    <m/>
    <n v="0"/>
    <n v="-305"/>
    <n v="-295.85000000000002"/>
    <n v="-183"/>
    <n v="30500"/>
  </r>
  <r>
    <x v="3"/>
    <x v="0"/>
    <n v="136075632673"/>
    <n v="63621.79"/>
    <n v="23301889.989999998"/>
    <x v="0"/>
    <m/>
    <m/>
    <n v="0"/>
    <n v="-653"/>
    <n v="-633.41"/>
    <n v="-391.8"/>
    <n v="65300.000000000007"/>
  </r>
  <r>
    <x v="3"/>
    <x v="0"/>
    <n v="136699638344"/>
    <n v="57386.27"/>
    <n v="23359276.260000002"/>
    <x v="0"/>
    <m/>
    <m/>
    <n v="0"/>
    <n v="-589"/>
    <n v="-571.33000000000004"/>
    <n v="-353.4"/>
    <n v="58900"/>
  </r>
  <r>
    <x v="3"/>
    <x v="0"/>
    <n v="136076832363"/>
    <n v="31762.18"/>
    <n v="23391038.440000001"/>
    <x v="0"/>
    <m/>
    <m/>
    <n v="0"/>
    <n v="-326"/>
    <n v="-316.22000000000003"/>
    <n v="-195.6"/>
    <n v="32600"/>
  </r>
  <r>
    <x v="4"/>
    <x v="0"/>
    <n v="136078016419"/>
    <n v="39361.72"/>
    <n v="23430400.16"/>
    <x v="0"/>
    <m/>
    <m/>
    <n v="0"/>
    <n v="-404"/>
    <n v="-391.88"/>
    <n v="-242.4"/>
    <n v="40400"/>
  </r>
  <r>
    <x v="4"/>
    <x v="0"/>
    <n v="136078826713"/>
    <n v="37315.69"/>
    <n v="23467715.850000001"/>
    <x v="0"/>
    <m/>
    <m/>
    <n v="0"/>
    <n v="-383"/>
    <n v="-371.51"/>
    <n v="-229.8"/>
    <n v="38300.000000000007"/>
  </r>
  <r>
    <x v="4"/>
    <x v="0"/>
    <n v="136703140262"/>
    <n v="57191.41"/>
    <n v="23524907.260000002"/>
    <x v="0"/>
    <m/>
    <m/>
    <n v="0"/>
    <n v="-587"/>
    <n v="-569.39"/>
    <n v="-352.2"/>
    <n v="58700"/>
  </r>
  <r>
    <x v="4"/>
    <x v="17"/>
    <n v="136079648859"/>
    <n v="2873.36"/>
    <n v="23527780.620000001"/>
    <x v="0"/>
    <m/>
    <m/>
    <n v="-44.03"/>
    <n v="0"/>
    <n v="0"/>
    <n v="-17.61"/>
    <n v="2935.0000000000005"/>
  </r>
  <r>
    <x v="4"/>
    <x v="0"/>
    <n v="136703920262"/>
    <n v="42576.91"/>
    <n v="23570357.530000001"/>
    <x v="0"/>
    <m/>
    <m/>
    <n v="0"/>
    <n v="-437"/>
    <n v="-423.89"/>
    <n v="-262.2"/>
    <n v="43700"/>
  </r>
  <r>
    <x v="4"/>
    <x v="0"/>
    <n v="136704187344"/>
    <n v="21546"/>
    <n v="23591903.530000001"/>
    <x v="0"/>
    <m/>
    <m/>
    <n v="0"/>
    <n v="-225"/>
    <n v="-1712.25"/>
    <n v="-141.75"/>
    <n v="23625"/>
  </r>
  <r>
    <x v="4"/>
    <x v="0"/>
    <n v="136080717447"/>
    <n v="13445.34"/>
    <n v="23605348.870000001"/>
    <x v="0"/>
    <m/>
    <m/>
    <n v="0"/>
    <n v="-138"/>
    <n v="-133.86000000000001"/>
    <n v="-82.8"/>
    <n v="13800"/>
  </r>
  <r>
    <x v="4"/>
    <x v="0"/>
    <n v="136082008275"/>
    <n v="25234.37"/>
    <n v="23630583.239999998"/>
    <x v="0"/>
    <m/>
    <m/>
    <n v="0"/>
    <n v="-259"/>
    <n v="-251.23"/>
    <n v="-155.4"/>
    <n v="25900"/>
  </r>
  <r>
    <x v="4"/>
    <x v="0"/>
    <n v="136082556343"/>
    <n v="13131.33"/>
    <n v="23643714.57"/>
    <x v="0"/>
    <m/>
    <m/>
    <n v="0"/>
    <n v="-139"/>
    <n v="-546.27"/>
    <n v="-83.4"/>
    <n v="13900"/>
  </r>
  <r>
    <x v="4"/>
    <x v="0"/>
    <n v="136706179074"/>
    <n v="93825.09"/>
    <n v="23737539.66"/>
    <x v="0"/>
    <m/>
    <m/>
    <n v="0"/>
    <n v="-963"/>
    <n v="-934.11"/>
    <n v="-577.79999999999995"/>
    <n v="96300"/>
  </r>
  <r>
    <x v="4"/>
    <x v="0"/>
    <n v="136706567546"/>
    <n v="18998.849999999999"/>
    <n v="23756538.510000002"/>
    <x v="0"/>
    <m/>
    <m/>
    <n v="0"/>
    <n v="-195"/>
    <n v="-189.15"/>
    <n v="-117"/>
    <n v="19500"/>
  </r>
  <r>
    <x v="4"/>
    <x v="0"/>
    <n v="136706595996"/>
    <n v="83497.509999999995"/>
    <n v="23840036.02"/>
    <x v="0"/>
    <m/>
    <m/>
    <n v="0"/>
    <n v="-857"/>
    <n v="-831.29"/>
    <n v="-514.20000000000005"/>
    <n v="85699.999999999985"/>
  </r>
  <r>
    <x v="4"/>
    <x v="0"/>
    <n v="136083238703"/>
    <n v="45304.95"/>
    <n v="23885340.969999999"/>
    <x v="0"/>
    <m/>
    <m/>
    <n v="0"/>
    <n v="-465"/>
    <n v="-451.05"/>
    <n v="-279"/>
    <n v="46500"/>
  </r>
  <r>
    <x v="4"/>
    <x v="0"/>
    <n v="136707102110"/>
    <n v="19778.29"/>
    <n v="23905119.260000002"/>
    <x v="0"/>
    <m/>
    <m/>
    <n v="0"/>
    <n v="-203"/>
    <n v="-196.91"/>
    <n v="-121.8"/>
    <n v="20300"/>
  </r>
  <r>
    <x v="4"/>
    <x v="0"/>
    <n v="136707233790"/>
    <n v="47740.7"/>
    <n v="23952859.960000001"/>
    <x v="0"/>
    <m/>
    <m/>
    <n v="0"/>
    <n v="-490"/>
    <n v="-475.3"/>
    <n v="-294"/>
    <n v="49000"/>
  </r>
  <r>
    <x v="4"/>
    <x v="10"/>
    <n v="136083759929"/>
    <n v="4797.1000000000004"/>
    <n v="23957657.059999999"/>
    <x v="0"/>
    <m/>
    <m/>
    <n v="-73.5"/>
    <n v="0"/>
    <n v="0"/>
    <n v="-29.4"/>
    <n v="4900"/>
  </r>
  <r>
    <x v="4"/>
    <x v="0"/>
    <n v="136707892144"/>
    <n v="53001.919999999998"/>
    <n v="24010658.98"/>
    <x v="0"/>
    <m/>
    <m/>
    <n v="0"/>
    <n v="-544"/>
    <n v="-527.67999999999995"/>
    <n v="-326.39999999999998"/>
    <n v="54400"/>
  </r>
  <r>
    <x v="4"/>
    <x v="0"/>
    <n v="136708150316"/>
    <n v="16075.95"/>
    <n v="24026734.93"/>
    <x v="0"/>
    <m/>
    <m/>
    <n v="0"/>
    <n v="-165"/>
    <n v="-160.05000000000001"/>
    <n v="-99"/>
    <n v="16500"/>
  </r>
  <r>
    <x v="4"/>
    <x v="0"/>
    <n v="136708166040"/>
    <n v="13547.8"/>
    <n v="24040282.73"/>
    <x v="0"/>
    <m/>
    <m/>
    <n v="0"/>
    <n v="-140"/>
    <n v="-228.2"/>
    <n v="-84"/>
    <n v="14000"/>
  </r>
  <r>
    <x v="4"/>
    <x v="0"/>
    <n v="136085098461"/>
    <n v="58068.28"/>
    <n v="24098351.010000002"/>
    <x v="0"/>
    <m/>
    <m/>
    <n v="0"/>
    <n v="-596"/>
    <n v="-578.12"/>
    <n v="-357.6"/>
    <n v="59600"/>
  </r>
  <r>
    <x v="4"/>
    <x v="0"/>
    <n v="136085255891"/>
    <n v="8313.36"/>
    <n v="24106664.370000001"/>
    <x v="0"/>
    <m/>
    <m/>
    <n v="0"/>
    <n v="-88"/>
    <n v="-345.84"/>
    <n v="-52.8"/>
    <n v="8800"/>
  </r>
  <r>
    <x v="4"/>
    <x v="0"/>
    <n v="136709093234"/>
    <n v="30398.16"/>
    <n v="24137062.530000001"/>
    <x v="0"/>
    <m/>
    <m/>
    <n v="0"/>
    <n v="-312"/>
    <n v="-302.64"/>
    <n v="-187.2"/>
    <n v="31200"/>
  </r>
  <r>
    <x v="4"/>
    <x v="18"/>
    <n v="136085501779"/>
    <n v="1527.24"/>
    <n v="24138589.77"/>
    <x v="0"/>
    <m/>
    <m/>
    <n v="-23.4"/>
    <n v="0"/>
    <n v="0"/>
    <n v="-9.36"/>
    <n v="1560"/>
  </r>
  <r>
    <x v="4"/>
    <x v="0"/>
    <n v="136709325646"/>
    <n v="17537.400000000001"/>
    <n v="24156127.170000002"/>
    <x v="0"/>
    <m/>
    <m/>
    <n v="0"/>
    <n v="-180"/>
    <n v="-174.6"/>
    <n v="-108"/>
    <n v="18000"/>
  </r>
  <r>
    <x v="4"/>
    <x v="0"/>
    <n v="136709365352"/>
    <n v="59237.440000000002"/>
    <n v="24215364.609999999"/>
    <x v="0"/>
    <m/>
    <m/>
    <n v="0"/>
    <n v="-608"/>
    <n v="-589.76"/>
    <n v="-364.8"/>
    <n v="60800.000000000007"/>
  </r>
  <r>
    <x v="4"/>
    <x v="19"/>
    <n v="136709402958"/>
    <n v="2976.16"/>
    <n v="24218340.77"/>
    <x v="0"/>
    <m/>
    <m/>
    <n v="-45.6"/>
    <n v="0"/>
    <n v="0"/>
    <n v="-18.239999999999998"/>
    <n v="3039.9999999999995"/>
  </r>
  <r>
    <x v="4"/>
    <x v="0"/>
    <n v="136086050167"/>
    <n v="10619.87"/>
    <n v="24228960.640000001"/>
    <x v="0"/>
    <m/>
    <m/>
    <n v="0"/>
    <n v="-109"/>
    <n v="-105.73"/>
    <n v="-65.400000000000006"/>
    <n v="10900"/>
  </r>
  <r>
    <x v="4"/>
    <x v="0"/>
    <n v="136086178973"/>
    <n v="22896.05"/>
    <n v="24251856.690000001"/>
    <x v="0"/>
    <m/>
    <m/>
    <n v="0"/>
    <n v="-235"/>
    <n v="-227.95"/>
    <n v="-141"/>
    <n v="23500"/>
  </r>
  <r>
    <x v="4"/>
    <x v="20"/>
    <n v="136154630259"/>
    <n v="-30763.360000000001"/>
    <n v="24221093.329999998"/>
    <x v="2"/>
    <n v="-30579.880715705767"/>
    <m/>
    <n v="0"/>
    <n v="0"/>
    <n v="0"/>
    <n v="-183.47928429423337"/>
    <n v="-30579.880715705767"/>
  </r>
  <r>
    <x v="4"/>
    <x v="0"/>
    <n v="136182589345"/>
    <n v="14.17"/>
    <n v="24221107.5"/>
    <x v="0"/>
    <m/>
    <m/>
    <n v="0"/>
    <n v="-0.15"/>
    <n v="-0.59"/>
    <n v="-0.09"/>
    <n v="15"/>
  </r>
  <r>
    <x v="4"/>
    <x v="21"/>
    <n v="136182589345"/>
    <n v="-14.17"/>
    <n v="24221093.329999998"/>
    <x v="0"/>
    <m/>
    <m/>
    <n v="0"/>
    <n v="0.14000000000000001"/>
    <n v="0.59"/>
    <n v="0.09"/>
    <n v="-14.99"/>
  </r>
  <r>
    <x v="4"/>
    <x v="0"/>
    <n v="136818536256"/>
    <n v="7935.48"/>
    <n v="24229028.809999999"/>
    <x v="0"/>
    <m/>
    <m/>
    <n v="0"/>
    <n v="-84"/>
    <n v="-330.12"/>
    <n v="-50.4"/>
    <n v="8400"/>
  </r>
  <r>
    <x v="4"/>
    <x v="0"/>
    <n v="136197610809"/>
    <n v="9353.2800000000007"/>
    <n v="24238382.09"/>
    <x v="0"/>
    <m/>
    <m/>
    <n v="0"/>
    <n v="-96"/>
    <n v="-93.12"/>
    <n v="-57.6"/>
    <n v="9600.0000000000018"/>
  </r>
  <r>
    <x v="4"/>
    <x v="0"/>
    <n v="136199301371"/>
    <n v="12081.32"/>
    <n v="24250463.41"/>
    <x v="0"/>
    <m/>
    <m/>
    <n v="0"/>
    <n v="-124"/>
    <n v="-120.28"/>
    <n v="-74.400000000000006"/>
    <n v="12400"/>
  </r>
  <r>
    <x v="4"/>
    <x v="0"/>
    <n v="136825810056"/>
    <n v="13225.8"/>
    <n v="24263689.210000001"/>
    <x v="0"/>
    <m/>
    <m/>
    <n v="0"/>
    <n v="-140"/>
    <n v="-550.20000000000005"/>
    <n v="-84"/>
    <n v="14000"/>
  </r>
  <r>
    <x v="4"/>
    <x v="0"/>
    <n v="136203880503"/>
    <n v="22483.86"/>
    <n v="24286173.07"/>
    <x v="0"/>
    <m/>
    <m/>
    <n v="0"/>
    <n v="-238"/>
    <n v="-935.34"/>
    <n v="-142.80000000000001"/>
    <n v="23800"/>
  </r>
  <r>
    <x v="4"/>
    <x v="0"/>
    <n v="136204861051"/>
    <n v="19778.29"/>
    <n v="24305951.359999999"/>
    <x v="0"/>
    <m/>
    <m/>
    <n v="0"/>
    <n v="-203"/>
    <n v="-196.91"/>
    <n v="-121.8"/>
    <n v="20300"/>
  </r>
  <r>
    <x v="4"/>
    <x v="22"/>
    <n v="136829205946"/>
    <n v="993.68"/>
    <n v="24306945.039999999"/>
    <x v="0"/>
    <m/>
    <m/>
    <n v="-15.23"/>
    <n v="0"/>
    <n v="0"/>
    <n v="-6.09"/>
    <n v="1015"/>
  </r>
  <r>
    <x v="4"/>
    <x v="0"/>
    <n v="136206758325"/>
    <n v="71905.679999999993"/>
    <n v="24378850.719999999"/>
    <x v="0"/>
    <m/>
    <m/>
    <n v="0"/>
    <n v="-792"/>
    <n v="-6027.12"/>
    <n v="-475.2"/>
    <n v="79199.999999999985"/>
  </r>
  <r>
    <x v="4"/>
    <x v="0"/>
    <n v="136206659707"/>
    <n v="34879.94"/>
    <n v="24413730.66"/>
    <x v="0"/>
    <m/>
    <m/>
    <n v="0"/>
    <n v="-358"/>
    <n v="-347.26"/>
    <n v="-214.8"/>
    <n v="35800.000000000007"/>
  </r>
  <r>
    <x v="4"/>
    <x v="0"/>
    <n v="136830857486"/>
    <n v="9548.14"/>
    <n v="24423278.800000001"/>
    <x v="0"/>
    <m/>
    <m/>
    <n v="0"/>
    <n v="-98"/>
    <n v="-95.06"/>
    <n v="-58.8"/>
    <n v="9799.9999999999982"/>
  </r>
  <r>
    <x v="4"/>
    <x v="0"/>
    <n v="136831622152"/>
    <n v="31536.959999999999"/>
    <n v="24454815.760000002"/>
    <x v="0"/>
    <m/>
    <m/>
    <n v="0"/>
    <n v="-336"/>
    <n v="-1525.44"/>
    <n v="-201.6"/>
    <n v="33600"/>
  </r>
  <r>
    <x v="4"/>
    <x v="0"/>
    <n v="136832417604"/>
    <n v="9258.06"/>
    <n v="24464073.82"/>
    <x v="0"/>
    <m/>
    <m/>
    <n v="0"/>
    <n v="-98"/>
    <n v="-385.14"/>
    <n v="-58.8"/>
    <n v="9799.9999999999982"/>
  </r>
  <r>
    <x v="4"/>
    <x v="0"/>
    <n v="136832854604"/>
    <n v="41672.61"/>
    <n v="24505746.43"/>
    <x v="0"/>
    <m/>
    <m/>
    <n v="0"/>
    <n v="-459"/>
    <n v="-3492.99"/>
    <n v="-275.39999999999998"/>
    <n v="45900"/>
  </r>
  <r>
    <x v="4"/>
    <x v="0"/>
    <n v="136833574628"/>
    <n v="15776.49"/>
    <n v="24521522.920000002"/>
    <x v="0"/>
    <m/>
    <m/>
    <n v="0"/>
    <n v="-167"/>
    <n v="-656.31"/>
    <n v="-100.2"/>
    <n v="16700"/>
  </r>
  <r>
    <x v="4"/>
    <x v="0"/>
    <n v="136834634474"/>
    <n v="55242.81"/>
    <n v="24576765.73"/>
    <x v="0"/>
    <m/>
    <m/>
    <n v="0"/>
    <n v="-567"/>
    <n v="-549.99"/>
    <n v="-340.2"/>
    <n v="56699.999999999993"/>
  </r>
  <r>
    <x v="4"/>
    <x v="23"/>
    <n v="136210105119"/>
    <n v="5550.93"/>
    <n v="24582316.66"/>
    <x v="0"/>
    <m/>
    <m/>
    <n v="-85.05"/>
    <n v="0"/>
    <n v="0"/>
    <n v="-34.020000000000003"/>
    <n v="5670.0000000000009"/>
  </r>
  <r>
    <x v="4"/>
    <x v="0"/>
    <n v="136210130003"/>
    <n v="9010.56"/>
    <n v="24591327.219999999"/>
    <x v="0"/>
    <m/>
    <m/>
    <n v="0"/>
    <n v="-96"/>
    <n v="-435.84"/>
    <n v="-57.6"/>
    <n v="9600"/>
  </r>
  <r>
    <x v="4"/>
    <x v="0"/>
    <n v="136834993162"/>
    <n v="28059.84"/>
    <n v="24619387.059999999"/>
    <x v="0"/>
    <m/>
    <m/>
    <n v="0"/>
    <n v="-288"/>
    <n v="-279.36"/>
    <n v="-172.8"/>
    <n v="28800"/>
  </r>
  <r>
    <x v="4"/>
    <x v="0"/>
    <n v="136211684499"/>
    <n v="7935.48"/>
    <n v="24627322.539999999"/>
    <x v="0"/>
    <m/>
    <m/>
    <n v="0"/>
    <n v="-84"/>
    <n v="-330.12"/>
    <n v="-50.4"/>
    <n v="8400"/>
  </r>
  <r>
    <x v="4"/>
    <x v="0"/>
    <n v="136213897005"/>
    <n v="27864.98"/>
    <n v="24655187.52"/>
    <x v="0"/>
    <m/>
    <m/>
    <n v="0"/>
    <n v="-286"/>
    <n v="-277.42"/>
    <n v="-171.6"/>
    <n v="28599.999999999996"/>
  </r>
  <r>
    <x v="4"/>
    <x v="0"/>
    <n v="136838943248"/>
    <n v="53781.36"/>
    <n v="24708968.879999999"/>
    <x v="0"/>
    <m/>
    <m/>
    <n v="0"/>
    <n v="-552"/>
    <n v="-535.44000000000005"/>
    <n v="-331.2"/>
    <n v="55200"/>
  </r>
  <r>
    <x v="4"/>
    <x v="0"/>
    <n v="136215527717"/>
    <n v="9548.14"/>
    <n v="24718517.02"/>
    <x v="0"/>
    <m/>
    <m/>
    <n v="0"/>
    <n v="-98"/>
    <n v="-95.06"/>
    <n v="-58.8"/>
    <n v="9799.9999999999982"/>
  </r>
  <r>
    <x v="4"/>
    <x v="0"/>
    <n v="136216655895"/>
    <n v="72975.070000000007"/>
    <n v="24791492.09"/>
    <x v="0"/>
    <m/>
    <m/>
    <n v="0"/>
    <n v="-749"/>
    <n v="-726.53"/>
    <n v="-449.4"/>
    <n v="74900"/>
  </r>
  <r>
    <x v="4"/>
    <x v="0"/>
    <n v="136841338408"/>
    <n v="27600.16"/>
    <n v="24819092.25"/>
    <x v="0"/>
    <m/>
    <m/>
    <n v="0"/>
    <n v="-304"/>
    <n v="-2313.44"/>
    <n v="-182.4"/>
    <n v="30400"/>
  </r>
  <r>
    <x v="4"/>
    <x v="0"/>
    <n v="136842377166"/>
    <n v="44720.37"/>
    <n v="24863812.620000001"/>
    <x v="0"/>
    <m/>
    <m/>
    <n v="0"/>
    <n v="-459"/>
    <n v="-445.23"/>
    <n v="-275.39999999999998"/>
    <n v="45900.000000000007"/>
  </r>
  <r>
    <x v="4"/>
    <x v="0"/>
    <n v="136218123829"/>
    <n v="32139.66"/>
    <n v="24895952.280000001"/>
    <x v="0"/>
    <m/>
    <m/>
    <n v="0"/>
    <n v="-354"/>
    <n v="-2693.94"/>
    <n v="-212.4"/>
    <n v="35400"/>
  </r>
  <r>
    <x v="4"/>
    <x v="0"/>
    <n v="136218385685"/>
    <n v="11169.34"/>
    <n v="24907121.620000001"/>
    <x v="0"/>
    <m/>
    <m/>
    <n v="0"/>
    <n v="-119"/>
    <n v="-540.26"/>
    <n v="-71.400000000000006"/>
    <n v="11900"/>
  </r>
  <r>
    <x v="4"/>
    <x v="0"/>
    <n v="136219156717"/>
    <n v="30105.87"/>
    <n v="24937227.489999998"/>
    <x v="0"/>
    <m/>
    <m/>
    <n v="0"/>
    <n v="-309"/>
    <n v="-299.73"/>
    <n v="-185.4"/>
    <n v="30900"/>
  </r>
  <r>
    <x v="4"/>
    <x v="24"/>
    <n v="136843283090"/>
    <n v="3025.11"/>
    <n v="24940252.600000001"/>
    <x v="0"/>
    <m/>
    <m/>
    <n v="-46.35"/>
    <n v="0"/>
    <n v="0"/>
    <n v="-18.54"/>
    <n v="3090"/>
  </r>
  <r>
    <x v="4"/>
    <x v="0"/>
    <n v="136219694583"/>
    <n v="13445.34"/>
    <n v="24953697.940000001"/>
    <x v="0"/>
    <m/>
    <m/>
    <n v="0"/>
    <n v="-138"/>
    <n v="-133.86000000000001"/>
    <n v="-82.8"/>
    <n v="13800"/>
  </r>
  <r>
    <x v="4"/>
    <x v="0"/>
    <n v="136219721357"/>
    <n v="46181.82"/>
    <n v="24999879.760000002"/>
    <x v="0"/>
    <m/>
    <m/>
    <n v="0"/>
    <n v="-474"/>
    <n v="-459.78"/>
    <n v="-284.39999999999998"/>
    <n v="47400"/>
  </r>
  <r>
    <x v="5"/>
    <x v="0"/>
    <n v="136220079091"/>
    <n v="39459.15"/>
    <n v="25039338.91"/>
    <x v="0"/>
    <m/>
    <m/>
    <n v="0"/>
    <n v="-405"/>
    <n v="-392.85"/>
    <n v="-243"/>
    <n v="40500"/>
  </r>
  <r>
    <x v="5"/>
    <x v="0"/>
    <n v="136220272599"/>
    <n v="74158.95"/>
    <n v="25113497.859999999"/>
    <x v="0"/>
    <m/>
    <m/>
    <n v="0"/>
    <n v="-785"/>
    <n v="-3085.05"/>
    <n v="-471"/>
    <n v="78500"/>
  </r>
  <r>
    <x v="5"/>
    <x v="0"/>
    <n v="136220557227"/>
    <n v="39556.58"/>
    <n v="25153054.440000001"/>
    <x v="0"/>
    <m/>
    <m/>
    <n v="0"/>
    <n v="-406"/>
    <n v="-393.82"/>
    <n v="-243.6"/>
    <n v="40600"/>
  </r>
  <r>
    <x v="5"/>
    <x v="0"/>
    <n v="136220730559"/>
    <n v="65667.820000000007"/>
    <n v="25218722.260000002"/>
    <x v="0"/>
    <m/>
    <m/>
    <n v="0"/>
    <n v="-674"/>
    <n v="-653.78"/>
    <n v="-404.4"/>
    <n v="67400"/>
  </r>
  <r>
    <x v="5"/>
    <x v="25"/>
    <n v="136220625165"/>
    <n v="3299.23"/>
    <n v="25222021.489999998"/>
    <x v="0"/>
    <m/>
    <m/>
    <n v="-50.55"/>
    <n v="0"/>
    <n v="0"/>
    <n v="-20.22"/>
    <n v="3370"/>
  </r>
  <r>
    <x v="5"/>
    <x v="0"/>
    <n v="136220865009"/>
    <n v="104995.45"/>
    <n v="25327016.940000001"/>
    <x v="0"/>
    <m/>
    <m/>
    <n v="0"/>
    <n v="-1085"/>
    <n v="-1768.55"/>
    <n v="-651"/>
    <n v="108500"/>
  </r>
  <r>
    <x v="5"/>
    <x v="0"/>
    <n v="136220881265"/>
    <n v="4774.07"/>
    <n v="25331791.010000002"/>
    <x v="0"/>
    <m/>
    <m/>
    <n v="0"/>
    <n v="-49"/>
    <n v="-47.53"/>
    <n v="-29.4"/>
    <n v="4899.9999999999991"/>
  </r>
  <r>
    <x v="5"/>
    <x v="26"/>
    <n v="136845098224"/>
    <n v="479.71"/>
    <n v="25332270.719999999"/>
    <x v="0"/>
    <m/>
    <m/>
    <n v="-7.35"/>
    <n v="0"/>
    <n v="0"/>
    <n v="-2.94"/>
    <n v="490"/>
  </r>
  <r>
    <x v="5"/>
    <x v="0"/>
    <n v="136221145509"/>
    <n v="38192.559999999998"/>
    <n v="25370463.280000001"/>
    <x v="0"/>
    <m/>
    <m/>
    <n v="0"/>
    <n v="-392"/>
    <n v="-380.24"/>
    <n v="-235.2"/>
    <n v="39199.999999999993"/>
  </r>
  <r>
    <x v="5"/>
    <x v="0"/>
    <n v="136845876898"/>
    <n v="9743"/>
    <n v="25380206.280000001"/>
    <x v="0"/>
    <m/>
    <m/>
    <n v="0"/>
    <n v="-100"/>
    <n v="-97"/>
    <n v="-60"/>
    <n v="10000"/>
  </r>
  <r>
    <x v="5"/>
    <x v="27"/>
    <n v="136845900762"/>
    <n v="979"/>
    <n v="25381185.280000001"/>
    <x v="0"/>
    <m/>
    <m/>
    <n v="-15"/>
    <n v="0"/>
    <n v="0"/>
    <n v="-6"/>
    <n v="1000"/>
  </r>
  <r>
    <x v="5"/>
    <x v="0"/>
    <n v="136221829339"/>
    <n v="64835.9"/>
    <n v="25446021.18"/>
    <x v="0"/>
    <m/>
    <m/>
    <n v="0"/>
    <n v="-670"/>
    <n v="-1092.0999999999999"/>
    <n v="-402"/>
    <n v="67000"/>
  </r>
  <r>
    <x v="5"/>
    <x v="0"/>
    <n v="136222531101"/>
    <n v="65940.06"/>
    <n v="25511961.239999998"/>
    <x v="0"/>
    <m/>
    <m/>
    <n v="0"/>
    <n v="-698"/>
    <n v="-2743.14"/>
    <n v="-418.8"/>
    <n v="69800"/>
  </r>
  <r>
    <x v="5"/>
    <x v="0"/>
    <n v="136847009092"/>
    <n v="47707.61"/>
    <n v="25559668.850000001"/>
    <x v="0"/>
    <m/>
    <m/>
    <n v="0"/>
    <n v="-493"/>
    <n v="-803.59"/>
    <n v="-295.8"/>
    <n v="49300"/>
  </r>
  <r>
    <x v="5"/>
    <x v="0"/>
    <n v="136847414214"/>
    <n v="118937.73"/>
    <n v="25678606.579999998"/>
    <x v="0"/>
    <m/>
    <m/>
    <n v="0"/>
    <n v="-1259"/>
    <n v="-4947.87"/>
    <n v="-755.4"/>
    <n v="125899.99999999999"/>
  </r>
  <r>
    <x v="5"/>
    <x v="0"/>
    <n v="136223253361"/>
    <n v="39069.43"/>
    <n v="25717676.010000002"/>
    <x v="0"/>
    <m/>
    <m/>
    <n v="0"/>
    <n v="-401"/>
    <n v="-388.97"/>
    <n v="-240.6"/>
    <n v="40100"/>
  </r>
  <r>
    <x v="5"/>
    <x v="28"/>
    <n v="136223263413"/>
    <n v="1962.89"/>
    <n v="25719638.899999999"/>
    <x v="0"/>
    <m/>
    <m/>
    <n v="-30.08"/>
    <n v="0"/>
    <n v="0"/>
    <n v="-12.03"/>
    <n v="2005"/>
  </r>
  <r>
    <x v="5"/>
    <x v="0"/>
    <n v="136223962251"/>
    <n v="4676.6400000000003"/>
    <n v="25724315.539999999"/>
    <x v="0"/>
    <m/>
    <m/>
    <n v="0"/>
    <n v="-48"/>
    <n v="-46.56"/>
    <n v="-28.8"/>
    <n v="4800.0000000000009"/>
  </r>
  <r>
    <x v="5"/>
    <x v="29"/>
    <n v="136847779382"/>
    <n v="234.96"/>
    <n v="25724550.5"/>
    <x v="0"/>
    <m/>
    <m/>
    <n v="-3.6"/>
    <n v="0"/>
    <n v="0"/>
    <n v="-1.44"/>
    <n v="240"/>
  </r>
  <r>
    <x v="5"/>
    <x v="0"/>
    <n v="136847902518"/>
    <n v="34100.5"/>
    <n v="25758651"/>
    <x v="0"/>
    <m/>
    <m/>
    <n v="0"/>
    <n v="-350"/>
    <n v="-339.5"/>
    <n v="-210"/>
    <n v="35000"/>
  </r>
  <r>
    <x v="5"/>
    <x v="0"/>
    <n v="136848149164"/>
    <n v="7508.8"/>
    <n v="25766159.800000001"/>
    <x v="0"/>
    <m/>
    <m/>
    <n v="0"/>
    <n v="-80"/>
    <n v="-363.2"/>
    <n v="-48"/>
    <n v="8000"/>
  </r>
  <r>
    <x v="5"/>
    <x v="0"/>
    <n v="136224880879"/>
    <n v="28624.41"/>
    <n v="25794784.210000001"/>
    <x v="0"/>
    <m/>
    <m/>
    <n v="0"/>
    <n v="-303"/>
    <n v="-1190.79"/>
    <n v="-181.8"/>
    <n v="30300"/>
  </r>
  <r>
    <x v="5"/>
    <x v="0"/>
    <n v="136224867297"/>
    <n v="14829.88"/>
    <n v="25809614.09"/>
    <x v="0"/>
    <m/>
    <m/>
    <n v="0"/>
    <n v="-158"/>
    <n v="-717.32"/>
    <n v="-94.8"/>
    <n v="15799.999999999998"/>
  </r>
  <r>
    <x v="5"/>
    <x v="0"/>
    <n v="136849120260"/>
    <n v="125100.12"/>
    <n v="25934714.210000001"/>
    <x v="0"/>
    <m/>
    <m/>
    <n v="0"/>
    <n v="-1284"/>
    <n v="-1245.48"/>
    <n v="-770.4"/>
    <n v="128399.99999999999"/>
  </r>
  <r>
    <x v="5"/>
    <x v="0"/>
    <n v="136849253616"/>
    <n v="26306.1"/>
    <n v="25961020.309999999"/>
    <x v="0"/>
    <m/>
    <m/>
    <n v="0"/>
    <n v="-270"/>
    <n v="-261.89999999999998"/>
    <n v="-162"/>
    <n v="27000"/>
  </r>
  <r>
    <x v="5"/>
    <x v="30"/>
    <n v="136849195784"/>
    <n v="2643.3"/>
    <n v="25963663.609999999"/>
    <x v="0"/>
    <m/>
    <m/>
    <n v="-40.5"/>
    <n v="0"/>
    <n v="0"/>
    <n v="-16.2"/>
    <n v="2700"/>
  </r>
  <r>
    <x v="5"/>
    <x v="0"/>
    <n v="136225228919"/>
    <n v="17571.419999999998"/>
    <n v="25981235.030000001"/>
    <x v="0"/>
    <m/>
    <m/>
    <n v="0"/>
    <n v="-186"/>
    <n v="-730.98"/>
    <n v="-111.6"/>
    <n v="18599.999999999996"/>
  </r>
  <r>
    <x v="5"/>
    <x v="0"/>
    <n v="136225395513"/>
    <n v="53391.64"/>
    <n v="26034626.670000002"/>
    <x v="0"/>
    <m/>
    <m/>
    <n v="0"/>
    <n v="-548"/>
    <n v="-531.55999999999995"/>
    <n v="-328.8"/>
    <n v="54800"/>
  </r>
  <r>
    <x v="5"/>
    <x v="0"/>
    <n v="136850043496"/>
    <n v="7989.26"/>
    <n v="26042615.93"/>
    <x v="0"/>
    <m/>
    <m/>
    <n v="0"/>
    <n v="-82"/>
    <n v="-79.540000000000006"/>
    <n v="-49.2"/>
    <n v="8200"/>
  </r>
  <r>
    <x v="5"/>
    <x v="0"/>
    <n v="136225810367"/>
    <n v="13250.48"/>
    <n v="26055866.41"/>
    <x v="0"/>
    <m/>
    <m/>
    <n v="0"/>
    <n v="-136"/>
    <n v="-131.91999999999999"/>
    <n v="-81.599999999999994"/>
    <n v="13600"/>
  </r>
  <r>
    <x v="5"/>
    <x v="0"/>
    <n v="136226252295"/>
    <n v="38874.57"/>
    <n v="26094740.98"/>
    <x v="0"/>
    <m/>
    <m/>
    <n v="0"/>
    <n v="-399"/>
    <n v="-387.03"/>
    <n v="-239.4"/>
    <n v="39900"/>
  </r>
  <r>
    <x v="5"/>
    <x v="31"/>
    <n v="136850580072"/>
    <n v="1953.1"/>
    <n v="26096694.079999998"/>
    <x v="0"/>
    <m/>
    <m/>
    <n v="-29.93"/>
    <n v="0"/>
    <n v="0"/>
    <n v="-11.97"/>
    <n v="1995"/>
  </r>
  <r>
    <x v="5"/>
    <x v="0"/>
    <n v="136851154852"/>
    <n v="14980.35"/>
    <n v="26111674.43"/>
    <x v="0"/>
    <m/>
    <m/>
    <n v="0"/>
    <n v="-165"/>
    <n v="-1255.6500000000001"/>
    <n v="-99"/>
    <n v="16500"/>
  </r>
  <r>
    <x v="5"/>
    <x v="0"/>
    <n v="136851820766"/>
    <n v="10717.3"/>
    <n v="26122391.73"/>
    <x v="0"/>
    <m/>
    <m/>
    <n v="0"/>
    <n v="-110"/>
    <n v="-106.7"/>
    <n v="-66"/>
    <n v="11000"/>
  </r>
  <r>
    <x v="5"/>
    <x v="0"/>
    <n v="136228392459"/>
    <n v="9069.1200000000008"/>
    <n v="26131460.850000001"/>
    <x v="0"/>
    <m/>
    <m/>
    <n v="0"/>
    <n v="-96"/>
    <n v="-377.28"/>
    <n v="-57.6"/>
    <n v="9600.0000000000018"/>
  </r>
  <r>
    <x v="5"/>
    <x v="0"/>
    <n v="136852498300"/>
    <n v="49591.87"/>
    <n v="26181052.719999999"/>
    <x v="0"/>
    <m/>
    <m/>
    <n v="0"/>
    <n v="-509"/>
    <n v="-493.73"/>
    <n v="-305.39999999999998"/>
    <n v="50900.000000000007"/>
  </r>
  <r>
    <x v="5"/>
    <x v="0"/>
    <n v="136852538278"/>
    <n v="38972"/>
    <n v="26220024.719999999"/>
    <x v="0"/>
    <m/>
    <m/>
    <n v="0"/>
    <n v="-400"/>
    <n v="-388"/>
    <n v="-240"/>
    <n v="40000"/>
  </r>
  <r>
    <x v="5"/>
    <x v="0"/>
    <n v="136852576368"/>
    <n v="22896.05"/>
    <n v="26242920.77"/>
    <x v="0"/>
    <m/>
    <m/>
    <n v="0"/>
    <n v="-235"/>
    <n v="-227.95"/>
    <n v="-141"/>
    <n v="23500"/>
  </r>
  <r>
    <x v="5"/>
    <x v="32"/>
    <n v="136852399824"/>
    <n v="1150.32"/>
    <n v="26244071.09"/>
    <x v="0"/>
    <m/>
    <m/>
    <n v="-17.63"/>
    <n v="0"/>
    <n v="0"/>
    <n v="-7.05"/>
    <n v="1175"/>
  </r>
  <r>
    <x v="5"/>
    <x v="0"/>
    <n v="136228863049"/>
    <n v="22798.62"/>
    <n v="26266869.710000001"/>
    <x v="0"/>
    <m/>
    <m/>
    <n v="0"/>
    <n v="-234"/>
    <n v="-226.98"/>
    <n v="-140.4"/>
    <n v="23400"/>
  </r>
  <r>
    <x v="5"/>
    <x v="0"/>
    <n v="136853004650"/>
    <n v="12092.16"/>
    <n v="26278961.870000001"/>
    <x v="0"/>
    <m/>
    <m/>
    <n v="0"/>
    <n v="-128"/>
    <n v="-503.04"/>
    <n v="-76.8"/>
    <n v="12800"/>
  </r>
  <r>
    <x v="5"/>
    <x v="0"/>
    <n v="136229026095"/>
    <n v="10717.3"/>
    <n v="26289679.170000002"/>
    <x v="0"/>
    <m/>
    <m/>
    <n v="0"/>
    <n v="-110"/>
    <n v="-106.7"/>
    <n v="-66"/>
    <n v="11000"/>
  </r>
  <r>
    <x v="5"/>
    <x v="0"/>
    <n v="136853257216"/>
    <n v="9069.1200000000008"/>
    <n v="26298748.289999999"/>
    <x v="0"/>
    <m/>
    <m/>
    <n v="0"/>
    <n v="-96"/>
    <n v="-377.28"/>
    <n v="-57.6"/>
    <n v="9600.0000000000018"/>
  </r>
  <r>
    <x v="5"/>
    <x v="0"/>
    <n v="136853330906"/>
    <n v="21880.39"/>
    <n v="26320628.68"/>
    <x v="0"/>
    <m/>
    <m/>
    <n v="0"/>
    <n v="-241"/>
    <n v="-1834.01"/>
    <n v="-144.6"/>
    <n v="24099.999999999996"/>
  </r>
  <r>
    <x v="5"/>
    <x v="0"/>
    <n v="136853412720"/>
    <n v="8671.27"/>
    <n v="26329299.949999999"/>
    <x v="0"/>
    <m/>
    <m/>
    <n v="0"/>
    <n v="-89"/>
    <n v="-86.33"/>
    <n v="-53.4"/>
    <n v="8900"/>
  </r>
  <r>
    <x v="5"/>
    <x v="0"/>
    <n v="136853256074"/>
    <n v="4481.78"/>
    <n v="26333781.73"/>
    <x v="0"/>
    <m/>
    <m/>
    <n v="0"/>
    <n v="-46"/>
    <n v="-44.62"/>
    <n v="-27.6"/>
    <n v="4600"/>
  </r>
  <r>
    <x v="5"/>
    <x v="0"/>
    <n v="136853572472"/>
    <n v="23188.34"/>
    <n v="26356970.07"/>
    <x v="0"/>
    <m/>
    <m/>
    <n v="0"/>
    <n v="-238"/>
    <n v="-230.86"/>
    <n v="-142.80000000000001"/>
    <n v="23800"/>
  </r>
  <r>
    <x v="5"/>
    <x v="0"/>
    <n v="136229366917"/>
    <n v="18327.18"/>
    <n v="26375297.25"/>
    <x v="0"/>
    <m/>
    <m/>
    <n v="0"/>
    <n v="-194"/>
    <n v="-762.42"/>
    <n v="-116.4"/>
    <n v="19400"/>
  </r>
  <r>
    <x v="5"/>
    <x v="0"/>
    <n v="136307742213"/>
    <n v="13835.06"/>
    <n v="26389132.309999999"/>
    <x v="0"/>
    <m/>
    <m/>
    <n v="0"/>
    <n v="-142"/>
    <n v="-137.74"/>
    <n v="-85.2"/>
    <n v="14200"/>
  </r>
  <r>
    <x v="5"/>
    <x v="0"/>
    <n v="136932804102"/>
    <n v="19096.28"/>
    <n v="26408228.59"/>
    <x v="0"/>
    <m/>
    <m/>
    <n v="0"/>
    <n v="-196"/>
    <n v="-190.12"/>
    <n v="-117.6"/>
    <n v="19599.999999999996"/>
  </r>
  <r>
    <x v="5"/>
    <x v="0"/>
    <n v="136308302633"/>
    <n v="14127.35"/>
    <n v="26422355.940000001"/>
    <x v="0"/>
    <m/>
    <m/>
    <n v="0"/>
    <n v="-145"/>
    <n v="-140.65"/>
    <n v="-87"/>
    <n v="14500"/>
  </r>
  <r>
    <x v="5"/>
    <x v="33"/>
    <n v="136308330289"/>
    <n v="709.77"/>
    <n v="26423065.710000001"/>
    <x v="0"/>
    <m/>
    <m/>
    <n v="-10.88"/>
    <n v="0"/>
    <n v="0"/>
    <n v="-4.3499999999999996"/>
    <n v="725"/>
  </r>
  <r>
    <x v="5"/>
    <x v="0"/>
    <n v="136310829977"/>
    <n v="11301.88"/>
    <n v="26434367.59"/>
    <x v="0"/>
    <m/>
    <m/>
    <n v="0"/>
    <n v="-116"/>
    <n v="-112.52"/>
    <n v="-69.599999999999994"/>
    <n v="11600"/>
  </r>
  <r>
    <x v="5"/>
    <x v="0"/>
    <n v="136311573047"/>
    <n v="28352.13"/>
    <n v="26462719.719999999"/>
    <x v="0"/>
    <m/>
    <m/>
    <n v="0"/>
    <n v="-291"/>
    <n v="-282.27"/>
    <n v="-174.6"/>
    <n v="29100"/>
  </r>
  <r>
    <x v="5"/>
    <x v="34"/>
    <n v="136936109502"/>
    <n v="1424.44"/>
    <n v="26464144.16"/>
    <x v="0"/>
    <m/>
    <m/>
    <n v="-21.83"/>
    <n v="0"/>
    <n v="0"/>
    <n v="-8.73"/>
    <n v="1455"/>
  </r>
  <r>
    <x v="5"/>
    <x v="0"/>
    <n v="136936831094"/>
    <n v="9548.14"/>
    <n v="26473692.300000001"/>
    <x v="0"/>
    <m/>
    <m/>
    <n v="0"/>
    <n v="-98"/>
    <n v="-95.06"/>
    <n v="-58.8"/>
    <n v="9799.9999999999982"/>
  </r>
  <r>
    <x v="5"/>
    <x v="0"/>
    <n v="136941329056"/>
    <n v="7884.24"/>
    <n v="26481576.539999999"/>
    <x v="0"/>
    <m/>
    <m/>
    <n v="0"/>
    <n v="-84"/>
    <n v="-381.36"/>
    <n v="-50.4"/>
    <n v="8400"/>
  </r>
  <r>
    <x v="5"/>
    <x v="0"/>
    <n v="136317195527"/>
    <n v="15661.27"/>
    <n v="26497237.809999999"/>
    <x v="0"/>
    <m/>
    <m/>
    <n v="0"/>
    <n v="-172.5"/>
    <n v="-1312.73"/>
    <n v="-103.5"/>
    <n v="17250"/>
  </r>
  <r>
    <x v="5"/>
    <x v="0"/>
    <n v="136319101835"/>
    <n v="9353.2800000000007"/>
    <n v="26506591.09"/>
    <x v="0"/>
    <m/>
    <m/>
    <n v="0"/>
    <n v="-96"/>
    <n v="-93.12"/>
    <n v="-57.6"/>
    <n v="9600.0000000000018"/>
  </r>
  <r>
    <x v="5"/>
    <x v="0"/>
    <n v="136943872826"/>
    <n v="27475.26"/>
    <n v="26534066.350000001"/>
    <x v="0"/>
    <m/>
    <m/>
    <n v="0"/>
    <n v="-282"/>
    <n v="-273.54000000000002"/>
    <n v="-169.2"/>
    <n v="28200"/>
  </r>
  <r>
    <x v="5"/>
    <x v="35"/>
    <n v="136943914206"/>
    <n v="2760.78"/>
    <n v="26536827.129999999"/>
    <x v="0"/>
    <m/>
    <m/>
    <n v="-42.3"/>
    <n v="0"/>
    <n v="0"/>
    <n v="-16.920000000000002"/>
    <n v="2820.0000000000005"/>
  </r>
  <r>
    <x v="5"/>
    <x v="0"/>
    <n v="136944124048"/>
    <n v="8671.27"/>
    <n v="26545498.399999999"/>
    <x v="0"/>
    <m/>
    <m/>
    <n v="0"/>
    <n v="-89"/>
    <n v="-86.33"/>
    <n v="-53.4"/>
    <n v="8900"/>
  </r>
  <r>
    <x v="5"/>
    <x v="0"/>
    <n v="136319916303"/>
    <n v="61186.04"/>
    <n v="26606684.440000001"/>
    <x v="0"/>
    <m/>
    <m/>
    <n v="0"/>
    <n v="-628"/>
    <n v="-609.16"/>
    <n v="-376.8"/>
    <n v="62800.000000000007"/>
  </r>
  <r>
    <x v="5"/>
    <x v="36"/>
    <n v="136319904505"/>
    <n v="6148.12"/>
    <n v="26612832.559999999"/>
    <x v="0"/>
    <m/>
    <m/>
    <n v="-94.2"/>
    <n v="0"/>
    <n v="0"/>
    <n v="-37.68"/>
    <n v="6280"/>
  </r>
  <r>
    <x v="5"/>
    <x v="0"/>
    <n v="136319893937"/>
    <n v="65718.64"/>
    <n v="26678551.199999999"/>
    <x v="0"/>
    <m/>
    <m/>
    <n v="0"/>
    <n v="-754"/>
    <n v="-8474.9599999999991"/>
    <n v="-452.4"/>
    <n v="75400"/>
  </r>
  <r>
    <x v="5"/>
    <x v="0"/>
    <n v="136320927381"/>
    <n v="29474.639999999999"/>
    <n v="26708025.84"/>
    <x v="0"/>
    <m/>
    <m/>
    <n v="0"/>
    <n v="-312"/>
    <n v="-1226.1600000000001"/>
    <n v="-187.2"/>
    <n v="31200"/>
  </r>
  <r>
    <x v="5"/>
    <x v="0"/>
    <n v="136321148165"/>
    <n v="9353.2800000000007"/>
    <n v="26717379.120000001"/>
    <x v="0"/>
    <m/>
    <m/>
    <n v="0"/>
    <n v="-96"/>
    <n v="-93.12"/>
    <n v="-57.6"/>
    <n v="9600.0000000000018"/>
  </r>
  <r>
    <x v="5"/>
    <x v="0"/>
    <n v="136945689714"/>
    <n v="44233.22"/>
    <n v="26761612.34"/>
    <x v="0"/>
    <m/>
    <m/>
    <n v="0"/>
    <n v="-454"/>
    <n v="-440.38"/>
    <n v="-272.39999999999998"/>
    <n v="45400"/>
  </r>
  <r>
    <x v="5"/>
    <x v="0"/>
    <n v="136321226061"/>
    <n v="45012.66"/>
    <n v="26806625"/>
    <x v="0"/>
    <m/>
    <m/>
    <n v="0"/>
    <n v="-462"/>
    <n v="-448.14"/>
    <n v="-277.2"/>
    <n v="46200"/>
  </r>
  <r>
    <x v="5"/>
    <x v="0"/>
    <n v="136946176762"/>
    <n v="76615.17"/>
    <n v="26883240.170000002"/>
    <x v="0"/>
    <m/>
    <m/>
    <n v="0"/>
    <n v="-811"/>
    <n v="-3187.23"/>
    <n v="-486.6"/>
    <n v="81100"/>
  </r>
  <r>
    <x v="5"/>
    <x v="0"/>
    <n v="136946271262"/>
    <n v="4676.6400000000003"/>
    <n v="26887916.809999999"/>
    <x v="0"/>
    <m/>
    <m/>
    <n v="0"/>
    <n v="-48"/>
    <n v="-46.56"/>
    <n v="-28.8"/>
    <n v="4800.0000000000009"/>
  </r>
  <r>
    <x v="5"/>
    <x v="37"/>
    <n v="136321620855"/>
    <n v="234.96"/>
    <n v="26888151.77"/>
    <x v="0"/>
    <m/>
    <m/>
    <n v="-3.6"/>
    <n v="0"/>
    <n v="0"/>
    <n v="-1.44"/>
    <n v="240"/>
  </r>
  <r>
    <x v="5"/>
    <x v="0"/>
    <n v="136321853917"/>
    <n v="39677.4"/>
    <n v="26927829.170000002"/>
    <x v="0"/>
    <m/>
    <m/>
    <n v="0"/>
    <n v="-420"/>
    <n v="-1650.6"/>
    <n v="-252"/>
    <n v="42000"/>
  </r>
  <r>
    <x v="5"/>
    <x v="0"/>
    <n v="136948433642"/>
    <n v="29618.720000000001"/>
    <n v="26957447.890000001"/>
    <x v="0"/>
    <m/>
    <m/>
    <n v="0"/>
    <n v="-304"/>
    <n v="-294.88"/>
    <n v="-182.4"/>
    <n v="30400.000000000004"/>
  </r>
  <r>
    <x v="5"/>
    <x v="0"/>
    <n v="136324281207"/>
    <n v="37504.589999999997"/>
    <n v="26994952.48"/>
    <x v="0"/>
    <m/>
    <m/>
    <n v="0"/>
    <n v="-397"/>
    <n v="-1560.21"/>
    <n v="-238.2"/>
    <n v="39699.999999999993"/>
  </r>
  <r>
    <x v="5"/>
    <x v="0"/>
    <n v="136324541637"/>
    <n v="36276.480000000003"/>
    <n v="27031228.960000001"/>
    <x v="0"/>
    <m/>
    <m/>
    <n v="0"/>
    <n v="-384"/>
    <n v="-1509.12"/>
    <n v="-230.4"/>
    <n v="38400.000000000007"/>
  </r>
  <r>
    <x v="5"/>
    <x v="0"/>
    <n v="136324797799"/>
    <n v="36588.370000000003"/>
    <n v="27067817.329999998"/>
    <x v="0"/>
    <m/>
    <m/>
    <n v="0"/>
    <n v="-403"/>
    <n v="-3066.83"/>
    <n v="-241.8"/>
    <n v="40300.000000000007"/>
  </r>
  <r>
    <x v="5"/>
    <x v="0"/>
    <n v="136325278171"/>
    <n v="9258.06"/>
    <n v="27077075.390000001"/>
    <x v="0"/>
    <m/>
    <m/>
    <n v="0"/>
    <n v="-98"/>
    <n v="-385.14"/>
    <n v="-58.8"/>
    <n v="9799.9999999999982"/>
  </r>
  <r>
    <x v="5"/>
    <x v="0"/>
    <n v="136950108244"/>
    <n v="10035.290000000001"/>
    <n v="27087110.68"/>
    <x v="0"/>
    <m/>
    <m/>
    <n v="0"/>
    <n v="-103"/>
    <n v="-99.91"/>
    <n v="-61.8"/>
    <n v="10300"/>
  </r>
  <r>
    <x v="5"/>
    <x v="0"/>
    <n v="136326087677"/>
    <n v="36341.39"/>
    <n v="27123452.07"/>
    <x v="0"/>
    <m/>
    <m/>
    <n v="0"/>
    <n v="-373"/>
    <n v="-361.81"/>
    <n v="-223.8"/>
    <n v="37300"/>
  </r>
  <r>
    <x v="5"/>
    <x v="38"/>
    <n v="136950519952"/>
    <n v="3651.67"/>
    <n v="27127103.739999998"/>
    <x v="0"/>
    <m/>
    <m/>
    <n v="-55.95"/>
    <n v="0"/>
    <n v="0"/>
    <n v="-22.38"/>
    <n v="3730"/>
  </r>
  <r>
    <x v="5"/>
    <x v="0"/>
    <n v="136326212539"/>
    <n v="33064.5"/>
    <n v="27160168.239999998"/>
    <x v="0"/>
    <m/>
    <m/>
    <n v="0"/>
    <n v="-350"/>
    <n v="-1375.5"/>
    <n v="-210"/>
    <n v="35000"/>
  </r>
  <r>
    <x v="5"/>
    <x v="0"/>
    <n v="136950669354"/>
    <n v="34576.019999999997"/>
    <n v="27194744.260000002"/>
    <x v="0"/>
    <m/>
    <m/>
    <n v="0"/>
    <n v="-366"/>
    <n v="-1438.38"/>
    <n v="-219.6"/>
    <n v="36599.999999999993"/>
  </r>
  <r>
    <x v="5"/>
    <x v="0"/>
    <n v="136951233398"/>
    <n v="59529.73"/>
    <n v="27254273.989999998"/>
    <x v="0"/>
    <m/>
    <m/>
    <n v="0"/>
    <n v="-611"/>
    <n v="-592.66999999999996"/>
    <n v="-366.6"/>
    <n v="61100"/>
  </r>
  <r>
    <x v="5"/>
    <x v="0"/>
    <n v="136326731001"/>
    <n v="11594.17"/>
    <n v="27265868.16"/>
    <x v="0"/>
    <m/>
    <m/>
    <n v="0"/>
    <n v="-119"/>
    <n v="-115.43"/>
    <n v="-71.400000000000006"/>
    <n v="11900"/>
  </r>
  <r>
    <x v="5"/>
    <x v="0"/>
    <n v="136951857762"/>
    <n v="39288.620000000003"/>
    <n v="27305156.780000001"/>
    <x v="0"/>
    <m/>
    <m/>
    <n v="0"/>
    <n v="-406"/>
    <n v="-661.78"/>
    <n v="-243.6"/>
    <n v="40600"/>
  </r>
  <r>
    <x v="5"/>
    <x v="0"/>
    <n v="136327286571"/>
    <n v="19388.57"/>
    <n v="27324545.350000001"/>
    <x v="0"/>
    <m/>
    <m/>
    <n v="0"/>
    <n v="-199"/>
    <n v="-193.03"/>
    <n v="-119.4"/>
    <n v="19900"/>
  </r>
  <r>
    <x v="5"/>
    <x v="0"/>
    <n v="136952258442"/>
    <n v="47545.84"/>
    <n v="27372091.190000001"/>
    <x v="0"/>
    <m/>
    <m/>
    <n v="0"/>
    <n v="-488"/>
    <n v="-473.36"/>
    <n v="-292.8"/>
    <n v="48800"/>
  </r>
  <r>
    <x v="5"/>
    <x v="0"/>
    <n v="136952289620"/>
    <n v="4774.07"/>
    <n v="27376865.260000002"/>
    <x v="0"/>
    <m/>
    <m/>
    <n v="0"/>
    <n v="-49"/>
    <n v="-47.53"/>
    <n v="-29.4"/>
    <n v="4899.9999999999991"/>
  </r>
  <r>
    <x v="5"/>
    <x v="0"/>
    <n v="136328449873"/>
    <n v="141370.93"/>
    <n v="27518236.190000001"/>
    <x v="0"/>
    <m/>
    <m/>
    <n v="0"/>
    <n v="-1451"/>
    <n v="-1407.47"/>
    <n v="-870.6"/>
    <n v="145100"/>
  </r>
  <r>
    <x v="5"/>
    <x v="0"/>
    <n v="136328990057"/>
    <n v="53564.49"/>
    <n v="27571800.68"/>
    <x v="0"/>
    <m/>
    <m/>
    <n v="0"/>
    <n v="-567"/>
    <n v="-2228.31"/>
    <n v="-340.2"/>
    <n v="56699.999999999993"/>
  </r>
  <r>
    <x v="5"/>
    <x v="0"/>
    <n v="136953884316"/>
    <n v="45345.599999999999"/>
    <n v="27617146.280000001"/>
    <x v="0"/>
    <m/>
    <m/>
    <n v="0"/>
    <n v="-480"/>
    <n v="-1886.4"/>
    <n v="-288"/>
    <n v="48000"/>
  </r>
  <r>
    <x v="5"/>
    <x v="0"/>
    <n v="136329284763"/>
    <n v="32931.339999999997"/>
    <n v="27650077.620000001"/>
    <x v="0"/>
    <m/>
    <m/>
    <n v="0"/>
    <n v="-338"/>
    <n v="-327.86"/>
    <n v="-202.8"/>
    <n v="33800"/>
  </r>
  <r>
    <x v="6"/>
    <x v="0"/>
    <n v="136954494152"/>
    <n v="27207.360000000001"/>
    <n v="27677284.98"/>
    <x v="0"/>
    <m/>
    <m/>
    <n v="0"/>
    <n v="-288"/>
    <n v="-1131.8399999999999"/>
    <n v="-172.8"/>
    <n v="28800"/>
  </r>
  <r>
    <x v="6"/>
    <x v="0"/>
    <n v="136330605015"/>
    <n v="18490.419999999998"/>
    <n v="27695775.399999999"/>
    <x v="0"/>
    <m/>
    <m/>
    <n v="0"/>
    <n v="-197"/>
    <n v="-894.38"/>
    <n v="-118.2"/>
    <n v="19700"/>
  </r>
  <r>
    <x v="6"/>
    <x v="0"/>
    <n v="136330599489"/>
    <n v="73949.37"/>
    <n v="27769724.77"/>
    <x v="0"/>
    <m/>
    <m/>
    <n v="0"/>
    <n v="-759"/>
    <n v="-736.23"/>
    <n v="-455.4"/>
    <n v="75899.999999999985"/>
  </r>
  <r>
    <x v="6"/>
    <x v="0"/>
    <n v="136330783263"/>
    <n v="10391.700000000001"/>
    <n v="27780116.469999999"/>
    <x v="0"/>
    <m/>
    <m/>
    <n v="0"/>
    <n v="-110"/>
    <n v="-432.3"/>
    <n v="-66"/>
    <n v="11000"/>
  </r>
  <r>
    <x v="6"/>
    <x v="0"/>
    <n v="136330964239"/>
    <n v="57873.42"/>
    <n v="27837989.890000001"/>
    <x v="0"/>
    <m/>
    <m/>
    <n v="0"/>
    <n v="-594"/>
    <n v="-576.17999999999995"/>
    <n v="-356.4"/>
    <n v="59400"/>
  </r>
  <r>
    <x v="6"/>
    <x v="0"/>
    <n v="136955923120"/>
    <n v="8625.0499999999993"/>
    <n v="27846614.940000001"/>
    <x v="0"/>
    <m/>
    <m/>
    <n v="0"/>
    <n v="-95"/>
    <n v="-722.95"/>
    <n v="-57"/>
    <n v="9500"/>
  </r>
  <r>
    <x v="6"/>
    <x v="0"/>
    <n v="136331418449"/>
    <n v="53124.76"/>
    <n v="27899739.699999999"/>
    <x v="0"/>
    <m/>
    <m/>
    <n v="0"/>
    <n v="-566"/>
    <n v="-2569.64"/>
    <n v="-339.6"/>
    <n v="56600"/>
  </r>
  <r>
    <x v="6"/>
    <x v="0"/>
    <n v="136331423567"/>
    <n v="43064.06"/>
    <n v="27942803.760000002"/>
    <x v="0"/>
    <m/>
    <m/>
    <n v="0"/>
    <n v="-442"/>
    <n v="-428.74"/>
    <n v="-265.2"/>
    <n v="44199.999999999993"/>
  </r>
  <r>
    <x v="6"/>
    <x v="0"/>
    <n v="136956632996"/>
    <n v="21493.94"/>
    <n v="27964297.699999999"/>
    <x v="0"/>
    <m/>
    <m/>
    <n v="0"/>
    <n v="-229"/>
    <n v="-1039.6600000000001"/>
    <n v="-137.4"/>
    <n v="22900"/>
  </r>
  <r>
    <x v="6"/>
    <x v="39"/>
    <n v="136956585806"/>
    <n v="1120.95"/>
    <n v="27965418.649999999"/>
    <x v="0"/>
    <m/>
    <m/>
    <n v="-17.18"/>
    <n v="0"/>
    <n v="0"/>
    <n v="-6.87"/>
    <n v="1145"/>
  </r>
  <r>
    <x v="6"/>
    <x v="0"/>
    <n v="136956816280"/>
    <n v="20881.7"/>
    <n v="27986300.350000001"/>
    <x v="0"/>
    <m/>
    <m/>
    <n v="0"/>
    <n v="-230"/>
    <n v="-1750.3"/>
    <n v="-138"/>
    <n v="23000"/>
  </r>
  <r>
    <x v="6"/>
    <x v="0"/>
    <n v="136956905972"/>
    <n v="42674.34"/>
    <n v="28028974.690000001"/>
    <x v="0"/>
    <m/>
    <m/>
    <n v="0"/>
    <n v="-438"/>
    <n v="-424.86"/>
    <n v="-262.8"/>
    <n v="43800"/>
  </r>
  <r>
    <x v="6"/>
    <x v="0"/>
    <n v="136332882027"/>
    <n v="76426.23"/>
    <n v="28105400.920000002"/>
    <x v="0"/>
    <m/>
    <m/>
    <n v="0"/>
    <n v="-809"/>
    <n v="-3179.37"/>
    <n v="-485.4"/>
    <n v="80899.999999999985"/>
  </r>
  <r>
    <x v="6"/>
    <x v="0"/>
    <n v="136958169118"/>
    <n v="59529.73"/>
    <n v="28164930.649999999"/>
    <x v="0"/>
    <m/>
    <m/>
    <n v="0"/>
    <n v="-611"/>
    <n v="-592.66999999999996"/>
    <n v="-366.6"/>
    <n v="61100"/>
  </r>
  <r>
    <x v="6"/>
    <x v="0"/>
    <n v="136333515769"/>
    <n v="2815.8"/>
    <n v="28167746.449999999"/>
    <x v="0"/>
    <m/>
    <m/>
    <n v="0"/>
    <n v="-30"/>
    <n v="-136.19999999999999"/>
    <n v="-18"/>
    <n v="3000"/>
  </r>
  <r>
    <x v="6"/>
    <x v="0"/>
    <n v="136333640811"/>
    <n v="8353.5400000000009"/>
    <n v="28176099.989999998"/>
    <x v="0"/>
    <m/>
    <m/>
    <n v="0"/>
    <n v="-89"/>
    <n v="-404.06"/>
    <n v="-53.4"/>
    <n v="8900"/>
  </r>
  <r>
    <x v="6"/>
    <x v="0"/>
    <n v="136333603887"/>
    <n v="31859.61"/>
    <n v="28207959.600000001"/>
    <x v="0"/>
    <m/>
    <m/>
    <n v="0"/>
    <n v="-327"/>
    <n v="-317.19"/>
    <n v="-196.2"/>
    <n v="32700"/>
  </r>
  <r>
    <x v="6"/>
    <x v="0"/>
    <n v="136333850811"/>
    <n v="11886.46"/>
    <n v="28219846.059999999"/>
    <x v="0"/>
    <m/>
    <m/>
    <n v="0"/>
    <n v="-122"/>
    <n v="-118.34"/>
    <n v="-73.2"/>
    <n v="12200"/>
  </r>
  <r>
    <x v="6"/>
    <x v="0"/>
    <n v="136334028143"/>
    <n v="47058.69"/>
    <n v="28266904.75"/>
    <x v="0"/>
    <m/>
    <m/>
    <n v="0"/>
    <n v="-483"/>
    <n v="-468.51"/>
    <n v="-289.8"/>
    <n v="48300.000000000007"/>
  </r>
  <r>
    <x v="6"/>
    <x v="40"/>
    <n v="136333911623"/>
    <n v="2364.2800000000002"/>
    <n v="28269269.030000001"/>
    <x v="0"/>
    <m/>
    <m/>
    <n v="-36.229999999999997"/>
    <n v="0"/>
    <n v="0"/>
    <n v="-14.49"/>
    <n v="2415"/>
  </r>
  <r>
    <x v="6"/>
    <x v="0"/>
    <n v="136958415842"/>
    <n v="17732.259999999998"/>
    <n v="28287001.289999999"/>
    <x v="0"/>
    <m/>
    <m/>
    <n v="0"/>
    <n v="-182"/>
    <n v="-176.54"/>
    <n v="-109.2"/>
    <n v="18200"/>
  </r>
  <r>
    <x v="6"/>
    <x v="0"/>
    <n v="136334135265"/>
    <n v="29229"/>
    <n v="28316230.289999999"/>
    <x v="0"/>
    <m/>
    <m/>
    <n v="0"/>
    <n v="-300"/>
    <n v="-291"/>
    <n v="-180"/>
    <n v="30000"/>
  </r>
  <r>
    <x v="6"/>
    <x v="0"/>
    <n v="136334261105"/>
    <n v="7696.97"/>
    <n v="28323927.260000002"/>
    <x v="0"/>
    <m/>
    <m/>
    <n v="0"/>
    <n v="-79"/>
    <n v="-76.63"/>
    <n v="-47.4"/>
    <n v="7900"/>
  </r>
  <r>
    <x v="6"/>
    <x v="41"/>
    <n v="136334300589"/>
    <n v="386.7"/>
    <n v="28324313.960000001"/>
    <x v="0"/>
    <m/>
    <m/>
    <n v="-5.93"/>
    <n v="0"/>
    <n v="0"/>
    <n v="-2.37"/>
    <n v="395"/>
  </r>
  <r>
    <x v="6"/>
    <x v="0"/>
    <n v="136334273453"/>
    <n v="15393.94"/>
    <n v="28339707.899999999"/>
    <x v="0"/>
    <m/>
    <m/>
    <n v="0"/>
    <n v="-158"/>
    <n v="-153.26"/>
    <n v="-94.8"/>
    <n v="15800"/>
  </r>
  <r>
    <x v="6"/>
    <x v="0"/>
    <n v="136958889094"/>
    <n v="19680.86"/>
    <n v="28359388.760000002"/>
    <x v="0"/>
    <m/>
    <m/>
    <n v="0"/>
    <n v="-202"/>
    <n v="-195.94"/>
    <n v="-121.2"/>
    <n v="20200"/>
  </r>
  <r>
    <x v="6"/>
    <x v="42"/>
    <n v="136958796086"/>
    <n v="988.79"/>
    <n v="28360377.550000001"/>
    <x v="0"/>
    <m/>
    <m/>
    <n v="-15.15"/>
    <n v="0"/>
    <n v="0"/>
    <n v="-6.06"/>
    <n v="1009.9999999999999"/>
  </r>
  <r>
    <x v="6"/>
    <x v="0"/>
    <n v="136958915420"/>
    <n v="9255.85"/>
    <n v="28369633.399999999"/>
    <x v="0"/>
    <m/>
    <m/>
    <n v="0"/>
    <n v="-95"/>
    <n v="-92.15"/>
    <n v="-57"/>
    <n v="9500"/>
  </r>
  <r>
    <x v="6"/>
    <x v="43"/>
    <n v="136334392821"/>
    <n v="465.02"/>
    <n v="28370098.420000002"/>
    <x v="0"/>
    <m/>
    <m/>
    <n v="-7.13"/>
    <n v="0"/>
    <n v="0"/>
    <n v="-2.85"/>
    <n v="475"/>
  </r>
  <r>
    <x v="6"/>
    <x v="0"/>
    <n v="136334494425"/>
    <n v="25526.66"/>
    <n v="28395625.079999998"/>
    <x v="0"/>
    <m/>
    <m/>
    <n v="0"/>
    <n v="-262"/>
    <n v="-254.14"/>
    <n v="-157.19999999999999"/>
    <n v="26200"/>
  </r>
  <r>
    <x v="6"/>
    <x v="0"/>
    <n v="136959425226"/>
    <n v="16368.24"/>
    <n v="28411993.32"/>
    <x v="0"/>
    <m/>
    <m/>
    <n v="0"/>
    <n v="-168"/>
    <n v="-162.96"/>
    <n v="-100.8"/>
    <n v="16799.999999999996"/>
  </r>
  <r>
    <x v="6"/>
    <x v="0"/>
    <n v="136334778599"/>
    <n v="83066.100000000006"/>
    <n v="28495059.420000002"/>
    <x v="0"/>
    <m/>
    <m/>
    <n v="0"/>
    <n v="-885"/>
    <n v="-4017.9"/>
    <n v="-531"/>
    <n v="88500"/>
  </r>
  <r>
    <x v="6"/>
    <x v="0"/>
    <n v="136959531074"/>
    <n v="20655.16"/>
    <n v="28515714.579999998"/>
    <x v="0"/>
    <m/>
    <m/>
    <n v="0"/>
    <n v="-212"/>
    <n v="-205.64"/>
    <n v="-127.2"/>
    <n v="21200"/>
  </r>
  <r>
    <x v="6"/>
    <x v="0"/>
    <n v="136334764081"/>
    <n v="28059.84"/>
    <n v="28543774.420000002"/>
    <x v="0"/>
    <m/>
    <m/>
    <n v="0"/>
    <n v="-288"/>
    <n v="-279.36"/>
    <n v="-172.8"/>
    <n v="28800"/>
  </r>
  <r>
    <x v="6"/>
    <x v="0"/>
    <n v="136334940399"/>
    <n v="35269.660000000003"/>
    <n v="28579044.079999998"/>
    <x v="0"/>
    <m/>
    <m/>
    <n v="0"/>
    <n v="-362"/>
    <n v="-351.14"/>
    <n v="-217.2"/>
    <n v="36200"/>
  </r>
  <r>
    <x v="6"/>
    <x v="44"/>
    <n v="136334889161"/>
    <n v="3543.98"/>
    <n v="28582588.059999999"/>
    <x v="0"/>
    <m/>
    <m/>
    <n v="-54.3"/>
    <n v="0"/>
    <n v="0"/>
    <n v="-21.72"/>
    <n v="3620"/>
  </r>
  <r>
    <x v="6"/>
    <x v="0"/>
    <n v="136959626564"/>
    <n v="18138.240000000002"/>
    <n v="28600726.300000001"/>
    <x v="0"/>
    <m/>
    <m/>
    <n v="0"/>
    <n v="-192"/>
    <n v="-754.56"/>
    <n v="-115.2"/>
    <n v="19200.000000000004"/>
  </r>
  <r>
    <x v="6"/>
    <x v="0"/>
    <n v="136334877837"/>
    <n v="14322.21"/>
    <n v="28615048.510000002"/>
    <x v="0"/>
    <m/>
    <m/>
    <n v="0"/>
    <n v="-147"/>
    <n v="-142.59"/>
    <n v="-88.2"/>
    <n v="14700"/>
  </r>
  <r>
    <x v="6"/>
    <x v="0"/>
    <n v="136335028573"/>
    <n v="10327.58"/>
    <n v="28625376.09"/>
    <x v="0"/>
    <m/>
    <m/>
    <n v="0"/>
    <n v="-106"/>
    <n v="-102.82"/>
    <n v="-63.6"/>
    <n v="10600"/>
  </r>
  <r>
    <x v="6"/>
    <x v="45"/>
    <n v="136334931569"/>
    <n v="518.87"/>
    <n v="28625894.960000001"/>
    <x v="0"/>
    <m/>
    <m/>
    <n v="-7.95"/>
    <n v="0"/>
    <n v="0"/>
    <n v="-3.18"/>
    <n v="530"/>
  </r>
  <r>
    <x v="6"/>
    <x v="0"/>
    <n v="136335038561"/>
    <n v="20265.439999999999"/>
    <n v="28646160.399999999"/>
    <x v="0"/>
    <m/>
    <m/>
    <n v="0"/>
    <n v="-208"/>
    <n v="-201.76"/>
    <n v="-124.8"/>
    <n v="20799.999999999996"/>
  </r>
  <r>
    <x v="6"/>
    <x v="46"/>
    <n v="136959627750"/>
    <n v="1018.16"/>
    <n v="28647178.559999999"/>
    <x v="0"/>
    <m/>
    <m/>
    <n v="-15.6"/>
    <n v="0"/>
    <n v="0"/>
    <n v="-6.24"/>
    <n v="1040"/>
  </r>
  <r>
    <x v="6"/>
    <x v="0"/>
    <n v="136959665908"/>
    <n v="14906.79"/>
    <n v="28662085.350000001"/>
    <x v="0"/>
    <m/>
    <m/>
    <n v="0"/>
    <n v="-153"/>
    <n v="-148.41"/>
    <n v="-91.8"/>
    <n v="15300"/>
  </r>
  <r>
    <x v="6"/>
    <x v="0"/>
    <n v="136959788742"/>
    <n v="9986.9"/>
    <n v="28672072.25"/>
    <x v="0"/>
    <m/>
    <m/>
    <n v="0"/>
    <n v="-110"/>
    <n v="-837.1"/>
    <n v="-66"/>
    <n v="11000"/>
  </r>
  <r>
    <x v="7"/>
    <x v="47"/>
    <n v="136635567927"/>
    <n v="-2368604.66"/>
    <n v="26303467.59"/>
    <x v="3"/>
    <n v="-2354477.793240557"/>
    <m/>
    <n v="0"/>
    <n v="0"/>
    <n v="0"/>
    <n v="-14126.86675944319"/>
    <n v="-2354477.793240557"/>
  </r>
  <r>
    <x v="7"/>
    <x v="48"/>
    <n v="136642965749"/>
    <n v="-1000000"/>
    <n v="22800467.59"/>
    <x v="4"/>
    <n v="-1000000"/>
    <m/>
    <n v="0"/>
    <n v="0"/>
    <n v="0"/>
    <n v="0"/>
    <n v="-1000000"/>
  </r>
  <r>
    <x v="7"/>
    <x v="48"/>
    <n v="136642967981"/>
    <n v="-1000000"/>
    <n v="19800467.59"/>
    <x v="4"/>
    <n v="-1000000"/>
    <m/>
    <n v="0"/>
    <n v="0"/>
    <n v="0"/>
    <n v="0"/>
    <n v="-1000000"/>
  </r>
  <r>
    <x v="7"/>
    <x v="48"/>
    <n v="136643127123"/>
    <n v="-1000000"/>
    <n v="24800467.59"/>
    <x v="4"/>
    <n v="-1000000"/>
    <m/>
    <n v="0"/>
    <n v="0"/>
    <n v="0"/>
    <n v="0"/>
    <n v="-1000000"/>
  </r>
  <r>
    <x v="7"/>
    <x v="48"/>
    <n v="136643473817"/>
    <n v="-1000000"/>
    <n v="17800467.59"/>
    <x v="4"/>
    <n v="-1000000"/>
    <m/>
    <n v="0"/>
    <n v="0"/>
    <n v="0"/>
    <n v="0"/>
    <n v="-1000000"/>
  </r>
  <r>
    <x v="7"/>
    <x v="48"/>
    <n v="136643589881"/>
    <n v="-1000000"/>
    <n v="16800467.59"/>
    <x v="4"/>
    <n v="-1000000"/>
    <m/>
    <n v="0"/>
    <n v="0"/>
    <n v="0"/>
    <n v="0"/>
    <n v="-1000000"/>
  </r>
  <r>
    <x v="7"/>
    <x v="48"/>
    <n v="136643619197"/>
    <n v="-1000000"/>
    <n v="20800467.59"/>
    <x v="4"/>
    <n v="-1000000"/>
    <m/>
    <n v="0"/>
    <n v="0"/>
    <n v="0"/>
    <n v="0"/>
    <n v="-1000000"/>
  </r>
  <r>
    <x v="8"/>
    <x v="0"/>
    <n v="137649717546"/>
    <n v="9353.2800000000007"/>
    <n v="12951149.35"/>
    <x v="0"/>
    <m/>
    <m/>
    <n v="0"/>
    <n v="-96"/>
    <n v="-93.12"/>
    <n v="-57.6"/>
    <n v="9600.0000000000018"/>
  </r>
  <r>
    <x v="8"/>
    <x v="0"/>
    <n v="137035785219"/>
    <n v="25721.52"/>
    <n v="12976870.869999999"/>
    <x v="0"/>
    <m/>
    <m/>
    <n v="0"/>
    <n v="-264"/>
    <n v="-256.08"/>
    <n v="-158.4"/>
    <n v="26400.000000000004"/>
  </r>
  <r>
    <x v="8"/>
    <x v="0"/>
    <n v="137670538274"/>
    <n v="3778.8"/>
    <n v="12980649.67"/>
    <x v="0"/>
    <m/>
    <m/>
    <n v="0"/>
    <n v="-40"/>
    <n v="-157.19999999999999"/>
    <n v="-24"/>
    <n v="4000"/>
  </r>
  <r>
    <x v="8"/>
    <x v="0"/>
    <n v="137671009436"/>
    <n v="18339.580000000002"/>
    <n v="12998989.25"/>
    <x v="0"/>
    <m/>
    <m/>
    <n v="0"/>
    <n v="-202"/>
    <n v="-1537.22"/>
    <n v="-121.2"/>
    <n v="20200.000000000004"/>
  </r>
  <r>
    <x v="8"/>
    <x v="0"/>
    <n v="137040182521"/>
    <n v="9548.14"/>
    <n v="13008537.390000001"/>
    <x v="0"/>
    <m/>
    <m/>
    <n v="0"/>
    <n v="-98"/>
    <n v="-95.06"/>
    <n v="-58.8"/>
    <n v="9799.9999999999982"/>
  </r>
  <r>
    <x v="8"/>
    <x v="0"/>
    <n v="137673449798"/>
    <n v="9069.1200000000008"/>
    <n v="13017606.51"/>
    <x v="0"/>
    <m/>
    <m/>
    <n v="0"/>
    <n v="-96"/>
    <n v="-377.28"/>
    <n v="-57.6"/>
    <n v="9600.0000000000018"/>
  </r>
  <r>
    <x v="8"/>
    <x v="0"/>
    <n v="137042830597"/>
    <n v="5265.82"/>
    <n v="13022872.33"/>
    <x v="0"/>
    <m/>
    <m/>
    <n v="0"/>
    <n v="-58"/>
    <n v="-441.38"/>
    <n v="-34.799999999999997"/>
    <n v="5800"/>
  </r>
  <r>
    <x v="8"/>
    <x v="0"/>
    <n v="137676231468"/>
    <n v="4676.6400000000003"/>
    <n v="13027548.970000001"/>
    <x v="0"/>
    <m/>
    <m/>
    <n v="0"/>
    <n v="-48"/>
    <n v="-46.56"/>
    <n v="-28.8"/>
    <n v="4800.0000000000009"/>
  </r>
  <r>
    <x v="8"/>
    <x v="0"/>
    <n v="137677529088"/>
    <n v="8897.42"/>
    <n v="13036446.390000001"/>
    <x v="0"/>
    <m/>
    <m/>
    <n v="0"/>
    <n v="-98"/>
    <n v="-745.78"/>
    <n v="-58.8"/>
    <n v="9800"/>
  </r>
  <r>
    <x v="8"/>
    <x v="0"/>
    <n v="137044469955"/>
    <n v="85887.34"/>
    <n v="13122333.73"/>
    <x v="0"/>
    <m/>
    <m/>
    <n v="0"/>
    <n v="-946"/>
    <n v="-7199.06"/>
    <n v="-567.6"/>
    <n v="94600"/>
  </r>
  <r>
    <x v="8"/>
    <x v="0"/>
    <n v="137044959869"/>
    <n v="62160.34"/>
    <n v="13184494.07"/>
    <x v="0"/>
    <m/>
    <m/>
    <n v="0"/>
    <n v="-638"/>
    <n v="-618.86"/>
    <n v="-382.8"/>
    <n v="63800"/>
  </r>
  <r>
    <x v="8"/>
    <x v="0"/>
    <n v="137678741226"/>
    <n v="7557.6"/>
    <n v="13192051.67"/>
    <x v="0"/>
    <m/>
    <m/>
    <n v="0"/>
    <n v="-80"/>
    <n v="-314.39999999999998"/>
    <n v="-48"/>
    <n v="8000"/>
  </r>
  <r>
    <x v="8"/>
    <x v="0"/>
    <n v="137680175054"/>
    <n v="4357.92"/>
    <n v="13196409.59"/>
    <x v="0"/>
    <m/>
    <m/>
    <n v="0"/>
    <n v="-48"/>
    <n v="-365.28"/>
    <n v="-28.8"/>
    <n v="4800"/>
  </r>
  <r>
    <x v="7"/>
    <x v="49"/>
    <n v="137371068462"/>
    <n v="30739.62"/>
    <n v="9631207.2100000009"/>
    <x v="0"/>
    <m/>
    <m/>
    <n v="-470.99"/>
    <n v="0"/>
    <n v="0"/>
    <n v="-188.39600000000002"/>
    <n v="31399.006000000001"/>
  </r>
  <r>
    <x v="7"/>
    <x v="0"/>
    <n v="136740668549"/>
    <n v="4092.06"/>
    <n v="9635299.2699999996"/>
    <x v="0"/>
    <m/>
    <m/>
    <n v="0"/>
    <n v="-42"/>
    <n v="-40.74"/>
    <n v="-25.2"/>
    <n v="4199.9999999999991"/>
  </r>
  <r>
    <x v="7"/>
    <x v="0"/>
    <n v="137373870662"/>
    <n v="29380.17"/>
    <n v="9664679.4399999995"/>
    <x v="0"/>
    <m/>
    <m/>
    <n v="0"/>
    <n v="-311"/>
    <n v="-1222.23"/>
    <n v="-186.6"/>
    <n v="31099.999999999996"/>
  </r>
  <r>
    <x v="7"/>
    <x v="0"/>
    <n v="136743127343"/>
    <n v="9450.7099999999991"/>
    <n v="9674130.1500000004"/>
    <x v="0"/>
    <m/>
    <m/>
    <n v="0"/>
    <n v="-97"/>
    <n v="-94.09"/>
    <n v="-58.2"/>
    <n v="9700"/>
  </r>
  <r>
    <x v="7"/>
    <x v="0"/>
    <n v="136743612291"/>
    <n v="37168.559999999998"/>
    <n v="9711298.7100000009"/>
    <x v="0"/>
    <m/>
    <m/>
    <n v="0"/>
    <n v="-396"/>
    <n v="-1797.84"/>
    <n v="-237.6"/>
    <n v="39599.999999999993"/>
  </r>
  <r>
    <x v="7"/>
    <x v="50"/>
    <n v="137375738068"/>
    <n v="37985.199999999997"/>
    <n v="9749283.9100000001"/>
    <x v="0"/>
    <m/>
    <m/>
    <n v="-582"/>
    <n v="0"/>
    <n v="0"/>
    <n v="-232.8"/>
    <n v="38800"/>
  </r>
  <r>
    <x v="7"/>
    <x v="51"/>
    <n v="137380209516"/>
    <n v="208331.2"/>
    <n v="9957615.1099999994"/>
    <x v="0"/>
    <m/>
    <m/>
    <n v="-3192"/>
    <n v="0"/>
    <n v="0"/>
    <n v="-1276.8"/>
    <n v="212800"/>
  </r>
  <r>
    <x v="7"/>
    <x v="0"/>
    <n v="136750250721"/>
    <n v="25233.4"/>
    <n v="9982848.5099999998"/>
    <x v="0"/>
    <m/>
    <m/>
    <n v="0"/>
    <n v="-258.99"/>
    <n v="-251.22"/>
    <n v="-155.38999999999999"/>
    <n v="25899.000000000004"/>
  </r>
  <r>
    <x v="7"/>
    <x v="52"/>
    <n v="137381180222"/>
    <n v="1266.83"/>
    <n v="9984115.3399999999"/>
    <x v="0"/>
    <m/>
    <m/>
    <n v="-19.41"/>
    <n v="0"/>
    <n v="0"/>
    <n v="-7.76"/>
    <n v="1294"/>
  </r>
  <r>
    <x v="7"/>
    <x v="0"/>
    <n v="137381613934"/>
    <n v="40334.07"/>
    <n v="10024449.41"/>
    <x v="0"/>
    <m/>
    <m/>
    <n v="0"/>
    <n v="-413.98"/>
    <n v="-401.56"/>
    <n v="-248.39"/>
    <n v="41398"/>
  </r>
  <r>
    <x v="7"/>
    <x v="0"/>
    <n v="136751051819"/>
    <n v="119574.83"/>
    <n v="10144024.24"/>
    <x v="0"/>
    <m/>
    <m/>
    <n v="0"/>
    <n v="-1273.97"/>
    <n v="-5783.82"/>
    <n v="-764.38"/>
    <n v="127397"/>
  </r>
  <r>
    <x v="7"/>
    <x v="0"/>
    <n v="136751554233"/>
    <n v="55535.1"/>
    <n v="10199559.34"/>
    <x v="0"/>
    <m/>
    <m/>
    <n v="0"/>
    <n v="-570"/>
    <n v="-552.9"/>
    <n v="-342"/>
    <n v="57000"/>
  </r>
  <r>
    <x v="7"/>
    <x v="0"/>
    <n v="137382793626"/>
    <n v="58287.99"/>
    <n v="10257847.33"/>
    <x v="0"/>
    <m/>
    <m/>
    <n v="0"/>
    <n v="-617"/>
    <n v="-2424.81"/>
    <n v="-370.2"/>
    <n v="61699.999999999993"/>
  </r>
  <r>
    <x v="7"/>
    <x v="0"/>
    <n v="136752846325"/>
    <n v="49970.85"/>
    <n v="10307818.18"/>
    <x v="0"/>
    <m/>
    <m/>
    <n v="0"/>
    <n v="-528.96"/>
    <n v="-2078.81"/>
    <n v="-317.38"/>
    <n v="52895.999999999993"/>
  </r>
  <r>
    <x v="7"/>
    <x v="0"/>
    <n v="136754028045"/>
    <n v="37597.17"/>
    <n v="10345415.35"/>
    <x v="0"/>
    <m/>
    <m/>
    <n v="0"/>
    <n v="-397.98"/>
    <n v="-1564.06"/>
    <n v="-238.79"/>
    <n v="39798"/>
  </r>
  <r>
    <x v="7"/>
    <x v="0"/>
    <n v="136754376295"/>
    <n v="9069.1200000000008"/>
    <n v="10354484.470000001"/>
    <x v="0"/>
    <m/>
    <m/>
    <n v="0"/>
    <n v="-96"/>
    <n v="-377.28"/>
    <n v="-57.6"/>
    <n v="9600.0000000000018"/>
  </r>
  <r>
    <x v="7"/>
    <x v="0"/>
    <n v="136754357781"/>
    <n v="36049.1"/>
    <n v="10390533.57"/>
    <x v="0"/>
    <m/>
    <m/>
    <n v="0"/>
    <n v="-370"/>
    <n v="-358.9"/>
    <n v="-222"/>
    <n v="37000"/>
  </r>
  <r>
    <x v="7"/>
    <x v="0"/>
    <n v="136756050703"/>
    <n v="39556.58"/>
    <n v="10430090.15"/>
    <x v="0"/>
    <m/>
    <m/>
    <n v="0"/>
    <n v="-406"/>
    <n v="-393.82"/>
    <n v="-243.6"/>
    <n v="40600"/>
  </r>
  <r>
    <x v="7"/>
    <x v="0"/>
    <n v="137387028658"/>
    <n v="52027.62"/>
    <n v="10482117.77"/>
    <x v="0"/>
    <m/>
    <m/>
    <n v="0"/>
    <n v="-534"/>
    <n v="-517.98"/>
    <n v="-320.39999999999998"/>
    <n v="53400.000000000007"/>
  </r>
  <r>
    <x v="9"/>
    <x v="53"/>
    <n v="137387927580"/>
    <n v="26922.5"/>
    <n v="10509040.27"/>
    <x v="0"/>
    <m/>
    <m/>
    <n v="-412.5"/>
    <n v="0"/>
    <n v="0"/>
    <n v="-165"/>
    <n v="27500"/>
  </r>
  <r>
    <x v="9"/>
    <x v="0"/>
    <n v="137388651946"/>
    <n v="22257.1"/>
    <n v="10531297.369999999"/>
    <x v="0"/>
    <m/>
    <m/>
    <n v="0"/>
    <n v="-230"/>
    <n v="-374.9"/>
    <n v="-138"/>
    <n v="23000"/>
  </r>
  <r>
    <x v="9"/>
    <x v="0"/>
    <n v="136758090307"/>
    <n v="8184.12"/>
    <n v="10539481.49"/>
    <x v="0"/>
    <m/>
    <m/>
    <n v="0"/>
    <n v="-84"/>
    <n v="-81.48"/>
    <n v="-50.4"/>
    <n v="8399.9999999999982"/>
  </r>
  <r>
    <x v="9"/>
    <x v="0"/>
    <n v="137389146058"/>
    <n v="46762.5"/>
    <n v="10586243.99"/>
    <x v="0"/>
    <m/>
    <m/>
    <n v="0"/>
    <n v="-479.96"/>
    <n v="-465.56"/>
    <n v="-287.98"/>
    <n v="47996"/>
  </r>
  <r>
    <x v="9"/>
    <x v="0"/>
    <n v="136759600983"/>
    <n v="65083.24"/>
    <n v="10651327.23"/>
    <x v="0"/>
    <m/>
    <m/>
    <n v="0"/>
    <n v="-668"/>
    <n v="-647.96"/>
    <n v="-400.8"/>
    <n v="66800"/>
  </r>
  <r>
    <x v="9"/>
    <x v="54"/>
    <n v="136759583173"/>
    <n v="3269.86"/>
    <n v="10654597.09"/>
    <x v="0"/>
    <m/>
    <m/>
    <n v="-50.1"/>
    <n v="0"/>
    <n v="0"/>
    <n v="-20.04"/>
    <n v="3340"/>
  </r>
  <r>
    <x v="9"/>
    <x v="55"/>
    <n v="136759889445"/>
    <n v="8027.8"/>
    <n v="10662624.890000001"/>
    <x v="0"/>
    <m/>
    <m/>
    <n v="-123"/>
    <n v="0"/>
    <n v="0"/>
    <n v="-49.2"/>
    <n v="8200"/>
  </r>
  <r>
    <x v="9"/>
    <x v="56"/>
    <n v="137391748382"/>
    <n v="23494.04"/>
    <n v="10686118.93"/>
    <x v="0"/>
    <m/>
    <m/>
    <n v="-359.97"/>
    <n v="0"/>
    <n v="0"/>
    <n v="-143.98800000000003"/>
    <n v="23997.998000000003"/>
  </r>
  <r>
    <x v="9"/>
    <x v="0"/>
    <n v="137392666128"/>
    <n v="15101.65"/>
    <n v="10701220.58"/>
    <x v="0"/>
    <m/>
    <m/>
    <n v="0"/>
    <n v="-155"/>
    <n v="-150.35"/>
    <n v="-93"/>
    <n v="15500"/>
  </r>
  <r>
    <x v="9"/>
    <x v="0"/>
    <n v="136761788097"/>
    <n v="16059.9"/>
    <n v="10717280.48"/>
    <x v="0"/>
    <m/>
    <m/>
    <n v="0"/>
    <n v="-170"/>
    <n v="-668.1"/>
    <n v="-102"/>
    <n v="17000"/>
  </r>
  <r>
    <x v="9"/>
    <x v="0"/>
    <n v="136762890073"/>
    <n v="26451.599999999999"/>
    <n v="10743732.08"/>
    <x v="0"/>
    <m/>
    <m/>
    <n v="0"/>
    <n v="-280"/>
    <n v="-1100.4000000000001"/>
    <n v="-168"/>
    <n v="28000"/>
  </r>
  <r>
    <x v="9"/>
    <x v="0"/>
    <n v="136763077907"/>
    <n v="19875.72"/>
    <n v="10763607.800000001"/>
    <x v="0"/>
    <m/>
    <m/>
    <n v="0"/>
    <n v="-204"/>
    <n v="-197.88"/>
    <n v="-122.4"/>
    <n v="20400.000000000004"/>
  </r>
  <r>
    <x v="9"/>
    <x v="57"/>
    <n v="136763226203"/>
    <n v="998.58"/>
    <n v="10764606.380000001"/>
    <x v="0"/>
    <m/>
    <m/>
    <n v="-15.3"/>
    <n v="0"/>
    <n v="0"/>
    <n v="-6.12"/>
    <n v="1020"/>
  </r>
  <r>
    <x v="9"/>
    <x v="0"/>
    <n v="136763246569"/>
    <n v="18414.27"/>
    <n v="10783020.65"/>
    <x v="0"/>
    <m/>
    <m/>
    <n v="0"/>
    <n v="-189"/>
    <n v="-183.33"/>
    <n v="-113.4"/>
    <n v="18900.000000000004"/>
  </r>
  <r>
    <x v="9"/>
    <x v="0"/>
    <n v="136763251849"/>
    <n v="89243.93"/>
    <n v="10872264.58"/>
    <x v="0"/>
    <m/>
    <m/>
    <n v="0"/>
    <n v="-915.98"/>
    <n v="-888.5"/>
    <n v="-549.59"/>
    <n v="91597.999999999985"/>
  </r>
  <r>
    <x v="9"/>
    <x v="0"/>
    <n v="137504808854"/>
    <n v="16368.24"/>
    <n v="10888632.82"/>
    <x v="0"/>
    <m/>
    <m/>
    <n v="0"/>
    <n v="-168"/>
    <n v="-162.96"/>
    <n v="-100.8"/>
    <n v="16799.999999999996"/>
  </r>
  <r>
    <x v="9"/>
    <x v="0"/>
    <n v="137505117298"/>
    <n v="9573.7199999999993"/>
    <n v="10898206.539999999"/>
    <x v="0"/>
    <m/>
    <m/>
    <n v="0"/>
    <n v="-102"/>
    <n v="-463.08"/>
    <n v="-61.2"/>
    <n v="10200"/>
  </r>
  <r>
    <x v="9"/>
    <x v="0"/>
    <n v="137509141570"/>
    <n v="8573.84"/>
    <n v="10906780.380000001"/>
    <x v="0"/>
    <m/>
    <m/>
    <n v="0"/>
    <n v="-88"/>
    <n v="-85.36"/>
    <n v="-52.8"/>
    <n v="8800"/>
  </r>
  <r>
    <x v="9"/>
    <x v="0"/>
    <n v="137514965726"/>
    <n v="13335.48"/>
    <n v="10920115.859999999"/>
    <x v="0"/>
    <m/>
    <m/>
    <n v="0"/>
    <n v="-153"/>
    <n v="-1719.72"/>
    <n v="-91.8"/>
    <n v="15299.999999999998"/>
  </r>
  <r>
    <x v="9"/>
    <x v="0"/>
    <n v="137516316134"/>
    <n v="24604.09"/>
    <n v="10944719.949999999"/>
    <x v="0"/>
    <m/>
    <m/>
    <n v="0"/>
    <n v="-271"/>
    <n v="-2062.31"/>
    <n v="-162.6"/>
    <n v="27100"/>
  </r>
  <r>
    <x v="9"/>
    <x v="0"/>
    <n v="137517341310"/>
    <n v="13328.12"/>
    <n v="10958048.07"/>
    <x v="0"/>
    <m/>
    <m/>
    <n v="0"/>
    <n v="-142"/>
    <n v="-644.67999999999995"/>
    <n v="-85.2"/>
    <n v="14200.000000000002"/>
  </r>
  <r>
    <x v="9"/>
    <x v="0"/>
    <n v="136888436805"/>
    <n v="25285.01"/>
    <n v="10983333.08"/>
    <x v="0"/>
    <m/>
    <m/>
    <n v="0"/>
    <n v="-278.5"/>
    <n v="-2119.39"/>
    <n v="-167.1"/>
    <n v="27849.999999999996"/>
  </r>
  <r>
    <x v="9"/>
    <x v="0"/>
    <n v="137521468712"/>
    <n v="20362.87"/>
    <n v="11003695.949999999"/>
    <x v="0"/>
    <m/>
    <m/>
    <n v="0"/>
    <n v="-209"/>
    <n v="-202.73"/>
    <n v="-125.4"/>
    <n v="20900"/>
  </r>
  <r>
    <x v="9"/>
    <x v="58"/>
    <n v="136888633383"/>
    <n v="2046.11"/>
    <n v="11005742.060000001"/>
    <x v="0"/>
    <m/>
    <m/>
    <n v="-31.35"/>
    <n v="0"/>
    <n v="0"/>
    <n v="-12.54"/>
    <n v="2090"/>
  </r>
  <r>
    <x v="9"/>
    <x v="0"/>
    <n v="137523926554"/>
    <n v="28546.99"/>
    <n v="11034289.050000001"/>
    <x v="0"/>
    <m/>
    <m/>
    <n v="0"/>
    <n v="-293"/>
    <n v="-284.20999999999998"/>
    <n v="-175.8"/>
    <n v="29300"/>
  </r>
  <r>
    <x v="9"/>
    <x v="0"/>
    <n v="136890753563"/>
    <n v="20972.34"/>
    <n v="11055261.390000001"/>
    <x v="0"/>
    <m/>
    <m/>
    <n v="0"/>
    <n v="-222"/>
    <n v="-872.46"/>
    <n v="-133.19999999999999"/>
    <n v="22200"/>
  </r>
  <r>
    <x v="9"/>
    <x v="0"/>
    <n v="136893462517"/>
    <n v="11714.28"/>
    <n v="11066975.67"/>
    <x v="0"/>
    <m/>
    <m/>
    <n v="0"/>
    <n v="-124"/>
    <n v="-487.32"/>
    <n v="-74.400000000000006"/>
    <n v="12400"/>
  </r>
  <r>
    <x v="9"/>
    <x v="0"/>
    <n v="136893538091"/>
    <n v="10425.01"/>
    <n v="11077400.68"/>
    <x v="0"/>
    <m/>
    <m/>
    <n v="0"/>
    <n v="-107"/>
    <n v="-103.79"/>
    <n v="-64.2"/>
    <n v="10700.000000000002"/>
  </r>
  <r>
    <x v="9"/>
    <x v="0"/>
    <n v="136894464427"/>
    <n v="4676.6400000000003"/>
    <n v="11082077.32"/>
    <x v="0"/>
    <m/>
    <m/>
    <n v="0"/>
    <n v="-48"/>
    <n v="-46.56"/>
    <n v="-28.8"/>
    <n v="4800.0000000000009"/>
  </r>
  <r>
    <x v="9"/>
    <x v="0"/>
    <n v="136894824195"/>
    <n v="33418.49"/>
    <n v="11115495.810000001"/>
    <x v="0"/>
    <m/>
    <m/>
    <n v="0"/>
    <n v="-343"/>
    <n v="-332.71"/>
    <n v="-205.8"/>
    <n v="34300"/>
  </r>
  <r>
    <x v="9"/>
    <x v="0"/>
    <n v="137530279132"/>
    <n v="4092.06"/>
    <n v="11119587.869999999"/>
    <x v="0"/>
    <m/>
    <m/>
    <n v="0"/>
    <n v="-42"/>
    <n v="-40.74"/>
    <n v="-25.2"/>
    <n v="4199.9999999999991"/>
  </r>
  <r>
    <x v="9"/>
    <x v="0"/>
    <n v="136898510177"/>
    <n v="34292.61"/>
    <n v="11153880.48"/>
    <x v="0"/>
    <m/>
    <m/>
    <n v="0"/>
    <n v="-363"/>
    <n v="-1426.59"/>
    <n v="-217.8"/>
    <n v="36300"/>
  </r>
  <r>
    <x v="9"/>
    <x v="0"/>
    <n v="136898457817"/>
    <n v="4505.28"/>
    <n v="11158385.76"/>
    <x v="0"/>
    <m/>
    <m/>
    <n v="0"/>
    <n v="-48"/>
    <n v="-217.92"/>
    <n v="-28.8"/>
    <n v="4800"/>
  </r>
  <r>
    <x v="9"/>
    <x v="0"/>
    <n v="137531931628"/>
    <n v="7014.96"/>
    <n v="11165400.720000001"/>
    <x v="0"/>
    <m/>
    <m/>
    <n v="0"/>
    <n v="-72"/>
    <n v="-69.84"/>
    <n v="-43.2"/>
    <n v="7200"/>
  </r>
  <r>
    <x v="9"/>
    <x v="0"/>
    <n v="137533326606"/>
    <n v="16160.62"/>
    <n v="11181561.34"/>
    <x v="0"/>
    <m/>
    <m/>
    <n v="0"/>
    <n v="-178"/>
    <n v="-1354.58"/>
    <n v="-106.8"/>
    <n v="17800"/>
  </r>
  <r>
    <x v="9"/>
    <x v="0"/>
    <n v="136900364237"/>
    <n v="9353.2800000000007"/>
    <n v="11190914.619999999"/>
    <x v="0"/>
    <m/>
    <m/>
    <n v="0"/>
    <n v="-96"/>
    <n v="-93.12"/>
    <n v="-57.6"/>
    <n v="9600.0000000000018"/>
  </r>
  <r>
    <x v="9"/>
    <x v="0"/>
    <n v="137533431786"/>
    <n v="4676.6400000000003"/>
    <n v="11195591.26"/>
    <x v="0"/>
    <m/>
    <m/>
    <n v="0"/>
    <n v="-48"/>
    <n v="-46.56"/>
    <n v="-28.8"/>
    <n v="4800.0000000000009"/>
  </r>
  <r>
    <x v="9"/>
    <x v="0"/>
    <n v="136901010631"/>
    <n v="10717.3"/>
    <n v="11206308.560000001"/>
    <x v="0"/>
    <m/>
    <m/>
    <n v="0"/>
    <n v="-110"/>
    <n v="-106.7"/>
    <n v="-66"/>
    <n v="11000"/>
  </r>
  <r>
    <x v="9"/>
    <x v="0"/>
    <n v="136901033757"/>
    <n v="4357.92"/>
    <n v="11210666.48"/>
    <x v="0"/>
    <m/>
    <m/>
    <n v="0"/>
    <n v="-48"/>
    <n v="-365.28"/>
    <n v="-28.8"/>
    <n v="4800"/>
  </r>
  <r>
    <x v="9"/>
    <x v="0"/>
    <n v="136901169545"/>
    <n v="9255.85"/>
    <n v="11219922.33"/>
    <x v="0"/>
    <m/>
    <m/>
    <n v="0"/>
    <n v="-95"/>
    <n v="-92.15"/>
    <n v="-57"/>
    <n v="9500"/>
  </r>
  <r>
    <x v="9"/>
    <x v="0"/>
    <n v="136901524811"/>
    <n v="13250.48"/>
    <n v="11233172.810000001"/>
    <x v="0"/>
    <m/>
    <m/>
    <n v="0"/>
    <n v="-136"/>
    <n v="-131.91999999999999"/>
    <n v="-81.599999999999994"/>
    <n v="13600"/>
  </r>
  <r>
    <x v="9"/>
    <x v="0"/>
    <n v="137534515306"/>
    <n v="4286.92"/>
    <n v="11237459.73"/>
    <x v="0"/>
    <m/>
    <m/>
    <n v="0"/>
    <n v="-44"/>
    <n v="-42.68"/>
    <n v="-26.4"/>
    <n v="4400"/>
  </r>
  <r>
    <x v="9"/>
    <x v="0"/>
    <n v="136901930449"/>
    <n v="4774.07"/>
    <n v="11242233.800000001"/>
    <x v="0"/>
    <m/>
    <m/>
    <n v="0"/>
    <n v="-49"/>
    <n v="-47.53"/>
    <n v="-29.4"/>
    <n v="4899.9999999999991"/>
  </r>
  <r>
    <x v="9"/>
    <x v="0"/>
    <n v="136901875985"/>
    <n v="10717.3"/>
    <n v="11252951.1"/>
    <x v="0"/>
    <m/>
    <m/>
    <n v="0"/>
    <n v="-110"/>
    <n v="-106.7"/>
    <n v="-66"/>
    <n v="11000"/>
  </r>
  <r>
    <x v="9"/>
    <x v="59"/>
    <n v="136902088409"/>
    <n v="1076.9000000000001"/>
    <n v="11254028"/>
    <x v="0"/>
    <m/>
    <m/>
    <n v="-16.5"/>
    <n v="0"/>
    <n v="0"/>
    <n v="-6.6"/>
    <n v="1100"/>
  </r>
  <r>
    <x v="9"/>
    <x v="0"/>
    <n v="136902227587"/>
    <n v="8534.26"/>
    <n v="11262562.26"/>
    <x v="0"/>
    <m/>
    <m/>
    <n v="0"/>
    <n v="-94"/>
    <n v="-715.34"/>
    <n v="-56.4"/>
    <n v="9400"/>
  </r>
  <r>
    <x v="9"/>
    <x v="0"/>
    <n v="137535694252"/>
    <n v="4676.6400000000003"/>
    <n v="11267238.9"/>
    <x v="0"/>
    <m/>
    <m/>
    <n v="0"/>
    <n v="-48"/>
    <n v="-46.56"/>
    <n v="-28.8"/>
    <n v="4800.0000000000009"/>
  </r>
  <r>
    <x v="9"/>
    <x v="0"/>
    <n v="136902790397"/>
    <n v="4676.6400000000003"/>
    <n v="11271915.539999999"/>
    <x v="0"/>
    <m/>
    <m/>
    <n v="0"/>
    <n v="-48"/>
    <n v="-46.56"/>
    <n v="-28.8"/>
    <n v="4800.0000000000009"/>
  </r>
  <r>
    <x v="9"/>
    <x v="0"/>
    <n v="136903070923"/>
    <n v="4676.6400000000003"/>
    <n v="11276592.18"/>
    <x v="0"/>
    <m/>
    <m/>
    <n v="0"/>
    <n v="-48"/>
    <n v="-46.56"/>
    <n v="-28.8"/>
    <n v="4800.0000000000009"/>
  </r>
  <r>
    <x v="9"/>
    <x v="0"/>
    <n v="137536620552"/>
    <n v="36731.11"/>
    <n v="11313323.289999999"/>
    <x v="0"/>
    <m/>
    <m/>
    <n v="0"/>
    <n v="-377"/>
    <n v="-365.69"/>
    <n v="-226.2"/>
    <n v="37700"/>
  </r>
  <r>
    <x v="9"/>
    <x v="0"/>
    <n v="137536970538"/>
    <n v="5631.6"/>
    <n v="11318954.890000001"/>
    <x v="0"/>
    <m/>
    <m/>
    <n v="0"/>
    <n v="-60"/>
    <n v="-272.39999999999998"/>
    <n v="-36"/>
    <n v="6000"/>
  </r>
  <r>
    <x v="9"/>
    <x v="0"/>
    <n v="136903665553"/>
    <n v="37851.550000000003"/>
    <n v="11356806.439999999"/>
    <x v="0"/>
    <m/>
    <m/>
    <n v="0"/>
    <n v="-388.5"/>
    <n v="-376.85"/>
    <n v="-233.1"/>
    <n v="38850"/>
  </r>
  <r>
    <x v="9"/>
    <x v="0"/>
    <n v="136903852707"/>
    <n v="67109.899999999994"/>
    <n v="11423916.34"/>
    <x v="0"/>
    <m/>
    <m/>
    <n v="0"/>
    <n v="-715"/>
    <n v="-3246.1"/>
    <n v="-429"/>
    <n v="71500"/>
  </r>
  <r>
    <x v="9"/>
    <x v="0"/>
    <n v="136903944835"/>
    <n v="50858.46"/>
    <n v="11474774.800000001"/>
    <x v="0"/>
    <m/>
    <m/>
    <n v="0"/>
    <n v="-522"/>
    <n v="-506.34"/>
    <n v="-313.2"/>
    <n v="52199.999999999993"/>
  </r>
  <r>
    <x v="9"/>
    <x v="0"/>
    <n v="136903887707"/>
    <n v="4676.6400000000003"/>
    <n v="11479451.439999999"/>
    <x v="0"/>
    <m/>
    <m/>
    <n v="0"/>
    <n v="-48"/>
    <n v="-46.56"/>
    <n v="-28.8"/>
    <n v="4800.0000000000009"/>
  </r>
  <r>
    <x v="9"/>
    <x v="0"/>
    <n v="136904114823"/>
    <n v="4092.06"/>
    <n v="11483543.5"/>
    <x v="0"/>
    <m/>
    <m/>
    <n v="0"/>
    <n v="-42"/>
    <n v="-40.74"/>
    <n v="-25.2"/>
    <n v="4199.9999999999991"/>
  </r>
  <r>
    <x v="9"/>
    <x v="0"/>
    <n v="136904069765"/>
    <n v="58360.57"/>
    <n v="11541904.07"/>
    <x v="0"/>
    <m/>
    <m/>
    <n v="0"/>
    <n v="-599"/>
    <n v="-581.03"/>
    <n v="-359.4"/>
    <n v="59900"/>
  </r>
  <r>
    <x v="9"/>
    <x v="0"/>
    <n v="136904745081"/>
    <n v="4676.6400000000003"/>
    <n v="11546580.710000001"/>
    <x v="0"/>
    <m/>
    <m/>
    <n v="0"/>
    <n v="-48"/>
    <n v="-46.56"/>
    <n v="-28.8"/>
    <n v="4800.0000000000009"/>
  </r>
  <r>
    <x v="9"/>
    <x v="60"/>
    <n v="137537835128"/>
    <n v="234.96"/>
    <n v="11546815.67"/>
    <x v="0"/>
    <m/>
    <m/>
    <n v="-3.6"/>
    <n v="0"/>
    <n v="0"/>
    <n v="-1.44"/>
    <n v="240"/>
  </r>
  <r>
    <x v="9"/>
    <x v="0"/>
    <n v="137538383964"/>
    <n v="72836.37"/>
    <n v="11619652.039999999"/>
    <x v="0"/>
    <m/>
    <m/>
    <n v="0"/>
    <n v="-771"/>
    <n v="-3030.03"/>
    <n v="-462.6"/>
    <n v="77100"/>
  </r>
  <r>
    <x v="9"/>
    <x v="0"/>
    <n v="136905808451"/>
    <n v="8184.12"/>
    <n v="11627836.16"/>
    <x v="0"/>
    <m/>
    <m/>
    <n v="0"/>
    <n v="-84"/>
    <n v="-81.48"/>
    <n v="-50.4"/>
    <n v="8399.9999999999982"/>
  </r>
  <r>
    <x v="9"/>
    <x v="0"/>
    <n v="136905906851"/>
    <n v="4676.6400000000003"/>
    <n v="11632512.800000001"/>
    <x v="0"/>
    <m/>
    <m/>
    <n v="0"/>
    <n v="-48"/>
    <n v="-46.56"/>
    <n v="-28.8"/>
    <n v="4800.0000000000009"/>
  </r>
  <r>
    <x v="9"/>
    <x v="0"/>
    <n v="137539201804"/>
    <n v="3994.63"/>
    <n v="11636507.43"/>
    <x v="0"/>
    <m/>
    <m/>
    <n v="0"/>
    <n v="-41"/>
    <n v="-39.770000000000003"/>
    <n v="-24.6"/>
    <n v="4100"/>
  </r>
  <r>
    <x v="9"/>
    <x v="0"/>
    <n v="137539449132"/>
    <n v="41115.46"/>
    <n v="11677622.890000001"/>
    <x v="0"/>
    <m/>
    <m/>
    <n v="0"/>
    <n v="-422"/>
    <n v="-409.34"/>
    <n v="-253.2"/>
    <n v="42199.999999999993"/>
  </r>
  <r>
    <x v="9"/>
    <x v="0"/>
    <n v="136906571367"/>
    <n v="15393.94"/>
    <n v="11693016.83"/>
    <x v="0"/>
    <m/>
    <m/>
    <n v="0"/>
    <n v="-158"/>
    <n v="-153.26"/>
    <n v="-94.8"/>
    <n v="15800"/>
  </r>
  <r>
    <x v="9"/>
    <x v="0"/>
    <n v="136906923221"/>
    <n v="106685.85"/>
    <n v="11799702.68"/>
    <x v="0"/>
    <m/>
    <m/>
    <n v="0"/>
    <n v="-1095"/>
    <n v="-1062.1500000000001"/>
    <n v="-657"/>
    <n v="109500"/>
  </r>
  <r>
    <x v="8"/>
    <x v="0"/>
    <n v="137540105336"/>
    <n v="4676.6400000000003"/>
    <n v="11804379.32"/>
    <x v="0"/>
    <m/>
    <m/>
    <n v="0"/>
    <n v="-48"/>
    <n v="-46.56"/>
    <n v="-28.8"/>
    <n v="4800.0000000000009"/>
  </r>
  <r>
    <x v="8"/>
    <x v="0"/>
    <n v="136907146003"/>
    <n v="45012.66"/>
    <n v="11849391.98"/>
    <x v="0"/>
    <m/>
    <m/>
    <n v="0"/>
    <n v="-462"/>
    <n v="-448.14"/>
    <n v="-277.2"/>
    <n v="46200"/>
  </r>
  <r>
    <x v="8"/>
    <x v="0"/>
    <n v="137540388010"/>
    <n v="9353.2800000000007"/>
    <n v="11858745.26"/>
    <x v="0"/>
    <m/>
    <m/>
    <n v="0"/>
    <n v="-96"/>
    <n v="-93.12"/>
    <n v="-57.6"/>
    <n v="9600.0000000000018"/>
  </r>
  <r>
    <x v="8"/>
    <x v="0"/>
    <n v="137540595612"/>
    <n v="3897.2"/>
    <n v="11862642.460000001"/>
    <x v="0"/>
    <m/>
    <m/>
    <n v="0"/>
    <n v="-40"/>
    <n v="-38.799999999999997"/>
    <n v="-24"/>
    <n v="4000"/>
  </r>
  <r>
    <x v="8"/>
    <x v="0"/>
    <n v="137541156138"/>
    <n v="12471.04"/>
    <n v="11875113.5"/>
    <x v="0"/>
    <m/>
    <m/>
    <n v="0"/>
    <n v="-128"/>
    <n v="-124.16"/>
    <n v="-76.8"/>
    <n v="12800"/>
  </r>
  <r>
    <x v="8"/>
    <x v="61"/>
    <n v="137541122404"/>
    <n v="1253.1199999999999"/>
    <n v="11876366.619999999"/>
    <x v="0"/>
    <m/>
    <m/>
    <n v="-19.2"/>
    <n v="0"/>
    <n v="0"/>
    <n v="-7.68"/>
    <n v="1280"/>
  </r>
  <r>
    <x v="8"/>
    <x v="0"/>
    <n v="136907946313"/>
    <n v="27237"/>
    <n v="11903603.619999999"/>
    <x v="0"/>
    <m/>
    <m/>
    <n v="0"/>
    <n v="-300"/>
    <n v="-2283"/>
    <n v="-180"/>
    <n v="30000"/>
  </r>
  <r>
    <x v="8"/>
    <x v="0"/>
    <n v="137541218458"/>
    <n v="4676.6400000000003"/>
    <n v="11908280.26"/>
    <x v="0"/>
    <m/>
    <m/>
    <n v="0"/>
    <n v="-48"/>
    <n v="-46.56"/>
    <n v="-28.8"/>
    <n v="4800.0000000000009"/>
  </r>
  <r>
    <x v="8"/>
    <x v="0"/>
    <n v="137541514796"/>
    <n v="3994.63"/>
    <n v="11912274.890000001"/>
    <x v="0"/>
    <m/>
    <m/>
    <n v="0"/>
    <n v="-41"/>
    <n v="-39.770000000000003"/>
    <n v="-24.6"/>
    <n v="4100"/>
  </r>
  <r>
    <x v="8"/>
    <x v="0"/>
    <n v="137541617978"/>
    <n v="4286.92"/>
    <n v="11916561.810000001"/>
    <x v="0"/>
    <m/>
    <m/>
    <n v="0"/>
    <n v="-44"/>
    <n v="-42.68"/>
    <n v="-26.4"/>
    <n v="4400"/>
  </r>
  <r>
    <x v="8"/>
    <x v="0"/>
    <n v="137542444234"/>
    <n v="46863.83"/>
    <n v="11963425.640000001"/>
    <x v="0"/>
    <m/>
    <m/>
    <n v="0"/>
    <n v="-481"/>
    <n v="-466.57"/>
    <n v="-288.60000000000002"/>
    <n v="48100"/>
  </r>
  <r>
    <x v="8"/>
    <x v="0"/>
    <n v="137542387224"/>
    <n v="44030.35"/>
    <n v="12007455.99"/>
    <x v="0"/>
    <m/>
    <m/>
    <n v="0"/>
    <n v="-455"/>
    <n v="-741.65"/>
    <n v="-273"/>
    <n v="45500"/>
  </r>
  <r>
    <x v="8"/>
    <x v="0"/>
    <n v="136909607997"/>
    <n v="4676.6400000000003"/>
    <n v="12012132.630000001"/>
    <x v="0"/>
    <m/>
    <m/>
    <n v="0"/>
    <n v="-48"/>
    <n v="-46.56"/>
    <n v="-28.8"/>
    <n v="4800.0000000000009"/>
  </r>
  <r>
    <x v="8"/>
    <x v="0"/>
    <n v="137542736688"/>
    <n v="8715.84"/>
    <n v="12020848.470000001"/>
    <x v="0"/>
    <m/>
    <m/>
    <n v="0"/>
    <n v="-96"/>
    <n v="-730.56"/>
    <n v="-57.6"/>
    <n v="9600"/>
  </r>
  <r>
    <x v="8"/>
    <x v="0"/>
    <n v="137542727460"/>
    <n v="17927.12"/>
    <n v="12038775.59"/>
    <x v="0"/>
    <m/>
    <m/>
    <n v="0"/>
    <n v="-184"/>
    <n v="-178.48"/>
    <n v="-110.4"/>
    <n v="18400"/>
  </r>
  <r>
    <x v="8"/>
    <x v="0"/>
    <n v="136910253133"/>
    <n v="7794.4"/>
    <n v="12046569.99"/>
    <x v="0"/>
    <m/>
    <m/>
    <n v="0"/>
    <n v="-80"/>
    <n v="-77.599999999999994"/>
    <n v="-48"/>
    <n v="8000"/>
  </r>
  <r>
    <x v="8"/>
    <x v="0"/>
    <n v="137543547888"/>
    <n v="39459.15"/>
    <n v="12086029.140000001"/>
    <x v="0"/>
    <m/>
    <m/>
    <n v="0"/>
    <n v="-405"/>
    <n v="-392.85"/>
    <n v="-243"/>
    <n v="40500"/>
  </r>
  <r>
    <x v="8"/>
    <x v="0"/>
    <n v="137544322996"/>
    <n v="80274.36"/>
    <n v="12166303.5"/>
    <x v="0"/>
    <m/>
    <m/>
    <n v="0"/>
    <n v="-921"/>
    <n v="-10352.040000000001"/>
    <n v="-552.6"/>
    <n v="92100"/>
  </r>
  <r>
    <x v="8"/>
    <x v="0"/>
    <n v="137544399486"/>
    <n v="4092.06"/>
    <n v="12170395.560000001"/>
    <x v="0"/>
    <m/>
    <m/>
    <n v="0"/>
    <n v="-42"/>
    <n v="-40.74"/>
    <n v="-25.2"/>
    <n v="4199.9999999999991"/>
  </r>
  <r>
    <x v="8"/>
    <x v="0"/>
    <n v="136911982075"/>
    <n v="14322.21"/>
    <n v="12184717.77"/>
    <x v="0"/>
    <m/>
    <m/>
    <n v="0"/>
    <n v="-147"/>
    <n v="-142.59"/>
    <n v="-88.2"/>
    <n v="14700"/>
  </r>
  <r>
    <x v="8"/>
    <x v="0"/>
    <n v="136912149021"/>
    <n v="103762.95"/>
    <n v="12288480.720000001"/>
    <x v="0"/>
    <m/>
    <m/>
    <n v="0"/>
    <n v="-1065"/>
    <n v="-1033.05"/>
    <n v="-639"/>
    <n v="106500"/>
  </r>
  <r>
    <x v="8"/>
    <x v="0"/>
    <n v="137545150932"/>
    <n v="4676.6400000000003"/>
    <n v="12293157.359999999"/>
    <x v="0"/>
    <m/>
    <m/>
    <n v="0"/>
    <n v="-48"/>
    <n v="-46.56"/>
    <n v="-28.8"/>
    <n v="4800.0000000000009"/>
  </r>
  <r>
    <x v="8"/>
    <x v="0"/>
    <n v="136912380571"/>
    <n v="19616.740000000002"/>
    <n v="12312774.1"/>
    <x v="0"/>
    <m/>
    <m/>
    <n v="0"/>
    <n v="-209"/>
    <n v="-948.86"/>
    <n v="-125.4"/>
    <n v="20900.000000000004"/>
  </r>
  <r>
    <x v="8"/>
    <x v="0"/>
    <n v="137545478442"/>
    <n v="11691.6"/>
    <n v="12324465.699999999"/>
    <x v="0"/>
    <m/>
    <m/>
    <n v="0"/>
    <n v="-120"/>
    <n v="-116.4"/>
    <n v="-72"/>
    <n v="12000"/>
  </r>
  <r>
    <x v="8"/>
    <x v="0"/>
    <n v="137545257514"/>
    <n v="20947.45"/>
    <n v="12345413.15"/>
    <x v="0"/>
    <m/>
    <m/>
    <n v="0"/>
    <n v="-215"/>
    <n v="-208.55"/>
    <n v="-129"/>
    <n v="21500"/>
  </r>
  <r>
    <x v="8"/>
    <x v="0"/>
    <n v="136912524459"/>
    <n v="26793.25"/>
    <n v="12372206.4"/>
    <x v="0"/>
    <m/>
    <m/>
    <n v="0"/>
    <n v="-275"/>
    <n v="-266.75"/>
    <n v="-165"/>
    <n v="27500"/>
  </r>
  <r>
    <x v="8"/>
    <x v="0"/>
    <n v="137545399844"/>
    <n v="42869.2"/>
    <n v="12415075.6"/>
    <x v="0"/>
    <m/>
    <m/>
    <n v="0"/>
    <n v="-440"/>
    <n v="-426.8"/>
    <n v="-264"/>
    <n v="44000"/>
  </r>
  <r>
    <x v="8"/>
    <x v="62"/>
    <n v="137545666916"/>
    <n v="2153.8000000000002"/>
    <n v="12417229.4"/>
    <x v="0"/>
    <m/>
    <m/>
    <n v="-33"/>
    <n v="0"/>
    <n v="0"/>
    <n v="-13.2"/>
    <n v="2200"/>
  </r>
  <r>
    <x v="8"/>
    <x v="0"/>
    <n v="136912525375"/>
    <n v="22798.62"/>
    <n v="12440028.02"/>
    <x v="0"/>
    <m/>
    <m/>
    <n v="0"/>
    <n v="-234"/>
    <n v="-226.98"/>
    <n v="-140.4"/>
    <n v="23400"/>
  </r>
  <r>
    <x v="8"/>
    <x v="0"/>
    <n v="136912585861"/>
    <n v="22798.62"/>
    <n v="12462826.640000001"/>
    <x v="0"/>
    <m/>
    <m/>
    <n v="0"/>
    <n v="-234"/>
    <n v="-226.98"/>
    <n v="-140.4"/>
    <n v="23400"/>
  </r>
  <r>
    <x v="8"/>
    <x v="0"/>
    <n v="136912751489"/>
    <n v="13250.48"/>
    <n v="12476077.119999999"/>
    <x v="0"/>
    <m/>
    <m/>
    <n v="0"/>
    <n v="-136"/>
    <n v="-131.91999999999999"/>
    <n v="-81.599999999999994"/>
    <n v="13600"/>
  </r>
  <r>
    <x v="8"/>
    <x v="0"/>
    <n v="136912732043"/>
    <n v="8184.12"/>
    <n v="12484261.24"/>
    <x v="0"/>
    <m/>
    <m/>
    <n v="0"/>
    <n v="-84"/>
    <n v="-81.48"/>
    <n v="-50.4"/>
    <n v="8399.9999999999982"/>
  </r>
  <r>
    <x v="8"/>
    <x v="0"/>
    <n v="136912975121"/>
    <n v="60406.6"/>
    <n v="12544667.84"/>
    <x v="0"/>
    <m/>
    <m/>
    <n v="0"/>
    <n v="-620"/>
    <n v="-601.4"/>
    <n v="-372"/>
    <n v="62000"/>
  </r>
  <r>
    <x v="8"/>
    <x v="0"/>
    <n v="137546227878"/>
    <n v="12568.47"/>
    <n v="12557236.310000001"/>
    <x v="0"/>
    <m/>
    <m/>
    <n v="0"/>
    <n v="-129"/>
    <n v="-125.13"/>
    <n v="-77.400000000000006"/>
    <n v="12899.999999999998"/>
  </r>
  <r>
    <x v="8"/>
    <x v="0"/>
    <n v="137546451270"/>
    <n v="13153.05"/>
    <n v="12570389.359999999"/>
    <x v="0"/>
    <m/>
    <m/>
    <n v="0"/>
    <n v="-135"/>
    <n v="-130.94999999999999"/>
    <n v="-81"/>
    <n v="13500"/>
  </r>
  <r>
    <x v="8"/>
    <x v="0"/>
    <n v="136913470977"/>
    <n v="9010.56"/>
    <n v="12579399.92"/>
    <x v="0"/>
    <m/>
    <m/>
    <n v="0"/>
    <n v="-96"/>
    <n v="-435.84"/>
    <n v="-57.6"/>
    <n v="9600"/>
  </r>
  <r>
    <x v="8"/>
    <x v="0"/>
    <n v="137546578068"/>
    <n v="7172.41"/>
    <n v="12586572.33"/>
    <x v="0"/>
    <m/>
    <m/>
    <n v="0"/>
    <n v="-79"/>
    <n v="-601.19000000000005"/>
    <n v="-47.4"/>
    <n v="7900"/>
  </r>
  <r>
    <x v="8"/>
    <x v="0"/>
    <n v="136914112129"/>
    <n v="4676.6400000000003"/>
    <n v="12591248.970000001"/>
    <x v="0"/>
    <m/>
    <m/>
    <n v="0"/>
    <n v="-48"/>
    <n v="-46.56"/>
    <n v="-28.8"/>
    <n v="4800.0000000000009"/>
  </r>
  <r>
    <x v="8"/>
    <x v="0"/>
    <n v="137547228792"/>
    <n v="9010.56"/>
    <n v="12600259.529999999"/>
    <x v="0"/>
    <m/>
    <m/>
    <n v="0"/>
    <n v="-96"/>
    <n v="-435.84"/>
    <n v="-57.6"/>
    <n v="9600"/>
  </r>
  <r>
    <x v="8"/>
    <x v="0"/>
    <n v="136914446137"/>
    <n v="5650.94"/>
    <n v="12605910.470000001"/>
    <x v="0"/>
    <m/>
    <m/>
    <n v="0"/>
    <n v="-58"/>
    <n v="-56.26"/>
    <n v="-34.799999999999997"/>
    <n v="5800"/>
  </r>
  <r>
    <x v="8"/>
    <x v="0"/>
    <n v="136914272051"/>
    <n v="12373.61"/>
    <n v="12618284.08"/>
    <x v="0"/>
    <m/>
    <m/>
    <n v="0"/>
    <n v="-127"/>
    <n v="-123.19"/>
    <n v="-76.2"/>
    <n v="12700.000000000002"/>
  </r>
  <r>
    <x v="8"/>
    <x v="0"/>
    <n v="136914524535"/>
    <n v="4676.6400000000003"/>
    <n v="12622960.720000001"/>
    <x v="0"/>
    <m/>
    <m/>
    <n v="0"/>
    <n v="-48"/>
    <n v="-46.56"/>
    <n v="-28.8"/>
    <n v="4800.0000000000009"/>
  </r>
  <r>
    <x v="8"/>
    <x v="0"/>
    <n v="137547309798"/>
    <n v="8715.84"/>
    <n v="12631676.560000001"/>
    <x v="0"/>
    <m/>
    <m/>
    <n v="0"/>
    <n v="-96"/>
    <n v="-730.56"/>
    <n v="-57.6"/>
    <n v="9600"/>
  </r>
  <r>
    <x v="8"/>
    <x v="0"/>
    <n v="136914570765"/>
    <n v="20752.59"/>
    <n v="12652429.15"/>
    <x v="0"/>
    <m/>
    <m/>
    <n v="0"/>
    <n v="-213"/>
    <n v="-206.61"/>
    <n v="-127.8"/>
    <n v="21300"/>
  </r>
  <r>
    <x v="8"/>
    <x v="0"/>
    <n v="136914671357"/>
    <n v="26890.68"/>
    <n v="12679319.83"/>
    <x v="0"/>
    <m/>
    <m/>
    <n v="0"/>
    <n v="-276"/>
    <n v="-267.72000000000003"/>
    <n v="-165.6"/>
    <n v="27600"/>
  </r>
  <r>
    <x v="8"/>
    <x v="0"/>
    <n v="136915272579"/>
    <n v="7463.13"/>
    <n v="12686782.960000001"/>
    <x v="0"/>
    <m/>
    <m/>
    <n v="0"/>
    <n v="-79"/>
    <n v="-310.47000000000003"/>
    <n v="-47.4"/>
    <n v="7900"/>
  </r>
  <r>
    <x v="8"/>
    <x v="0"/>
    <n v="136915988399"/>
    <n v="25331.8"/>
    <n v="12712114.76"/>
    <x v="0"/>
    <m/>
    <m/>
    <n v="0"/>
    <n v="-260"/>
    <n v="-252.2"/>
    <n v="-156"/>
    <n v="26000"/>
  </r>
  <r>
    <x v="8"/>
    <x v="0"/>
    <n v="137548968332"/>
    <n v="19616.740000000002"/>
    <n v="12731731.5"/>
    <x v="0"/>
    <m/>
    <m/>
    <n v="0"/>
    <n v="-209"/>
    <n v="-948.86"/>
    <n v="-125.4"/>
    <n v="20900.000000000004"/>
  </r>
  <r>
    <x v="8"/>
    <x v="0"/>
    <n v="137549050936"/>
    <n v="74241.66"/>
    <n v="12805973.16"/>
    <x v="0"/>
    <m/>
    <m/>
    <n v="0"/>
    <n v="-762"/>
    <n v="-739.14"/>
    <n v="-457.2"/>
    <n v="76200"/>
  </r>
  <r>
    <x v="8"/>
    <x v="0"/>
    <n v="137549612728"/>
    <n v="212884.55"/>
    <n v="13018857.710000001"/>
    <x v="0"/>
    <m/>
    <m/>
    <n v="0"/>
    <n v="-2185"/>
    <n v="-2119.4499999999998"/>
    <n v="-1311"/>
    <n v="218500"/>
  </r>
  <r>
    <x v="8"/>
    <x v="0"/>
    <n v="137549459378"/>
    <n v="8573.84"/>
    <n v="13027431.550000001"/>
    <x v="0"/>
    <m/>
    <m/>
    <n v="0"/>
    <n v="-88"/>
    <n v="-85.36"/>
    <n v="-52.8"/>
    <n v="8800"/>
  </r>
  <r>
    <x v="8"/>
    <x v="0"/>
    <n v="136916562339"/>
    <n v="10717.3"/>
    <n v="13038148.85"/>
    <x v="0"/>
    <m/>
    <m/>
    <n v="0"/>
    <n v="-110"/>
    <n v="-106.7"/>
    <n v="-66"/>
    <n v="11000"/>
  </r>
  <r>
    <x v="8"/>
    <x v="63"/>
    <n v="136916514577"/>
    <n v="538.45000000000005"/>
    <n v="13038687.300000001"/>
    <x v="0"/>
    <m/>
    <m/>
    <n v="-8.25"/>
    <n v="0"/>
    <n v="0"/>
    <n v="-3.3"/>
    <n v="550"/>
  </r>
  <r>
    <x v="8"/>
    <x v="0"/>
    <n v="136916652431"/>
    <n v="4676.6400000000003"/>
    <n v="13043363.939999999"/>
    <x v="0"/>
    <m/>
    <m/>
    <n v="0"/>
    <n v="-48"/>
    <n v="-46.56"/>
    <n v="-28.8"/>
    <n v="4800.0000000000009"/>
  </r>
  <r>
    <x v="8"/>
    <x v="0"/>
    <n v="137549976466"/>
    <n v="41115.46"/>
    <n v="13084479.4"/>
    <x v="0"/>
    <m/>
    <m/>
    <n v="0"/>
    <n v="-422"/>
    <n v="-409.34"/>
    <n v="-253.2"/>
    <n v="42199.999999999993"/>
  </r>
  <r>
    <x v="8"/>
    <x v="0"/>
    <n v="137550029106"/>
    <n v="35572.94"/>
    <n v="13120052.34"/>
    <x v="0"/>
    <m/>
    <m/>
    <n v="0"/>
    <n v="-379"/>
    <n v="-1720.66"/>
    <n v="-227.4"/>
    <n v="37900.000000000007"/>
  </r>
  <r>
    <x v="8"/>
    <x v="0"/>
    <n v="136916906659"/>
    <n v="11107.02"/>
    <n v="13131159.359999999"/>
    <x v="0"/>
    <m/>
    <m/>
    <n v="0"/>
    <n v="-114"/>
    <n v="-110.58"/>
    <n v="-68.400000000000006"/>
    <n v="11400"/>
  </r>
  <r>
    <x v="8"/>
    <x v="64"/>
    <n v="137549963508"/>
    <n v="558.03"/>
    <n v="13131717.390000001"/>
    <x v="0"/>
    <m/>
    <m/>
    <n v="-8.5500000000000007"/>
    <n v="0"/>
    <n v="0"/>
    <n v="-3.42"/>
    <n v="569.99999999999989"/>
  </r>
  <r>
    <x v="8"/>
    <x v="0"/>
    <n v="137680805420"/>
    <n v="14322.21"/>
    <n v="13210731.800000001"/>
    <x v="0"/>
    <m/>
    <m/>
    <n v="0"/>
    <n v="-147"/>
    <n v="-142.59"/>
    <n v="-88.2"/>
    <n v="14700"/>
  </r>
  <r>
    <x v="8"/>
    <x v="0"/>
    <n v="137681279634"/>
    <n v="80769.47"/>
    <n v="13291501.27"/>
    <x v="0"/>
    <m/>
    <m/>
    <n v="0"/>
    <n v="-829"/>
    <n v="-804.13"/>
    <n v="-497.4"/>
    <n v="82900"/>
  </r>
  <r>
    <x v="8"/>
    <x v="0"/>
    <n v="137048670453"/>
    <n v="30041.46"/>
    <n v="13321542.73"/>
    <x v="0"/>
    <m/>
    <m/>
    <n v="0"/>
    <n v="-318"/>
    <n v="-1249.74"/>
    <n v="-190.8"/>
    <n v="31800"/>
  </r>
  <r>
    <x v="8"/>
    <x v="0"/>
    <n v="137682428878"/>
    <n v="54171.08"/>
    <n v="13375713.810000001"/>
    <x v="0"/>
    <m/>
    <m/>
    <n v="0"/>
    <n v="-556"/>
    <n v="-539.32000000000005"/>
    <n v="-333.6"/>
    <n v="55600"/>
  </r>
  <r>
    <x v="8"/>
    <x v="0"/>
    <n v="137683959550"/>
    <n v="4448.71"/>
    <n v="13382884.140000001"/>
    <x v="0"/>
    <m/>
    <m/>
    <n v="0"/>
    <n v="-49"/>
    <n v="-372.89"/>
    <n v="-29.4"/>
    <n v="4900"/>
  </r>
  <r>
    <x v="8"/>
    <x v="0"/>
    <n v="137684305360"/>
    <n v="34685.08"/>
    <n v="13417569.220000001"/>
    <x v="0"/>
    <m/>
    <m/>
    <n v="0"/>
    <n v="-356"/>
    <n v="-345.32"/>
    <n v="-213.6"/>
    <n v="35600"/>
  </r>
  <r>
    <x v="8"/>
    <x v="0"/>
    <n v="137051456749"/>
    <n v="29663.58"/>
    <n v="13447232.800000001"/>
    <x v="0"/>
    <m/>
    <m/>
    <n v="0"/>
    <n v="-314"/>
    <n v="-1234.02"/>
    <n v="-188.4"/>
    <n v="31400.000000000004"/>
  </r>
  <r>
    <x v="8"/>
    <x v="0"/>
    <n v="137051650943"/>
    <n v="35709.660000000003"/>
    <n v="13482942.460000001"/>
    <x v="0"/>
    <m/>
    <m/>
    <n v="0"/>
    <n v="-378"/>
    <n v="-1485.54"/>
    <n v="-226.8"/>
    <n v="37800.000000000007"/>
  </r>
  <r>
    <x v="8"/>
    <x v="0"/>
    <n v="137685229660"/>
    <n v="18511.7"/>
    <n v="13501454.16"/>
    <x v="0"/>
    <m/>
    <m/>
    <n v="0"/>
    <n v="-190"/>
    <n v="-184.3"/>
    <n v="-114"/>
    <n v="19000"/>
  </r>
  <r>
    <x v="8"/>
    <x v="0"/>
    <n v="137052357047"/>
    <n v="14029.92"/>
    <n v="13515484.08"/>
    <x v="0"/>
    <m/>
    <m/>
    <n v="0"/>
    <n v="-144"/>
    <n v="-139.68"/>
    <n v="-86.4"/>
    <n v="14400"/>
  </r>
  <r>
    <x v="8"/>
    <x v="0"/>
    <n v="137685932216"/>
    <n v="24747.22"/>
    <n v="13540231.300000001"/>
    <x v="0"/>
    <m/>
    <m/>
    <n v="0"/>
    <n v="-254"/>
    <n v="-246.38"/>
    <n v="-152.4"/>
    <n v="25400.000000000004"/>
  </r>
  <r>
    <x v="8"/>
    <x v="0"/>
    <n v="137052814137"/>
    <n v="20362.87"/>
    <n v="13560594.17"/>
    <x v="0"/>
    <m/>
    <m/>
    <n v="0"/>
    <n v="-209"/>
    <n v="-202.73"/>
    <n v="-125.4"/>
    <n v="20900"/>
  </r>
  <r>
    <x v="8"/>
    <x v="0"/>
    <n v="137053159275"/>
    <n v="50566.17"/>
    <n v="13611160.34"/>
    <x v="0"/>
    <m/>
    <m/>
    <n v="0"/>
    <n v="-519"/>
    <n v="-503.43"/>
    <n v="-311.39999999999998"/>
    <n v="51900"/>
  </r>
  <r>
    <x v="8"/>
    <x v="0"/>
    <n v="137053592771"/>
    <n v="17927.12"/>
    <n v="13634168.470000001"/>
    <x v="0"/>
    <m/>
    <m/>
    <n v="0"/>
    <n v="-184"/>
    <n v="-178.48"/>
    <n v="-110.4"/>
    <n v="18400"/>
  </r>
  <r>
    <x v="8"/>
    <x v="0"/>
    <n v="137053991521"/>
    <n v="43078.32"/>
    <n v="13677246.789999999"/>
    <x v="0"/>
    <m/>
    <m/>
    <n v="0"/>
    <n v="-456"/>
    <n v="-1792.08"/>
    <n v="-273.60000000000002"/>
    <n v="45600"/>
  </r>
  <r>
    <x v="8"/>
    <x v="0"/>
    <n v="137054667043"/>
    <n v="41854.19"/>
    <n v="13719100.98"/>
    <x v="0"/>
    <m/>
    <m/>
    <n v="0"/>
    <n v="-461"/>
    <n v="-3508.21"/>
    <n v="-276.60000000000002"/>
    <n v="46100"/>
  </r>
  <r>
    <x v="8"/>
    <x v="0"/>
    <n v="137688726850"/>
    <n v="34103.67"/>
    <n v="13753204.65"/>
    <x v="0"/>
    <m/>
    <m/>
    <n v="0"/>
    <n v="-361"/>
    <n v="-1418.73"/>
    <n v="-216.6"/>
    <n v="36100"/>
  </r>
  <r>
    <x v="10"/>
    <x v="0"/>
    <n v="137688911668"/>
    <n v="4774.07"/>
    <n v="13757978.720000001"/>
    <x v="0"/>
    <m/>
    <m/>
    <n v="0"/>
    <n v="-49"/>
    <n v="-47.53"/>
    <n v="-29.4"/>
    <n v="4899.9999999999991"/>
  </r>
  <r>
    <x v="10"/>
    <x v="0"/>
    <n v="137055724405"/>
    <n v="32833.910000000003"/>
    <n v="13790812.630000001"/>
    <x v="0"/>
    <m/>
    <m/>
    <n v="0"/>
    <n v="-337"/>
    <n v="-326.89"/>
    <n v="-202.2"/>
    <n v="33700"/>
  </r>
  <r>
    <x v="8"/>
    <x v="65"/>
    <n v="137048989753"/>
    <n v="2721.62"/>
    <n v="13378435.43"/>
    <x v="0"/>
    <m/>
    <m/>
    <n v="-41.7"/>
    <n v="0"/>
    <n v="0"/>
    <n v="-16.68"/>
    <n v="2779.9999999999995"/>
  </r>
  <r>
    <x v="10"/>
    <x v="0"/>
    <n v="137689978402"/>
    <n v="48085.23"/>
    <n v="13838897.859999999"/>
    <x v="0"/>
    <m/>
    <m/>
    <n v="0"/>
    <n v="-509"/>
    <n v="-2000.37"/>
    <n v="-305.39999999999998"/>
    <n v="50900.000000000007"/>
  </r>
  <r>
    <x v="10"/>
    <x v="0"/>
    <n v="137056843823"/>
    <n v="40336.019999999997"/>
    <n v="13879233.880000001"/>
    <x v="0"/>
    <m/>
    <m/>
    <n v="0"/>
    <n v="-414"/>
    <n v="-401.58"/>
    <n v="-248.4"/>
    <n v="41400"/>
  </r>
  <r>
    <x v="10"/>
    <x v="0"/>
    <n v="137057370005"/>
    <n v="41417.56"/>
    <n v="13922677.970000001"/>
    <x v="0"/>
    <m/>
    <m/>
    <n v="0"/>
    <n v="-428"/>
    <n v="-697.64"/>
    <n v="-256.8"/>
    <n v="42800"/>
  </r>
  <r>
    <x v="10"/>
    <x v="0"/>
    <n v="137057641201"/>
    <n v="34879.94"/>
    <n v="13957557.91"/>
    <x v="0"/>
    <m/>
    <m/>
    <n v="0"/>
    <n v="-358"/>
    <n v="-347.26"/>
    <n v="-214.8"/>
    <n v="35800.000000000007"/>
  </r>
  <r>
    <x v="10"/>
    <x v="0"/>
    <n v="137057721637"/>
    <n v="40547.519999999997"/>
    <n v="13999857.84"/>
    <x v="0"/>
    <m/>
    <m/>
    <n v="0"/>
    <n v="-432"/>
    <n v="-1961.28"/>
    <n v="-259.2"/>
    <n v="43199.999999999993"/>
  </r>
  <r>
    <x v="10"/>
    <x v="0"/>
    <n v="137057745919"/>
    <n v="26419.89"/>
    <n v="14026277.73"/>
    <x v="0"/>
    <m/>
    <m/>
    <n v="0"/>
    <n v="-291"/>
    <n v="-2214.5100000000002"/>
    <n v="-174.6"/>
    <n v="29100"/>
  </r>
  <r>
    <x v="10"/>
    <x v="0"/>
    <n v="137691353480"/>
    <n v="19486"/>
    <n v="14045763.73"/>
    <x v="0"/>
    <m/>
    <m/>
    <n v="0"/>
    <n v="-200"/>
    <n v="-194"/>
    <n v="-120"/>
    <n v="20000"/>
  </r>
  <r>
    <x v="10"/>
    <x v="0"/>
    <n v="137057923599"/>
    <n v="40238.589999999997"/>
    <n v="14086002.32"/>
    <x v="0"/>
    <m/>
    <m/>
    <n v="0"/>
    <n v="-413"/>
    <n v="-400.61"/>
    <n v="-247.8"/>
    <n v="41300"/>
  </r>
  <r>
    <x v="10"/>
    <x v="0"/>
    <n v="137058045427"/>
    <n v="47838.13"/>
    <n v="14133840.449999999"/>
    <x v="0"/>
    <m/>
    <m/>
    <n v="0"/>
    <n v="-491"/>
    <n v="-476.27"/>
    <n v="-294.60000000000002"/>
    <n v="49099.999999999993"/>
  </r>
  <r>
    <x v="8"/>
    <x v="6"/>
    <n v="137053262509"/>
    <n v="5081.01"/>
    <n v="13616241.35"/>
    <x v="0"/>
    <m/>
    <m/>
    <n v="-77.849999999999994"/>
    <n v="0"/>
    <n v="0"/>
    <n v="-31.14"/>
    <n v="5190.0000000000009"/>
  </r>
  <r>
    <x v="10"/>
    <x v="0"/>
    <n v="137691630590"/>
    <n v="4505.28"/>
    <n v="14138345.73"/>
    <x v="0"/>
    <m/>
    <m/>
    <n v="0"/>
    <n v="-48"/>
    <n v="-217.92"/>
    <n v="-28.8"/>
    <n v="4800"/>
  </r>
  <r>
    <x v="10"/>
    <x v="0"/>
    <n v="137691754334"/>
    <n v="15588.8"/>
    <n v="14153934.529999999"/>
    <x v="0"/>
    <m/>
    <m/>
    <n v="0"/>
    <n v="-160"/>
    <n v="-155.19999999999999"/>
    <n v="-96"/>
    <n v="16000"/>
  </r>
  <r>
    <x v="10"/>
    <x v="0"/>
    <n v="137058507115"/>
    <n v="23675.49"/>
    <n v="14177610.02"/>
    <x v="0"/>
    <m/>
    <m/>
    <n v="0"/>
    <n v="-243"/>
    <n v="-235.71"/>
    <n v="-145.80000000000001"/>
    <n v="24300"/>
  </r>
  <r>
    <x v="10"/>
    <x v="0"/>
    <n v="137692068996"/>
    <n v="201644.59"/>
    <n v="14379254.609999999"/>
    <x v="0"/>
    <m/>
    <m/>
    <n v="0"/>
    <n v="-2221"/>
    <n v="-16901.810000000001"/>
    <n v="-1332.6"/>
    <n v="222100"/>
  </r>
  <r>
    <x v="10"/>
    <x v="0"/>
    <n v="137058637227"/>
    <n v="42674.34"/>
    <n v="14421928.949999999"/>
    <x v="0"/>
    <m/>
    <m/>
    <n v="0"/>
    <n v="-438"/>
    <n v="-424.86"/>
    <n v="-262.8"/>
    <n v="43800"/>
  </r>
  <r>
    <x v="10"/>
    <x v="0"/>
    <n v="137058747509"/>
    <n v="56513.68"/>
    <n v="14478442.630000001"/>
    <x v="0"/>
    <m/>
    <m/>
    <n v="0"/>
    <n v="-584"/>
    <n v="-951.92"/>
    <n v="-350.4"/>
    <n v="58400"/>
  </r>
  <r>
    <x v="10"/>
    <x v="0"/>
    <n v="137059550407"/>
    <n v="33320.300000000003"/>
    <n v="14511762.93"/>
    <x v="0"/>
    <m/>
    <m/>
    <n v="0"/>
    <n v="-355"/>
    <n v="-1611.7"/>
    <n v="-213"/>
    <n v="35500"/>
  </r>
  <r>
    <x v="10"/>
    <x v="0"/>
    <n v="137693029234"/>
    <n v="21434.6"/>
    <n v="14533197.529999999"/>
    <x v="0"/>
    <m/>
    <m/>
    <n v="0"/>
    <n v="-220"/>
    <n v="-213.4"/>
    <n v="-132"/>
    <n v="22000"/>
  </r>
  <r>
    <x v="10"/>
    <x v="66"/>
    <n v="137056849773"/>
    <n v="2026.53"/>
    <n v="13881260.41"/>
    <x v="0"/>
    <m/>
    <m/>
    <n v="-31.05"/>
    <n v="0"/>
    <n v="0"/>
    <n v="-12.42"/>
    <n v="2070"/>
  </r>
  <r>
    <x v="10"/>
    <x v="0"/>
    <n v="137060218899"/>
    <n v="16075.95"/>
    <n v="14549273.48"/>
    <x v="0"/>
    <m/>
    <m/>
    <n v="0"/>
    <n v="-165"/>
    <n v="-160.05000000000001"/>
    <n v="-99"/>
    <n v="16500"/>
  </r>
  <r>
    <x v="10"/>
    <x v="0"/>
    <n v="137694142296"/>
    <n v="79990.03"/>
    <n v="14629263.51"/>
    <x v="0"/>
    <m/>
    <m/>
    <n v="0"/>
    <n v="-821"/>
    <n v="-796.37"/>
    <n v="-492.6"/>
    <n v="82100"/>
  </r>
  <r>
    <x v="10"/>
    <x v="67"/>
    <n v="137691015632"/>
    <n v="1752.41"/>
    <n v="13959310.32"/>
    <x v="0"/>
    <m/>
    <m/>
    <n v="-26.85"/>
    <n v="0"/>
    <n v="0"/>
    <n v="-10.74"/>
    <n v="1790"/>
  </r>
  <r>
    <x v="10"/>
    <x v="0"/>
    <n v="137694288196"/>
    <n v="4676.6400000000003"/>
    <n v="14637958.939999999"/>
    <x v="0"/>
    <m/>
    <m/>
    <n v="0"/>
    <n v="-48"/>
    <n v="-46.56"/>
    <n v="-28.8"/>
    <n v="4800.0000000000009"/>
  </r>
  <r>
    <x v="10"/>
    <x v="0"/>
    <n v="137060803417"/>
    <n v="160662.07"/>
    <n v="14798621.01"/>
    <x v="0"/>
    <m/>
    <m/>
    <n v="0"/>
    <n v="-1649"/>
    <n v="-1599.53"/>
    <n v="-989.4"/>
    <n v="164900"/>
  </r>
  <r>
    <x v="10"/>
    <x v="0"/>
    <n v="137061031397"/>
    <n v="44622.94"/>
    <n v="14843243.949999999"/>
    <x v="0"/>
    <m/>
    <m/>
    <n v="0"/>
    <n v="-458"/>
    <n v="-444.26"/>
    <n v="-274.8"/>
    <n v="45800.000000000007"/>
  </r>
  <r>
    <x v="10"/>
    <x v="0"/>
    <n v="137694509248"/>
    <n v="50079.02"/>
    <n v="14893322.970000001"/>
    <x v="0"/>
    <m/>
    <m/>
    <n v="0"/>
    <n v="-514"/>
    <n v="-498.58"/>
    <n v="-308.39999999999998"/>
    <n v="51400"/>
  </r>
  <r>
    <x v="10"/>
    <x v="0"/>
    <n v="137694716170"/>
    <n v="14322.21"/>
    <n v="14907645.18"/>
    <x v="0"/>
    <m/>
    <m/>
    <n v="0"/>
    <n v="-147"/>
    <n v="-142.59"/>
    <n v="-88.2"/>
    <n v="14700"/>
  </r>
  <r>
    <x v="10"/>
    <x v="0"/>
    <n v="137061792333"/>
    <n v="58263.14"/>
    <n v="14965908.32"/>
    <x v="0"/>
    <m/>
    <m/>
    <n v="0"/>
    <n v="-598"/>
    <n v="-580.05999999999995"/>
    <n v="-358.8"/>
    <n v="59800"/>
  </r>
  <r>
    <x v="10"/>
    <x v="0"/>
    <n v="137062018711"/>
    <n v="9986.9"/>
    <n v="14975895.220000001"/>
    <x v="0"/>
    <m/>
    <m/>
    <n v="0"/>
    <n v="-110"/>
    <n v="-837.1"/>
    <n v="-66"/>
    <n v="11000"/>
  </r>
  <r>
    <x v="10"/>
    <x v="0"/>
    <n v="137695460966"/>
    <n v="9386.69"/>
    <n v="14985281.91"/>
    <x v="0"/>
    <m/>
    <m/>
    <n v="0"/>
    <n v="-97"/>
    <n v="-158.11000000000001"/>
    <n v="-58.2"/>
    <n v="9700.0000000000018"/>
  </r>
  <r>
    <x v="10"/>
    <x v="0"/>
    <n v="137695742258"/>
    <n v="4676.6400000000003"/>
    <n v="14989958.550000001"/>
    <x v="0"/>
    <m/>
    <m/>
    <n v="0"/>
    <n v="-48"/>
    <n v="-46.56"/>
    <n v="-28.8"/>
    <n v="4800.0000000000009"/>
  </r>
  <r>
    <x v="10"/>
    <x v="0"/>
    <n v="137695785864"/>
    <n v="4092.06"/>
    <n v="14994050.609999999"/>
    <x v="0"/>
    <m/>
    <m/>
    <n v="0"/>
    <n v="-42"/>
    <n v="-40.74"/>
    <n v="-25.2"/>
    <n v="4199.9999999999991"/>
  </r>
  <r>
    <x v="10"/>
    <x v="0"/>
    <n v="137696623912"/>
    <n v="9386.69"/>
    <n v="15003437.300000001"/>
    <x v="0"/>
    <m/>
    <m/>
    <n v="0"/>
    <n v="-97"/>
    <n v="-158.11000000000001"/>
    <n v="-58.2"/>
    <n v="9700.0000000000018"/>
  </r>
  <r>
    <x v="10"/>
    <x v="0"/>
    <n v="137697056830"/>
    <n v="9450.7099999999991"/>
    <n v="15012888.01"/>
    <x v="0"/>
    <m/>
    <m/>
    <n v="0"/>
    <n v="-97"/>
    <n v="-94.09"/>
    <n v="-58.2"/>
    <n v="9700"/>
  </r>
  <r>
    <x v="10"/>
    <x v="0"/>
    <n v="137063694987"/>
    <n v="30787.88"/>
    <n v="15043675.890000001"/>
    <x v="0"/>
    <m/>
    <m/>
    <n v="0"/>
    <n v="-316"/>
    <n v="-306.52"/>
    <n v="-189.6"/>
    <n v="31600"/>
  </r>
  <r>
    <x v="10"/>
    <x v="0"/>
    <n v="137697186668"/>
    <n v="7794.4"/>
    <n v="15051470.289999999"/>
    <x v="0"/>
    <m/>
    <m/>
    <n v="0"/>
    <n v="-80"/>
    <n v="-77.599999999999994"/>
    <n v="-48"/>
    <n v="8000"/>
  </r>
  <r>
    <x v="10"/>
    <x v="0"/>
    <n v="137063936513"/>
    <n v="7644.83"/>
    <n v="15059115.119999999"/>
    <x v="0"/>
    <m/>
    <m/>
    <n v="0"/>
    <n v="-79"/>
    <n v="-128.77000000000001"/>
    <n v="-47.4"/>
    <n v="7900"/>
  </r>
  <r>
    <x v="10"/>
    <x v="68"/>
    <n v="137694132400"/>
    <n v="4018.79"/>
    <n v="14633282.300000001"/>
    <x v="0"/>
    <m/>
    <m/>
    <n v="-61.58"/>
    <n v="0"/>
    <n v="0"/>
    <n v="-24.63"/>
    <n v="4105"/>
  </r>
  <r>
    <x v="10"/>
    <x v="0"/>
    <n v="137063983389"/>
    <n v="22408.9"/>
    <n v="15081524.02"/>
    <x v="0"/>
    <m/>
    <m/>
    <n v="0"/>
    <n v="-230"/>
    <n v="-223.1"/>
    <n v="-138"/>
    <n v="23000"/>
  </r>
  <r>
    <x v="10"/>
    <x v="0"/>
    <n v="137697604934"/>
    <n v="9483.4599999999991"/>
    <n v="15091007.48"/>
    <x v="0"/>
    <m/>
    <m/>
    <n v="0"/>
    <n v="-98"/>
    <n v="-159.74"/>
    <n v="-58.8"/>
    <n v="9799.9999999999982"/>
  </r>
  <r>
    <x v="10"/>
    <x v="0"/>
    <n v="137064486565"/>
    <n v="9079"/>
    <n v="15100086.48"/>
    <x v="0"/>
    <m/>
    <m/>
    <n v="0"/>
    <n v="-100"/>
    <n v="-761"/>
    <n v="-60"/>
    <n v="10000"/>
  </r>
  <r>
    <x v="10"/>
    <x v="0"/>
    <n v="137064461761"/>
    <n v="18302.7"/>
    <n v="15119857.68"/>
    <x v="0"/>
    <m/>
    <m/>
    <n v="0"/>
    <n v="-195"/>
    <n v="-885.3"/>
    <n v="-117"/>
    <n v="19500"/>
  </r>
  <r>
    <x v="10"/>
    <x v="0"/>
    <n v="137697994520"/>
    <n v="20752.59"/>
    <n v="15140610.27"/>
    <x v="0"/>
    <m/>
    <m/>
    <n v="0"/>
    <n v="-213"/>
    <n v="-206.61"/>
    <n v="-127.8"/>
    <n v="21300"/>
  </r>
  <r>
    <x v="10"/>
    <x v="0"/>
    <n v="137698157966"/>
    <n v="11691.6"/>
    <n v="15153344.5"/>
    <x v="0"/>
    <m/>
    <m/>
    <n v="0"/>
    <n v="-120"/>
    <n v="-116.4"/>
    <n v="-72"/>
    <n v="12000"/>
  </r>
  <r>
    <x v="10"/>
    <x v="0"/>
    <n v="137796402012"/>
    <n v="9548.14"/>
    <n v="15162892.640000001"/>
    <x v="0"/>
    <m/>
    <m/>
    <n v="0"/>
    <n v="-98"/>
    <n v="-95.06"/>
    <n v="-58.8"/>
    <n v="9799.9999999999982"/>
  </r>
  <r>
    <x v="10"/>
    <x v="0"/>
    <n v="137171793459"/>
    <n v="9069.1200000000008"/>
    <n v="15171961.76"/>
    <x v="0"/>
    <m/>
    <m/>
    <n v="0"/>
    <n v="-96"/>
    <n v="-377.28"/>
    <n v="-57.6"/>
    <n v="9600.0000000000018"/>
  </r>
  <r>
    <x v="10"/>
    <x v="0"/>
    <n v="137171897863"/>
    <n v="9069.1200000000008"/>
    <n v="15181030.880000001"/>
    <x v="0"/>
    <m/>
    <m/>
    <n v="0"/>
    <n v="-96"/>
    <n v="-377.28"/>
    <n v="-57.6"/>
    <n v="9600.0000000000018"/>
  </r>
  <r>
    <x v="10"/>
    <x v="0"/>
    <n v="137177682381"/>
    <n v="32736.48"/>
    <n v="15213767.359999999"/>
    <x v="0"/>
    <m/>
    <m/>
    <n v="0"/>
    <n v="-336"/>
    <n v="-325.92"/>
    <n v="-201.6"/>
    <n v="33599.999999999993"/>
  </r>
  <r>
    <x v="10"/>
    <x v="0"/>
    <n v="137812067506"/>
    <n v="38948.910000000003"/>
    <n v="15252716.27"/>
    <x v="0"/>
    <m/>
    <m/>
    <n v="0"/>
    <n v="-429"/>
    <n v="-3264.69"/>
    <n v="-257.39999999999998"/>
    <n v="42900.000000000007"/>
  </r>
  <r>
    <x v="10"/>
    <x v="0"/>
    <n v="137178342215"/>
    <n v="4774.07"/>
    <n v="15257490.34"/>
    <x v="0"/>
    <m/>
    <m/>
    <n v="0"/>
    <n v="-49"/>
    <n v="-47.53"/>
    <n v="-29.4"/>
    <n v="4899.9999999999991"/>
  </r>
  <r>
    <x v="10"/>
    <x v="0"/>
    <n v="137813773910"/>
    <n v="42700.44"/>
    <n v="15300190.779999999"/>
    <x v="0"/>
    <m/>
    <m/>
    <n v="0"/>
    <n v="-452"/>
    <n v="-1776.36"/>
    <n v="-271.2"/>
    <n v="45200"/>
  </r>
  <r>
    <x v="10"/>
    <x v="0"/>
    <n v="137814381636"/>
    <n v="30035.200000000001"/>
    <n v="15330225.98"/>
    <x v="0"/>
    <m/>
    <m/>
    <n v="0"/>
    <n v="-320"/>
    <n v="-1452.8"/>
    <n v="-192"/>
    <n v="32000"/>
  </r>
  <r>
    <x v="10"/>
    <x v="0"/>
    <n v="137815445676"/>
    <n v="4448.71"/>
    <n v="15334674.689999999"/>
    <x v="0"/>
    <m/>
    <m/>
    <n v="0"/>
    <n v="-49"/>
    <n v="-372.89"/>
    <n v="-29.4"/>
    <n v="4900"/>
  </r>
  <r>
    <x v="10"/>
    <x v="0"/>
    <n v="137815561874"/>
    <n v="54481.51"/>
    <n v="15389156.199999999"/>
    <x v="0"/>
    <m/>
    <m/>
    <n v="0"/>
    <n v="-563"/>
    <n v="-917.69"/>
    <n v="-337.8"/>
    <n v="56300.000000000007"/>
  </r>
  <r>
    <x v="10"/>
    <x v="0"/>
    <n v="137815657922"/>
    <n v="4092.06"/>
    <n v="15398760.029999999"/>
    <x v="0"/>
    <m/>
    <m/>
    <n v="0"/>
    <n v="-42"/>
    <n v="-40.74"/>
    <n v="-25.2"/>
    <n v="4199.9999999999991"/>
  </r>
  <r>
    <x v="10"/>
    <x v="0"/>
    <n v="137816314558"/>
    <n v="28152.06"/>
    <n v="15426912.09"/>
    <x v="0"/>
    <m/>
    <m/>
    <n v="0"/>
    <n v="-298"/>
    <n v="-1171.1400000000001"/>
    <n v="-178.8"/>
    <n v="29800"/>
  </r>
  <r>
    <x v="10"/>
    <x v="69"/>
    <n v="137064470797"/>
    <n v="1468.5"/>
    <n v="15101554.98"/>
    <x v="0"/>
    <m/>
    <m/>
    <n v="-22.5"/>
    <n v="0"/>
    <n v="0"/>
    <n v="-9"/>
    <n v="1500"/>
  </r>
  <r>
    <x v="10"/>
    <x v="0"/>
    <n v="137817891008"/>
    <n v="17612.14"/>
    <n v="15446306.01"/>
    <x v="0"/>
    <m/>
    <m/>
    <n v="0"/>
    <n v="-182"/>
    <n v="-296.66000000000003"/>
    <n v="-109.2"/>
    <n v="18200"/>
  </r>
  <r>
    <x v="10"/>
    <x v="0"/>
    <n v="137818539048"/>
    <n v="42322.559999999998"/>
    <n v="15488628.57"/>
    <x v="0"/>
    <m/>
    <m/>
    <n v="0"/>
    <n v="-448"/>
    <n v="-1760.64"/>
    <n v="-268.8"/>
    <n v="44800"/>
  </r>
  <r>
    <x v="10"/>
    <x v="70"/>
    <n v="137697947034"/>
    <n v="1042.6300000000001"/>
    <n v="15141652.9"/>
    <x v="0"/>
    <m/>
    <m/>
    <n v="-15.98"/>
    <n v="0"/>
    <n v="0"/>
    <n v="-6.39"/>
    <n v="1065.0000000000002"/>
  </r>
  <r>
    <x v="10"/>
    <x v="0"/>
    <n v="137184969243"/>
    <n v="45897.54"/>
    <n v="15534526.109999999"/>
    <x v="0"/>
    <m/>
    <m/>
    <n v="0"/>
    <n v="-489"/>
    <n v="-2220.06"/>
    <n v="-293.39999999999998"/>
    <n v="48900"/>
  </r>
  <r>
    <x v="10"/>
    <x v="0"/>
    <n v="137819965468"/>
    <n v="8573.84"/>
    <n v="15543099.949999999"/>
    <x v="0"/>
    <m/>
    <m/>
    <n v="0"/>
    <n v="-88"/>
    <n v="-85.36"/>
    <n v="-52.8"/>
    <n v="8800"/>
  </r>
  <r>
    <x v="10"/>
    <x v="0"/>
    <n v="137821059358"/>
    <n v="22432.54"/>
    <n v="15565532.49"/>
    <x v="0"/>
    <m/>
    <m/>
    <n v="0"/>
    <n v="-239"/>
    <n v="-1085.06"/>
    <n v="-143.4"/>
    <n v="23900.000000000004"/>
  </r>
  <r>
    <x v="10"/>
    <x v="0"/>
    <n v="137187141275"/>
    <n v="16532.25"/>
    <n v="15582064.74"/>
    <x v="0"/>
    <m/>
    <m/>
    <n v="0"/>
    <n v="-175"/>
    <n v="-687.75"/>
    <n v="-105"/>
    <n v="17500"/>
  </r>
  <r>
    <x v="10"/>
    <x v="0"/>
    <n v="137187223345"/>
    <n v="45629.01"/>
    <n v="15627693.75"/>
    <x v="0"/>
    <m/>
    <m/>
    <n v="0"/>
    <n v="-483"/>
    <n v="-1898.19"/>
    <n v="-289.8"/>
    <n v="48300.000000000007"/>
  </r>
  <r>
    <x v="10"/>
    <x v="0"/>
    <n v="137187632023"/>
    <n v="9548.14"/>
    <n v="15637241.890000001"/>
    <x v="0"/>
    <m/>
    <m/>
    <n v="0"/>
    <n v="-98"/>
    <n v="-95.06"/>
    <n v="-58.8"/>
    <n v="9799.9999999999982"/>
  </r>
  <r>
    <x v="10"/>
    <x v="0"/>
    <n v="137188255017"/>
    <n v="30495.59"/>
    <n v="15667737.48"/>
    <x v="0"/>
    <m/>
    <m/>
    <n v="0"/>
    <n v="-313"/>
    <n v="-303.61"/>
    <n v="-187.8"/>
    <n v="31300"/>
  </r>
  <r>
    <x v="11"/>
    <x v="0"/>
    <n v="137188599895"/>
    <n v="82127.5"/>
    <n v="15749864.98"/>
    <x v="0"/>
    <m/>
    <m/>
    <n v="0"/>
    <n v="-875"/>
    <n v="-3972.5"/>
    <n v="-525"/>
    <n v="87500"/>
  </r>
  <r>
    <x v="11"/>
    <x v="0"/>
    <n v="137188753725"/>
    <n v="34103.67"/>
    <n v="15783968.65"/>
    <x v="0"/>
    <m/>
    <m/>
    <n v="0"/>
    <n v="-361"/>
    <n v="-1418.73"/>
    <n v="-216.6"/>
    <n v="36100"/>
  </r>
  <r>
    <x v="11"/>
    <x v="0"/>
    <n v="137188881167"/>
    <n v="8715.84"/>
    <n v="15792684.49"/>
    <x v="0"/>
    <m/>
    <m/>
    <n v="0"/>
    <n v="-96"/>
    <n v="-730.56"/>
    <n v="-57.6"/>
    <n v="9600"/>
  </r>
  <r>
    <x v="11"/>
    <x v="0"/>
    <n v="137823102664"/>
    <n v="19744.23"/>
    <n v="15812428.720000001"/>
    <x v="0"/>
    <m/>
    <m/>
    <n v="0"/>
    <n v="-209"/>
    <n v="-821.37"/>
    <n v="-125.4"/>
    <n v="20900"/>
  </r>
  <r>
    <x v="10"/>
    <x v="71"/>
    <n v="137181617531"/>
    <n v="5511.77"/>
    <n v="15394667.970000001"/>
    <x v="0"/>
    <m/>
    <m/>
    <n v="-84.45"/>
    <n v="0"/>
    <n v="0"/>
    <n v="-33.78"/>
    <n v="5630"/>
  </r>
  <r>
    <x v="11"/>
    <x v="0"/>
    <n v="137823153712"/>
    <n v="4092.06"/>
    <n v="15816520.779999999"/>
    <x v="0"/>
    <m/>
    <m/>
    <n v="0"/>
    <n v="-42"/>
    <n v="-40.74"/>
    <n v="-25.2"/>
    <n v="4199.9999999999991"/>
  </r>
  <r>
    <x v="11"/>
    <x v="0"/>
    <n v="137825138680"/>
    <n v="32497.68"/>
    <n v="15849018.460000001"/>
    <x v="0"/>
    <m/>
    <m/>
    <n v="0"/>
    <n v="-344"/>
    <n v="-1351.92"/>
    <n v="-206.4"/>
    <n v="34400"/>
  </r>
  <r>
    <x v="10"/>
    <x v="72"/>
    <n v="137183950129"/>
    <n v="1781.78"/>
    <n v="15428693.869999999"/>
    <x v="0"/>
    <m/>
    <m/>
    <n v="-27.3"/>
    <n v="0"/>
    <n v="0"/>
    <n v="-10.92"/>
    <n v="1820"/>
  </r>
  <r>
    <x v="11"/>
    <x v="0"/>
    <n v="137825644378"/>
    <n v="31957.040000000001"/>
    <n v="15880975.5"/>
    <x v="0"/>
    <m/>
    <m/>
    <n v="0"/>
    <n v="-328"/>
    <n v="-318.16000000000003"/>
    <n v="-196.8"/>
    <n v="32800"/>
  </r>
  <r>
    <x v="11"/>
    <x v="0"/>
    <n v="137192517701"/>
    <n v="9450.7099999999991"/>
    <n v="15890426.210000001"/>
    <x v="0"/>
    <m/>
    <m/>
    <n v="0"/>
    <n v="-97"/>
    <n v="-94.09"/>
    <n v="-58.2"/>
    <n v="9700"/>
  </r>
  <r>
    <x v="11"/>
    <x v="0"/>
    <n v="137193138653"/>
    <n v="32100.12"/>
    <n v="15922526.33"/>
    <x v="0"/>
    <m/>
    <m/>
    <n v="0"/>
    <n v="-342"/>
    <n v="-1552.68"/>
    <n v="-205.2"/>
    <n v="34199.999999999993"/>
  </r>
  <r>
    <x v="11"/>
    <x v="0"/>
    <n v="137193254909"/>
    <n v="85211.94"/>
    <n v="16007738.27"/>
    <x v="0"/>
    <m/>
    <m/>
    <n v="0"/>
    <n v="-902"/>
    <n v="-3544.86"/>
    <n v="-541.20000000000005"/>
    <n v="90200"/>
  </r>
  <r>
    <x v="11"/>
    <x v="0"/>
    <n v="137827259984"/>
    <n v="15493.08"/>
    <n v="16023231.35"/>
    <x v="0"/>
    <m/>
    <m/>
    <n v="0"/>
    <n v="-164"/>
    <n v="-644.52"/>
    <n v="-98.4"/>
    <n v="16400"/>
  </r>
  <r>
    <x v="11"/>
    <x v="0"/>
    <n v="137193951755"/>
    <n v="35172.230000000003"/>
    <n v="16058403.58"/>
    <x v="0"/>
    <m/>
    <m/>
    <n v="0"/>
    <n v="-361"/>
    <n v="-350.17"/>
    <n v="-216.6"/>
    <n v="36100"/>
  </r>
  <r>
    <x v="11"/>
    <x v="0"/>
    <n v="137828147806"/>
    <n v="52514.77"/>
    <n v="16110918.35"/>
    <x v="0"/>
    <m/>
    <m/>
    <n v="0"/>
    <n v="-539"/>
    <n v="-522.83000000000004"/>
    <n v="-323.39999999999998"/>
    <n v="53900"/>
  </r>
  <r>
    <x v="11"/>
    <x v="0"/>
    <n v="137194238351"/>
    <n v="52125.05"/>
    <n v="16168320.210000001"/>
    <x v="0"/>
    <m/>
    <m/>
    <n v="0"/>
    <n v="-535"/>
    <n v="-518.95000000000005"/>
    <n v="-321"/>
    <n v="53500"/>
  </r>
  <r>
    <x v="11"/>
    <x v="0"/>
    <n v="137828514220"/>
    <n v="18219.41"/>
    <n v="16189158.439999999"/>
    <x v="0"/>
    <m/>
    <m/>
    <n v="0"/>
    <n v="-187"/>
    <n v="-181.39"/>
    <n v="-112.2"/>
    <n v="18700"/>
  </r>
  <r>
    <x v="11"/>
    <x v="0"/>
    <n v="137828669992"/>
    <n v="29514.85"/>
    <n v="16218673.289999999"/>
    <x v="0"/>
    <m/>
    <m/>
    <n v="0"/>
    <n v="-305"/>
    <n v="-497.15"/>
    <n v="-183"/>
    <n v="30500"/>
  </r>
  <r>
    <x v="11"/>
    <x v="0"/>
    <n v="137194977689"/>
    <n v="14517.07"/>
    <n v="16234683.33"/>
    <x v="0"/>
    <m/>
    <m/>
    <n v="0"/>
    <n v="-149"/>
    <n v="-144.53"/>
    <n v="-89.4"/>
    <n v="14900"/>
  </r>
  <r>
    <x v="11"/>
    <x v="0"/>
    <n v="137195240283"/>
    <n v="5358.65"/>
    <n v="16240041.98"/>
    <x v="0"/>
    <m/>
    <m/>
    <n v="0"/>
    <n v="-55"/>
    <n v="-53.35"/>
    <n v="-33"/>
    <n v="5500"/>
  </r>
  <r>
    <x v="11"/>
    <x v="0"/>
    <n v="137195238631"/>
    <n v="33613.35"/>
    <n v="16273924.550000001"/>
    <x v="0"/>
    <m/>
    <m/>
    <n v="0"/>
    <n v="-345"/>
    <n v="-334.65"/>
    <n v="-207"/>
    <n v="34500"/>
  </r>
  <r>
    <x v="11"/>
    <x v="0"/>
    <n v="137195257543"/>
    <n v="103350.36"/>
    <n v="16377274.91"/>
    <x v="0"/>
    <m/>
    <m/>
    <n v="0"/>
    <n v="-1068"/>
    <n v="-1740.84"/>
    <n v="-640.79999999999995"/>
    <n v="106800"/>
  </r>
  <r>
    <x v="11"/>
    <x v="0"/>
    <n v="137829359830"/>
    <n v="13055.62"/>
    <n v="16390330.529999999"/>
    <x v="0"/>
    <m/>
    <m/>
    <n v="0"/>
    <n v="-134"/>
    <n v="-129.97999999999999"/>
    <n v="-80.400000000000006"/>
    <n v="13400"/>
  </r>
  <r>
    <x v="11"/>
    <x v="0"/>
    <n v="137829503666"/>
    <n v="20655.16"/>
    <n v="16410985.689999999"/>
    <x v="0"/>
    <m/>
    <m/>
    <n v="0"/>
    <n v="-212"/>
    <n v="-205.64"/>
    <n v="-127.2"/>
    <n v="21200"/>
  </r>
  <r>
    <x v="11"/>
    <x v="0"/>
    <n v="137195473277"/>
    <n v="21726.89"/>
    <n v="16433750.32"/>
    <x v="0"/>
    <m/>
    <m/>
    <n v="0"/>
    <n v="-223"/>
    <n v="-216.31"/>
    <n v="-133.80000000000001"/>
    <n v="22300"/>
  </r>
  <r>
    <x v="11"/>
    <x v="0"/>
    <n v="137829747920"/>
    <n v="10327.58"/>
    <n v="16444077.9"/>
    <x v="0"/>
    <m/>
    <m/>
    <n v="0"/>
    <n v="-106"/>
    <n v="-102.82"/>
    <n v="-63.6"/>
    <n v="10600"/>
  </r>
  <r>
    <x v="11"/>
    <x v="0"/>
    <n v="137196458579"/>
    <n v="49933.32"/>
    <n v="16494011.220000001"/>
    <x v="0"/>
    <m/>
    <m/>
    <n v="0"/>
    <n v="-516"/>
    <n v="-841.08"/>
    <n v="-309.60000000000002"/>
    <n v="51600"/>
  </r>
  <r>
    <x v="11"/>
    <x v="0"/>
    <n v="137830863958"/>
    <n v="163487.54"/>
    <n v="16657498.76"/>
    <x v="0"/>
    <m/>
    <m/>
    <n v="0"/>
    <n v="-1678"/>
    <n v="-1627.66"/>
    <n v="-1006.8"/>
    <n v="167800"/>
  </r>
  <r>
    <x v="11"/>
    <x v="0"/>
    <n v="137831029106"/>
    <n v="8671.27"/>
    <n v="16666170.029999999"/>
    <x v="0"/>
    <m/>
    <m/>
    <n v="0"/>
    <n v="-89"/>
    <n v="-86.33"/>
    <n v="-53.4"/>
    <n v="8900"/>
  </r>
  <r>
    <x v="11"/>
    <x v="0"/>
    <n v="137197267481"/>
    <n v="14805.81"/>
    <n v="16680975.84"/>
    <x v="0"/>
    <m/>
    <m/>
    <n v="0"/>
    <n v="-153"/>
    <n v="-249.39"/>
    <n v="-91.8"/>
    <n v="15299.999999999998"/>
  </r>
  <r>
    <x v="11"/>
    <x v="73"/>
    <n v="137194166731"/>
    <n v="5276.81"/>
    <n v="16116195.16"/>
    <x v="0"/>
    <m/>
    <m/>
    <n v="-80.849999999999994"/>
    <n v="0"/>
    <n v="0"/>
    <n v="-32.340000000000003"/>
    <n v="5390.0000000000009"/>
  </r>
  <r>
    <x v="11"/>
    <x v="0"/>
    <n v="137831398946"/>
    <n v="21434.6"/>
    <n v="16702410.439999999"/>
    <x v="0"/>
    <m/>
    <m/>
    <n v="0"/>
    <n v="-220"/>
    <n v="-213.4"/>
    <n v="-132"/>
    <n v="22000"/>
  </r>
  <r>
    <x v="11"/>
    <x v="74"/>
    <n v="137194236351"/>
    <n v="2618.8200000000002"/>
    <n v="16170939.029999999"/>
    <x v="0"/>
    <m/>
    <m/>
    <n v="-40.130000000000003"/>
    <n v="0"/>
    <n v="0"/>
    <n v="-16.05"/>
    <n v="2675.0000000000005"/>
  </r>
  <r>
    <x v="11"/>
    <x v="0"/>
    <n v="137831433098"/>
    <n v="14322.21"/>
    <n v="16716732.65"/>
    <x v="0"/>
    <m/>
    <m/>
    <n v="0"/>
    <n v="-147"/>
    <n v="-142.59"/>
    <n v="-88.2"/>
    <n v="14700"/>
  </r>
  <r>
    <x v="11"/>
    <x v="0"/>
    <n v="137272856787"/>
    <n v="25331.8"/>
    <n v="16742064.449999999"/>
    <x v="0"/>
    <m/>
    <m/>
    <n v="0"/>
    <n v="-260"/>
    <n v="-252.2"/>
    <n v="-156"/>
    <n v="26000"/>
  </r>
  <r>
    <x v="11"/>
    <x v="75"/>
    <n v="137828683812"/>
    <n v="1492.97"/>
    <n v="16220166.26"/>
    <x v="0"/>
    <m/>
    <m/>
    <n v="-22.88"/>
    <n v="0"/>
    <n v="0"/>
    <n v="-9.15"/>
    <n v="1525.0000000000002"/>
  </r>
  <r>
    <x v="11"/>
    <x v="0"/>
    <n v="137274462155"/>
    <n v="55831.77"/>
    <n v="16797896.219999999"/>
    <x v="0"/>
    <m/>
    <m/>
    <n v="0"/>
    <n v="-591"/>
    <n v="-2322.63"/>
    <n v="-354.6"/>
    <n v="59099.999999999993"/>
  </r>
  <r>
    <x v="11"/>
    <x v="0"/>
    <n v="137915080182"/>
    <n v="29758.05"/>
    <n v="16827654.27"/>
    <x v="0"/>
    <m/>
    <m/>
    <n v="0"/>
    <n v="-315"/>
    <n v="-1237.95"/>
    <n v="-189"/>
    <n v="31500"/>
  </r>
  <r>
    <x v="11"/>
    <x v="76"/>
    <n v="137829278598"/>
    <n v="269.22000000000003"/>
    <n v="16240311.199999999"/>
    <x v="0"/>
    <m/>
    <m/>
    <n v="-4.13"/>
    <n v="0"/>
    <n v="0"/>
    <n v="-1.65"/>
    <n v="275"/>
  </r>
  <r>
    <x v="11"/>
    <x v="0"/>
    <n v="137917455156"/>
    <n v="18138.240000000002"/>
    <n v="16845792.510000002"/>
    <x v="0"/>
    <m/>
    <m/>
    <n v="0"/>
    <n v="-192"/>
    <n v="-754.56"/>
    <n v="-115.2"/>
    <n v="19200.000000000004"/>
  </r>
  <r>
    <x v="11"/>
    <x v="0"/>
    <n v="137918261544"/>
    <n v="47740.7"/>
    <n v="16893533.210000001"/>
    <x v="0"/>
    <m/>
    <m/>
    <n v="0"/>
    <n v="-490"/>
    <n v="-475.3"/>
    <n v="-294"/>
    <n v="49000"/>
  </r>
  <r>
    <x v="11"/>
    <x v="0"/>
    <n v="137284390157"/>
    <n v="16757.96"/>
    <n v="16915088.27"/>
    <x v="0"/>
    <m/>
    <m/>
    <n v="0"/>
    <n v="-172"/>
    <n v="-166.84"/>
    <n v="-103.2"/>
    <n v="17200"/>
  </r>
  <r>
    <x v="11"/>
    <x v="0"/>
    <n v="137919655398"/>
    <n v="4599.1400000000003"/>
    <n v="16919687.41"/>
    <x v="0"/>
    <m/>
    <m/>
    <n v="0"/>
    <n v="-49"/>
    <n v="-222.46"/>
    <n v="-29.4"/>
    <n v="4900"/>
  </r>
  <r>
    <x v="11"/>
    <x v="77"/>
    <n v="137829499784"/>
    <n v="1037.74"/>
    <n v="16412023.43"/>
    <x v="0"/>
    <m/>
    <m/>
    <n v="-15.9"/>
    <n v="0"/>
    <n v="0"/>
    <n v="-6.36"/>
    <n v="1060"/>
  </r>
  <r>
    <x v="11"/>
    <x v="0"/>
    <n v="137919990346"/>
    <n v="4448.71"/>
    <n v="16924136.120000001"/>
    <x v="0"/>
    <m/>
    <m/>
    <n v="0"/>
    <n v="-49"/>
    <n v="-372.89"/>
    <n v="-29.4"/>
    <n v="4900"/>
  </r>
  <r>
    <x v="11"/>
    <x v="0"/>
    <n v="137920602650"/>
    <n v="73781.070000000007"/>
    <n v="16997917.190000001"/>
    <x v="0"/>
    <m/>
    <m/>
    <n v="0"/>
    <n v="-781"/>
    <n v="-3069.33"/>
    <n v="-468.6"/>
    <n v="78100.000000000015"/>
  </r>
  <r>
    <x v="11"/>
    <x v="0"/>
    <n v="137920760336"/>
    <n v="38484.85"/>
    <n v="17036402.039999999"/>
    <x v="0"/>
    <m/>
    <m/>
    <n v="0"/>
    <n v="-395"/>
    <n v="-383.15"/>
    <n v="-237"/>
    <n v="39500"/>
  </r>
  <r>
    <x v="11"/>
    <x v="0"/>
    <n v="137286737407"/>
    <n v="96163.41"/>
    <n v="17134498.969999999"/>
    <x v="0"/>
    <m/>
    <m/>
    <n v="0"/>
    <n v="-987"/>
    <n v="-957.39"/>
    <n v="-592.20000000000005"/>
    <n v="98700"/>
  </r>
  <r>
    <x v="11"/>
    <x v="0"/>
    <n v="137287058345"/>
    <n v="71513.62"/>
    <n v="17206012.59"/>
    <x v="0"/>
    <m/>
    <m/>
    <n v="0"/>
    <n v="-734"/>
    <n v="-711.98"/>
    <n v="-440.4"/>
    <n v="73399.999999999985"/>
  </r>
  <r>
    <x v="11"/>
    <x v="0"/>
    <n v="137287882597"/>
    <n v="106003.84"/>
    <n v="17312016.43"/>
    <x v="0"/>
    <m/>
    <m/>
    <n v="0"/>
    <n v="-1088"/>
    <n v="-1055.3599999999999"/>
    <n v="-652.79999999999995"/>
    <n v="108800"/>
  </r>
  <r>
    <x v="11"/>
    <x v="0"/>
    <n v="137287763759"/>
    <n v="64914.85"/>
    <n v="17376931.280000001"/>
    <x v="0"/>
    <m/>
    <m/>
    <n v="0"/>
    <n v="-715"/>
    <n v="-5441.15"/>
    <n v="-429"/>
    <n v="71500"/>
  </r>
  <r>
    <x v="11"/>
    <x v="0"/>
    <n v="137288757543"/>
    <n v="4599.1400000000003"/>
    <n v="17381530.420000002"/>
    <x v="0"/>
    <m/>
    <m/>
    <n v="0"/>
    <n v="-49"/>
    <n v="-222.46"/>
    <n v="-29.4"/>
    <n v="4900"/>
  </r>
  <r>
    <x v="11"/>
    <x v="0"/>
    <n v="137924517588"/>
    <n v="37043"/>
    <n v="17418573.420000002"/>
    <x v="0"/>
    <m/>
    <m/>
    <n v="0"/>
    <n v="-425"/>
    <n v="-4777"/>
    <n v="-255"/>
    <n v="42500"/>
  </r>
  <r>
    <x v="11"/>
    <x v="0"/>
    <n v="137290068965"/>
    <n v="9158.42"/>
    <n v="17427731.84"/>
    <x v="0"/>
    <m/>
    <m/>
    <n v="0"/>
    <n v="-94"/>
    <n v="-91.18"/>
    <n v="-56.4"/>
    <n v="9400"/>
  </r>
  <r>
    <x v="11"/>
    <x v="0"/>
    <n v="137926143226"/>
    <n v="4357.92"/>
    <n v="17432089.760000002"/>
    <x v="0"/>
    <m/>
    <m/>
    <n v="0"/>
    <n v="-48"/>
    <n v="-365.28"/>
    <n v="-28.8"/>
    <n v="4800"/>
  </r>
  <r>
    <x v="11"/>
    <x v="0"/>
    <n v="137926389112"/>
    <n v="29190.46"/>
    <n v="17461515.18"/>
    <x v="0"/>
    <m/>
    <m/>
    <n v="0"/>
    <n v="-311"/>
    <n v="-1411.94"/>
    <n v="-186.6"/>
    <n v="31099.999999999996"/>
  </r>
  <r>
    <x v="11"/>
    <x v="0"/>
    <n v="137291943369"/>
    <n v="14029.92"/>
    <n v="17475545.100000001"/>
    <x v="0"/>
    <m/>
    <m/>
    <n v="0"/>
    <n v="-144"/>
    <n v="-139.68"/>
    <n v="-86.4"/>
    <n v="14400"/>
  </r>
  <r>
    <x v="11"/>
    <x v="78"/>
    <n v="137283589283"/>
    <n v="4797.1000000000004"/>
    <n v="16898330.309999999"/>
    <x v="0"/>
    <m/>
    <m/>
    <n v="-73.5"/>
    <n v="0"/>
    <n v="0"/>
    <n v="-29.4"/>
    <n v="4900"/>
  </r>
  <r>
    <x v="11"/>
    <x v="0"/>
    <n v="137292138799"/>
    <n v="4774.07"/>
    <n v="17480319.170000002"/>
    <x v="0"/>
    <m/>
    <m/>
    <n v="0"/>
    <n v="-49"/>
    <n v="-47.53"/>
    <n v="-29.4"/>
    <n v="4899.9999999999991"/>
  </r>
  <r>
    <x v="11"/>
    <x v="0"/>
    <n v="137926932048"/>
    <n v="15588.8"/>
    <n v="17495907.969999999"/>
    <x v="0"/>
    <m/>
    <m/>
    <n v="0"/>
    <n v="-160"/>
    <n v="-155.19999999999999"/>
    <n v="-96"/>
    <n v="16000"/>
  </r>
  <r>
    <x v="12"/>
    <x v="0"/>
    <n v="137927636060"/>
    <n v="44135.79"/>
    <n v="17540043.760000002"/>
    <x v="0"/>
    <m/>
    <m/>
    <n v="0"/>
    <n v="-453"/>
    <n v="-439.41"/>
    <n v="-271.8"/>
    <n v="45300.000000000007"/>
  </r>
  <r>
    <x v="12"/>
    <x v="0"/>
    <n v="137293936969"/>
    <n v="11691.6"/>
    <n v="17551735.359999999"/>
    <x v="0"/>
    <m/>
    <m/>
    <n v="0"/>
    <n v="-120"/>
    <n v="-116.4"/>
    <n v="-72"/>
    <n v="12000"/>
  </r>
  <r>
    <x v="12"/>
    <x v="0"/>
    <n v="137928893544"/>
    <n v="34879.94"/>
    <n v="17586615.300000001"/>
    <x v="0"/>
    <m/>
    <m/>
    <n v="0"/>
    <n v="-358"/>
    <n v="-347.26"/>
    <n v="-214.8"/>
    <n v="35800.000000000007"/>
  </r>
  <r>
    <x v="11"/>
    <x v="79"/>
    <n v="137920633474"/>
    <n v="1933.52"/>
    <n v="17038335.559999999"/>
    <x v="0"/>
    <m/>
    <m/>
    <n v="-29.63"/>
    <n v="0"/>
    <n v="0"/>
    <n v="-11.85"/>
    <n v="1975"/>
  </r>
  <r>
    <x v="12"/>
    <x v="0"/>
    <n v="137929233114"/>
    <n v="9353.2800000000007"/>
    <n v="17595968.579999998"/>
    <x v="0"/>
    <m/>
    <m/>
    <n v="0"/>
    <n v="-96"/>
    <n v="-93.12"/>
    <n v="-57.6"/>
    <n v="9600.0000000000018"/>
  </r>
  <r>
    <x v="12"/>
    <x v="0"/>
    <n v="137295139849"/>
    <n v="9548.14"/>
    <n v="17605516.719999999"/>
    <x v="0"/>
    <m/>
    <m/>
    <n v="0"/>
    <n v="-98"/>
    <n v="-95.06"/>
    <n v="-58.8"/>
    <n v="9799.9999999999982"/>
  </r>
  <r>
    <x v="12"/>
    <x v="0"/>
    <n v="137930498598"/>
    <n v="27085.54"/>
    <n v="17632602.260000002"/>
    <x v="0"/>
    <m/>
    <m/>
    <n v="0"/>
    <n v="-278"/>
    <n v="-269.66000000000003"/>
    <n v="-166.8"/>
    <n v="27800"/>
  </r>
  <r>
    <x v="12"/>
    <x v="0"/>
    <n v="137931462000"/>
    <n v="18121.98"/>
    <n v="17650724.239999998"/>
    <x v="0"/>
    <m/>
    <m/>
    <n v="0"/>
    <n v="-186"/>
    <n v="-180.42"/>
    <n v="-111.6"/>
    <n v="18599.999999999996"/>
  </r>
  <r>
    <x v="13"/>
    <x v="0"/>
    <n v="137718027151"/>
    <n v="26890.68"/>
    <n v="13600610.279999999"/>
    <x v="0"/>
    <m/>
    <m/>
    <n v="0"/>
    <n v="-276"/>
    <n v="-267.72000000000003"/>
    <n v="-165.6"/>
    <n v="27600"/>
  </r>
  <r>
    <x v="13"/>
    <x v="0"/>
    <n v="138364372438"/>
    <n v="23675.49"/>
    <n v="13624285.77"/>
    <x v="0"/>
    <m/>
    <m/>
    <n v="0"/>
    <n v="-243"/>
    <n v="-235.71"/>
    <n v="-145.80000000000001"/>
    <n v="24300"/>
  </r>
  <r>
    <x v="13"/>
    <x v="0"/>
    <n v="137726653777"/>
    <n v="9255.85"/>
    <n v="13633541.619999999"/>
    <x v="0"/>
    <m/>
    <m/>
    <n v="0"/>
    <n v="-95"/>
    <n v="-92.15"/>
    <n v="-57"/>
    <n v="9500"/>
  </r>
  <r>
    <x v="13"/>
    <x v="0"/>
    <n v="137727368801"/>
    <n v="4774.07"/>
    <n v="13638315.689999999"/>
    <x v="0"/>
    <m/>
    <m/>
    <n v="0"/>
    <n v="-49"/>
    <n v="-47.53"/>
    <n v="-29.4"/>
    <n v="4899.9999999999991"/>
  </r>
  <r>
    <x v="11"/>
    <x v="4"/>
    <n v="137926260696"/>
    <n v="234.96"/>
    <n v="17432324.719999999"/>
    <x v="0"/>
    <m/>
    <m/>
    <n v="-3.6"/>
    <n v="0"/>
    <n v="0"/>
    <n v="-1.44"/>
    <n v="240"/>
  </r>
  <r>
    <x v="13"/>
    <x v="0"/>
    <n v="138366452506"/>
    <n v="12568.47"/>
    <n v="13650884.16"/>
    <x v="0"/>
    <m/>
    <m/>
    <n v="0"/>
    <n v="-129"/>
    <n v="-125.13"/>
    <n v="-77.400000000000006"/>
    <n v="12899.999999999998"/>
  </r>
  <r>
    <x v="13"/>
    <x v="0"/>
    <n v="137729187113"/>
    <n v="13887.09"/>
    <n v="13664771.25"/>
    <x v="0"/>
    <m/>
    <m/>
    <n v="0"/>
    <n v="-147"/>
    <n v="-577.71"/>
    <n v="-88.2"/>
    <n v="14700"/>
  </r>
  <r>
    <x v="13"/>
    <x v="0"/>
    <n v="137732048829"/>
    <n v="45248.3"/>
    <n v="13710019.550000001"/>
    <x v="0"/>
    <m/>
    <m/>
    <n v="0"/>
    <n v="-478.97"/>
    <n v="-1882.35"/>
    <n v="-287.38"/>
    <n v="47897"/>
  </r>
  <r>
    <x v="13"/>
    <x v="0"/>
    <n v="138370582356"/>
    <n v="8128.68"/>
    <n v="13718148.23"/>
    <x v="0"/>
    <m/>
    <m/>
    <n v="0"/>
    <n v="-84"/>
    <n v="-136.91999999999999"/>
    <n v="-50.4"/>
    <n v="8400"/>
  </r>
  <r>
    <x v="13"/>
    <x v="0"/>
    <n v="137732395913"/>
    <n v="4357.92"/>
    <n v="13722506.15"/>
    <x v="0"/>
    <m/>
    <m/>
    <n v="0"/>
    <n v="-48"/>
    <n v="-365.28"/>
    <n v="-28.8"/>
    <n v="4800"/>
  </r>
  <r>
    <x v="13"/>
    <x v="0"/>
    <n v="138370811186"/>
    <n v="23381.25"/>
    <n v="13745887.4"/>
    <x v="0"/>
    <m/>
    <m/>
    <n v="0"/>
    <n v="-239.98"/>
    <n v="-232.78"/>
    <n v="-143.99"/>
    <n v="23998"/>
  </r>
  <r>
    <x v="13"/>
    <x v="0"/>
    <n v="137733585351"/>
    <n v="46762.5"/>
    <n v="13792649.9"/>
    <x v="0"/>
    <m/>
    <m/>
    <n v="0"/>
    <n v="-479.96"/>
    <n v="-465.56"/>
    <n v="-287.98"/>
    <n v="47996"/>
  </r>
  <r>
    <x v="13"/>
    <x v="0"/>
    <n v="137735636327"/>
    <n v="23381.25"/>
    <n v="13818379.77"/>
    <x v="0"/>
    <m/>
    <m/>
    <n v="0"/>
    <n v="-239.98"/>
    <n v="-232.78"/>
    <n v="-143.99"/>
    <n v="23998"/>
  </r>
  <r>
    <x v="13"/>
    <x v="0"/>
    <n v="137735718137"/>
    <n v="62826.68"/>
    <n v="13881206.449999999"/>
    <x v="0"/>
    <m/>
    <m/>
    <n v="0"/>
    <n v="-692"/>
    <n v="-5266.12"/>
    <n v="-415.2"/>
    <n v="69200"/>
  </r>
  <r>
    <x v="13"/>
    <x v="0"/>
    <n v="138375001336"/>
    <n v="7626.36"/>
    <n v="13888832.810000001"/>
    <x v="0"/>
    <m/>
    <m/>
    <n v="0"/>
    <n v="-84"/>
    <n v="-639.24"/>
    <n v="-50.4"/>
    <n v="8400"/>
  </r>
  <r>
    <x v="13"/>
    <x v="0"/>
    <n v="137736891041"/>
    <n v="8476.41"/>
    <n v="13897309.220000001"/>
    <x v="0"/>
    <m/>
    <m/>
    <n v="0"/>
    <n v="-87"/>
    <n v="-84.39"/>
    <n v="-52.2"/>
    <n v="8700"/>
  </r>
  <r>
    <x v="13"/>
    <x v="0"/>
    <n v="137737033763"/>
    <n v="37119.86"/>
    <n v="13934429.08"/>
    <x v="0"/>
    <m/>
    <m/>
    <n v="0"/>
    <n v="-380.99"/>
    <n v="-369.56"/>
    <n v="-228.59"/>
    <n v="38098.999999999993"/>
  </r>
  <r>
    <x v="13"/>
    <x v="0"/>
    <n v="138375441034"/>
    <n v="20752.59"/>
    <n v="13955181.67"/>
    <x v="0"/>
    <m/>
    <m/>
    <n v="0"/>
    <n v="-213"/>
    <n v="-206.61"/>
    <n v="-127.8"/>
    <n v="21300"/>
  </r>
  <r>
    <x v="13"/>
    <x v="0"/>
    <n v="138376025552"/>
    <n v="24967.25"/>
    <n v="13980148.92"/>
    <x v="0"/>
    <m/>
    <m/>
    <n v="0"/>
    <n v="-275"/>
    <n v="-2092.75"/>
    <n v="-165"/>
    <n v="27500"/>
  </r>
  <r>
    <x v="13"/>
    <x v="0"/>
    <n v="137738555625"/>
    <n v="4629.03"/>
    <n v="13984777.949999999"/>
    <x v="0"/>
    <m/>
    <m/>
    <n v="0"/>
    <n v="-49"/>
    <n v="-192.57"/>
    <n v="-29.4"/>
    <n v="4899.9999999999991"/>
  </r>
  <r>
    <x v="13"/>
    <x v="0"/>
    <n v="138377865080"/>
    <n v="65278.1"/>
    <n v="14050056.050000001"/>
    <x v="0"/>
    <m/>
    <m/>
    <n v="0"/>
    <n v="-670"/>
    <n v="-649.9"/>
    <n v="-402"/>
    <n v="67000"/>
  </r>
  <r>
    <x v="13"/>
    <x v="0"/>
    <n v="137739858471"/>
    <n v="60309.17"/>
    <n v="14110365.220000001"/>
    <x v="0"/>
    <m/>
    <m/>
    <n v="0"/>
    <n v="-619"/>
    <n v="-600.42999999999995"/>
    <n v="-371.4"/>
    <n v="61900"/>
  </r>
  <r>
    <x v="13"/>
    <x v="0"/>
    <n v="138378205560"/>
    <n v="4676.6400000000003"/>
    <n v="14121101.869999999"/>
    <x v="0"/>
    <m/>
    <m/>
    <n v="0"/>
    <n v="-48"/>
    <n v="-46.56"/>
    <n v="-28.8"/>
    <n v="4800.0000000000009"/>
  </r>
  <r>
    <x v="13"/>
    <x v="0"/>
    <n v="138378705392"/>
    <n v="45597.24"/>
    <n v="14166699.109999999"/>
    <x v="0"/>
    <m/>
    <m/>
    <n v="0"/>
    <n v="-468"/>
    <n v="-453.96"/>
    <n v="-280.8"/>
    <n v="46800"/>
  </r>
  <r>
    <x v="13"/>
    <x v="0"/>
    <n v="138379731852"/>
    <n v="38449.29"/>
    <n v="14205148.4"/>
    <x v="0"/>
    <m/>
    <m/>
    <n v="0"/>
    <n v="-407"/>
    <n v="-1599.51"/>
    <n v="-244.2"/>
    <n v="40700"/>
  </r>
  <r>
    <x v="13"/>
    <x v="0"/>
    <n v="138380103176"/>
    <n v="49884.160000000003"/>
    <n v="14255032.560000001"/>
    <x v="0"/>
    <m/>
    <m/>
    <n v="0"/>
    <n v="-512"/>
    <n v="-496.64"/>
    <n v="-307.2"/>
    <n v="51200"/>
  </r>
  <r>
    <x v="14"/>
    <x v="0"/>
    <n v="138380825924"/>
    <n v="44328.7"/>
    <n v="14299361.26"/>
    <x v="0"/>
    <m/>
    <m/>
    <n v="0"/>
    <n v="-454.98"/>
    <n v="-441.33"/>
    <n v="-272.99"/>
    <n v="45498"/>
  </r>
  <r>
    <x v="14"/>
    <x v="0"/>
    <n v="138381183046"/>
    <n v="4774.07"/>
    <n v="14304135.33"/>
    <x v="0"/>
    <m/>
    <m/>
    <n v="0"/>
    <n v="-49"/>
    <n v="-47.53"/>
    <n v="-29.4"/>
    <n v="4899.9999999999991"/>
  </r>
  <r>
    <x v="14"/>
    <x v="0"/>
    <n v="138382866740"/>
    <n v="32831.96"/>
    <n v="14336967.289999999"/>
    <x v="0"/>
    <m/>
    <m/>
    <n v="0"/>
    <n v="-336.98"/>
    <n v="-326.87"/>
    <n v="-202.19"/>
    <n v="33698.000000000007"/>
  </r>
  <r>
    <x v="14"/>
    <x v="0"/>
    <n v="138386617202"/>
    <n v="3870.8"/>
    <n v="14340838.09"/>
    <x v="0"/>
    <m/>
    <m/>
    <n v="0"/>
    <n v="-40"/>
    <n v="-65.2"/>
    <n v="-24"/>
    <n v="4000"/>
  </r>
  <r>
    <x v="14"/>
    <x v="0"/>
    <n v="137748725081"/>
    <n v="18316.84"/>
    <n v="14359154.93"/>
    <x v="0"/>
    <m/>
    <m/>
    <n v="0"/>
    <n v="-188"/>
    <n v="-182.36"/>
    <n v="-112.8"/>
    <n v="18800"/>
  </r>
  <r>
    <x v="14"/>
    <x v="0"/>
    <n v="137748780603"/>
    <n v="19146.509999999998"/>
    <n v="14378301.439999999"/>
    <x v="0"/>
    <m/>
    <m/>
    <n v="0"/>
    <n v="-203.99"/>
    <n v="-926.11"/>
    <n v="-122.39"/>
    <n v="20399"/>
  </r>
  <r>
    <x v="14"/>
    <x v="0"/>
    <n v="138386893506"/>
    <n v="18579.84"/>
    <n v="14396881.279999999"/>
    <x v="0"/>
    <m/>
    <m/>
    <n v="0"/>
    <n v="-192"/>
    <n v="-312.95999999999998"/>
    <n v="-115.2"/>
    <n v="19200"/>
  </r>
  <r>
    <x v="13"/>
    <x v="80"/>
    <n v="138371875180"/>
    <n v="2348.62"/>
    <n v="13794998.52"/>
    <x v="0"/>
    <m/>
    <m/>
    <n v="-35.99"/>
    <n v="0"/>
    <n v="0"/>
    <n v="-14.39"/>
    <n v="2398.9999999999995"/>
  </r>
  <r>
    <x v="14"/>
    <x v="0"/>
    <n v="137748840969"/>
    <n v="16614.57"/>
    <n v="14413495.85"/>
    <x v="0"/>
    <m/>
    <m/>
    <n v="0"/>
    <n v="-183"/>
    <n v="-1392.63"/>
    <n v="-109.8"/>
    <n v="18300"/>
  </r>
  <r>
    <x v="14"/>
    <x v="0"/>
    <n v="138387393028"/>
    <n v="33126.199999999997"/>
    <n v="14446622.050000001"/>
    <x v="0"/>
    <m/>
    <m/>
    <n v="0"/>
    <n v="-340"/>
    <n v="-329.8"/>
    <n v="-204"/>
    <n v="34000"/>
  </r>
  <r>
    <x v="14"/>
    <x v="0"/>
    <n v="137862760785"/>
    <n v="12178.75"/>
    <n v="14458800.800000001"/>
    <x v="0"/>
    <m/>
    <m/>
    <n v="0"/>
    <n v="-125"/>
    <n v="-121.25"/>
    <n v="-75"/>
    <n v="12500"/>
  </r>
  <r>
    <x v="14"/>
    <x v="0"/>
    <n v="137866056777"/>
    <n v="14419.64"/>
    <n v="14473220.439999999"/>
    <x v="0"/>
    <m/>
    <m/>
    <n v="0"/>
    <n v="-148"/>
    <n v="-143.56"/>
    <n v="-88.8"/>
    <n v="14799.999999999998"/>
  </r>
  <r>
    <x v="14"/>
    <x v="0"/>
    <n v="138506489490"/>
    <n v="4871.5"/>
    <n v="14478091.939999999"/>
    <x v="0"/>
    <m/>
    <m/>
    <n v="0"/>
    <n v="-50"/>
    <n v="-48.5"/>
    <n v="-30"/>
    <n v="5000"/>
  </r>
  <r>
    <x v="14"/>
    <x v="0"/>
    <n v="138507536394"/>
    <n v="9743"/>
    <n v="14487834.939999999"/>
    <x v="0"/>
    <m/>
    <m/>
    <n v="0"/>
    <n v="-100"/>
    <n v="-97"/>
    <n v="-60"/>
    <n v="10000"/>
  </r>
  <r>
    <x v="14"/>
    <x v="0"/>
    <n v="137875762085"/>
    <n v="9743"/>
    <n v="14498556.939999999"/>
    <x v="0"/>
    <m/>
    <m/>
    <n v="0"/>
    <n v="-100"/>
    <n v="-97"/>
    <n v="-60"/>
    <n v="10000"/>
  </r>
  <r>
    <x v="14"/>
    <x v="0"/>
    <n v="138515609406"/>
    <n v="20405.52"/>
    <n v="14518962.460000001"/>
    <x v="0"/>
    <m/>
    <m/>
    <n v="0"/>
    <n v="-216"/>
    <n v="-848.88"/>
    <n v="-129.6"/>
    <n v="21600"/>
  </r>
  <r>
    <x v="14"/>
    <x v="0"/>
    <n v="137878494033"/>
    <n v="5358.65"/>
    <n v="14524321.109999999"/>
    <x v="0"/>
    <m/>
    <m/>
    <n v="0"/>
    <n v="-55"/>
    <n v="-53.35"/>
    <n v="-33"/>
    <n v="5500"/>
  </r>
  <r>
    <x v="14"/>
    <x v="0"/>
    <n v="137879551043"/>
    <n v="4539.5"/>
    <n v="14528860.609999999"/>
    <x v="0"/>
    <m/>
    <m/>
    <n v="0"/>
    <n v="-50"/>
    <n v="-380.5"/>
    <n v="-30"/>
    <n v="5000"/>
  </r>
  <r>
    <x v="13"/>
    <x v="81"/>
    <n v="137739797245"/>
    <n v="6060.01"/>
    <n v="14116425.23"/>
    <x v="0"/>
    <m/>
    <m/>
    <n v="-92.85"/>
    <n v="0"/>
    <n v="0"/>
    <n v="-37.14"/>
    <n v="6190.0000000000009"/>
  </r>
  <r>
    <x v="14"/>
    <x v="0"/>
    <n v="137881102495"/>
    <n v="4774.07"/>
    <n v="14533634.68"/>
    <x v="0"/>
    <m/>
    <m/>
    <n v="0"/>
    <n v="-49"/>
    <n v="-47.53"/>
    <n v="-29.4"/>
    <n v="4899.9999999999991"/>
  </r>
  <r>
    <x v="14"/>
    <x v="0"/>
    <n v="137881181395"/>
    <n v="25317.96"/>
    <n v="14558952.640000001"/>
    <x v="0"/>
    <m/>
    <m/>
    <n v="0"/>
    <n v="-268"/>
    <n v="-1053.24"/>
    <n v="-160.80000000000001"/>
    <n v="26800"/>
  </r>
  <r>
    <x v="14"/>
    <x v="0"/>
    <n v="137881574967"/>
    <n v="4871.5"/>
    <n v="14563824.140000001"/>
    <x v="0"/>
    <m/>
    <m/>
    <n v="0"/>
    <n v="-50"/>
    <n v="-48.5"/>
    <n v="-30"/>
    <n v="5000"/>
  </r>
  <r>
    <x v="14"/>
    <x v="0"/>
    <n v="137881925783"/>
    <n v="4448.71"/>
    <n v="14568272.85"/>
    <x v="0"/>
    <m/>
    <m/>
    <n v="0"/>
    <n v="-49"/>
    <n v="-372.89"/>
    <n v="-29.4"/>
    <n v="4900"/>
  </r>
  <r>
    <x v="14"/>
    <x v="0"/>
    <n v="137882122931"/>
    <n v="4629.03"/>
    <n v="14572901.880000001"/>
    <x v="0"/>
    <m/>
    <m/>
    <n v="0"/>
    <n v="-49"/>
    <n v="-192.57"/>
    <n v="-29.4"/>
    <n v="4899.9999999999991"/>
  </r>
  <r>
    <x v="14"/>
    <x v="0"/>
    <n v="138521571152"/>
    <n v="7557.6"/>
    <n v="14580459.48"/>
    <x v="0"/>
    <m/>
    <m/>
    <n v="0"/>
    <n v="-80"/>
    <n v="-314.39999999999998"/>
    <n v="-48"/>
    <n v="8000"/>
  </r>
  <r>
    <x v="14"/>
    <x v="0"/>
    <n v="137883296031"/>
    <n v="14711.93"/>
    <n v="14595171.41"/>
    <x v="0"/>
    <m/>
    <m/>
    <n v="0"/>
    <n v="-151"/>
    <n v="-146.47"/>
    <n v="-90.6"/>
    <n v="15100"/>
  </r>
  <r>
    <x v="14"/>
    <x v="0"/>
    <n v="138522879906"/>
    <n v="7307.25"/>
    <n v="14602478.66"/>
    <x v="0"/>
    <m/>
    <m/>
    <n v="0"/>
    <n v="-75"/>
    <n v="-72.75"/>
    <n v="-45"/>
    <n v="7500"/>
  </r>
  <r>
    <x v="14"/>
    <x v="0"/>
    <n v="138523156838"/>
    <n v="21337.17"/>
    <n v="14624182.949999999"/>
    <x v="0"/>
    <m/>
    <m/>
    <n v="0"/>
    <n v="-219"/>
    <n v="-212.43"/>
    <n v="-131.4"/>
    <n v="21900"/>
  </r>
  <r>
    <x v="14"/>
    <x v="0"/>
    <n v="138523183892"/>
    <n v="4774.07"/>
    <n v="14630029.02"/>
    <x v="0"/>
    <m/>
    <m/>
    <n v="0"/>
    <n v="-49"/>
    <n v="-47.53"/>
    <n v="-29.4"/>
    <n v="4899.9999999999991"/>
  </r>
  <r>
    <x v="14"/>
    <x v="0"/>
    <n v="138523355880"/>
    <n v="4774.07"/>
    <n v="14634803.09"/>
    <x v="0"/>
    <m/>
    <m/>
    <n v="0"/>
    <n v="-49"/>
    <n v="-47.53"/>
    <n v="-29.4"/>
    <n v="4899.9999999999991"/>
  </r>
  <r>
    <x v="14"/>
    <x v="0"/>
    <n v="138523750984"/>
    <n v="10717.3"/>
    <n v="14645520.390000001"/>
    <x v="0"/>
    <m/>
    <m/>
    <n v="0"/>
    <n v="-110"/>
    <n v="-106.7"/>
    <n v="-66"/>
    <n v="11000"/>
  </r>
  <r>
    <x v="14"/>
    <x v="0"/>
    <n v="138523835674"/>
    <n v="2435.75"/>
    <n v="14647956.140000001"/>
    <x v="0"/>
    <m/>
    <m/>
    <n v="0"/>
    <n v="-25"/>
    <n v="-24.25"/>
    <n v="-15"/>
    <n v="2500"/>
  </r>
  <r>
    <x v="14"/>
    <x v="0"/>
    <n v="137885651617"/>
    <n v="4774.07"/>
    <n v="14652730.210000001"/>
    <x v="0"/>
    <m/>
    <m/>
    <n v="0"/>
    <n v="-49"/>
    <n v="-47.53"/>
    <n v="-29.4"/>
    <n v="4899.9999999999991"/>
  </r>
  <r>
    <x v="14"/>
    <x v="0"/>
    <n v="138525332522"/>
    <n v="4676.6400000000003"/>
    <n v="14657406.85"/>
    <x v="0"/>
    <m/>
    <m/>
    <n v="0"/>
    <n v="-48"/>
    <n v="-46.56"/>
    <n v="-28.8"/>
    <n v="4800.0000000000009"/>
  </r>
  <r>
    <x v="14"/>
    <x v="0"/>
    <n v="138525274966"/>
    <n v="9353.2800000000007"/>
    <n v="14666760.130000001"/>
    <x v="0"/>
    <m/>
    <m/>
    <n v="0"/>
    <n v="-96"/>
    <n v="-93.12"/>
    <n v="-57.6"/>
    <n v="9600.0000000000018"/>
  </r>
  <r>
    <x v="14"/>
    <x v="0"/>
    <n v="137886337273"/>
    <n v="4539.5"/>
    <n v="14671299.630000001"/>
    <x v="0"/>
    <m/>
    <m/>
    <n v="0"/>
    <n v="-50"/>
    <n v="-380.5"/>
    <n v="-30"/>
    <n v="5000"/>
  </r>
  <r>
    <x v="14"/>
    <x v="82"/>
    <n v="138507542274"/>
    <n v="979"/>
    <n v="14488813.939999999"/>
    <x v="0"/>
    <m/>
    <m/>
    <n v="-15"/>
    <n v="0"/>
    <n v="0"/>
    <n v="-6"/>
    <n v="1000"/>
  </r>
  <r>
    <x v="14"/>
    <x v="0"/>
    <n v="138527208218"/>
    <n v="4871.5"/>
    <n v="14676171.130000001"/>
    <x v="0"/>
    <m/>
    <m/>
    <n v="0"/>
    <n v="-50"/>
    <n v="-48.5"/>
    <n v="-30"/>
    <n v="5000"/>
  </r>
  <r>
    <x v="14"/>
    <x v="0"/>
    <n v="137888300955"/>
    <n v="4774.07"/>
    <n v="14680945.199999999"/>
    <x v="0"/>
    <m/>
    <m/>
    <n v="0"/>
    <n v="-49"/>
    <n v="-47.53"/>
    <n v="-29.4"/>
    <n v="4899.9999999999991"/>
  </r>
  <r>
    <x v="14"/>
    <x v="0"/>
    <n v="137888265807"/>
    <n v="9743"/>
    <n v="14690688.199999999"/>
    <x v="0"/>
    <m/>
    <m/>
    <n v="0"/>
    <n v="-100"/>
    <n v="-97"/>
    <n v="-60"/>
    <n v="10000"/>
  </r>
  <r>
    <x v="14"/>
    <x v="0"/>
    <n v="137888580429"/>
    <n v="40547.519999999997"/>
    <n v="14731235.720000001"/>
    <x v="0"/>
    <m/>
    <m/>
    <n v="0"/>
    <n v="-432"/>
    <n v="-1961.28"/>
    <n v="-259.2"/>
    <n v="43199.999999999993"/>
  </r>
  <r>
    <x v="14"/>
    <x v="0"/>
    <n v="138527881428"/>
    <n v="9743"/>
    <n v="14740978.720000001"/>
    <x v="0"/>
    <m/>
    <m/>
    <n v="0"/>
    <n v="-100"/>
    <n v="-97"/>
    <n v="-60"/>
    <n v="10000"/>
  </r>
  <r>
    <x v="14"/>
    <x v="0"/>
    <n v="138527945930"/>
    <n v="4676.6400000000003"/>
    <n v="14745655.359999999"/>
    <x v="0"/>
    <m/>
    <m/>
    <n v="0"/>
    <n v="-48"/>
    <n v="-46.56"/>
    <n v="-28.8"/>
    <n v="4800.0000000000009"/>
  </r>
  <r>
    <x v="14"/>
    <x v="0"/>
    <n v="137888937331"/>
    <n v="45597.24"/>
    <n v="14791252.6"/>
    <x v="0"/>
    <m/>
    <m/>
    <n v="0"/>
    <n v="-468"/>
    <n v="-453.96"/>
    <n v="-280.8"/>
    <n v="46800"/>
  </r>
  <r>
    <x v="14"/>
    <x v="0"/>
    <n v="138528055052"/>
    <n v="2338.3200000000002"/>
    <n v="14793590.92"/>
    <x v="0"/>
    <m/>
    <m/>
    <n v="0"/>
    <n v="-24"/>
    <n v="-23.28"/>
    <n v="-14.4"/>
    <n v="2400.0000000000005"/>
  </r>
  <r>
    <x v="14"/>
    <x v="0"/>
    <n v="138528129514"/>
    <n v="4871.5"/>
    <n v="14798462.42"/>
    <x v="0"/>
    <m/>
    <m/>
    <n v="0"/>
    <n v="-50"/>
    <n v="-48.5"/>
    <n v="-30"/>
    <n v="5000"/>
  </r>
  <r>
    <x v="14"/>
    <x v="0"/>
    <n v="138528213452"/>
    <n v="4676.6400000000003"/>
    <n v="14803139.060000001"/>
    <x v="0"/>
    <m/>
    <m/>
    <n v="0"/>
    <n v="-48"/>
    <n v="-46.56"/>
    <n v="-28.8"/>
    <n v="4800.0000000000009"/>
  </r>
  <r>
    <x v="14"/>
    <x v="0"/>
    <n v="138528194054"/>
    <n v="4871.5"/>
    <n v="14808010.560000001"/>
    <x v="0"/>
    <m/>
    <m/>
    <n v="0"/>
    <n v="-50"/>
    <n v="-48.5"/>
    <n v="-30"/>
    <n v="5000"/>
  </r>
  <r>
    <x v="14"/>
    <x v="0"/>
    <n v="137889297597"/>
    <n v="4774.07"/>
    <n v="14812784.630000001"/>
    <x v="0"/>
    <m/>
    <m/>
    <n v="0"/>
    <n v="-49"/>
    <n v="-47.53"/>
    <n v="-29.4"/>
    <n v="4899.9999999999991"/>
  </r>
  <r>
    <x v="14"/>
    <x v="4"/>
    <n v="137883804495"/>
    <n v="367.12"/>
    <n v="14602845.779999999"/>
    <x v="0"/>
    <m/>
    <m/>
    <n v="-5.63"/>
    <n v="0"/>
    <n v="0"/>
    <n v="-2.25"/>
    <n v="375"/>
  </r>
  <r>
    <x v="14"/>
    <x v="0"/>
    <n v="138528391464"/>
    <n v="5358.65"/>
    <n v="14818143.279999999"/>
    <x v="0"/>
    <m/>
    <m/>
    <n v="0"/>
    <n v="-55"/>
    <n v="-53.35"/>
    <n v="-33"/>
    <n v="5500"/>
  </r>
  <r>
    <x v="14"/>
    <x v="83"/>
    <n v="137883883605"/>
    <n v="1072"/>
    <n v="14625254.949999999"/>
    <x v="0"/>
    <m/>
    <m/>
    <n v="-16.43"/>
    <n v="0"/>
    <n v="0"/>
    <n v="-6.57"/>
    <n v="1095"/>
  </r>
  <r>
    <x v="14"/>
    <x v="0"/>
    <n v="137889879715"/>
    <n v="9548.14"/>
    <n v="14827691.42"/>
    <x v="0"/>
    <m/>
    <m/>
    <n v="0"/>
    <n v="-98"/>
    <n v="-95.06"/>
    <n v="-58.8"/>
    <n v="9799.9999999999982"/>
  </r>
  <r>
    <x v="14"/>
    <x v="0"/>
    <n v="138529185350"/>
    <n v="14614.5"/>
    <n v="14842305.92"/>
    <x v="0"/>
    <m/>
    <m/>
    <n v="0"/>
    <n v="-150"/>
    <n v="-145.5"/>
    <n v="-90"/>
    <n v="15000"/>
  </r>
  <r>
    <x v="14"/>
    <x v="0"/>
    <n v="137890291451"/>
    <n v="44915.23"/>
    <n v="14887221.15"/>
    <x v="0"/>
    <m/>
    <m/>
    <n v="0"/>
    <n v="-461"/>
    <n v="-447.17"/>
    <n v="-276.60000000000002"/>
    <n v="46100"/>
  </r>
  <r>
    <x v="14"/>
    <x v="0"/>
    <n v="137890414465"/>
    <n v="10717.3"/>
    <n v="14897938.449999999"/>
    <x v="0"/>
    <m/>
    <m/>
    <n v="0"/>
    <n v="-110"/>
    <n v="-106.7"/>
    <n v="-66"/>
    <n v="11000"/>
  </r>
  <r>
    <x v="14"/>
    <x v="0"/>
    <n v="138529603148"/>
    <n v="21633.63"/>
    <n v="14919572.08"/>
    <x v="0"/>
    <m/>
    <m/>
    <n v="0"/>
    <n v="-229"/>
    <n v="-899.97"/>
    <n v="-137.4"/>
    <n v="22900.000000000004"/>
  </r>
  <r>
    <x v="14"/>
    <x v="0"/>
    <n v="137890542783"/>
    <n v="4871.5"/>
    <n v="14924443.58"/>
    <x v="0"/>
    <m/>
    <m/>
    <n v="0"/>
    <n v="-50"/>
    <n v="-48.5"/>
    <n v="-30"/>
    <n v="5000"/>
  </r>
  <r>
    <x v="14"/>
    <x v="0"/>
    <n v="138529709640"/>
    <n v="4505.28"/>
    <n v="14928948.859999999"/>
    <x v="0"/>
    <m/>
    <m/>
    <n v="0"/>
    <n v="-48"/>
    <n v="-217.92"/>
    <n v="-28.8"/>
    <n v="4800"/>
  </r>
  <r>
    <x v="14"/>
    <x v="0"/>
    <n v="138529964152"/>
    <n v="9743"/>
    <n v="14938691.859999999"/>
    <x v="0"/>
    <m/>
    <m/>
    <n v="0"/>
    <n v="-100"/>
    <n v="-97"/>
    <n v="-60"/>
    <n v="10000"/>
  </r>
  <r>
    <x v="14"/>
    <x v="0"/>
    <n v="138530250704"/>
    <n v="54414.720000000001"/>
    <n v="14993106.58"/>
    <x v="0"/>
    <m/>
    <m/>
    <n v="0"/>
    <n v="-576"/>
    <n v="-2263.6799999999998"/>
    <n v="-345.6"/>
    <n v="57600"/>
  </r>
  <r>
    <x v="14"/>
    <x v="0"/>
    <n v="137891309225"/>
    <n v="35659.379999999997"/>
    <n v="15028765.960000001"/>
    <x v="0"/>
    <m/>
    <m/>
    <n v="0"/>
    <n v="-366"/>
    <n v="-355.02"/>
    <n v="-219.6"/>
    <n v="36599.999999999993"/>
  </r>
  <r>
    <x v="14"/>
    <x v="0"/>
    <n v="137891544975"/>
    <n v="4676.6400000000003"/>
    <n v="15033442.6"/>
    <x v="0"/>
    <m/>
    <m/>
    <n v="0"/>
    <n v="-48"/>
    <n v="-46.56"/>
    <n v="-28.8"/>
    <n v="4800.0000000000009"/>
  </r>
  <r>
    <x v="14"/>
    <x v="0"/>
    <n v="138530623524"/>
    <n v="2435.75"/>
    <n v="15035878.35"/>
    <x v="0"/>
    <m/>
    <m/>
    <n v="0"/>
    <n v="-25"/>
    <n v="-24.25"/>
    <n v="-15"/>
    <n v="2500"/>
  </r>
  <r>
    <x v="14"/>
    <x v="0"/>
    <n v="137891888729"/>
    <n v="10717.3"/>
    <n v="15046595.65"/>
    <x v="0"/>
    <m/>
    <m/>
    <n v="0"/>
    <n v="-110"/>
    <n v="-106.7"/>
    <n v="-66"/>
    <n v="11000"/>
  </r>
  <r>
    <x v="14"/>
    <x v="0"/>
    <n v="137891966741"/>
    <n v="4838.5"/>
    <n v="15051434.15"/>
    <x v="0"/>
    <m/>
    <m/>
    <n v="0"/>
    <n v="-50"/>
    <n v="-81.5"/>
    <n v="-30"/>
    <n v="5000"/>
  </r>
  <r>
    <x v="14"/>
    <x v="0"/>
    <n v="137891994961"/>
    <n v="14614.5"/>
    <n v="15066048.65"/>
    <x v="0"/>
    <m/>
    <m/>
    <n v="0"/>
    <n v="-150"/>
    <n v="-145.5"/>
    <n v="-90"/>
    <n v="15000"/>
  </r>
  <r>
    <x v="14"/>
    <x v="0"/>
    <n v="138531133564"/>
    <n v="17732.259999999998"/>
    <n v="15083780.91"/>
    <x v="0"/>
    <m/>
    <m/>
    <n v="0"/>
    <n v="-182"/>
    <n v="-176.54"/>
    <n v="-109.2"/>
    <n v="18200"/>
  </r>
  <r>
    <x v="14"/>
    <x v="0"/>
    <n v="138531264710"/>
    <n v="13153.05"/>
    <n v="15097824.85"/>
    <x v="0"/>
    <m/>
    <m/>
    <n v="0"/>
    <n v="-135"/>
    <n v="-130.94999999999999"/>
    <n v="-81"/>
    <n v="13500"/>
  </r>
  <r>
    <x v="14"/>
    <x v="0"/>
    <n v="138531301154"/>
    <n v="32151.9"/>
    <n v="15129976.75"/>
    <x v="0"/>
    <m/>
    <m/>
    <n v="0"/>
    <n v="-330"/>
    <n v="-320.10000000000002"/>
    <n v="-198"/>
    <n v="33000"/>
  </r>
  <r>
    <x v="14"/>
    <x v="0"/>
    <n v="138531468148"/>
    <n v="10035.290000000001"/>
    <n v="15140012.039999999"/>
    <x v="0"/>
    <m/>
    <m/>
    <n v="0"/>
    <n v="-103"/>
    <n v="-99.91"/>
    <n v="-61.8"/>
    <n v="10300"/>
  </r>
  <r>
    <x v="14"/>
    <x v="0"/>
    <n v="138531411036"/>
    <n v="35026.080000000002"/>
    <n v="15175038.119999999"/>
    <x v="0"/>
    <m/>
    <m/>
    <n v="0"/>
    <n v="-359.5"/>
    <n v="-348.72"/>
    <n v="-215.7"/>
    <n v="35950"/>
  </r>
  <r>
    <x v="14"/>
    <x v="0"/>
    <n v="137892466823"/>
    <n v="20168.009999999998"/>
    <n v="15195206.130000001"/>
    <x v="0"/>
    <m/>
    <m/>
    <n v="0"/>
    <n v="-207"/>
    <n v="-200.79"/>
    <n v="-124.2"/>
    <n v="20700"/>
  </r>
  <r>
    <x v="14"/>
    <x v="0"/>
    <n v="137892552965"/>
    <n v="5358.65"/>
    <n v="15200564.779999999"/>
    <x v="0"/>
    <m/>
    <m/>
    <n v="0"/>
    <n v="-55"/>
    <n v="-53.35"/>
    <n v="-33"/>
    <n v="5500"/>
  </r>
  <r>
    <x v="14"/>
    <x v="0"/>
    <n v="138532020272"/>
    <n v="7414.94"/>
    <n v="15207979.720000001"/>
    <x v="0"/>
    <m/>
    <m/>
    <n v="0"/>
    <n v="-79"/>
    <n v="-358.66"/>
    <n v="-47.4"/>
    <n v="7899.9999999999991"/>
  </r>
  <r>
    <x v="14"/>
    <x v="0"/>
    <n v="137892926953"/>
    <n v="14614.5"/>
    <n v="15222594.220000001"/>
    <x v="0"/>
    <m/>
    <m/>
    <n v="0"/>
    <n v="-150"/>
    <n v="-145.5"/>
    <n v="-90"/>
    <n v="15000"/>
  </r>
  <r>
    <x v="14"/>
    <x v="0"/>
    <n v="137892927031"/>
    <n v="4871.5"/>
    <n v="15227465.720000001"/>
    <x v="0"/>
    <m/>
    <m/>
    <n v="0"/>
    <n v="-50"/>
    <n v="-48.5"/>
    <n v="-30"/>
    <n v="5000"/>
  </r>
  <r>
    <x v="14"/>
    <x v="0"/>
    <n v="138532396696"/>
    <n v="4871.5"/>
    <n v="15232337.220000001"/>
    <x v="0"/>
    <m/>
    <m/>
    <n v="0"/>
    <n v="-50"/>
    <n v="-48.5"/>
    <n v="-30"/>
    <n v="5000"/>
  </r>
  <r>
    <x v="14"/>
    <x v="0"/>
    <n v="137893308257"/>
    <n v="4774.07"/>
    <n v="15237111.289999999"/>
    <x v="0"/>
    <m/>
    <m/>
    <n v="0"/>
    <n v="-49"/>
    <n v="-47.53"/>
    <n v="-29.4"/>
    <n v="4899.9999999999991"/>
  </r>
  <r>
    <x v="14"/>
    <x v="0"/>
    <n v="138532436086"/>
    <n v="19082.939999999999"/>
    <n v="15256194.23"/>
    <x v="0"/>
    <m/>
    <m/>
    <n v="0"/>
    <n v="-202"/>
    <n v="-793.86"/>
    <n v="-121.2"/>
    <n v="20200"/>
  </r>
  <r>
    <x v="14"/>
    <x v="0"/>
    <n v="137893744373"/>
    <n v="7014.96"/>
    <n v="15263209.189999999"/>
    <x v="0"/>
    <m/>
    <m/>
    <n v="0"/>
    <n v="-72"/>
    <n v="-69.84"/>
    <n v="-43.2"/>
    <n v="7200"/>
  </r>
  <r>
    <x v="14"/>
    <x v="0"/>
    <n v="138533100352"/>
    <n v="9743"/>
    <n v="15272952.189999999"/>
    <x v="0"/>
    <m/>
    <m/>
    <n v="0"/>
    <n v="-100"/>
    <n v="-97"/>
    <n v="-60"/>
    <n v="10000"/>
  </r>
  <r>
    <x v="14"/>
    <x v="0"/>
    <n v="137893863741"/>
    <n v="30398.16"/>
    <n v="15303350.35"/>
    <x v="0"/>
    <m/>
    <m/>
    <n v="0"/>
    <n v="-312"/>
    <n v="-302.64"/>
    <n v="-187.2"/>
    <n v="31200"/>
  </r>
  <r>
    <x v="14"/>
    <x v="0"/>
    <n v="137893950695"/>
    <n v="9743"/>
    <n v="15313093.35"/>
    <x v="0"/>
    <m/>
    <m/>
    <n v="0"/>
    <n v="-100"/>
    <n v="-97"/>
    <n v="-60"/>
    <n v="10000"/>
  </r>
  <r>
    <x v="14"/>
    <x v="0"/>
    <n v="137894038283"/>
    <n v="4676.6400000000003"/>
    <n v="15317769.99"/>
    <x v="0"/>
    <m/>
    <m/>
    <n v="0"/>
    <n v="-48"/>
    <n v="-46.56"/>
    <n v="-28.8"/>
    <n v="4800.0000000000009"/>
  </r>
  <r>
    <x v="14"/>
    <x v="0"/>
    <n v="137893963885"/>
    <n v="4871.5"/>
    <n v="15322641.49"/>
    <x v="0"/>
    <m/>
    <m/>
    <n v="0"/>
    <n v="-50"/>
    <n v="-48.5"/>
    <n v="-30"/>
    <n v="5000"/>
  </r>
  <r>
    <x v="14"/>
    <x v="0"/>
    <n v="138533430762"/>
    <n v="51540.47"/>
    <n v="15374181.960000001"/>
    <x v="0"/>
    <m/>
    <m/>
    <n v="0"/>
    <n v="-529"/>
    <n v="-513.13"/>
    <n v="-317.39999999999998"/>
    <n v="52900"/>
  </r>
  <r>
    <x v="14"/>
    <x v="0"/>
    <n v="138533495288"/>
    <n v="4676.6400000000003"/>
    <n v="15378858.6"/>
    <x v="0"/>
    <m/>
    <m/>
    <n v="0"/>
    <n v="-48"/>
    <n v="-46.56"/>
    <n v="-28.8"/>
    <n v="4800.0000000000009"/>
  </r>
  <r>
    <x v="14"/>
    <x v="0"/>
    <n v="137894380257"/>
    <n v="4676.6400000000003"/>
    <n v="15383535.24"/>
    <x v="0"/>
    <m/>
    <m/>
    <n v="0"/>
    <n v="-48"/>
    <n v="-46.56"/>
    <n v="-28.8"/>
    <n v="4800.0000000000009"/>
  </r>
  <r>
    <x v="14"/>
    <x v="84"/>
    <n v="138531210626"/>
    <n v="890.89"/>
    <n v="15084671.800000001"/>
    <x v="0"/>
    <m/>
    <m/>
    <n v="-13.65"/>
    <n v="0"/>
    <n v="0"/>
    <n v="-5.46"/>
    <n v="910"/>
  </r>
  <r>
    <x v="14"/>
    <x v="0"/>
    <n v="137894534529"/>
    <n v="127349.32"/>
    <n v="15510884.560000001"/>
    <x v="0"/>
    <m/>
    <m/>
    <n v="0"/>
    <n v="-1316"/>
    <n v="-2145.08"/>
    <n v="-789.6"/>
    <n v="131600"/>
  </r>
  <r>
    <x v="14"/>
    <x v="0"/>
    <n v="137894549499"/>
    <n v="4871.5"/>
    <n v="15515756.060000001"/>
    <x v="0"/>
    <m/>
    <m/>
    <n v="0"/>
    <n v="-50"/>
    <n v="-48.5"/>
    <n v="-30"/>
    <n v="5000"/>
  </r>
  <r>
    <x v="14"/>
    <x v="0"/>
    <n v="137894672723"/>
    <n v="14614.5"/>
    <n v="15530615.310000001"/>
    <x v="0"/>
    <m/>
    <m/>
    <n v="0"/>
    <n v="-150"/>
    <n v="-145.5"/>
    <n v="-90"/>
    <n v="15000"/>
  </r>
  <r>
    <x v="14"/>
    <x v="0"/>
    <n v="137894766465"/>
    <n v="50955.89"/>
    <n v="15581571.199999999"/>
    <x v="0"/>
    <m/>
    <m/>
    <n v="0"/>
    <n v="-523"/>
    <n v="-507.31"/>
    <n v="-313.8"/>
    <n v="52300"/>
  </r>
  <r>
    <x v="14"/>
    <x v="0"/>
    <n v="138533953280"/>
    <n v="24357.5"/>
    <n v="15605928.699999999"/>
    <x v="0"/>
    <m/>
    <m/>
    <n v="0"/>
    <n v="-250"/>
    <n v="-242.5"/>
    <n v="-150"/>
    <n v="25000"/>
  </r>
  <r>
    <x v="14"/>
    <x v="0"/>
    <n v="137894899763"/>
    <n v="4871.5"/>
    <n v="15610800.199999999"/>
    <x v="0"/>
    <m/>
    <m/>
    <n v="0"/>
    <n v="-50"/>
    <n v="-48.5"/>
    <n v="-30"/>
    <n v="5000"/>
  </r>
  <r>
    <x v="14"/>
    <x v="0"/>
    <n v="138534165884"/>
    <n v="4676.6400000000003"/>
    <n v="15615476.84"/>
    <x v="0"/>
    <m/>
    <m/>
    <n v="0"/>
    <n v="-48"/>
    <n v="-46.56"/>
    <n v="-28.8"/>
    <n v="4800.0000000000009"/>
  </r>
  <r>
    <x v="14"/>
    <x v="0"/>
    <n v="138534343360"/>
    <n v="4676.6400000000003"/>
    <n v="15620153.48"/>
    <x v="0"/>
    <m/>
    <m/>
    <n v="0"/>
    <n v="-48"/>
    <n v="-46.56"/>
    <n v="-28.8"/>
    <n v="4800.0000000000009"/>
  </r>
  <r>
    <x v="14"/>
    <x v="0"/>
    <n v="138534337942"/>
    <n v="7307.25"/>
    <n v="15627460.73"/>
    <x v="0"/>
    <m/>
    <m/>
    <n v="0"/>
    <n v="-75"/>
    <n v="-72.75"/>
    <n v="-45"/>
    <n v="7500"/>
  </r>
  <r>
    <x v="14"/>
    <x v="0"/>
    <n v="137895364073"/>
    <n v="4534.5600000000004"/>
    <n v="15631995.289999999"/>
    <x v="0"/>
    <m/>
    <m/>
    <n v="0"/>
    <n v="-48"/>
    <n v="-188.64"/>
    <n v="-28.8"/>
    <n v="4800.0000000000009"/>
  </r>
  <r>
    <x v="14"/>
    <x v="0"/>
    <n v="138534631434"/>
    <n v="7307.25"/>
    <n v="15639302.539999999"/>
    <x v="0"/>
    <m/>
    <m/>
    <n v="0"/>
    <n v="-75"/>
    <n v="-72.75"/>
    <n v="-45"/>
    <n v="7500"/>
  </r>
  <r>
    <x v="14"/>
    <x v="0"/>
    <n v="138534793054"/>
    <n v="10717.3"/>
    <n v="15650019.84"/>
    <x v="0"/>
    <m/>
    <m/>
    <n v="0"/>
    <n v="-110"/>
    <n v="-106.7"/>
    <n v="-66"/>
    <n v="11000"/>
  </r>
  <r>
    <x v="14"/>
    <x v="0"/>
    <n v="137895836485"/>
    <n v="4871.5"/>
    <n v="15654891.34"/>
    <x v="0"/>
    <m/>
    <m/>
    <n v="0"/>
    <n v="-50"/>
    <n v="-48.5"/>
    <n v="-30"/>
    <n v="5000"/>
  </r>
  <r>
    <x v="14"/>
    <x v="0"/>
    <n v="138534996160"/>
    <n v="4871.5"/>
    <n v="15659762.84"/>
    <x v="0"/>
    <m/>
    <m/>
    <n v="0"/>
    <n v="-50"/>
    <n v="-48.5"/>
    <n v="-30"/>
    <n v="5000"/>
  </r>
  <r>
    <x v="14"/>
    <x v="0"/>
    <n v="138534978934"/>
    <n v="4838.5"/>
    <n v="15664601.34"/>
    <x v="0"/>
    <m/>
    <m/>
    <n v="0"/>
    <n v="-50"/>
    <n v="-81.5"/>
    <n v="-30"/>
    <n v="5000"/>
  </r>
  <r>
    <x v="14"/>
    <x v="0"/>
    <n v="137895887285"/>
    <n v="9743"/>
    <n v="15674344.34"/>
    <x v="0"/>
    <m/>
    <m/>
    <n v="0"/>
    <n v="-100"/>
    <n v="-97"/>
    <n v="-60"/>
    <n v="10000"/>
  </r>
  <r>
    <x v="14"/>
    <x v="0"/>
    <n v="138535116146"/>
    <n v="4871.5"/>
    <n v="15679215.84"/>
    <x v="0"/>
    <m/>
    <m/>
    <n v="0"/>
    <n v="-50"/>
    <n v="-48.5"/>
    <n v="-30"/>
    <n v="5000"/>
  </r>
  <r>
    <x v="14"/>
    <x v="0"/>
    <n v="138535053938"/>
    <n v="4676.6400000000003"/>
    <n v="15684137.23"/>
    <x v="0"/>
    <m/>
    <m/>
    <n v="0"/>
    <n v="-48"/>
    <n v="-46.56"/>
    <n v="-28.8"/>
    <n v="4800.0000000000009"/>
  </r>
  <r>
    <x v="14"/>
    <x v="0"/>
    <n v="138535089536"/>
    <n v="15491.37"/>
    <n v="15699628.6"/>
    <x v="0"/>
    <m/>
    <m/>
    <n v="0"/>
    <n v="-159"/>
    <n v="-154.22999999999999"/>
    <n v="-95.4"/>
    <n v="15900"/>
  </r>
  <r>
    <x v="14"/>
    <x v="0"/>
    <n v="137896094497"/>
    <n v="9743"/>
    <n v="15709371.6"/>
    <x v="0"/>
    <m/>
    <m/>
    <n v="0"/>
    <n v="-100"/>
    <n v="-97"/>
    <n v="-60"/>
    <n v="10000"/>
  </r>
  <r>
    <x v="15"/>
    <x v="0"/>
    <n v="137896413189"/>
    <n v="9353.2800000000007"/>
    <n v="15718724.880000001"/>
    <x v="0"/>
    <m/>
    <m/>
    <n v="0"/>
    <n v="-96"/>
    <n v="-93.12"/>
    <n v="-57.6"/>
    <n v="9600.0000000000018"/>
  </r>
  <r>
    <x v="15"/>
    <x v="0"/>
    <n v="138535507900"/>
    <n v="4871.5"/>
    <n v="15723596.380000001"/>
    <x v="0"/>
    <m/>
    <m/>
    <n v="0"/>
    <n v="-50"/>
    <n v="-48.5"/>
    <n v="-30"/>
    <n v="5000"/>
  </r>
  <r>
    <x v="15"/>
    <x v="0"/>
    <n v="137896500919"/>
    <n v="4871.5"/>
    <n v="15728467.880000001"/>
    <x v="0"/>
    <m/>
    <m/>
    <n v="0"/>
    <n v="-50"/>
    <n v="-48.5"/>
    <n v="-30"/>
    <n v="5000"/>
  </r>
  <r>
    <x v="14"/>
    <x v="85"/>
    <n v="138533691820"/>
    <n v="244.75"/>
    <n v="15516000.810000001"/>
    <x v="0"/>
    <m/>
    <m/>
    <n v="-3.75"/>
    <n v="0"/>
    <n v="0"/>
    <n v="-1.5"/>
    <n v="250"/>
  </r>
  <r>
    <x v="15"/>
    <x v="0"/>
    <n v="138535706824"/>
    <n v="4838.5"/>
    <n v="15733306.380000001"/>
    <x v="0"/>
    <m/>
    <m/>
    <n v="0"/>
    <n v="-50"/>
    <n v="-81.5"/>
    <n v="-30"/>
    <n v="5000"/>
  </r>
  <r>
    <x v="15"/>
    <x v="0"/>
    <n v="137896651907"/>
    <n v="12178.75"/>
    <n v="15745485.130000001"/>
    <x v="0"/>
    <m/>
    <m/>
    <n v="0"/>
    <n v="-125"/>
    <n v="-121.25"/>
    <n v="-75"/>
    <n v="12500"/>
  </r>
  <r>
    <x v="15"/>
    <x v="0"/>
    <n v="138535920782"/>
    <n v="14614.5"/>
    <n v="15760099.630000001"/>
    <x v="0"/>
    <m/>
    <m/>
    <n v="0"/>
    <n v="-150"/>
    <n v="-145.5"/>
    <n v="-90"/>
    <n v="15000"/>
  </r>
  <r>
    <x v="15"/>
    <x v="0"/>
    <n v="137896807477"/>
    <n v="8367.36"/>
    <n v="15768466.99"/>
    <x v="0"/>
    <m/>
    <m/>
    <n v="0"/>
    <n v="-96"/>
    <n v="-1079.04"/>
    <n v="-57.6"/>
    <n v="9600.0000000000018"/>
  </r>
  <r>
    <x v="15"/>
    <x v="0"/>
    <n v="137896837169"/>
    <n v="4871.5"/>
    <n v="15773338.49"/>
    <x v="0"/>
    <m/>
    <m/>
    <n v="0"/>
    <n v="-50"/>
    <n v="-48.5"/>
    <n v="-30"/>
    <n v="5000"/>
  </r>
  <r>
    <x v="15"/>
    <x v="0"/>
    <n v="137896861447"/>
    <n v="4774.07"/>
    <n v="15778112.560000001"/>
    <x v="0"/>
    <m/>
    <m/>
    <n v="0"/>
    <n v="-49"/>
    <n v="-47.53"/>
    <n v="-29.4"/>
    <n v="4899.9999999999991"/>
  </r>
  <r>
    <x v="15"/>
    <x v="0"/>
    <n v="137896976563"/>
    <n v="4676.6400000000003"/>
    <n v="15782789.199999999"/>
    <x v="0"/>
    <m/>
    <m/>
    <n v="0"/>
    <n v="-48"/>
    <n v="-46.56"/>
    <n v="-28.8"/>
    <n v="4800.0000000000009"/>
  </r>
  <r>
    <x v="15"/>
    <x v="0"/>
    <n v="137896955087"/>
    <n v="42869.2"/>
    <n v="15825658.4"/>
    <x v="0"/>
    <m/>
    <m/>
    <n v="0"/>
    <n v="-440"/>
    <n v="-426.8"/>
    <n v="-264"/>
    <n v="44000"/>
  </r>
  <r>
    <x v="15"/>
    <x v="0"/>
    <n v="138536070026"/>
    <n v="28450.38"/>
    <n v="15854108.779999999"/>
    <x v="0"/>
    <m/>
    <m/>
    <n v="0"/>
    <n v="-294"/>
    <n v="-479.22"/>
    <n v="-176.4"/>
    <n v="29400.000000000004"/>
  </r>
  <r>
    <x v="15"/>
    <x v="0"/>
    <n v="137897183137"/>
    <n v="68207.34"/>
    <n v="15922316.119999999"/>
    <x v="0"/>
    <m/>
    <m/>
    <n v="0"/>
    <n v="-722"/>
    <n v="-2837.46"/>
    <n v="-433.2"/>
    <n v="72200"/>
  </r>
  <r>
    <x v="15"/>
    <x v="0"/>
    <n v="138536451722"/>
    <n v="4871.5"/>
    <n v="15927187.619999999"/>
    <x v="0"/>
    <m/>
    <m/>
    <n v="0"/>
    <n v="-50"/>
    <n v="-48.5"/>
    <n v="-30"/>
    <n v="5000"/>
  </r>
  <r>
    <x v="15"/>
    <x v="0"/>
    <n v="138536523088"/>
    <n v="76872.27"/>
    <n v="16004059.890000001"/>
    <x v="0"/>
    <m/>
    <m/>
    <n v="0"/>
    <n v="-789"/>
    <n v="-765.33"/>
    <n v="-473.4"/>
    <n v="78900"/>
  </r>
  <r>
    <x v="15"/>
    <x v="0"/>
    <n v="138536523820"/>
    <n v="75800.539999999994"/>
    <n v="16083722.58"/>
    <x v="0"/>
    <m/>
    <m/>
    <n v="0"/>
    <n v="-778"/>
    <n v="-754.66"/>
    <n v="-466.8"/>
    <n v="77800"/>
  </r>
  <r>
    <x v="15"/>
    <x v="0"/>
    <n v="137897499495"/>
    <n v="4676.6400000000003"/>
    <n v="16088399.220000001"/>
    <x v="0"/>
    <m/>
    <m/>
    <n v="0"/>
    <n v="-48"/>
    <n v="-46.56"/>
    <n v="-28.8"/>
    <n v="4800.0000000000009"/>
  </r>
  <r>
    <x v="15"/>
    <x v="0"/>
    <n v="138536694508"/>
    <n v="9079"/>
    <n v="16097478.220000001"/>
    <x v="0"/>
    <m/>
    <m/>
    <n v="0"/>
    <n v="-100"/>
    <n v="-761"/>
    <n v="-60"/>
    <n v="10000"/>
  </r>
  <r>
    <x v="14"/>
    <x v="86"/>
    <n v="138534987942"/>
    <n v="244.75"/>
    <n v="15679460.59"/>
    <x v="0"/>
    <m/>
    <m/>
    <n v="-3.75"/>
    <n v="0"/>
    <n v="0"/>
    <n v="-1.5"/>
    <n v="250"/>
  </r>
  <r>
    <x v="15"/>
    <x v="0"/>
    <n v="138536621798"/>
    <n v="4871.5"/>
    <n v="16103328.720000001"/>
    <x v="0"/>
    <m/>
    <m/>
    <n v="0"/>
    <n v="-50"/>
    <n v="-48.5"/>
    <n v="-30"/>
    <n v="5000"/>
  </r>
  <r>
    <x v="15"/>
    <x v="0"/>
    <n v="138536804822"/>
    <n v="4741.7299999999996"/>
    <n v="16108070.449999999"/>
    <x v="0"/>
    <m/>
    <m/>
    <n v="0"/>
    <n v="-49"/>
    <n v="-79.87"/>
    <n v="-29.4"/>
    <n v="4899.9999999999991"/>
  </r>
  <r>
    <x v="15"/>
    <x v="0"/>
    <n v="137897818889"/>
    <n v="7209.82"/>
    <n v="16115280.27"/>
    <x v="0"/>
    <m/>
    <m/>
    <n v="0"/>
    <n v="-74"/>
    <n v="-71.78"/>
    <n v="-44.4"/>
    <n v="7399.9999999999991"/>
  </r>
  <r>
    <x v="15"/>
    <x v="0"/>
    <n v="137897873121"/>
    <n v="4871.5"/>
    <n v="16120151.77"/>
    <x v="0"/>
    <m/>
    <m/>
    <n v="0"/>
    <n v="-50"/>
    <n v="-48.5"/>
    <n v="-30"/>
    <n v="5000"/>
  </r>
  <r>
    <x v="15"/>
    <x v="0"/>
    <n v="138536945536"/>
    <n v="4676.6400000000003"/>
    <n v="16124828.41"/>
    <x v="0"/>
    <m/>
    <m/>
    <n v="0"/>
    <n v="-48"/>
    <n v="-46.56"/>
    <n v="-28.8"/>
    <n v="4800.0000000000009"/>
  </r>
  <r>
    <x v="15"/>
    <x v="0"/>
    <n v="138537038742"/>
    <n v="4774.07"/>
    <n v="16129602.48"/>
    <x v="0"/>
    <m/>
    <m/>
    <n v="0"/>
    <n v="-49"/>
    <n v="-47.53"/>
    <n v="-29.4"/>
    <n v="4899.9999999999991"/>
  </r>
  <r>
    <x v="15"/>
    <x v="0"/>
    <n v="137897957069"/>
    <n v="4676.6400000000003"/>
    <n v="16134279.119999999"/>
    <x v="0"/>
    <m/>
    <m/>
    <n v="0"/>
    <n v="-48"/>
    <n v="-46.56"/>
    <n v="-28.8"/>
    <n v="4800.0000000000009"/>
  </r>
  <r>
    <x v="15"/>
    <x v="0"/>
    <n v="137898000905"/>
    <n v="4676.6400000000003"/>
    <n v="16138955.76"/>
    <x v="0"/>
    <m/>
    <m/>
    <n v="0"/>
    <n v="-48"/>
    <n v="-46.56"/>
    <n v="-28.8"/>
    <n v="4800.0000000000009"/>
  </r>
  <r>
    <x v="15"/>
    <x v="0"/>
    <n v="137898074457"/>
    <n v="4676.6400000000003"/>
    <n v="16143632.4"/>
    <x v="0"/>
    <m/>
    <m/>
    <n v="0"/>
    <n v="-48"/>
    <n v="-46.56"/>
    <n v="-28.8"/>
    <n v="4800.0000000000009"/>
  </r>
  <r>
    <x v="15"/>
    <x v="0"/>
    <n v="138537226196"/>
    <n v="4838.5"/>
    <n v="16148470.9"/>
    <x v="0"/>
    <m/>
    <m/>
    <n v="0"/>
    <n v="-50"/>
    <n v="-81.5"/>
    <n v="-30"/>
    <n v="5000"/>
  </r>
  <r>
    <x v="15"/>
    <x v="0"/>
    <n v="138537157486"/>
    <n v="4676.6400000000003"/>
    <n v="16153147.539999999"/>
    <x v="0"/>
    <m/>
    <m/>
    <n v="0"/>
    <n v="-48"/>
    <n v="-46.56"/>
    <n v="-28.8"/>
    <n v="4800.0000000000009"/>
  </r>
  <r>
    <x v="15"/>
    <x v="0"/>
    <n v="137898095891"/>
    <n v="7307.25"/>
    <n v="16160454.789999999"/>
    <x v="0"/>
    <m/>
    <m/>
    <n v="0"/>
    <n v="-75"/>
    <n v="-72.75"/>
    <n v="-45"/>
    <n v="7500"/>
  </r>
  <r>
    <x v="15"/>
    <x v="0"/>
    <n v="137898141923"/>
    <n v="4676.6400000000003"/>
    <n v="16165131.43"/>
    <x v="0"/>
    <m/>
    <m/>
    <n v="0"/>
    <n v="-48"/>
    <n v="-46.56"/>
    <n v="-28.8"/>
    <n v="4800.0000000000009"/>
  </r>
  <r>
    <x v="15"/>
    <x v="0"/>
    <n v="138537259896"/>
    <n v="2338.3200000000002"/>
    <n v="16167469.75"/>
    <x v="0"/>
    <m/>
    <m/>
    <n v="0"/>
    <n v="-24"/>
    <n v="-23.28"/>
    <n v="-14.4"/>
    <n v="2400.0000000000005"/>
  </r>
  <r>
    <x v="15"/>
    <x v="0"/>
    <n v="138537415846"/>
    <n v="4774.07"/>
    <n v="16172243.82"/>
    <x v="0"/>
    <m/>
    <m/>
    <n v="0"/>
    <n v="-49"/>
    <n v="-47.53"/>
    <n v="-29.4"/>
    <n v="4899.9999999999991"/>
  </r>
  <r>
    <x v="15"/>
    <x v="0"/>
    <n v="137898434267"/>
    <n v="4871.5"/>
    <n v="16177115.32"/>
    <x v="0"/>
    <m/>
    <m/>
    <n v="0"/>
    <n v="-50"/>
    <n v="-48.5"/>
    <n v="-30"/>
    <n v="5000"/>
  </r>
  <r>
    <x v="15"/>
    <x v="0"/>
    <n v="137898470195"/>
    <n v="9743"/>
    <n v="16186858.32"/>
    <x v="0"/>
    <m/>
    <m/>
    <n v="0"/>
    <n v="-100"/>
    <n v="-97"/>
    <n v="-60"/>
    <n v="10000"/>
  </r>
  <r>
    <x v="15"/>
    <x v="0"/>
    <n v="138537549358"/>
    <n v="4871.5"/>
    <n v="16191729.82"/>
    <x v="0"/>
    <m/>
    <m/>
    <n v="0"/>
    <n v="-50"/>
    <n v="-48.5"/>
    <n v="-30"/>
    <n v="5000"/>
  </r>
  <r>
    <x v="15"/>
    <x v="87"/>
    <n v="138536531052"/>
    <n v="3862.15"/>
    <n v="16007922.039999999"/>
    <x v="0"/>
    <m/>
    <m/>
    <n v="-59.18"/>
    <n v="0"/>
    <n v="0"/>
    <n v="-23.67"/>
    <n v="3945"/>
  </r>
  <r>
    <x v="15"/>
    <x v="0"/>
    <n v="137898593083"/>
    <n v="7172.41"/>
    <n v="16199146.98"/>
    <x v="0"/>
    <m/>
    <m/>
    <n v="0"/>
    <n v="-79"/>
    <n v="-601.19000000000005"/>
    <n v="-47.4"/>
    <n v="7900"/>
  </r>
  <r>
    <x v="15"/>
    <x v="0"/>
    <n v="138537858578"/>
    <n v="4871.5"/>
    <n v="16204018.48"/>
    <x v="0"/>
    <m/>
    <m/>
    <n v="0"/>
    <n v="-50"/>
    <n v="-48.5"/>
    <n v="-30"/>
    <n v="5000"/>
  </r>
  <r>
    <x v="15"/>
    <x v="0"/>
    <n v="138537959300"/>
    <n v="14614.5"/>
    <n v="16218632.98"/>
    <x v="0"/>
    <m/>
    <m/>
    <n v="0"/>
    <n v="-150"/>
    <n v="-145.5"/>
    <n v="-90"/>
    <n v="15000"/>
  </r>
  <r>
    <x v="15"/>
    <x v="88"/>
    <n v="138536663026"/>
    <n v="979"/>
    <n v="16098457.220000001"/>
    <x v="0"/>
    <m/>
    <m/>
    <n v="-15"/>
    <n v="0"/>
    <n v="0"/>
    <n v="-6"/>
    <n v="1000"/>
  </r>
  <r>
    <x v="15"/>
    <x v="0"/>
    <n v="138538192316"/>
    <n v="26208.67"/>
    <n v="16244841.65"/>
    <x v="0"/>
    <m/>
    <m/>
    <n v="0"/>
    <n v="-269"/>
    <n v="-260.93"/>
    <n v="-161.4"/>
    <n v="26900"/>
  </r>
  <r>
    <x v="15"/>
    <x v="0"/>
    <n v="138538294534"/>
    <n v="9743"/>
    <n v="16254584.65"/>
    <x v="0"/>
    <m/>
    <m/>
    <n v="0"/>
    <n v="-100"/>
    <n v="-97"/>
    <n v="-60"/>
    <n v="10000"/>
  </r>
  <r>
    <x v="15"/>
    <x v="0"/>
    <n v="137899248237"/>
    <n v="4871.5"/>
    <n v="16259456.15"/>
    <x v="0"/>
    <m/>
    <m/>
    <n v="0"/>
    <n v="-50"/>
    <n v="-48.5"/>
    <n v="-30"/>
    <n v="5000"/>
  </r>
  <r>
    <x v="15"/>
    <x v="0"/>
    <n v="138538371730"/>
    <n v="9743"/>
    <n v="16269199.15"/>
    <x v="0"/>
    <m/>
    <m/>
    <n v="0"/>
    <n v="-100"/>
    <n v="-97"/>
    <n v="-60"/>
    <n v="10000"/>
  </r>
  <r>
    <x v="15"/>
    <x v="0"/>
    <n v="138538409638"/>
    <n v="71513.789999999994"/>
    <n v="16340712.939999999"/>
    <x v="0"/>
    <m/>
    <m/>
    <n v="0"/>
    <n v="-757"/>
    <n v="-2975.01"/>
    <n v="-454.2"/>
    <n v="75699.999999999985"/>
  </r>
  <r>
    <x v="15"/>
    <x v="0"/>
    <n v="138538526420"/>
    <n v="4871.5"/>
    <n v="16345584.439999999"/>
    <x v="0"/>
    <m/>
    <m/>
    <n v="0"/>
    <n v="-50"/>
    <n v="-48.5"/>
    <n v="-30"/>
    <n v="5000"/>
  </r>
  <r>
    <x v="15"/>
    <x v="0"/>
    <n v="137899463333"/>
    <n v="5358.65"/>
    <n v="16350943.09"/>
    <x v="0"/>
    <m/>
    <m/>
    <n v="0"/>
    <n v="-55"/>
    <n v="-53.35"/>
    <n v="-33"/>
    <n v="5500"/>
  </r>
  <r>
    <x v="15"/>
    <x v="0"/>
    <n v="138538764448"/>
    <n v="21142.31"/>
    <n v="16372085.4"/>
    <x v="0"/>
    <m/>
    <m/>
    <n v="0"/>
    <n v="-217"/>
    <n v="-210.49"/>
    <n v="-130.19999999999999"/>
    <n v="21700.000000000004"/>
  </r>
  <r>
    <x v="15"/>
    <x v="0"/>
    <n v="138538774982"/>
    <n v="9743"/>
    <n v="16381828.4"/>
    <x v="0"/>
    <m/>
    <m/>
    <n v="0"/>
    <n v="-100"/>
    <n v="-97"/>
    <n v="-60"/>
    <n v="10000"/>
  </r>
  <r>
    <x v="15"/>
    <x v="0"/>
    <n v="137899567743"/>
    <n v="46961.26"/>
    <n v="16428789.66"/>
    <x v="0"/>
    <m/>
    <m/>
    <n v="0"/>
    <n v="-482"/>
    <n v="-467.54"/>
    <n v="-289.2"/>
    <n v="48200"/>
  </r>
  <r>
    <x v="15"/>
    <x v="0"/>
    <n v="138538968416"/>
    <n v="5358.65"/>
    <n v="16434148.310000001"/>
    <x v="0"/>
    <m/>
    <m/>
    <n v="0"/>
    <n v="-55"/>
    <n v="-53.35"/>
    <n v="-33"/>
    <n v="5500"/>
  </r>
  <r>
    <x v="15"/>
    <x v="0"/>
    <n v="138538877614"/>
    <n v="9450.7099999999991"/>
    <n v="16443599.02"/>
    <x v="0"/>
    <m/>
    <m/>
    <n v="0"/>
    <n v="-97"/>
    <n v="-94.09"/>
    <n v="-58.2"/>
    <n v="9700"/>
  </r>
  <r>
    <x v="15"/>
    <x v="0"/>
    <n v="137900124225"/>
    <n v="4676.6400000000003"/>
    <n v="16448275.66"/>
    <x v="0"/>
    <m/>
    <m/>
    <n v="0"/>
    <n v="-48"/>
    <n v="-46.56"/>
    <n v="-28.8"/>
    <n v="4800.0000000000009"/>
  </r>
  <r>
    <x v="15"/>
    <x v="0"/>
    <n v="137899983959"/>
    <n v="65960.11"/>
    <n v="16514235.77"/>
    <x v="0"/>
    <m/>
    <m/>
    <n v="0"/>
    <n v="-677"/>
    <n v="-656.69"/>
    <n v="-406.2"/>
    <n v="67700"/>
  </r>
  <r>
    <x v="15"/>
    <x v="0"/>
    <n v="137900051953"/>
    <n v="4871.5"/>
    <n v="16519107.27"/>
    <x v="0"/>
    <m/>
    <m/>
    <n v="0"/>
    <n v="-50"/>
    <n v="-48.5"/>
    <n v="-30"/>
    <n v="5000"/>
  </r>
  <r>
    <x v="15"/>
    <x v="0"/>
    <n v="138539450730"/>
    <n v="10717.3"/>
    <n v="16529824.57"/>
    <x v="0"/>
    <m/>
    <m/>
    <n v="0"/>
    <n v="-110"/>
    <n v="-106.7"/>
    <n v="-66"/>
    <n v="11000"/>
  </r>
  <r>
    <x v="15"/>
    <x v="0"/>
    <n v="137900357205"/>
    <n v="9353.2800000000007"/>
    <n v="16539177.85"/>
    <x v="0"/>
    <m/>
    <m/>
    <n v="0"/>
    <n v="-96"/>
    <n v="-93.12"/>
    <n v="-57.6"/>
    <n v="9600.0000000000018"/>
  </r>
  <r>
    <x v="15"/>
    <x v="0"/>
    <n v="137900480563"/>
    <n v="2338.3200000000002"/>
    <n v="16541516.17"/>
    <x v="0"/>
    <m/>
    <m/>
    <n v="0"/>
    <n v="-24"/>
    <n v="-23.28"/>
    <n v="-14.4"/>
    <n v="2400.0000000000005"/>
  </r>
  <r>
    <x v="15"/>
    <x v="86"/>
    <n v="137898435063"/>
    <n v="244.75"/>
    <n v="16191974.57"/>
    <x v="0"/>
    <m/>
    <m/>
    <n v="-3.75"/>
    <n v="0"/>
    <n v="0"/>
    <n v="-1.5"/>
    <n v="250"/>
  </r>
  <r>
    <x v="15"/>
    <x v="0"/>
    <n v="138539540062"/>
    <n v="4774.07"/>
    <n v="16546290.24"/>
    <x v="0"/>
    <m/>
    <m/>
    <n v="0"/>
    <n v="-49"/>
    <n v="-47.53"/>
    <n v="-29.4"/>
    <n v="4899.9999999999991"/>
  </r>
  <r>
    <x v="15"/>
    <x v="0"/>
    <n v="138539639336"/>
    <n v="86907.56"/>
    <n v="16633197.800000001"/>
    <x v="0"/>
    <m/>
    <m/>
    <n v="0"/>
    <n v="-892"/>
    <n v="-865.24"/>
    <n v="-535.20000000000005"/>
    <n v="89200"/>
  </r>
  <r>
    <x v="15"/>
    <x v="0"/>
    <n v="137900568985"/>
    <n v="14517.07"/>
    <n v="16647714.869999999"/>
    <x v="0"/>
    <m/>
    <m/>
    <n v="0"/>
    <n v="-149"/>
    <n v="-144.53"/>
    <n v="-89.4"/>
    <n v="14900"/>
  </r>
  <r>
    <x v="15"/>
    <x v="0"/>
    <n v="138539685694"/>
    <n v="4774.07"/>
    <n v="16652488.939999999"/>
    <x v="0"/>
    <m/>
    <m/>
    <n v="0"/>
    <n v="-49"/>
    <n v="-47.53"/>
    <n v="-29.4"/>
    <n v="4899.9999999999991"/>
  </r>
  <r>
    <x v="15"/>
    <x v="0"/>
    <n v="137900583251"/>
    <n v="4871.5"/>
    <n v="16657360.439999999"/>
    <x v="0"/>
    <m/>
    <m/>
    <n v="0"/>
    <n v="-50"/>
    <n v="-48.5"/>
    <n v="-30"/>
    <n v="5000"/>
  </r>
  <r>
    <x v="15"/>
    <x v="0"/>
    <n v="137900724285"/>
    <n v="4774.07"/>
    <n v="16662134.51"/>
    <x v="0"/>
    <m/>
    <m/>
    <n v="0"/>
    <n v="-49"/>
    <n v="-47.53"/>
    <n v="-29.4"/>
    <n v="4899.9999999999991"/>
  </r>
  <r>
    <x v="15"/>
    <x v="0"/>
    <n v="137900842553"/>
    <n v="11594.17"/>
    <n v="16673728.68"/>
    <x v="0"/>
    <m/>
    <m/>
    <n v="0"/>
    <n v="-119"/>
    <n v="-115.43"/>
    <n v="-71.400000000000006"/>
    <n v="11900"/>
  </r>
  <r>
    <x v="15"/>
    <x v="0"/>
    <n v="138539991186"/>
    <n v="4644.96"/>
    <n v="16678956.140000001"/>
    <x v="0"/>
    <m/>
    <m/>
    <n v="0"/>
    <n v="-48"/>
    <n v="-78.239999999999995"/>
    <n v="-28.8"/>
    <n v="4800"/>
  </r>
  <r>
    <x v="15"/>
    <x v="0"/>
    <n v="138540017574"/>
    <n v="15491.37"/>
    <n v="16694447.51"/>
    <x v="0"/>
    <m/>
    <m/>
    <n v="0"/>
    <n v="-159"/>
    <n v="-154.22999999999999"/>
    <n v="-95.4"/>
    <n v="15900"/>
  </r>
  <r>
    <x v="15"/>
    <x v="0"/>
    <n v="137901100913"/>
    <n v="4676.6400000000003"/>
    <n v="16699124.15"/>
    <x v="0"/>
    <m/>
    <m/>
    <n v="0"/>
    <n v="-48"/>
    <n v="-46.56"/>
    <n v="-28.8"/>
    <n v="4800.0000000000009"/>
  </r>
  <r>
    <x v="15"/>
    <x v="0"/>
    <n v="138540272932"/>
    <n v="9743"/>
    <n v="16708867.15"/>
    <x v="0"/>
    <m/>
    <m/>
    <n v="0"/>
    <n v="-100"/>
    <n v="-97"/>
    <n v="-60"/>
    <n v="10000"/>
  </r>
  <r>
    <x v="15"/>
    <x v="0"/>
    <n v="138540271020"/>
    <n v="19193.71"/>
    <n v="16728060.859999999"/>
    <x v="0"/>
    <m/>
    <m/>
    <n v="0"/>
    <n v="-197"/>
    <n v="-191.09"/>
    <n v="-118.2"/>
    <n v="19700"/>
  </r>
  <r>
    <x v="15"/>
    <x v="0"/>
    <n v="138540355548"/>
    <n v="4871.5"/>
    <n v="16732932.359999999"/>
    <x v="0"/>
    <m/>
    <m/>
    <n v="0"/>
    <n v="-50"/>
    <n v="-48.5"/>
    <n v="-30"/>
    <n v="5000"/>
  </r>
  <r>
    <x v="15"/>
    <x v="0"/>
    <n v="138540490748"/>
    <n v="2346.5"/>
    <n v="16735278.859999999"/>
    <x v="0"/>
    <m/>
    <m/>
    <n v="0"/>
    <n v="-25"/>
    <n v="-113.5"/>
    <n v="-15"/>
    <n v="2500"/>
  </r>
  <r>
    <x v="15"/>
    <x v="0"/>
    <n v="138540518482"/>
    <n v="9548.14"/>
    <n v="16744827"/>
    <x v="0"/>
    <m/>
    <m/>
    <n v="0"/>
    <n v="-98"/>
    <n v="-95.06"/>
    <n v="-58.8"/>
    <n v="9799.9999999999982"/>
  </r>
  <r>
    <x v="15"/>
    <x v="0"/>
    <n v="138540544612"/>
    <n v="19486"/>
    <n v="16764313"/>
    <x v="0"/>
    <m/>
    <m/>
    <n v="0"/>
    <n v="-200"/>
    <n v="-194"/>
    <n v="-120"/>
    <n v="20000"/>
  </r>
  <r>
    <x v="15"/>
    <x v="0"/>
    <n v="138540460020"/>
    <n v="4871.5"/>
    <n v="16769184.5"/>
    <x v="0"/>
    <m/>
    <m/>
    <n v="0"/>
    <n v="-50"/>
    <n v="-48.5"/>
    <n v="-30"/>
    <n v="5000"/>
  </r>
  <r>
    <x v="15"/>
    <x v="0"/>
    <n v="137901496673"/>
    <n v="23967.78"/>
    <n v="16793152.280000001"/>
    <x v="0"/>
    <m/>
    <m/>
    <n v="0"/>
    <n v="-246"/>
    <n v="-238.62"/>
    <n v="-147.6"/>
    <n v="24599.999999999996"/>
  </r>
  <r>
    <x v="15"/>
    <x v="0"/>
    <n v="138540533782"/>
    <n v="4676.6400000000003"/>
    <n v="16797828.920000002"/>
    <x v="0"/>
    <m/>
    <m/>
    <n v="0"/>
    <n v="-48"/>
    <n v="-46.56"/>
    <n v="-28.8"/>
    <n v="4800.0000000000009"/>
  </r>
  <r>
    <x v="15"/>
    <x v="0"/>
    <n v="138540748380"/>
    <n v="4774.07"/>
    <n v="16802602.989999998"/>
    <x v="0"/>
    <m/>
    <m/>
    <n v="0"/>
    <n v="-49"/>
    <n v="-47.53"/>
    <n v="-29.4"/>
    <n v="4899.9999999999991"/>
  </r>
  <r>
    <x v="15"/>
    <x v="0"/>
    <n v="137901634467"/>
    <n v="12568.47"/>
    <n v="16815171.460000001"/>
    <x v="0"/>
    <m/>
    <m/>
    <n v="0"/>
    <n v="-129"/>
    <n v="-125.13"/>
    <n v="-77.400000000000006"/>
    <n v="12899.999999999998"/>
  </r>
  <r>
    <x v="15"/>
    <x v="0"/>
    <n v="137901732771"/>
    <n v="4871.5"/>
    <n v="16820042.960000001"/>
    <x v="0"/>
    <m/>
    <m/>
    <n v="0"/>
    <n v="-50"/>
    <n v="-48.5"/>
    <n v="-30"/>
    <n v="5000"/>
  </r>
  <r>
    <x v="15"/>
    <x v="0"/>
    <n v="137901777597"/>
    <n v="15393.94"/>
    <n v="16835681.649999999"/>
    <x v="0"/>
    <m/>
    <m/>
    <n v="0"/>
    <n v="-158"/>
    <n v="-153.26"/>
    <n v="-94.8"/>
    <n v="15800"/>
  </r>
  <r>
    <x v="15"/>
    <x v="0"/>
    <n v="138541087572"/>
    <n v="12665.9"/>
    <n v="16848347.550000001"/>
    <x v="0"/>
    <m/>
    <m/>
    <n v="0"/>
    <n v="-130"/>
    <n v="-126.1"/>
    <n v="-78"/>
    <n v="13000"/>
  </r>
  <r>
    <x v="15"/>
    <x v="0"/>
    <n v="138541267178"/>
    <n v="4676.6400000000003"/>
    <n v="16853024.190000001"/>
    <x v="0"/>
    <m/>
    <m/>
    <n v="0"/>
    <n v="-48"/>
    <n v="-46.56"/>
    <n v="-28.8"/>
    <n v="4800.0000000000009"/>
  </r>
  <r>
    <x v="15"/>
    <x v="0"/>
    <n v="138541611002"/>
    <n v="9198.2800000000007"/>
    <n v="16862222.469999999"/>
    <x v="0"/>
    <m/>
    <m/>
    <n v="0"/>
    <n v="-98"/>
    <n v="-444.92"/>
    <n v="-58.8"/>
    <n v="9800"/>
  </r>
  <r>
    <x v="15"/>
    <x v="0"/>
    <n v="137902485901"/>
    <n v="9743"/>
    <n v="16871965.469999999"/>
    <x v="0"/>
    <m/>
    <m/>
    <n v="0"/>
    <n v="-100"/>
    <n v="-97"/>
    <n v="-60"/>
    <n v="10000"/>
  </r>
  <r>
    <x v="15"/>
    <x v="0"/>
    <n v="137902691017"/>
    <n v="10035.290000000001"/>
    <n v="16882000.760000002"/>
    <x v="0"/>
    <m/>
    <m/>
    <n v="0"/>
    <n v="-103"/>
    <n v="-99.91"/>
    <n v="-61.8"/>
    <n v="10300"/>
  </r>
  <r>
    <x v="15"/>
    <x v="54"/>
    <n v="138540024370"/>
    <n v="582.5"/>
    <n v="16674311.18"/>
    <x v="0"/>
    <m/>
    <m/>
    <n v="-8.93"/>
    <n v="0"/>
    <n v="0"/>
    <n v="-3.57"/>
    <n v="595"/>
  </r>
  <r>
    <x v="15"/>
    <x v="0"/>
    <n v="137902854741"/>
    <n v="12178.75"/>
    <n v="16894179.510000002"/>
    <x v="0"/>
    <m/>
    <m/>
    <n v="0"/>
    <n v="-125"/>
    <n v="-121.25"/>
    <n v="-75"/>
    <n v="12500"/>
  </r>
  <r>
    <x v="15"/>
    <x v="0"/>
    <n v="138542085322"/>
    <n v="14614.5"/>
    <n v="16908794.010000002"/>
    <x v="0"/>
    <m/>
    <m/>
    <n v="0"/>
    <n v="-150"/>
    <n v="-145.5"/>
    <n v="-90"/>
    <n v="15000"/>
  </r>
  <r>
    <x v="15"/>
    <x v="0"/>
    <n v="137903168103"/>
    <n v="4505.28"/>
    <n v="16913299.289999999"/>
    <x v="0"/>
    <m/>
    <m/>
    <n v="0"/>
    <n v="-48"/>
    <n v="-217.92"/>
    <n v="-28.8"/>
    <n v="4800"/>
  </r>
  <r>
    <x v="15"/>
    <x v="0"/>
    <n v="138542183900"/>
    <n v="9353.2800000000007"/>
    <n v="16922652.57"/>
    <x v="0"/>
    <m/>
    <m/>
    <n v="0"/>
    <n v="-96"/>
    <n v="-93.12"/>
    <n v="-57.6"/>
    <n v="9600.0000000000018"/>
  </r>
  <r>
    <x v="15"/>
    <x v="0"/>
    <n v="137903253005"/>
    <n v="9743"/>
    <n v="16932395.57"/>
    <x v="0"/>
    <m/>
    <m/>
    <n v="0"/>
    <n v="-100"/>
    <n v="-97"/>
    <n v="-60"/>
    <n v="10000"/>
  </r>
  <r>
    <x v="15"/>
    <x v="0"/>
    <n v="137903325729"/>
    <n v="50468.74"/>
    <n v="16982864.309999999"/>
    <x v="0"/>
    <m/>
    <m/>
    <n v="0"/>
    <n v="-518"/>
    <n v="-502.46"/>
    <n v="-310.8"/>
    <n v="51800"/>
  </r>
  <r>
    <x v="15"/>
    <x v="0"/>
    <n v="138542590960"/>
    <n v="43832.62"/>
    <n v="17029232.539999999"/>
    <x v="0"/>
    <m/>
    <m/>
    <n v="0"/>
    <n v="-467"/>
    <n v="-2120.1799999999998"/>
    <n v="-280.2"/>
    <n v="46700"/>
  </r>
  <r>
    <x v="15"/>
    <x v="0"/>
    <n v="138542676996"/>
    <n v="10717.3"/>
    <n v="17039949.84"/>
    <x v="0"/>
    <m/>
    <m/>
    <n v="0"/>
    <n v="-110"/>
    <n v="-106.7"/>
    <n v="-66"/>
    <n v="11000"/>
  </r>
  <r>
    <x v="15"/>
    <x v="0"/>
    <n v="137903782181"/>
    <n v="9548.14"/>
    <n v="17049497.98"/>
    <x v="0"/>
    <m/>
    <m/>
    <n v="0"/>
    <n v="-98"/>
    <n v="-95.06"/>
    <n v="-58.8"/>
    <n v="9799.9999999999982"/>
  </r>
  <r>
    <x v="15"/>
    <x v="0"/>
    <n v="137903699165"/>
    <n v="4871.5"/>
    <n v="17054369.48"/>
    <x v="0"/>
    <m/>
    <m/>
    <n v="0"/>
    <n v="-50"/>
    <n v="-48.5"/>
    <n v="-30"/>
    <n v="5000"/>
  </r>
  <r>
    <x v="15"/>
    <x v="0"/>
    <n v="137903674013"/>
    <n v="4871.5"/>
    <n v="17059240.98"/>
    <x v="0"/>
    <m/>
    <m/>
    <n v="0"/>
    <n v="-50"/>
    <n v="-48.5"/>
    <n v="-30"/>
    <n v="5000"/>
  </r>
  <r>
    <x v="15"/>
    <x v="0"/>
    <n v="137903890489"/>
    <n v="10717.3"/>
    <n v="17069958.280000001"/>
    <x v="0"/>
    <m/>
    <m/>
    <n v="0"/>
    <n v="-110"/>
    <n v="-106.7"/>
    <n v="-66"/>
    <n v="11000"/>
  </r>
  <r>
    <x v="15"/>
    <x v="0"/>
    <n v="138543115054"/>
    <n v="4676.6400000000003"/>
    <n v="17074634.920000002"/>
    <x v="0"/>
    <m/>
    <m/>
    <n v="0"/>
    <n v="-48"/>
    <n v="-46.56"/>
    <n v="-28.8"/>
    <n v="4800.0000000000009"/>
  </r>
  <r>
    <x v="15"/>
    <x v="0"/>
    <n v="138543218206"/>
    <n v="14614.5"/>
    <n v="17089249.420000002"/>
    <x v="0"/>
    <m/>
    <m/>
    <n v="0"/>
    <n v="-150"/>
    <n v="-145.5"/>
    <n v="-90"/>
    <n v="15000"/>
  </r>
  <r>
    <x v="15"/>
    <x v="0"/>
    <n v="138543129840"/>
    <n v="10717.3"/>
    <n v="17099966.719999999"/>
    <x v="0"/>
    <m/>
    <m/>
    <n v="0"/>
    <n v="-110"/>
    <n v="-106.7"/>
    <n v="-66"/>
    <n v="11000"/>
  </r>
  <r>
    <x v="15"/>
    <x v="89"/>
    <n v="138540813558"/>
    <n v="244.75"/>
    <n v="16820287.710000001"/>
    <x v="0"/>
    <m/>
    <m/>
    <n v="-3.75"/>
    <n v="0"/>
    <n v="0"/>
    <n v="-1.5"/>
    <n v="250"/>
  </r>
  <r>
    <x v="15"/>
    <x v="0"/>
    <n v="137904241645"/>
    <n v="4871.5"/>
    <n v="17104838.219999999"/>
    <x v="0"/>
    <m/>
    <m/>
    <n v="0"/>
    <n v="-50"/>
    <n v="-48.5"/>
    <n v="-30"/>
    <n v="5000"/>
  </r>
  <r>
    <x v="15"/>
    <x v="0"/>
    <n v="138543548466"/>
    <n v="2338.3200000000002"/>
    <n v="17107176.539999999"/>
    <x v="0"/>
    <m/>
    <m/>
    <n v="0"/>
    <n v="-24"/>
    <n v="-23.28"/>
    <n v="-14.4"/>
    <n v="2400.0000000000005"/>
  </r>
  <r>
    <x v="15"/>
    <x v="0"/>
    <n v="138543772980"/>
    <n v="4871.5"/>
    <n v="17112048.039999999"/>
    <x v="0"/>
    <m/>
    <m/>
    <n v="0"/>
    <n v="-50"/>
    <n v="-48.5"/>
    <n v="-30"/>
    <n v="5000"/>
  </r>
  <r>
    <x v="15"/>
    <x v="0"/>
    <n v="137904711931"/>
    <n v="4871.5"/>
    <n v="17116919.539999999"/>
    <x v="0"/>
    <m/>
    <m/>
    <n v="0"/>
    <n v="-50"/>
    <n v="-48.5"/>
    <n v="-30"/>
    <n v="5000"/>
  </r>
  <r>
    <x v="15"/>
    <x v="0"/>
    <n v="137904878419"/>
    <n v="4871.5"/>
    <n v="17121791.039999999"/>
    <x v="0"/>
    <m/>
    <m/>
    <n v="0"/>
    <n v="-50"/>
    <n v="-48.5"/>
    <n v="-30"/>
    <n v="5000"/>
  </r>
  <r>
    <x v="15"/>
    <x v="0"/>
    <n v="137904833777"/>
    <n v="9743"/>
    <n v="17131534.039999999"/>
    <x v="0"/>
    <m/>
    <m/>
    <n v="0"/>
    <n v="-100"/>
    <n v="-97"/>
    <n v="-60"/>
    <n v="10000"/>
  </r>
  <r>
    <x v="15"/>
    <x v="0"/>
    <n v="138544060956"/>
    <n v="4871.5"/>
    <n v="17136405.539999999"/>
    <x v="0"/>
    <m/>
    <m/>
    <n v="0"/>
    <n v="-50"/>
    <n v="-48.5"/>
    <n v="-30"/>
    <n v="5000"/>
  </r>
  <r>
    <x v="15"/>
    <x v="0"/>
    <n v="138544134616"/>
    <n v="75764.94"/>
    <n v="17212415.23"/>
    <x v="0"/>
    <m/>
    <m/>
    <n v="0"/>
    <n v="-802"/>
    <n v="-3151.86"/>
    <n v="-481.2"/>
    <n v="80200"/>
  </r>
  <r>
    <x v="15"/>
    <x v="0"/>
    <n v="138544075084"/>
    <n v="4871.5"/>
    <n v="17217286.73"/>
    <x v="0"/>
    <m/>
    <m/>
    <n v="0"/>
    <n v="-50"/>
    <n v="-48.5"/>
    <n v="-30"/>
    <n v="5000"/>
  </r>
  <r>
    <x v="15"/>
    <x v="0"/>
    <n v="137905264613"/>
    <n v="41094.449999999997"/>
    <n v="17258381.18"/>
    <x v="0"/>
    <m/>
    <m/>
    <n v="0"/>
    <n v="-435"/>
    <n v="-1709.55"/>
    <n v="-261"/>
    <n v="43500"/>
  </r>
  <r>
    <x v="15"/>
    <x v="0"/>
    <n v="138544276084"/>
    <n v="4871.5"/>
    <n v="17263252.68"/>
    <x v="0"/>
    <m/>
    <m/>
    <n v="0"/>
    <n v="-50"/>
    <n v="-48.5"/>
    <n v="-30"/>
    <n v="5000"/>
  </r>
  <r>
    <x v="15"/>
    <x v="0"/>
    <n v="138544457004"/>
    <n v="5358.65"/>
    <n v="17268611.329999998"/>
    <x v="0"/>
    <m/>
    <m/>
    <n v="0"/>
    <n v="-55"/>
    <n v="-53.35"/>
    <n v="-33"/>
    <n v="5500"/>
  </r>
  <r>
    <x v="15"/>
    <x v="90"/>
    <n v="137903470371"/>
    <n v="2535.61"/>
    <n v="16985399.920000002"/>
    <x v="0"/>
    <m/>
    <m/>
    <n v="-38.85"/>
    <n v="0"/>
    <n v="0"/>
    <n v="-15.54"/>
    <n v="2590"/>
  </r>
  <r>
    <x v="15"/>
    <x v="0"/>
    <n v="137905494935"/>
    <n v="10717.3"/>
    <n v="17279328.629999999"/>
    <x v="0"/>
    <m/>
    <m/>
    <n v="0"/>
    <n v="-110"/>
    <n v="-106.7"/>
    <n v="-66"/>
    <n v="11000"/>
  </r>
  <r>
    <x v="15"/>
    <x v="0"/>
    <n v="138544549666"/>
    <n v="4871.5"/>
    <n v="17284200.129999999"/>
    <x v="0"/>
    <m/>
    <m/>
    <n v="0"/>
    <n v="-50"/>
    <n v="-48.5"/>
    <n v="-30"/>
    <n v="5000"/>
  </r>
  <r>
    <x v="15"/>
    <x v="0"/>
    <n v="138544583838"/>
    <n v="4286.92"/>
    <n v="17288487.050000001"/>
    <x v="0"/>
    <m/>
    <m/>
    <n v="0"/>
    <n v="-44"/>
    <n v="-42.68"/>
    <n v="-26.4"/>
    <n v="4400"/>
  </r>
  <r>
    <x v="15"/>
    <x v="0"/>
    <n v="138544846336"/>
    <n v="4774.07"/>
    <n v="17293261.120000001"/>
    <x v="0"/>
    <m/>
    <m/>
    <n v="0"/>
    <n v="-49"/>
    <n v="-47.53"/>
    <n v="-29.4"/>
    <n v="4899.9999999999991"/>
  </r>
  <r>
    <x v="15"/>
    <x v="0"/>
    <n v="137905815953"/>
    <n v="7794.4"/>
    <n v="17301055.52"/>
    <x v="0"/>
    <m/>
    <m/>
    <n v="0"/>
    <n v="-80"/>
    <n v="-77.599999999999994"/>
    <n v="-48"/>
    <n v="8000"/>
  </r>
  <r>
    <x v="15"/>
    <x v="0"/>
    <n v="138545094492"/>
    <n v="4871.5"/>
    <n v="17305927.02"/>
    <x v="0"/>
    <m/>
    <m/>
    <n v="0"/>
    <n v="-50"/>
    <n v="-48.5"/>
    <n v="-30"/>
    <n v="5000"/>
  </r>
  <r>
    <x v="15"/>
    <x v="0"/>
    <n v="137906026971"/>
    <n v="12471.04"/>
    <n v="17318398.059999999"/>
    <x v="0"/>
    <m/>
    <m/>
    <n v="0"/>
    <n v="-128"/>
    <n v="-124.16"/>
    <n v="-76.8"/>
    <n v="12800"/>
  </r>
  <r>
    <x v="15"/>
    <x v="0"/>
    <n v="138545509656"/>
    <n v="17050.25"/>
    <n v="17335448.309999999"/>
    <x v="0"/>
    <m/>
    <m/>
    <n v="0"/>
    <n v="-175"/>
    <n v="-169.75"/>
    <n v="-105"/>
    <n v="17500"/>
  </r>
  <r>
    <x v="15"/>
    <x v="0"/>
    <n v="138545532014"/>
    <n v="13153.05"/>
    <n v="17348601.359999999"/>
    <x v="0"/>
    <m/>
    <m/>
    <n v="0"/>
    <n v="-135"/>
    <n v="-130.94999999999999"/>
    <n v="-81"/>
    <n v="13500"/>
  </r>
  <r>
    <x v="15"/>
    <x v="0"/>
    <n v="137906505763"/>
    <n v="9548.14"/>
    <n v="17358810.32"/>
    <x v="0"/>
    <m/>
    <m/>
    <n v="0"/>
    <n v="-98"/>
    <n v="-95.06"/>
    <n v="-58.8"/>
    <n v="9799.9999999999982"/>
  </r>
  <r>
    <x v="15"/>
    <x v="0"/>
    <n v="137906502057"/>
    <n v="10230.15"/>
    <n v="17369040.469999999"/>
    <x v="0"/>
    <m/>
    <m/>
    <n v="0"/>
    <n v="-105"/>
    <n v="-101.85"/>
    <n v="-63"/>
    <n v="10500"/>
  </r>
  <r>
    <x v="15"/>
    <x v="0"/>
    <n v="138034620679"/>
    <n v="18138.240000000002"/>
    <n v="10467624.539999999"/>
    <x v="0"/>
    <m/>
    <m/>
    <n v="0"/>
    <n v="-192"/>
    <n v="-754.56"/>
    <n v="-115.2"/>
    <n v="19200.000000000004"/>
  </r>
  <r>
    <x v="15"/>
    <x v="0"/>
    <n v="138674677786"/>
    <n v="18138.240000000002"/>
    <n v="10467624.539999999"/>
    <x v="0"/>
    <m/>
    <m/>
    <n v="0"/>
    <n v="-192"/>
    <n v="-754.56"/>
    <n v="-115.2"/>
    <n v="19200.000000000004"/>
  </r>
  <r>
    <x v="15"/>
    <x v="0"/>
    <n v="138034929089"/>
    <n v="94.47"/>
    <n v="10467719.01"/>
    <x v="0"/>
    <m/>
    <m/>
    <n v="0"/>
    <n v="-1"/>
    <n v="-3.93"/>
    <n v="-0.6"/>
    <n v="100"/>
  </r>
  <r>
    <x v="15"/>
    <x v="0"/>
    <n v="138039811091"/>
    <n v="4534.5600000000004"/>
    <n v="10472159.1"/>
    <x v="0"/>
    <m/>
    <m/>
    <n v="0"/>
    <n v="-48"/>
    <n v="-188.64"/>
    <n v="-28.8"/>
    <n v="4800.0000000000009"/>
  </r>
  <r>
    <x v="15"/>
    <x v="0"/>
    <n v="138041526863"/>
    <n v="16160.59"/>
    <n v="10488319.689999999"/>
    <x v="0"/>
    <m/>
    <m/>
    <n v="0"/>
    <n v="-167"/>
    <n v="-272.20999999999998"/>
    <n v="-100.2"/>
    <n v="16700"/>
  </r>
  <r>
    <x v="15"/>
    <x v="89"/>
    <n v="137904879445"/>
    <n v="244.75"/>
    <n v="17136650.289999999"/>
    <x v="0"/>
    <m/>
    <m/>
    <n v="-3.75"/>
    <n v="0"/>
    <n v="0"/>
    <n v="-1.5"/>
    <n v="250"/>
  </r>
  <r>
    <x v="15"/>
    <x v="0"/>
    <n v="138043978781"/>
    <n v="5358.65"/>
    <n v="10493678.34"/>
    <x v="0"/>
    <m/>
    <m/>
    <n v="0"/>
    <n v="-55"/>
    <n v="-53.35"/>
    <n v="-33"/>
    <n v="5500"/>
  </r>
  <r>
    <x v="15"/>
    <x v="0"/>
    <n v="138685012854"/>
    <n v="14614.5"/>
    <n v="10508292.84"/>
    <x v="0"/>
    <m/>
    <m/>
    <n v="0"/>
    <n v="-150"/>
    <n v="-145.5"/>
    <n v="-90"/>
    <n v="15000"/>
  </r>
  <r>
    <x v="15"/>
    <x v="0"/>
    <n v="138685196796"/>
    <n v="9079"/>
    <n v="10517371.84"/>
    <x v="0"/>
    <m/>
    <m/>
    <n v="0"/>
    <n v="-100"/>
    <n v="-761"/>
    <n v="-60"/>
    <n v="10000"/>
  </r>
  <r>
    <x v="15"/>
    <x v="0"/>
    <n v="138045999405"/>
    <n v="103152.14"/>
    <n v="10620523.98"/>
    <x v="0"/>
    <m/>
    <m/>
    <n v="0"/>
    <n v="-1099"/>
    <n v="-4989.46"/>
    <n v="-659.4"/>
    <n v="109900"/>
  </r>
  <r>
    <x v="15"/>
    <x v="0"/>
    <n v="138687056118"/>
    <n v="10717.3"/>
    <n v="10631241.279999999"/>
    <x v="0"/>
    <m/>
    <m/>
    <n v="0"/>
    <n v="-110"/>
    <n v="-106.7"/>
    <n v="-66"/>
    <n v="11000"/>
  </r>
  <r>
    <x v="15"/>
    <x v="0"/>
    <n v="138047673181"/>
    <n v="30230.400000000001"/>
    <n v="10661471.68"/>
    <x v="0"/>
    <m/>
    <m/>
    <n v="0"/>
    <n v="-320"/>
    <n v="-1257.5999999999999"/>
    <n v="-192"/>
    <n v="32000"/>
  </r>
  <r>
    <x v="15"/>
    <x v="0"/>
    <n v="138049357257"/>
    <n v="10230.15"/>
    <n v="10671701.83"/>
    <x v="0"/>
    <m/>
    <m/>
    <n v="0"/>
    <n v="-105"/>
    <n v="-101.85"/>
    <n v="-63"/>
    <n v="10500"/>
  </r>
  <r>
    <x v="15"/>
    <x v="0"/>
    <n v="138691649412"/>
    <n v="14614.5"/>
    <n v="10686316.33"/>
    <x v="0"/>
    <m/>
    <m/>
    <n v="0"/>
    <n v="-150"/>
    <n v="-145.5"/>
    <n v="-90"/>
    <n v="15000"/>
  </r>
  <r>
    <x v="15"/>
    <x v="0"/>
    <n v="138052305423"/>
    <n v="11808.75"/>
    <n v="10698125.08"/>
    <x v="0"/>
    <m/>
    <m/>
    <n v="0"/>
    <n v="-125"/>
    <n v="-491.25"/>
    <n v="-75"/>
    <n v="12500"/>
  </r>
  <r>
    <x v="15"/>
    <x v="0"/>
    <n v="138052500883"/>
    <n v="4693"/>
    <n v="10702818.08"/>
    <x v="0"/>
    <m/>
    <m/>
    <n v="0"/>
    <n v="-50"/>
    <n v="-227"/>
    <n v="-30"/>
    <n v="5000"/>
  </r>
  <r>
    <x v="15"/>
    <x v="0"/>
    <n v="138692382652"/>
    <n v="9532.9500000000007"/>
    <n v="10712351.029999999"/>
    <x v="0"/>
    <m/>
    <m/>
    <n v="0"/>
    <n v="-105"/>
    <n v="-799.05"/>
    <n v="-63"/>
    <n v="10500"/>
  </r>
  <r>
    <x v="15"/>
    <x v="0"/>
    <n v="138053465951"/>
    <n v="10230.15"/>
    <n v="10722581.18"/>
    <x v="0"/>
    <m/>
    <m/>
    <n v="0"/>
    <n v="-105"/>
    <n v="-101.85"/>
    <n v="-63"/>
    <n v="10500"/>
  </r>
  <r>
    <x v="15"/>
    <x v="0"/>
    <n v="138053974887"/>
    <n v="39556.58"/>
    <n v="10762137.76"/>
    <x v="0"/>
    <m/>
    <m/>
    <n v="0"/>
    <n v="-406"/>
    <n v="-393.82"/>
    <n v="-243.6"/>
    <n v="40600"/>
  </r>
  <r>
    <x v="15"/>
    <x v="0"/>
    <n v="138055103481"/>
    <n v="56493.06"/>
    <n v="10822605.560000001"/>
    <x v="0"/>
    <m/>
    <m/>
    <n v="0"/>
    <n v="-598"/>
    <n v="-2350.14"/>
    <n v="-358.8"/>
    <n v="59800"/>
  </r>
  <r>
    <x v="15"/>
    <x v="91"/>
    <n v="138545543956"/>
    <n v="660.82"/>
    <n v="17349262.18"/>
    <x v="0"/>
    <m/>
    <m/>
    <n v="-10.130000000000001"/>
    <n v="0"/>
    <n v="0"/>
    <n v="-4.05"/>
    <n v="675"/>
  </r>
  <r>
    <x v="15"/>
    <x v="0"/>
    <n v="138055864673"/>
    <n v="167211.9"/>
    <n v="10989817.460000001"/>
    <x v="0"/>
    <m/>
    <m/>
    <n v="0"/>
    <n v="-1770"/>
    <n v="-6956.1"/>
    <n v="-1062"/>
    <n v="177000"/>
  </r>
  <r>
    <x v="15"/>
    <x v="0"/>
    <n v="138695928646"/>
    <n v="32025.33"/>
    <n v="11021842.789999999"/>
    <x v="0"/>
    <m/>
    <m/>
    <n v="0"/>
    <n v="-339"/>
    <n v="-1332.27"/>
    <n v="-203.4"/>
    <n v="33900"/>
  </r>
  <r>
    <x v="15"/>
    <x v="0"/>
    <n v="138696344716"/>
    <n v="47846.33"/>
    <n v="11069689.119999999"/>
    <x v="0"/>
    <m/>
    <m/>
    <n v="0"/>
    <n v="-527"/>
    <n v="-4010.47"/>
    <n v="-316.2"/>
    <n v="52700"/>
  </r>
  <r>
    <x v="15"/>
    <x v="0"/>
    <n v="138056660625"/>
    <n v="28813.35"/>
    <n v="11098502.470000001"/>
    <x v="0"/>
    <m/>
    <m/>
    <n v="0"/>
    <n v="-305"/>
    <n v="-1198.6500000000001"/>
    <n v="-183"/>
    <n v="30500"/>
  </r>
  <r>
    <x v="15"/>
    <x v="0"/>
    <n v="138697904534"/>
    <n v="58165.71"/>
    <n v="11156668.18"/>
    <x v="0"/>
    <m/>
    <m/>
    <n v="0"/>
    <n v="-597"/>
    <n v="-579.09"/>
    <n v="-358.2"/>
    <n v="59699.999999999993"/>
  </r>
  <r>
    <x v="15"/>
    <x v="0"/>
    <n v="138058107457"/>
    <n v="50273.88"/>
    <n v="11209864.369999999"/>
    <x v="0"/>
    <m/>
    <m/>
    <n v="0"/>
    <n v="-516"/>
    <n v="-500.52"/>
    <n v="-309.60000000000002"/>
    <n v="51599.999999999993"/>
  </r>
  <r>
    <x v="15"/>
    <x v="0"/>
    <n v="138699426344"/>
    <n v="30690.45"/>
    <n v="11240554.82"/>
    <x v="0"/>
    <m/>
    <m/>
    <n v="0"/>
    <n v="-315"/>
    <n v="-305.55"/>
    <n v="-189"/>
    <n v="31500"/>
  </r>
  <r>
    <x v="15"/>
    <x v="0"/>
    <n v="138060170477"/>
    <n v="28546.99"/>
    <n v="11269101.810000001"/>
    <x v="0"/>
    <m/>
    <m/>
    <n v="0"/>
    <n v="-293"/>
    <n v="-284.20999999999998"/>
    <n v="-175.8"/>
    <n v="29300"/>
  </r>
  <r>
    <x v="15"/>
    <x v="0"/>
    <n v="138060572491"/>
    <n v="15588.8"/>
    <n v="11284690.609999999"/>
    <x v="0"/>
    <m/>
    <m/>
    <n v="0"/>
    <n v="-160"/>
    <n v="-155.19999999999999"/>
    <n v="-96"/>
    <n v="16000"/>
  </r>
  <r>
    <x v="15"/>
    <x v="0"/>
    <n v="138061721195"/>
    <n v="72080.61"/>
    <n v="11356771.220000001"/>
    <x v="0"/>
    <m/>
    <m/>
    <n v="0"/>
    <n v="-763"/>
    <n v="-2998.59"/>
    <n v="-457.8"/>
    <n v="76300"/>
  </r>
  <r>
    <x v="15"/>
    <x v="0"/>
    <n v="138061896843"/>
    <n v="34387.08"/>
    <n v="11391158.300000001"/>
    <x v="0"/>
    <m/>
    <m/>
    <n v="0"/>
    <n v="-364"/>
    <n v="-1430.52"/>
    <n v="-218.4"/>
    <n v="36400"/>
  </r>
  <r>
    <x v="15"/>
    <x v="0"/>
    <n v="138701890684"/>
    <n v="107601.33"/>
    <n v="11498759.630000001"/>
    <x v="0"/>
    <m/>
    <m/>
    <n v="0"/>
    <n v="-1139"/>
    <n v="-4476.2700000000004"/>
    <n v="-683.4"/>
    <n v="113900"/>
  </r>
  <r>
    <x v="15"/>
    <x v="0"/>
    <n v="138062703771"/>
    <n v="56304.12"/>
    <n v="11555063.75"/>
    <x v="0"/>
    <m/>
    <m/>
    <n v="0"/>
    <n v="-596"/>
    <n v="-2342.2800000000002"/>
    <n v="-357.6"/>
    <n v="59600"/>
  </r>
  <r>
    <x v="15"/>
    <x v="0"/>
    <n v="138702659938"/>
    <n v="101716.92"/>
    <n v="11656780.67"/>
    <x v="0"/>
    <m/>
    <m/>
    <n v="0"/>
    <n v="-1044"/>
    <n v="-1012.68"/>
    <n v="-626.4"/>
    <n v="104399.99999999999"/>
  </r>
  <r>
    <x v="15"/>
    <x v="0"/>
    <n v="138702853772"/>
    <n v="4505.28"/>
    <n v="11661285.949999999"/>
    <x v="0"/>
    <m/>
    <m/>
    <n v="0"/>
    <n v="-48"/>
    <n v="-217.92"/>
    <n v="-28.8"/>
    <n v="4800"/>
  </r>
  <r>
    <x v="15"/>
    <x v="0"/>
    <n v="138703142834"/>
    <n v="4676.6400000000003"/>
    <n v="11665962.59"/>
    <x v="0"/>
    <m/>
    <m/>
    <n v="0"/>
    <n v="-48"/>
    <n v="-46.56"/>
    <n v="-28.8"/>
    <n v="4800.0000000000009"/>
  </r>
  <r>
    <x v="16"/>
    <x v="0"/>
    <n v="138703994676"/>
    <n v="49397.01"/>
    <n v="11715359.6"/>
    <x v="0"/>
    <m/>
    <m/>
    <n v="0"/>
    <n v="-507"/>
    <n v="-491.79"/>
    <n v="-304.2"/>
    <n v="50700"/>
  </r>
  <r>
    <x v="16"/>
    <x v="0"/>
    <n v="138704550514"/>
    <n v="64206.37"/>
    <n v="11779565.970000001"/>
    <x v="0"/>
    <m/>
    <m/>
    <n v="0"/>
    <n v="-659"/>
    <n v="-639.23"/>
    <n v="-395.4"/>
    <n v="65900"/>
  </r>
  <r>
    <x v="16"/>
    <x v="0"/>
    <n v="138705039232"/>
    <n v="4871.5"/>
    <n v="11790889.08"/>
    <x v="0"/>
    <m/>
    <m/>
    <n v="0"/>
    <n v="-50"/>
    <n v="-48.5"/>
    <n v="-30"/>
    <n v="5000"/>
  </r>
  <r>
    <x v="16"/>
    <x v="0"/>
    <n v="138706049188"/>
    <n v="42511.5"/>
    <n v="11833400.58"/>
    <x v="0"/>
    <m/>
    <m/>
    <n v="0"/>
    <n v="-450"/>
    <n v="-1768.5"/>
    <n v="-270"/>
    <n v="45000"/>
  </r>
  <r>
    <x v="16"/>
    <x v="0"/>
    <n v="138066372851"/>
    <n v="4505.28"/>
    <n v="11837905.859999999"/>
    <x v="0"/>
    <m/>
    <m/>
    <n v="0"/>
    <n v="-48"/>
    <n v="-217.92"/>
    <n v="-28.8"/>
    <n v="4800"/>
  </r>
  <r>
    <x v="16"/>
    <x v="0"/>
    <n v="138706937248"/>
    <n v="52619.79"/>
    <n v="11890525.65"/>
    <x v="0"/>
    <m/>
    <m/>
    <n v="0"/>
    <n v="-557"/>
    <n v="-2189.0100000000002"/>
    <n v="-334.2"/>
    <n v="55700"/>
  </r>
  <r>
    <x v="16"/>
    <x v="0"/>
    <n v="138707444206"/>
    <n v="86156.64"/>
    <n v="11976682.289999999"/>
    <x v="0"/>
    <m/>
    <m/>
    <n v="0"/>
    <n v="-912"/>
    <n v="-3584.16"/>
    <n v="-547.20000000000005"/>
    <n v="91200"/>
  </r>
  <r>
    <x v="16"/>
    <x v="0"/>
    <n v="138067716027"/>
    <n v="42869.11"/>
    <n v="12019551.4"/>
    <x v="0"/>
    <m/>
    <m/>
    <n v="0"/>
    <n v="-443"/>
    <n v="-722.09"/>
    <n v="-265.8"/>
    <n v="44300"/>
  </r>
  <r>
    <x v="16"/>
    <x v="0"/>
    <n v="138708147740"/>
    <n v="41700.04"/>
    <n v="12061251.439999999"/>
    <x v="0"/>
    <m/>
    <m/>
    <n v="0"/>
    <n v="-428"/>
    <n v="-415.16"/>
    <n v="-256.8"/>
    <n v="42800.000000000007"/>
  </r>
  <r>
    <x v="16"/>
    <x v="0"/>
    <n v="138068490929"/>
    <n v="33613.35"/>
    <n v="12094864.789999999"/>
    <x v="0"/>
    <m/>
    <m/>
    <n v="0"/>
    <n v="-345"/>
    <n v="-334.65"/>
    <n v="-207"/>
    <n v="34500"/>
  </r>
  <r>
    <x v="16"/>
    <x v="0"/>
    <n v="138068724249"/>
    <n v="46279.25"/>
    <n v="12141144.039999999"/>
    <x v="0"/>
    <m/>
    <m/>
    <n v="0"/>
    <n v="-475"/>
    <n v="-460.75"/>
    <n v="-285"/>
    <n v="47500"/>
  </r>
  <r>
    <x v="16"/>
    <x v="0"/>
    <n v="138709041032"/>
    <n v="65765.25"/>
    <n v="12206909.289999999"/>
    <x v="0"/>
    <m/>
    <m/>
    <n v="0"/>
    <n v="-675"/>
    <n v="-654.75"/>
    <n v="-405"/>
    <n v="67500"/>
  </r>
  <r>
    <x v="16"/>
    <x v="0"/>
    <n v="138709043828"/>
    <n v="45986.96"/>
    <n v="12252896.25"/>
    <x v="0"/>
    <m/>
    <m/>
    <n v="0"/>
    <n v="-472"/>
    <n v="-457.84"/>
    <n v="-283.2"/>
    <n v="47199.999999999993"/>
  </r>
  <r>
    <x v="15"/>
    <x v="92"/>
    <n v="138053901839"/>
    <n v="3974.74"/>
    <n v="10766112.5"/>
    <x v="0"/>
    <m/>
    <m/>
    <n v="-60.9"/>
    <n v="0"/>
    <n v="0"/>
    <n v="-24.36"/>
    <n v="4060"/>
  </r>
  <r>
    <x v="16"/>
    <x v="0"/>
    <n v="138709514288"/>
    <n v="20168.009999999998"/>
    <n v="12277685.140000001"/>
    <x v="0"/>
    <m/>
    <m/>
    <n v="0"/>
    <n v="-207"/>
    <n v="-200.79"/>
    <n v="-124.2"/>
    <n v="20700"/>
  </r>
  <r>
    <x v="16"/>
    <x v="0"/>
    <n v="138710020218"/>
    <n v="36633.68"/>
    <n v="12314318.82"/>
    <x v="0"/>
    <m/>
    <m/>
    <n v="0"/>
    <n v="-376"/>
    <n v="-364.72"/>
    <n v="-225.6"/>
    <n v="37600"/>
  </r>
  <r>
    <x v="16"/>
    <x v="0"/>
    <n v="138710023050"/>
    <n v="4723.5"/>
    <n v="12319042.32"/>
    <x v="0"/>
    <m/>
    <m/>
    <n v="0"/>
    <n v="-50"/>
    <n v="-196.5"/>
    <n v="-30"/>
    <n v="5000"/>
  </r>
  <r>
    <x v="16"/>
    <x v="0"/>
    <n v="138069999425"/>
    <n v="4534.5600000000004"/>
    <n v="12323576.880000001"/>
    <x v="0"/>
    <m/>
    <m/>
    <n v="0"/>
    <n v="-48"/>
    <n v="-188.64"/>
    <n v="-28.8"/>
    <n v="4800.0000000000009"/>
  </r>
  <r>
    <x v="16"/>
    <x v="0"/>
    <n v="138070771505"/>
    <n v="5358.65"/>
    <n v="12328935.529999999"/>
    <x v="0"/>
    <m/>
    <m/>
    <n v="0"/>
    <n v="-55"/>
    <n v="-53.35"/>
    <n v="-33"/>
    <n v="5500"/>
  </r>
  <r>
    <x v="16"/>
    <x v="0"/>
    <n v="138710725930"/>
    <n v="5358.65"/>
    <n v="12334294.18"/>
    <x v="0"/>
    <m/>
    <m/>
    <n v="0"/>
    <n v="-55"/>
    <n v="-53.35"/>
    <n v="-33"/>
    <n v="5500"/>
  </r>
  <r>
    <x v="15"/>
    <x v="93"/>
    <n v="138697916442"/>
    <n v="2922.31"/>
    <n v="11159590.49"/>
    <x v="0"/>
    <m/>
    <m/>
    <n v="-44.78"/>
    <n v="0"/>
    <n v="0"/>
    <n v="-17.91"/>
    <n v="2985"/>
  </r>
  <r>
    <x v="16"/>
    <x v="0"/>
    <n v="138071304667"/>
    <n v="25818.95"/>
    <n v="12360113.130000001"/>
    <x v="0"/>
    <m/>
    <m/>
    <n v="0"/>
    <n v="-265"/>
    <n v="-257.05"/>
    <n v="-159"/>
    <n v="26500"/>
  </r>
  <r>
    <x v="16"/>
    <x v="0"/>
    <n v="138711660284"/>
    <n v="19486"/>
    <n v="12379599.130000001"/>
    <x v="0"/>
    <m/>
    <m/>
    <n v="0"/>
    <n v="-200"/>
    <n v="-194"/>
    <n v="-120"/>
    <n v="20000"/>
  </r>
  <r>
    <x v="16"/>
    <x v="0"/>
    <n v="138071717769"/>
    <n v="25450.51"/>
    <n v="12405049.640000001"/>
    <x v="0"/>
    <m/>
    <m/>
    <n v="0"/>
    <n v="-263"/>
    <n v="-428.69"/>
    <n v="-157.80000000000001"/>
    <n v="26299.999999999996"/>
  </r>
  <r>
    <x v="16"/>
    <x v="0"/>
    <n v="138712596668"/>
    <n v="26186.94"/>
    <n v="12431236.58"/>
    <x v="0"/>
    <m/>
    <m/>
    <n v="0"/>
    <n v="-279"/>
    <n v="-1266.6600000000001"/>
    <n v="-167.4"/>
    <n v="27900"/>
  </r>
  <r>
    <x v="16"/>
    <x v="0"/>
    <n v="138072709179"/>
    <n v="26322.32"/>
    <n v="12457558.9"/>
    <x v="0"/>
    <m/>
    <m/>
    <n v="0"/>
    <n v="-302"/>
    <n v="-3394.48"/>
    <n v="-181.2"/>
    <n v="30200"/>
  </r>
  <r>
    <x v="16"/>
    <x v="0"/>
    <n v="138072727715"/>
    <n v="26793.25"/>
    <n v="12484352.15"/>
    <x v="0"/>
    <m/>
    <m/>
    <n v="0"/>
    <n v="-275"/>
    <n v="-266.75"/>
    <n v="-165"/>
    <n v="27500"/>
  </r>
  <r>
    <x v="16"/>
    <x v="0"/>
    <n v="138712746706"/>
    <n v="10230.15"/>
    <n v="12494582.300000001"/>
    <x v="0"/>
    <m/>
    <m/>
    <n v="0"/>
    <n v="-105"/>
    <n v="-101.85"/>
    <n v="-63"/>
    <n v="10500"/>
  </r>
  <r>
    <x v="16"/>
    <x v="0"/>
    <n v="138072784035"/>
    <n v="57288.84"/>
    <n v="12551871.140000001"/>
    <x v="0"/>
    <m/>
    <m/>
    <n v="0"/>
    <n v="-588"/>
    <n v="-570.36"/>
    <n v="-352.8"/>
    <n v="58800"/>
  </r>
  <r>
    <x v="16"/>
    <x v="0"/>
    <n v="138713132944"/>
    <n v="34587.65"/>
    <n v="12589337.050000001"/>
    <x v="0"/>
    <m/>
    <m/>
    <n v="0"/>
    <n v="-355"/>
    <n v="-344.35"/>
    <n v="-213"/>
    <n v="35500"/>
  </r>
  <r>
    <x v="16"/>
    <x v="0"/>
    <n v="138713390948"/>
    <n v="22138.639999999999"/>
    <n v="12611475.689999999"/>
    <x v="0"/>
    <m/>
    <m/>
    <n v="0"/>
    <n v="-254"/>
    <n v="-2854.96"/>
    <n v="-152.4"/>
    <n v="25400"/>
  </r>
  <r>
    <x v="16"/>
    <x v="0"/>
    <n v="138073452173"/>
    <n v="19486"/>
    <n v="12630961.689999999"/>
    <x v="0"/>
    <m/>
    <m/>
    <n v="0"/>
    <n v="-200"/>
    <n v="-194"/>
    <n v="-120"/>
    <n v="20000"/>
  </r>
  <r>
    <x v="16"/>
    <x v="0"/>
    <n v="138713517800"/>
    <n v="47399.3"/>
    <n v="12678360.99"/>
    <x v="0"/>
    <m/>
    <m/>
    <n v="0"/>
    <n v="-505"/>
    <n v="-2292.6999999999998"/>
    <n v="-303"/>
    <n v="50500"/>
  </r>
  <r>
    <x v="16"/>
    <x v="0"/>
    <n v="138820146078"/>
    <n v="9743"/>
    <n v="12621276.42"/>
    <x v="0"/>
    <m/>
    <m/>
    <n v="0"/>
    <n v="-100"/>
    <n v="-97"/>
    <n v="-60"/>
    <n v="10000"/>
  </r>
  <r>
    <x v="16"/>
    <x v="94"/>
    <n v="138064631729"/>
    <n v="6451.61"/>
    <n v="11786017.58"/>
    <x v="0"/>
    <m/>
    <m/>
    <n v="-98.85"/>
    <n v="0"/>
    <n v="0"/>
    <n v="-39.54"/>
    <n v="6590"/>
  </r>
  <r>
    <x v="16"/>
    <x v="0"/>
    <n v="138180185879"/>
    <n v="9743"/>
    <n v="12631019.42"/>
    <x v="0"/>
    <m/>
    <m/>
    <n v="0"/>
    <n v="-100"/>
    <n v="-97"/>
    <n v="-60"/>
    <n v="10000"/>
  </r>
  <r>
    <x v="16"/>
    <x v="0"/>
    <n v="138825658218"/>
    <n v="9447"/>
    <n v="12640466.42"/>
    <x v="0"/>
    <m/>
    <m/>
    <n v="0"/>
    <n v="-100"/>
    <n v="-393"/>
    <n v="-60"/>
    <n v="10000"/>
  </r>
  <r>
    <x v="16"/>
    <x v="0"/>
    <n v="138830273878"/>
    <n v="5447.4"/>
    <n v="12645913.82"/>
    <x v="0"/>
    <m/>
    <m/>
    <n v="0"/>
    <n v="-60"/>
    <n v="-456.6"/>
    <n v="-36"/>
    <n v="6000"/>
  </r>
  <r>
    <x v="16"/>
    <x v="0"/>
    <n v="138831169662"/>
    <n v="5358.65"/>
    <n v="12651272.470000001"/>
    <x v="0"/>
    <m/>
    <m/>
    <n v="0"/>
    <n v="-55"/>
    <n v="-53.35"/>
    <n v="-33"/>
    <n v="5500"/>
  </r>
  <r>
    <x v="16"/>
    <x v="0"/>
    <n v="138834531356"/>
    <n v="12568.47"/>
    <n v="12663840.939999999"/>
    <x v="0"/>
    <m/>
    <m/>
    <n v="0"/>
    <n v="-129"/>
    <n v="-125.13"/>
    <n v="-77.400000000000006"/>
    <n v="12899.999999999998"/>
  </r>
  <r>
    <x v="16"/>
    <x v="0"/>
    <n v="138194400553"/>
    <n v="11158.5"/>
    <n v="12674999.439999999"/>
    <x v="0"/>
    <m/>
    <m/>
    <n v="0"/>
    <n v="-107.5"/>
    <n v="-488.05"/>
    <n v="-70.95"/>
    <n v="11825"/>
  </r>
  <r>
    <x v="16"/>
    <x v="0"/>
    <n v="138837938928"/>
    <n v="14614.5"/>
    <n v="12689613.939999999"/>
    <x v="0"/>
    <m/>
    <m/>
    <n v="0"/>
    <n v="-150"/>
    <n v="-145.5"/>
    <n v="-90"/>
    <n v="15000"/>
  </r>
  <r>
    <x v="16"/>
    <x v="0"/>
    <n v="138198187679"/>
    <n v="19486"/>
    <n v="12709099.939999999"/>
    <x v="0"/>
    <m/>
    <m/>
    <n v="0"/>
    <n v="-200"/>
    <n v="-194"/>
    <n v="-120"/>
    <n v="20000"/>
  </r>
  <r>
    <x v="16"/>
    <x v="0"/>
    <n v="138198737449"/>
    <n v="41673.839999999997"/>
    <n v="12750773.779999999"/>
    <x v="0"/>
    <m/>
    <m/>
    <n v="0"/>
    <n v="-444"/>
    <n v="-2015.76"/>
    <n v="-266.39999999999998"/>
    <n v="44400"/>
  </r>
  <r>
    <x v="16"/>
    <x v="0"/>
    <n v="138840860684"/>
    <n v="15587.55"/>
    <n v="12766361.33"/>
    <x v="0"/>
    <m/>
    <m/>
    <n v="0"/>
    <n v="-165"/>
    <n v="-648.45000000000005"/>
    <n v="-99"/>
    <n v="16500"/>
  </r>
  <r>
    <x v="16"/>
    <x v="0"/>
    <n v="138201157087"/>
    <n v="33864.67"/>
    <n v="12800226"/>
    <x v="0"/>
    <m/>
    <m/>
    <n v="0"/>
    <n v="-373"/>
    <n v="-2838.53"/>
    <n v="-223.8"/>
    <n v="37300"/>
  </r>
  <r>
    <x v="16"/>
    <x v="95"/>
    <n v="138069276345"/>
    <n v="4620.88"/>
    <n v="12257517.130000001"/>
    <x v="0"/>
    <m/>
    <m/>
    <n v="-70.8"/>
    <n v="0"/>
    <n v="0"/>
    <n v="-28.32"/>
    <n v="4720"/>
  </r>
  <r>
    <x v="16"/>
    <x v="0"/>
    <n v="138201252687"/>
    <n v="33126.199999999997"/>
    <n v="12833352.199999999"/>
    <x v="0"/>
    <m/>
    <m/>
    <n v="0"/>
    <n v="-340"/>
    <n v="-329.8"/>
    <n v="-204"/>
    <n v="34000"/>
  </r>
  <r>
    <x v="16"/>
    <x v="0"/>
    <n v="138841653890"/>
    <n v="35048.370000000003"/>
    <n v="12868400.57"/>
    <x v="0"/>
    <m/>
    <m/>
    <n v="0"/>
    <n v="-371"/>
    <n v="-1458.03"/>
    <n v="-222.6"/>
    <n v="37100"/>
  </r>
  <r>
    <x v="16"/>
    <x v="0"/>
    <n v="138201467989"/>
    <n v="26598.39"/>
    <n v="12894998.960000001"/>
    <x v="0"/>
    <m/>
    <m/>
    <n v="0"/>
    <n v="-273"/>
    <n v="-264.81"/>
    <n v="-163.80000000000001"/>
    <n v="27300"/>
  </r>
  <r>
    <x v="16"/>
    <x v="0"/>
    <n v="138843315510"/>
    <n v="20783.400000000001"/>
    <n v="12915782.359999999"/>
    <x v="0"/>
    <m/>
    <m/>
    <n v="0"/>
    <n v="-220"/>
    <n v="-864.6"/>
    <n v="-132"/>
    <n v="22000"/>
  </r>
  <r>
    <x v="16"/>
    <x v="0"/>
    <n v="138204114191"/>
    <n v="4838.5"/>
    <n v="12920620.859999999"/>
    <x v="0"/>
    <m/>
    <m/>
    <n v="0"/>
    <n v="-50"/>
    <n v="-81.5"/>
    <n v="-30"/>
    <n v="5000"/>
  </r>
  <r>
    <x v="16"/>
    <x v="0"/>
    <n v="138205303057"/>
    <n v="24065.21"/>
    <n v="12944686.07"/>
    <x v="0"/>
    <m/>
    <m/>
    <n v="0"/>
    <n v="-247"/>
    <n v="-239.59"/>
    <n v="-148.19999999999999"/>
    <n v="24700"/>
  </r>
  <r>
    <x v="16"/>
    <x v="0"/>
    <n v="138846074058"/>
    <n v="42869.11"/>
    <n v="12989973.310000001"/>
    <x v="0"/>
    <m/>
    <m/>
    <n v="0"/>
    <n v="-443"/>
    <n v="-722.09"/>
    <n v="-265.8"/>
    <n v="44300"/>
  </r>
  <r>
    <x v="16"/>
    <x v="0"/>
    <n v="138206888477"/>
    <n v="55264.95"/>
    <n v="13045238.26"/>
    <x v="0"/>
    <m/>
    <m/>
    <n v="0"/>
    <n v="-585"/>
    <n v="-2299.0500000000002"/>
    <n v="-351"/>
    <n v="58500"/>
  </r>
  <r>
    <x v="16"/>
    <x v="0"/>
    <n v="138847468360"/>
    <n v="15486.9"/>
    <n v="13060725.16"/>
    <x v="0"/>
    <m/>
    <m/>
    <n v="0"/>
    <n v="-165"/>
    <n v="-749.1"/>
    <n v="-99"/>
    <n v="16500"/>
  </r>
  <r>
    <x v="16"/>
    <x v="0"/>
    <n v="138207560423"/>
    <n v="79405.45"/>
    <n v="13140130.609999999"/>
    <x v="0"/>
    <m/>
    <m/>
    <n v="0"/>
    <n v="-815"/>
    <n v="-790.55"/>
    <n v="-489"/>
    <n v="81500"/>
  </r>
  <r>
    <x v="16"/>
    <x v="0"/>
    <n v="138207547971"/>
    <n v="4871.5"/>
    <n v="13145002.109999999"/>
    <x v="0"/>
    <m/>
    <m/>
    <n v="0"/>
    <n v="-50"/>
    <n v="-48.5"/>
    <n v="-30"/>
    <n v="5000"/>
  </r>
  <r>
    <x v="16"/>
    <x v="0"/>
    <n v="138848404496"/>
    <n v="19291.14"/>
    <n v="13164293.25"/>
    <x v="0"/>
    <m/>
    <m/>
    <n v="0"/>
    <n v="-198"/>
    <n v="-192.06"/>
    <n v="-118.8"/>
    <n v="19800"/>
  </r>
  <r>
    <x v="17"/>
    <x v="0"/>
    <n v="138848967406"/>
    <n v="14127.35"/>
    <n v="13179389.810000001"/>
    <x v="0"/>
    <m/>
    <m/>
    <n v="0"/>
    <n v="-145"/>
    <n v="-140.65"/>
    <n v="-87"/>
    <n v="14500"/>
  </r>
  <r>
    <x v="17"/>
    <x v="0"/>
    <n v="138849036742"/>
    <n v="2922.9"/>
    <n v="13183732.26"/>
    <x v="0"/>
    <m/>
    <m/>
    <n v="0"/>
    <n v="-30"/>
    <n v="-29.1"/>
    <n v="-18"/>
    <n v="3000"/>
  </r>
  <r>
    <x v="16"/>
    <x v="96"/>
    <n v="138072847151"/>
    <n v="2878.26"/>
    <n v="12554749.4"/>
    <x v="0"/>
    <m/>
    <m/>
    <n v="-44.1"/>
    <n v="0"/>
    <n v="0"/>
    <n v="-17.64"/>
    <n v="2940"/>
  </r>
  <r>
    <x v="17"/>
    <x v="0"/>
    <n v="138849101350"/>
    <n v="40055.279999999999"/>
    <n v="13223787.539999999"/>
    <x v="0"/>
    <m/>
    <m/>
    <n v="0"/>
    <n v="-424"/>
    <n v="-1666.32"/>
    <n v="-254.4"/>
    <n v="42400"/>
  </r>
  <r>
    <x v="17"/>
    <x v="0"/>
    <n v="138849267594"/>
    <n v="44400.9"/>
    <n v="13268188.439999999"/>
    <x v="0"/>
    <m/>
    <m/>
    <n v="0"/>
    <n v="-470"/>
    <n v="-1847.1"/>
    <n v="-282"/>
    <n v="47000"/>
  </r>
  <r>
    <x v="17"/>
    <x v="0"/>
    <n v="138849484320"/>
    <n v="9386"/>
    <n v="13277574.439999999"/>
    <x v="0"/>
    <m/>
    <m/>
    <n v="0"/>
    <n v="-100"/>
    <n v="-454"/>
    <n v="-60"/>
    <n v="10000"/>
  </r>
  <r>
    <x v="17"/>
    <x v="0"/>
    <n v="138849998288"/>
    <n v="70734.179999999993"/>
    <n v="13348308.619999999"/>
    <x v="0"/>
    <m/>
    <m/>
    <n v="0"/>
    <n v="-726"/>
    <n v="-704.22"/>
    <n v="-435.6"/>
    <n v="72600"/>
  </r>
  <r>
    <x v="17"/>
    <x v="0"/>
    <n v="138850633872"/>
    <n v="10230.15"/>
    <n v="13358538.77"/>
    <x v="0"/>
    <m/>
    <m/>
    <n v="0"/>
    <n v="-105"/>
    <n v="-101.85"/>
    <n v="-63"/>
    <n v="10500"/>
  </r>
  <r>
    <x v="17"/>
    <x v="0"/>
    <n v="138210363935"/>
    <n v="33914.730000000003"/>
    <n v="13392453.5"/>
    <x v="0"/>
    <m/>
    <m/>
    <n v="0"/>
    <n v="-359"/>
    <n v="-1410.87"/>
    <n v="-215.4"/>
    <n v="35900.000000000007"/>
  </r>
  <r>
    <x v="17"/>
    <x v="0"/>
    <n v="138210648291"/>
    <n v="10035.290000000001"/>
    <n v="13402488.789999999"/>
    <x v="0"/>
    <m/>
    <m/>
    <n v="0"/>
    <n v="-103"/>
    <n v="-99.91"/>
    <n v="-61.8"/>
    <n v="10300"/>
  </r>
  <r>
    <x v="17"/>
    <x v="0"/>
    <n v="138851061664"/>
    <n v="28057.59"/>
    <n v="13430546.380000001"/>
    <x v="0"/>
    <m/>
    <m/>
    <n v="0"/>
    <n v="-297"/>
    <n v="-1167.21"/>
    <n v="-178.2"/>
    <n v="29700"/>
  </r>
  <r>
    <x v="17"/>
    <x v="0"/>
    <n v="138211297097"/>
    <n v="14127.35"/>
    <n v="13444673.73"/>
    <x v="0"/>
    <m/>
    <m/>
    <n v="0"/>
    <n v="-145"/>
    <n v="-140.65"/>
    <n v="-87"/>
    <n v="14500"/>
  </r>
  <r>
    <x v="17"/>
    <x v="0"/>
    <n v="138211329819"/>
    <n v="25331.8"/>
    <n v="13470005.529999999"/>
    <x v="0"/>
    <m/>
    <m/>
    <n v="0"/>
    <n v="-260"/>
    <n v="-252.2"/>
    <n v="-156"/>
    <n v="26000"/>
  </r>
  <r>
    <x v="17"/>
    <x v="0"/>
    <n v="138851977854"/>
    <n v="42576.91"/>
    <n v="13512582.439999999"/>
    <x v="0"/>
    <m/>
    <m/>
    <n v="0"/>
    <n v="-437"/>
    <n v="-423.89"/>
    <n v="-262.2"/>
    <n v="43700"/>
  </r>
  <r>
    <x v="17"/>
    <x v="0"/>
    <n v="138211671171"/>
    <n v="10717.3"/>
    <n v="13523299.74"/>
    <x v="0"/>
    <m/>
    <m/>
    <n v="0"/>
    <n v="-110"/>
    <n v="-106.7"/>
    <n v="-66"/>
    <n v="11000"/>
  </r>
  <r>
    <x v="17"/>
    <x v="0"/>
    <n v="138211779431"/>
    <n v="63426.93"/>
    <n v="13586726.67"/>
    <x v="0"/>
    <m/>
    <m/>
    <n v="0"/>
    <n v="-651"/>
    <n v="-631.47"/>
    <n v="-390.6"/>
    <n v="65100"/>
  </r>
  <r>
    <x v="17"/>
    <x v="0"/>
    <n v="138852403078"/>
    <n v="9353.2800000000007"/>
    <n v="13596079.949999999"/>
    <x v="0"/>
    <m/>
    <m/>
    <n v="0"/>
    <n v="-96"/>
    <n v="-93.12"/>
    <n v="-57.6"/>
    <n v="9600.0000000000018"/>
  </r>
  <r>
    <x v="17"/>
    <x v="0"/>
    <n v="138852498598"/>
    <n v="9548.14"/>
    <n v="13605628.09"/>
    <x v="0"/>
    <m/>
    <m/>
    <n v="0"/>
    <n v="-98"/>
    <n v="-95.06"/>
    <n v="-58.8"/>
    <n v="9799.9999999999982"/>
  </r>
  <r>
    <x v="17"/>
    <x v="0"/>
    <n v="138852696652"/>
    <n v="10717.3"/>
    <n v="13616345.390000001"/>
    <x v="0"/>
    <m/>
    <m/>
    <n v="0"/>
    <n v="-110"/>
    <n v="-106.7"/>
    <n v="-66"/>
    <n v="11000"/>
  </r>
  <r>
    <x v="17"/>
    <x v="0"/>
    <n v="138212356555"/>
    <n v="9743"/>
    <n v="13626088.390000001"/>
    <x v="0"/>
    <m/>
    <m/>
    <n v="0"/>
    <n v="-100"/>
    <n v="-97"/>
    <n v="-60"/>
    <n v="10000"/>
  </r>
  <r>
    <x v="17"/>
    <x v="0"/>
    <n v="138853192420"/>
    <n v="25136.94"/>
    <n v="13651225.33"/>
    <x v="0"/>
    <m/>
    <m/>
    <n v="0"/>
    <n v="-258"/>
    <n v="-250.26"/>
    <n v="-154.80000000000001"/>
    <n v="25799.999999999996"/>
  </r>
  <r>
    <x v="17"/>
    <x v="0"/>
    <n v="138853202756"/>
    <n v="91635.9"/>
    <n v="13744124.140000001"/>
    <x v="0"/>
    <m/>
    <m/>
    <n v="0"/>
    <n v="-970"/>
    <n v="-3812.1"/>
    <n v="-582"/>
    <n v="97000"/>
  </r>
  <r>
    <x v="17"/>
    <x v="0"/>
    <n v="138212818677"/>
    <n v="75313.39"/>
    <n v="13819437.529999999"/>
    <x v="0"/>
    <m/>
    <m/>
    <n v="0"/>
    <n v="-773"/>
    <n v="-749.81"/>
    <n v="-463.8"/>
    <n v="77300"/>
  </r>
  <r>
    <x v="17"/>
    <x v="0"/>
    <n v="138853313116"/>
    <n v="20460.3"/>
    <n v="13814760.890000001"/>
    <x v="0"/>
    <m/>
    <m/>
    <n v="0"/>
    <n v="-210"/>
    <n v="-203.7"/>
    <n v="-126"/>
    <n v="21000"/>
  </r>
  <r>
    <x v="17"/>
    <x v="0"/>
    <n v="138853442612"/>
    <n v="10035.290000000001"/>
    <n v="13824796.18"/>
    <x v="0"/>
    <m/>
    <m/>
    <n v="0"/>
    <n v="-103"/>
    <n v="-99.91"/>
    <n v="-61.8"/>
    <n v="10300"/>
  </r>
  <r>
    <x v="17"/>
    <x v="0"/>
    <n v="138213130077"/>
    <n v="19486"/>
    <n v="13844282.18"/>
    <x v="0"/>
    <m/>
    <m/>
    <n v="0"/>
    <n v="-200"/>
    <n v="-194"/>
    <n v="-120"/>
    <n v="20000"/>
  </r>
  <r>
    <x v="16"/>
    <x v="97"/>
    <n v="138205242047"/>
    <n v="2418.13"/>
    <n v="12947104.199999999"/>
    <x v="0"/>
    <m/>
    <m/>
    <n v="-37.049999999999997"/>
    <n v="0"/>
    <n v="0"/>
    <n v="-14.82"/>
    <n v="2470.0000000000005"/>
  </r>
  <r>
    <x v="17"/>
    <x v="0"/>
    <n v="138853958868"/>
    <n v="14926.26"/>
    <n v="13860187.439999999"/>
    <x v="0"/>
    <m/>
    <m/>
    <n v="0"/>
    <n v="-158"/>
    <n v="-620.94000000000005"/>
    <n v="-94.8"/>
    <n v="15800"/>
  </r>
  <r>
    <x v="17"/>
    <x v="0"/>
    <n v="138213612905"/>
    <n v="10230.15"/>
    <n v="13870417.59"/>
    <x v="0"/>
    <m/>
    <m/>
    <n v="0"/>
    <n v="-105"/>
    <n v="-101.85"/>
    <n v="-63"/>
    <n v="10500"/>
  </r>
  <r>
    <x v="17"/>
    <x v="0"/>
    <n v="138213756749"/>
    <n v="26695.82"/>
    <n v="13897113.41"/>
    <x v="0"/>
    <m/>
    <m/>
    <n v="0"/>
    <n v="-274"/>
    <n v="-265.77999999999997"/>
    <n v="-164.4"/>
    <n v="27400"/>
  </r>
  <r>
    <x v="17"/>
    <x v="0"/>
    <n v="138854466710"/>
    <n v="29284.32"/>
    <n v="13926397.73"/>
    <x v="0"/>
    <m/>
    <m/>
    <n v="0"/>
    <n v="-312"/>
    <n v="-1416.48"/>
    <n v="-187.2"/>
    <n v="31200"/>
  </r>
  <r>
    <x v="17"/>
    <x v="0"/>
    <n v="138854698280"/>
    <n v="16075.95"/>
    <n v="13942473.68"/>
    <x v="0"/>
    <m/>
    <m/>
    <n v="0"/>
    <n v="-165"/>
    <n v="-160.05000000000001"/>
    <n v="-99"/>
    <n v="16500"/>
  </r>
  <r>
    <x v="17"/>
    <x v="0"/>
    <n v="138854732718"/>
    <n v="4676.6400000000003"/>
    <n v="13947150.32"/>
    <x v="0"/>
    <m/>
    <m/>
    <n v="0"/>
    <n v="-48"/>
    <n v="-46.56"/>
    <n v="-28.8"/>
    <n v="4800.0000000000009"/>
  </r>
  <r>
    <x v="16"/>
    <x v="98"/>
    <n v="138207819305"/>
    <n v="969.21"/>
    <n v="13165262.460000001"/>
    <x v="0"/>
    <m/>
    <m/>
    <n v="-14.85"/>
    <n v="0"/>
    <n v="0"/>
    <n v="-5.94"/>
    <n v="990.00000000000011"/>
  </r>
  <r>
    <x v="17"/>
    <x v="0"/>
    <n v="138214397525"/>
    <n v="9548.14"/>
    <n v="13956698.460000001"/>
    <x v="0"/>
    <m/>
    <m/>
    <n v="0"/>
    <n v="-98"/>
    <n v="-95.06"/>
    <n v="-58.8"/>
    <n v="9799.9999999999982"/>
  </r>
  <r>
    <x v="17"/>
    <x v="99"/>
    <n v="138849001012"/>
    <n v="1419.55"/>
    <n v="13180809.359999999"/>
    <x v="0"/>
    <m/>
    <m/>
    <n v="-21.75"/>
    <n v="0"/>
    <n v="0"/>
    <n v="-8.6999999999999993"/>
    <n v="1450"/>
  </r>
  <r>
    <x v="17"/>
    <x v="0"/>
    <n v="138854924608"/>
    <n v="4871.5"/>
    <n v="13961569.960000001"/>
    <x v="0"/>
    <m/>
    <m/>
    <n v="0"/>
    <n v="-50"/>
    <n v="-48.5"/>
    <n v="-30"/>
    <n v="5000"/>
  </r>
  <r>
    <x v="17"/>
    <x v="0"/>
    <n v="138214651007"/>
    <n v="138448.03"/>
    <n v="14100017.99"/>
    <x v="0"/>
    <m/>
    <m/>
    <n v="0"/>
    <n v="-1421"/>
    <n v="-1378.37"/>
    <n v="-852.6"/>
    <n v="142100"/>
  </r>
  <r>
    <x v="17"/>
    <x v="0"/>
    <n v="138855188874"/>
    <n v="9548.14"/>
    <n v="14116521.92"/>
    <x v="0"/>
    <m/>
    <m/>
    <n v="0"/>
    <n v="-98"/>
    <n v="-95.06"/>
    <n v="-58.8"/>
    <n v="9799.9999999999982"/>
  </r>
  <r>
    <x v="17"/>
    <x v="0"/>
    <n v="138855285094"/>
    <n v="125197.55"/>
    <n v="14241719.470000001"/>
    <x v="0"/>
    <m/>
    <m/>
    <n v="0"/>
    <n v="-1285"/>
    <n v="-1246.45"/>
    <n v="-771"/>
    <n v="128500"/>
  </r>
  <r>
    <x v="17"/>
    <x v="0"/>
    <n v="138214932755"/>
    <n v="35212.639999999999"/>
    <n v="14276932.109999999"/>
    <x v="0"/>
    <m/>
    <m/>
    <n v="0"/>
    <n v="-404"/>
    <n v="-4540.96"/>
    <n v="-242.4"/>
    <n v="40400"/>
  </r>
  <r>
    <x v="17"/>
    <x v="0"/>
    <n v="138215041405"/>
    <n v="14029.92"/>
    <n v="14290962.029999999"/>
    <x v="0"/>
    <m/>
    <m/>
    <n v="0"/>
    <n v="-144"/>
    <n v="-139.68"/>
    <n v="-86.4"/>
    <n v="14400"/>
  </r>
  <r>
    <x v="17"/>
    <x v="0"/>
    <n v="138215082017"/>
    <n v="10717.3"/>
    <n v="14301679.33"/>
    <x v="0"/>
    <m/>
    <m/>
    <n v="0"/>
    <n v="-110"/>
    <n v="-106.7"/>
    <n v="-66"/>
    <n v="11000"/>
  </r>
  <r>
    <x v="17"/>
    <x v="0"/>
    <n v="138215130073"/>
    <n v="9198.2800000000007"/>
    <n v="14310877.609999999"/>
    <x v="0"/>
    <m/>
    <m/>
    <n v="0"/>
    <n v="-98"/>
    <n v="-444.92"/>
    <n v="-58.8"/>
    <n v="9800"/>
  </r>
  <r>
    <x v="17"/>
    <x v="0"/>
    <n v="138215334949"/>
    <n v="18414.27"/>
    <n v="14329291.880000001"/>
    <x v="0"/>
    <m/>
    <m/>
    <n v="0"/>
    <n v="-189"/>
    <n v="-183.33"/>
    <n v="-113.4"/>
    <n v="18900.000000000004"/>
  </r>
  <r>
    <x v="17"/>
    <x v="0"/>
    <n v="138855980124"/>
    <n v="19291.14"/>
    <n v="14348583.02"/>
    <x v="0"/>
    <m/>
    <m/>
    <n v="0"/>
    <n v="-198"/>
    <n v="-192.06"/>
    <n v="-118.8"/>
    <n v="19800"/>
  </r>
  <r>
    <x v="17"/>
    <x v="0"/>
    <n v="138855967168"/>
    <n v="10230.15"/>
    <n v="14358813.17"/>
    <x v="0"/>
    <m/>
    <m/>
    <n v="0"/>
    <n v="-105"/>
    <n v="-101.85"/>
    <n v="-63"/>
    <n v="10500"/>
  </r>
  <r>
    <x v="17"/>
    <x v="0"/>
    <n v="138856026646"/>
    <n v="44778.78"/>
    <n v="14403591.949999999"/>
    <x v="0"/>
    <m/>
    <m/>
    <n v="0"/>
    <n v="-474"/>
    <n v="-1862.82"/>
    <n v="-284.39999999999998"/>
    <n v="47400"/>
  </r>
  <r>
    <x v="17"/>
    <x v="0"/>
    <n v="138856057240"/>
    <n v="49007.29"/>
    <n v="14452599.24"/>
    <x v="0"/>
    <m/>
    <m/>
    <n v="0"/>
    <n v="-503"/>
    <n v="-487.91"/>
    <n v="-301.8"/>
    <n v="50300.000000000007"/>
  </r>
  <r>
    <x v="17"/>
    <x v="0"/>
    <n v="138216488259"/>
    <n v="15978.52"/>
    <n v="14471039.939999999"/>
    <x v="0"/>
    <m/>
    <m/>
    <n v="0"/>
    <n v="-164"/>
    <n v="-159.08000000000001"/>
    <n v="-98.4"/>
    <n v="16400"/>
  </r>
  <r>
    <x v="17"/>
    <x v="0"/>
    <n v="138216467745"/>
    <n v="109253.04"/>
    <n v="14581095.76"/>
    <x v="0"/>
    <m/>
    <m/>
    <n v="0"/>
    <n v="-1164"/>
    <n v="-5284.56"/>
    <n v="-698.4"/>
    <n v="116399.99999999999"/>
  </r>
  <r>
    <x v="17"/>
    <x v="0"/>
    <n v="138856950028"/>
    <n v="30702.75"/>
    <n v="14611798.51"/>
    <x v="0"/>
    <m/>
    <m/>
    <n v="0"/>
    <n v="-325"/>
    <n v="-1277.25"/>
    <n v="-195"/>
    <n v="32500"/>
  </r>
  <r>
    <x v="17"/>
    <x v="0"/>
    <n v="138857415050"/>
    <n v="9986.9"/>
    <n v="14621785.41"/>
    <x v="0"/>
    <m/>
    <m/>
    <n v="0"/>
    <n v="-110"/>
    <n v="-837.1"/>
    <n v="-66"/>
    <n v="11000"/>
  </r>
  <r>
    <x v="17"/>
    <x v="0"/>
    <n v="138217368551"/>
    <n v="49007.29"/>
    <n v="14670792.699999999"/>
    <x v="0"/>
    <m/>
    <m/>
    <n v="0"/>
    <n v="-503"/>
    <n v="-487.91"/>
    <n v="-301.8"/>
    <n v="50300.000000000007"/>
  </r>
  <r>
    <x v="17"/>
    <x v="0"/>
    <n v="138857784600"/>
    <n v="14711.93"/>
    <n v="14685504.630000001"/>
    <x v="0"/>
    <m/>
    <m/>
    <n v="0"/>
    <n v="-151"/>
    <n v="-146.47"/>
    <n v="-90.6"/>
    <n v="15100"/>
  </r>
  <r>
    <x v="17"/>
    <x v="100"/>
    <n v="138853147094"/>
    <n v="1262.9100000000001"/>
    <n v="13652488.24"/>
    <x v="0"/>
    <m/>
    <m/>
    <n v="-19.350000000000001"/>
    <n v="0"/>
    <n v="0"/>
    <n v="-7.74"/>
    <n v="1290"/>
  </r>
  <r>
    <x v="17"/>
    <x v="0"/>
    <n v="138217572119"/>
    <n v="10035.290000000001"/>
    <n v="14695539.92"/>
    <x v="0"/>
    <m/>
    <m/>
    <n v="0"/>
    <n v="-103"/>
    <n v="-99.91"/>
    <n v="-61.8"/>
    <n v="10300"/>
  </r>
  <r>
    <x v="17"/>
    <x v="0"/>
    <n v="138217537137"/>
    <n v="10717.3"/>
    <n v="14706257.220000001"/>
    <x v="0"/>
    <m/>
    <m/>
    <n v="0"/>
    <n v="-110"/>
    <n v="-106.7"/>
    <n v="-66"/>
    <n v="11000"/>
  </r>
  <r>
    <x v="17"/>
    <x v="0"/>
    <n v="138217640499"/>
    <n v="19096.28"/>
    <n v="14725353.5"/>
    <x v="0"/>
    <m/>
    <m/>
    <n v="0"/>
    <n v="-196"/>
    <n v="-190.12"/>
    <n v="-117.6"/>
    <n v="19599.999999999996"/>
  </r>
  <r>
    <x v="17"/>
    <x v="0"/>
    <n v="138857992860"/>
    <n v="62160.34"/>
    <n v="14787513.84"/>
    <x v="0"/>
    <m/>
    <m/>
    <n v="0"/>
    <n v="-638"/>
    <n v="-618.86"/>
    <n v="-382.8"/>
    <n v="63800"/>
  </r>
  <r>
    <x v="17"/>
    <x v="0"/>
    <n v="138217702891"/>
    <n v="98794.02"/>
    <n v="14889430.869999999"/>
    <x v="0"/>
    <m/>
    <m/>
    <n v="0"/>
    <n v="-1014"/>
    <n v="-983.58"/>
    <n v="-608.4"/>
    <n v="101400"/>
  </r>
  <r>
    <x v="17"/>
    <x v="0"/>
    <n v="138217707315"/>
    <n v="26306.1"/>
    <n v="14915736.970000001"/>
    <x v="0"/>
    <m/>
    <m/>
    <n v="0"/>
    <n v="-270"/>
    <n v="-261.89999999999998"/>
    <n v="-162"/>
    <n v="27000"/>
  </r>
  <r>
    <x v="17"/>
    <x v="101"/>
    <n v="138213161831"/>
    <n v="979"/>
    <n v="13845261.18"/>
    <x v="0"/>
    <m/>
    <m/>
    <n v="-15"/>
    <n v="0"/>
    <n v="0"/>
    <n v="-6"/>
    <n v="1000"/>
  </r>
  <r>
    <x v="17"/>
    <x v="0"/>
    <n v="138217710071"/>
    <n v="14711.93"/>
    <n v="14930448.9"/>
    <x v="0"/>
    <m/>
    <m/>
    <n v="0"/>
    <n v="-151"/>
    <n v="-146.47"/>
    <n v="-90.6"/>
    <n v="15100"/>
  </r>
  <r>
    <x v="17"/>
    <x v="0"/>
    <n v="138931151502"/>
    <n v="5358.65"/>
    <n v="14936546.689999999"/>
    <x v="0"/>
    <m/>
    <m/>
    <n v="0"/>
    <n v="-55"/>
    <n v="-53.35"/>
    <n v="-33"/>
    <n v="5500"/>
  </r>
  <r>
    <x v="17"/>
    <x v="0"/>
    <n v="138298749187"/>
    <n v="12847.92"/>
    <n v="14949394.609999999"/>
    <x v="0"/>
    <m/>
    <m/>
    <n v="0"/>
    <n v="-136"/>
    <n v="-534.48"/>
    <n v="-81.599999999999994"/>
    <n v="13600"/>
  </r>
  <r>
    <x v="17"/>
    <x v="0"/>
    <n v="138305568797"/>
    <n v="18073.259999999998"/>
    <n v="14967467.869999999"/>
    <x v="0"/>
    <m/>
    <m/>
    <n v="0"/>
    <n v="-185.5"/>
    <n v="-179.94"/>
    <n v="-111.3"/>
    <n v="18549.999999999996"/>
  </r>
  <r>
    <x v="17"/>
    <x v="0"/>
    <n v="138305709893"/>
    <n v="48715"/>
    <n v="15016182.869999999"/>
    <x v="0"/>
    <m/>
    <m/>
    <n v="0"/>
    <n v="-500"/>
    <n v="-485"/>
    <n v="-300"/>
    <n v="50000"/>
  </r>
  <r>
    <x v="17"/>
    <x v="0"/>
    <n v="138946864896"/>
    <n v="4629.03"/>
    <n v="15020811.9"/>
    <x v="0"/>
    <m/>
    <m/>
    <n v="0"/>
    <n v="-49"/>
    <n v="-192.57"/>
    <n v="-29.4"/>
    <n v="4899.9999999999991"/>
  </r>
  <r>
    <x v="17"/>
    <x v="0"/>
    <n v="138306469365"/>
    <n v="24065.21"/>
    <n v="15044877.109999999"/>
    <x v="0"/>
    <m/>
    <m/>
    <n v="0"/>
    <n v="-247"/>
    <n v="-239.59"/>
    <n v="-148.19999999999999"/>
    <n v="24700"/>
  </r>
  <r>
    <x v="17"/>
    <x v="0"/>
    <n v="138307234725"/>
    <n v="28152.06"/>
    <n v="15074238.23"/>
    <x v="0"/>
    <m/>
    <m/>
    <n v="0"/>
    <n v="-298"/>
    <n v="-1171.1400000000001"/>
    <n v="-178.8"/>
    <n v="29800"/>
  </r>
  <r>
    <x v="17"/>
    <x v="0"/>
    <n v="138307273445"/>
    <n v="23870.35"/>
    <n v="15098108.58"/>
    <x v="0"/>
    <m/>
    <m/>
    <n v="0"/>
    <n v="-245"/>
    <n v="-237.65"/>
    <n v="-147"/>
    <n v="24500"/>
  </r>
  <r>
    <x v="17"/>
    <x v="64"/>
    <n v="138214690391"/>
    <n v="6955.79"/>
    <n v="14106973.779999999"/>
    <x v="0"/>
    <m/>
    <m/>
    <n v="-106.58"/>
    <n v="0"/>
    <n v="0"/>
    <n v="-42.63"/>
    <n v="7105"/>
  </r>
  <r>
    <x v="17"/>
    <x v="0"/>
    <n v="138307429819"/>
    <n v="4871.5"/>
    <n v="15105378.630000001"/>
    <x v="0"/>
    <m/>
    <m/>
    <n v="0"/>
    <n v="-50"/>
    <n v="-48.5"/>
    <n v="-30"/>
    <n v="5000"/>
  </r>
  <r>
    <x v="17"/>
    <x v="0"/>
    <n v="138307491501"/>
    <n v="10391.700000000001"/>
    <n v="15116015.08"/>
    <x v="0"/>
    <m/>
    <m/>
    <n v="0"/>
    <n v="-110"/>
    <n v="-432.3"/>
    <n v="-66"/>
    <n v="11000"/>
  </r>
  <r>
    <x v="17"/>
    <x v="0"/>
    <n v="138950747256"/>
    <n v="24656.67"/>
    <n v="15140671.75"/>
    <x v="0"/>
    <m/>
    <m/>
    <n v="0"/>
    <n v="-261"/>
    <n v="-1025.73"/>
    <n v="-156.6"/>
    <n v="26099.999999999996"/>
  </r>
  <r>
    <x v="17"/>
    <x v="0"/>
    <n v="138310086197"/>
    <n v="30495.59"/>
    <n v="15171167.34"/>
    <x v="0"/>
    <m/>
    <m/>
    <n v="0"/>
    <n v="-313"/>
    <n v="-303.61"/>
    <n v="-187.8"/>
    <n v="31300"/>
  </r>
  <r>
    <x v="17"/>
    <x v="0"/>
    <n v="138951541508"/>
    <n v="60460.800000000003"/>
    <n v="15234692.41"/>
    <x v="0"/>
    <m/>
    <m/>
    <n v="0"/>
    <n v="-640"/>
    <n v="-2515.1999999999998"/>
    <n v="-384"/>
    <n v="64000"/>
  </r>
  <r>
    <x v="17"/>
    <x v="0"/>
    <n v="138311072677"/>
    <n v="45889.53"/>
    <n v="15280581.939999999"/>
    <x v="0"/>
    <m/>
    <m/>
    <n v="0"/>
    <n v="-471"/>
    <n v="-456.87"/>
    <n v="-282.60000000000002"/>
    <n v="47100"/>
  </r>
  <r>
    <x v="17"/>
    <x v="0"/>
    <n v="138312353835"/>
    <n v="10259.27"/>
    <n v="15290841.210000001"/>
    <x v="0"/>
    <m/>
    <m/>
    <n v="0"/>
    <n v="-113"/>
    <n v="-859.93"/>
    <n v="-67.8"/>
    <n v="11300"/>
  </r>
  <r>
    <x v="17"/>
    <x v="0"/>
    <n v="138312563103"/>
    <n v="9353.2800000000007"/>
    <n v="15300194.49"/>
    <x v="0"/>
    <m/>
    <m/>
    <n v="0"/>
    <n v="-96"/>
    <n v="-93.12"/>
    <n v="-57.6"/>
    <n v="9600.0000000000018"/>
  </r>
  <r>
    <x v="17"/>
    <x v="0"/>
    <n v="138313163771"/>
    <n v="19583.43"/>
    <n v="15319777.92"/>
    <x v="0"/>
    <m/>
    <m/>
    <n v="0"/>
    <n v="-201"/>
    <n v="-194.97"/>
    <n v="-120.6"/>
    <n v="20100"/>
  </r>
  <r>
    <x v="17"/>
    <x v="0"/>
    <n v="138313756607"/>
    <n v="66934.41"/>
    <n v="15386712.33"/>
    <x v="0"/>
    <m/>
    <m/>
    <n v="0"/>
    <n v="-687"/>
    <n v="-666.39"/>
    <n v="-412.2"/>
    <n v="68700"/>
  </r>
  <r>
    <x v="17"/>
    <x v="0"/>
    <n v="138955332676"/>
    <n v="21471.83"/>
    <n v="15414909.890000001"/>
    <x v="0"/>
    <m/>
    <m/>
    <n v="0"/>
    <n v="-236.5"/>
    <n v="-1799.77"/>
    <n v="-141.9"/>
    <n v="23650.000000000004"/>
  </r>
  <r>
    <x v="17"/>
    <x v="102"/>
    <n v="138215505465"/>
    <n v="2462.1799999999998"/>
    <n v="14455061.42"/>
    <x v="0"/>
    <m/>
    <m/>
    <n v="-37.729999999999997"/>
    <n v="0"/>
    <n v="0"/>
    <n v="-15.09"/>
    <n v="2515"/>
  </r>
  <r>
    <x v="17"/>
    <x v="0"/>
    <n v="138955737872"/>
    <n v="20070.580000000002"/>
    <n v="15434980.470000001"/>
    <x v="0"/>
    <m/>
    <m/>
    <n v="0"/>
    <n v="-206"/>
    <n v="-199.82"/>
    <n v="-123.6"/>
    <n v="20600"/>
  </r>
  <r>
    <x v="17"/>
    <x v="103"/>
    <n v="138856908296"/>
    <n v="802.78"/>
    <n v="14471842.720000001"/>
    <x v="0"/>
    <m/>
    <m/>
    <n v="-12.3"/>
    <n v="0"/>
    <n v="0"/>
    <n v="-4.92"/>
    <n v="819.99999999999989"/>
  </r>
  <r>
    <x v="17"/>
    <x v="0"/>
    <n v="138956547972"/>
    <n v="86322.98"/>
    <n v="15521303.449999999"/>
    <x v="0"/>
    <m/>
    <m/>
    <n v="0"/>
    <n v="-886"/>
    <n v="-859.42"/>
    <n v="-531.6"/>
    <n v="88600"/>
  </r>
  <r>
    <x v="17"/>
    <x v="0"/>
    <n v="138316277365"/>
    <n v="105686.36"/>
    <n v="15635663.75"/>
    <x v="0"/>
    <m/>
    <m/>
    <n v="0"/>
    <n v="-1126"/>
    <n v="-5112.04"/>
    <n v="-675.6"/>
    <n v="112600"/>
  </r>
  <r>
    <x v="17"/>
    <x v="0"/>
    <n v="138316534489"/>
    <n v="10717.3"/>
    <n v="15646381.050000001"/>
    <x v="0"/>
    <m/>
    <m/>
    <n v="0"/>
    <n v="-110"/>
    <n v="-106.7"/>
    <n v="-66"/>
    <n v="11000"/>
  </r>
  <r>
    <x v="17"/>
    <x v="0"/>
    <n v="138316537299"/>
    <n v="54463.37"/>
    <n v="15700844.42"/>
    <x v="0"/>
    <m/>
    <m/>
    <n v="0"/>
    <n v="-559"/>
    <n v="-542.23"/>
    <n v="-335.4"/>
    <n v="55900.000000000007"/>
  </r>
  <r>
    <x v="17"/>
    <x v="0"/>
    <n v="138957550940"/>
    <n v="41992.33"/>
    <n v="15742836.75"/>
    <x v="0"/>
    <m/>
    <m/>
    <n v="0"/>
    <n v="-431"/>
    <n v="-418.07"/>
    <n v="-258.60000000000002"/>
    <n v="43100"/>
  </r>
  <r>
    <x v="17"/>
    <x v="0"/>
    <n v="138316909509"/>
    <n v="31080.17"/>
    <n v="15773916.92"/>
    <x v="0"/>
    <m/>
    <m/>
    <n v="0"/>
    <n v="-319"/>
    <n v="-309.43"/>
    <n v="-191.4"/>
    <n v="31900"/>
  </r>
  <r>
    <x v="17"/>
    <x v="0"/>
    <n v="138317483911"/>
    <n v="27962.41"/>
    <n v="15801879.33"/>
    <x v="0"/>
    <m/>
    <m/>
    <n v="0"/>
    <n v="-287"/>
    <n v="-278.39"/>
    <n v="-172.2"/>
    <n v="28700"/>
  </r>
  <r>
    <x v="17"/>
    <x v="0"/>
    <n v="138958608370"/>
    <n v="19486"/>
    <n v="15821365.33"/>
    <x v="0"/>
    <m/>
    <m/>
    <n v="0"/>
    <n v="-200"/>
    <n v="-194"/>
    <n v="-120"/>
    <n v="20000"/>
  </r>
  <r>
    <x v="17"/>
    <x v="0"/>
    <n v="138958597390"/>
    <n v="35854.239999999998"/>
    <n v="15857219.57"/>
    <x v="0"/>
    <m/>
    <m/>
    <n v="0"/>
    <n v="-368"/>
    <n v="-356.96"/>
    <n v="-220.8"/>
    <n v="36800"/>
  </r>
  <r>
    <x v="17"/>
    <x v="104"/>
    <n v="138217676459"/>
    <n v="3123.01"/>
    <n v="14790636.85"/>
    <x v="0"/>
    <m/>
    <m/>
    <n v="-47.85"/>
    <n v="0"/>
    <n v="0"/>
    <n v="-19.14"/>
    <n v="3190"/>
  </r>
  <r>
    <x v="17"/>
    <x v="0"/>
    <n v="138317694879"/>
    <n v="37405.480000000003"/>
    <n v="15900029.130000001"/>
    <x v="0"/>
    <m/>
    <m/>
    <n v="0"/>
    <n v="-412"/>
    <n v="-3135.32"/>
    <n v="-247.2"/>
    <n v="41200"/>
  </r>
  <r>
    <x v="17"/>
    <x v="0"/>
    <n v="138317772859"/>
    <n v="33820.26"/>
    <n v="15933849.390000001"/>
    <x v="0"/>
    <m/>
    <m/>
    <n v="0"/>
    <n v="-358"/>
    <n v="-1406.94"/>
    <n v="-214.8"/>
    <n v="35800.000000000007"/>
  </r>
  <r>
    <x v="17"/>
    <x v="0"/>
    <n v="138958894822"/>
    <n v="18024.55"/>
    <n v="15951873.939999999"/>
    <x v="0"/>
    <m/>
    <m/>
    <n v="0"/>
    <n v="-185"/>
    <n v="-179.45"/>
    <n v="-111"/>
    <n v="18500"/>
  </r>
  <r>
    <x v="17"/>
    <x v="105"/>
    <n v="138217820543"/>
    <n v="739.14"/>
    <n v="14931188.039999999"/>
    <x v="0"/>
    <m/>
    <m/>
    <n v="-11.33"/>
    <n v="0"/>
    <n v="0"/>
    <n v="-4.53"/>
    <n v="755"/>
  </r>
  <r>
    <x v="17"/>
    <x v="0"/>
    <n v="138958895424"/>
    <n v="71608.259999999995"/>
    <n v="16023482.199999999"/>
    <x v="0"/>
    <m/>
    <m/>
    <n v="0"/>
    <n v="-758"/>
    <n v="-2978.94"/>
    <n v="-454.8"/>
    <n v="75800"/>
  </r>
  <r>
    <x v="17"/>
    <x v="0"/>
    <n v="138318135687"/>
    <n v="18894"/>
    <n v="16042376.199999999"/>
    <x v="0"/>
    <m/>
    <m/>
    <n v="0"/>
    <n v="-200"/>
    <n v="-786"/>
    <n v="-120"/>
    <n v="20000"/>
  </r>
  <r>
    <x v="17"/>
    <x v="0"/>
    <n v="138318627905"/>
    <n v="39771.870000000003"/>
    <n v="16082148.07"/>
    <x v="0"/>
    <m/>
    <m/>
    <n v="0"/>
    <n v="-421"/>
    <n v="-1654.53"/>
    <n v="-252.6"/>
    <n v="42100"/>
  </r>
  <r>
    <x v="17"/>
    <x v="0"/>
    <n v="138960552954"/>
    <n v="72877.64"/>
    <n v="16155025.710000001"/>
    <x v="0"/>
    <m/>
    <m/>
    <n v="0"/>
    <n v="-748"/>
    <n v="-725.56"/>
    <n v="-448.8"/>
    <n v="74800"/>
  </r>
  <r>
    <x v="17"/>
    <x v="0"/>
    <n v="138960529926"/>
    <n v="66934.41"/>
    <n v="16225621.58"/>
    <x v="0"/>
    <m/>
    <m/>
    <n v="0"/>
    <n v="-687"/>
    <n v="-666.39"/>
    <n v="-412.2"/>
    <n v="68700"/>
  </r>
  <r>
    <x v="17"/>
    <x v="0"/>
    <n v="138320030417"/>
    <n v="9353.2800000000007"/>
    <n v="16234974.859999999"/>
    <x v="0"/>
    <m/>
    <m/>
    <n v="0"/>
    <n v="-96"/>
    <n v="-93.12"/>
    <n v="-57.6"/>
    <n v="9600.0000000000018"/>
  </r>
  <r>
    <x v="17"/>
    <x v="106"/>
    <n v="138306522707"/>
    <n v="1209.06"/>
    <n v="15046086.17"/>
    <x v="0"/>
    <m/>
    <m/>
    <n v="-18.53"/>
    <n v="0"/>
    <n v="0"/>
    <n v="-7.41"/>
    <n v="1235"/>
  </r>
  <r>
    <x v="17"/>
    <x v="0"/>
    <n v="138961200208"/>
    <n v="49974.63"/>
    <n v="16284949.49"/>
    <x v="0"/>
    <m/>
    <m/>
    <n v="0"/>
    <n v="-529"/>
    <n v="-2078.9699999999998"/>
    <n v="-317.39999999999998"/>
    <n v="52900"/>
  </r>
  <r>
    <x v="18"/>
    <x v="0"/>
    <n v="138961724050"/>
    <n v="10717.3"/>
    <n v="16295666.789999999"/>
    <x v="0"/>
    <m/>
    <m/>
    <n v="0"/>
    <n v="-110"/>
    <n v="-106.7"/>
    <n v="-66"/>
    <n v="11000"/>
  </r>
  <r>
    <x v="17"/>
    <x v="4"/>
    <n v="138948009288"/>
    <n v="2398.5500000000002"/>
    <n v="15100507.130000001"/>
    <x v="0"/>
    <m/>
    <m/>
    <n v="-36.75"/>
    <n v="0"/>
    <n v="0"/>
    <n v="-14.7"/>
    <n v="2450"/>
  </r>
  <r>
    <x v="18"/>
    <x v="0"/>
    <n v="138321453321"/>
    <n v="119546.61"/>
    <n v="16415213.4"/>
    <x v="0"/>
    <m/>
    <m/>
    <n v="0"/>
    <n v="-1227"/>
    <n v="-1190.19"/>
    <n v="-736.2"/>
    <n v="122700"/>
  </r>
  <r>
    <x v="17"/>
    <x v="107"/>
    <n v="138948247016"/>
    <n v="244.75"/>
    <n v="15105623.380000001"/>
    <x v="0"/>
    <m/>
    <m/>
    <n v="-3.75"/>
    <n v="0"/>
    <n v="0"/>
    <n v="-1.5"/>
    <n v="250"/>
  </r>
  <r>
    <x v="18"/>
    <x v="0"/>
    <n v="138962445080"/>
    <n v="149555.04999999999"/>
    <n v="16564768.449999999"/>
    <x v="0"/>
    <m/>
    <m/>
    <n v="0"/>
    <n v="-1535"/>
    <n v="-1488.95"/>
    <n v="-921"/>
    <n v="153500"/>
  </r>
  <r>
    <x v="18"/>
    <x v="0"/>
    <n v="138962720678"/>
    <n v="42382.05"/>
    <n v="16607150.5"/>
    <x v="0"/>
    <m/>
    <m/>
    <n v="0"/>
    <n v="-435"/>
    <n v="-421.95"/>
    <n v="-261"/>
    <n v="43500"/>
  </r>
  <r>
    <x v="18"/>
    <x v="0"/>
    <n v="138962805222"/>
    <n v="4871.5"/>
    <n v="16612022"/>
    <x v="0"/>
    <m/>
    <m/>
    <n v="0"/>
    <n v="-50"/>
    <n v="-48.5"/>
    <n v="-30"/>
    <n v="5000"/>
  </r>
  <r>
    <x v="17"/>
    <x v="108"/>
    <n v="138950884454"/>
    <n v="3064.27"/>
    <n v="15174231.609999999"/>
    <x v="0"/>
    <m/>
    <m/>
    <n v="-46.95"/>
    <n v="0"/>
    <n v="0"/>
    <n v="-18.78"/>
    <n v="3130"/>
  </r>
  <r>
    <x v="18"/>
    <x v="0"/>
    <n v="138321908051"/>
    <n v="70906.990000000005"/>
    <n v="16682928.99"/>
    <x v="0"/>
    <m/>
    <m/>
    <n v="0"/>
    <n v="-781"/>
    <n v="-5943.41"/>
    <n v="-468.6"/>
    <n v="78100.000000000015"/>
  </r>
  <r>
    <x v="18"/>
    <x v="0"/>
    <n v="138962996942"/>
    <n v="69370.16"/>
    <n v="16752299.15"/>
    <x v="0"/>
    <m/>
    <m/>
    <n v="0"/>
    <n v="-712"/>
    <n v="-690.64"/>
    <n v="-427.2"/>
    <n v="71200"/>
  </r>
  <r>
    <x v="18"/>
    <x v="0"/>
    <n v="138963015400"/>
    <n v="53619.66"/>
    <n v="16805918.809999999"/>
    <x v="0"/>
    <m/>
    <m/>
    <n v="0"/>
    <n v="-582"/>
    <n v="-6541.68"/>
    <n v="-366.66"/>
    <n v="61110.000000000007"/>
  </r>
  <r>
    <x v="18"/>
    <x v="0"/>
    <n v="138322192323"/>
    <n v="19744.23"/>
    <n v="16825663.039999999"/>
    <x v="0"/>
    <m/>
    <m/>
    <n v="0"/>
    <n v="-209"/>
    <n v="-821.37"/>
    <n v="-125.4"/>
    <n v="20900"/>
  </r>
  <r>
    <x v="18"/>
    <x v="0"/>
    <n v="138963097522"/>
    <n v="38858.120000000003"/>
    <n v="16864521.16"/>
    <x v="0"/>
    <m/>
    <m/>
    <n v="0"/>
    <n v="-428"/>
    <n v="-3257.08"/>
    <n v="-256.8"/>
    <n v="42800.000000000007"/>
  </r>
  <r>
    <x v="18"/>
    <x v="0"/>
    <n v="138963123706"/>
    <n v="31912.400000000001"/>
    <n v="16896433.559999999"/>
    <x v="0"/>
    <m/>
    <m/>
    <n v="0"/>
    <n v="-340"/>
    <n v="-1543.6"/>
    <n v="-204"/>
    <n v="34000"/>
  </r>
  <r>
    <x v="17"/>
    <x v="109"/>
    <n v="138954494952"/>
    <n v="6725.73"/>
    <n v="15393438.060000001"/>
    <x v="0"/>
    <m/>
    <m/>
    <n v="-103.05"/>
    <n v="0"/>
    <n v="0"/>
    <n v="-41.22"/>
    <n v="6870"/>
  </r>
  <r>
    <x v="18"/>
    <x v="0"/>
    <n v="138963448102"/>
    <n v="35074.800000000003"/>
    <n v="16931508.359999999"/>
    <x v="0"/>
    <m/>
    <m/>
    <n v="0"/>
    <n v="-360"/>
    <n v="-349.2"/>
    <n v="-216"/>
    <n v="36000"/>
  </r>
  <r>
    <x v="18"/>
    <x v="0"/>
    <n v="138964643346"/>
    <n v="133186.81"/>
    <n v="17064695.170000002"/>
    <x v="0"/>
    <m/>
    <m/>
    <n v="0"/>
    <n v="-1367"/>
    <n v="-1325.99"/>
    <n v="-820.2"/>
    <n v="136700"/>
  </r>
  <r>
    <x v="18"/>
    <x v="0"/>
    <n v="138964725768"/>
    <n v="16075.95"/>
    <n v="17087462.579999998"/>
    <x v="0"/>
    <m/>
    <m/>
    <n v="0"/>
    <n v="-165"/>
    <n v="-160.05000000000001"/>
    <n v="-99"/>
    <n v="16500"/>
  </r>
  <r>
    <x v="17"/>
    <x v="110"/>
    <n v="138315661395"/>
    <n v="8673.94"/>
    <n v="15529977.390000001"/>
    <x v="0"/>
    <m/>
    <m/>
    <n v="-132.9"/>
    <n v="0"/>
    <n v="0"/>
    <n v="-53.16"/>
    <n v="8860"/>
  </r>
  <r>
    <x v="18"/>
    <x v="0"/>
    <n v="138964781728"/>
    <n v="19486"/>
    <n v="17106948.579999998"/>
    <x v="0"/>
    <m/>
    <m/>
    <n v="0"/>
    <n v="-200"/>
    <n v="-194"/>
    <n v="-120"/>
    <n v="20000"/>
  </r>
  <r>
    <x v="18"/>
    <x v="0"/>
    <n v="138964996976"/>
    <n v="72682.78"/>
    <n v="17179631.359999999"/>
    <x v="0"/>
    <m/>
    <m/>
    <n v="0"/>
    <n v="-746"/>
    <n v="-723.62"/>
    <n v="-447.6"/>
    <n v="74600"/>
  </r>
  <r>
    <x v="18"/>
    <x v="0"/>
    <n v="138966323446"/>
    <n v="9677"/>
    <n v="17189308.359999999"/>
    <x v="0"/>
    <m/>
    <m/>
    <n v="0"/>
    <n v="-100"/>
    <n v="-163"/>
    <n v="-60"/>
    <n v="10000"/>
  </r>
  <r>
    <x v="18"/>
    <x v="0"/>
    <n v="138966619264"/>
    <n v="60893.75"/>
    <n v="17250202.109999999"/>
    <x v="0"/>
    <m/>
    <m/>
    <n v="0"/>
    <n v="-625"/>
    <n v="-606.25"/>
    <n v="-375"/>
    <n v="62500"/>
  </r>
  <r>
    <x v="19"/>
    <x v="0"/>
    <n v="139256588728"/>
    <n v="9353.2800000000007"/>
    <n v="15870700.23"/>
    <x v="0"/>
    <m/>
    <m/>
    <n v="0"/>
    <n v="-96"/>
    <n v="-93.12"/>
    <n v="-57.6"/>
    <n v="9600.0000000000018"/>
  </r>
  <r>
    <x v="19"/>
    <x v="0"/>
    <n v="138615245287"/>
    <n v="9677"/>
    <n v="15880377.23"/>
    <x v="0"/>
    <m/>
    <m/>
    <n v="0"/>
    <n v="-100"/>
    <n v="-163"/>
    <n v="-60"/>
    <n v="10000"/>
  </r>
  <r>
    <x v="19"/>
    <x v="0"/>
    <n v="139263142212"/>
    <n v="11691.6"/>
    <n v="15892068.83"/>
    <x v="0"/>
    <m/>
    <m/>
    <n v="0"/>
    <n v="-120"/>
    <n v="-116.4"/>
    <n v="-72"/>
    <n v="12000"/>
  </r>
  <r>
    <x v="19"/>
    <x v="0"/>
    <n v="139263155880"/>
    <n v="9447"/>
    <n v="15901515.83"/>
    <x v="0"/>
    <m/>
    <m/>
    <n v="0"/>
    <n v="-100"/>
    <n v="-393"/>
    <n v="-60"/>
    <n v="10000"/>
  </r>
  <r>
    <x v="17"/>
    <x v="111"/>
    <n v="138317696189"/>
    <n v="5404.08"/>
    <n v="15862623.65"/>
    <x v="0"/>
    <m/>
    <m/>
    <n v="-82.8"/>
    <n v="0"/>
    <n v="0"/>
    <n v="-33.119999999999997"/>
    <n v="5520"/>
  </r>
  <r>
    <x v="19"/>
    <x v="0"/>
    <n v="138620385257"/>
    <n v="22767.27"/>
    <n v="15924283.1"/>
    <x v="0"/>
    <m/>
    <m/>
    <n v="0"/>
    <n v="-241"/>
    <n v="-947.13"/>
    <n v="-144.6"/>
    <n v="24100"/>
  </r>
  <r>
    <x v="19"/>
    <x v="0"/>
    <n v="138620961365"/>
    <n v="5845.8"/>
    <n v="15930128.9"/>
    <x v="0"/>
    <m/>
    <m/>
    <n v="0"/>
    <n v="-60"/>
    <n v="-58.2"/>
    <n v="-36"/>
    <n v="6000"/>
  </r>
  <r>
    <x v="19"/>
    <x v="0"/>
    <n v="139268810486"/>
    <n v="20783.400000000001"/>
    <n v="15950912.300000001"/>
    <x v="0"/>
    <m/>
    <m/>
    <n v="0"/>
    <n v="-220"/>
    <n v="-864.6"/>
    <n v="-132"/>
    <n v="22000"/>
  </r>
  <r>
    <x v="19"/>
    <x v="0"/>
    <n v="138624066329"/>
    <n v="21824.32"/>
    <n v="15972736.619999999"/>
    <x v="0"/>
    <m/>
    <m/>
    <n v="0"/>
    <n v="-224"/>
    <n v="-217.28"/>
    <n v="-134.4"/>
    <n v="22400"/>
  </r>
  <r>
    <x v="19"/>
    <x v="0"/>
    <n v="139270327646"/>
    <n v="9743"/>
    <n v="15982479.619999999"/>
    <x v="0"/>
    <m/>
    <m/>
    <n v="0"/>
    <n v="-100"/>
    <n v="-97"/>
    <n v="-60"/>
    <n v="10000"/>
  </r>
  <r>
    <x v="19"/>
    <x v="0"/>
    <n v="139271087224"/>
    <n v="28546.99"/>
    <n v="16011026.609999999"/>
    <x v="0"/>
    <m/>
    <m/>
    <n v="0"/>
    <n v="-293"/>
    <n v="-284.20999999999998"/>
    <n v="-175.8"/>
    <n v="29300"/>
  </r>
  <r>
    <x v="19"/>
    <x v="0"/>
    <n v="138626144163"/>
    <n v="4676.6400000000003"/>
    <n v="16015703.25"/>
    <x v="0"/>
    <m/>
    <m/>
    <n v="0"/>
    <n v="-48"/>
    <n v="-46.56"/>
    <n v="-28.8"/>
    <n v="4800.0000000000009"/>
  </r>
  <r>
    <x v="17"/>
    <x v="112"/>
    <n v="138319640265"/>
    <n v="3661.46"/>
    <n v="16158687.17"/>
    <x v="0"/>
    <m/>
    <m/>
    <n v="-56.1"/>
    <n v="0"/>
    <n v="0"/>
    <n v="-22.44"/>
    <n v="3740"/>
  </r>
  <r>
    <x v="19"/>
    <x v="0"/>
    <n v="139271724608"/>
    <n v="4676.6400000000003"/>
    <n v="16020379.890000001"/>
    <x v="0"/>
    <m/>
    <m/>
    <n v="0"/>
    <n v="-48"/>
    <n v="-46.56"/>
    <n v="-28.8"/>
    <n v="4800.0000000000009"/>
  </r>
  <r>
    <x v="19"/>
    <x v="0"/>
    <n v="139272015484"/>
    <n v="18511.7"/>
    <n v="16039126.550000001"/>
    <x v="0"/>
    <m/>
    <m/>
    <n v="0"/>
    <n v="-190"/>
    <n v="-184.3"/>
    <n v="-114"/>
    <n v="19000"/>
  </r>
  <r>
    <x v="19"/>
    <x v="0"/>
    <n v="139272408922"/>
    <n v="37510.550000000003"/>
    <n v="16076637.1"/>
    <x v="0"/>
    <m/>
    <m/>
    <n v="0"/>
    <n v="-385"/>
    <n v="-373.45"/>
    <n v="-231"/>
    <n v="38500"/>
  </r>
  <r>
    <x v="19"/>
    <x v="0"/>
    <n v="139273670082"/>
    <n v="37032.239999999998"/>
    <n v="16113669.34"/>
    <x v="0"/>
    <m/>
    <m/>
    <n v="0"/>
    <n v="-392"/>
    <n v="-1540.56"/>
    <n v="-235.2"/>
    <n v="39199.999999999993"/>
  </r>
  <r>
    <x v="19"/>
    <x v="0"/>
    <n v="138628677131"/>
    <n v="31836.39"/>
    <n v="16108473.49"/>
    <x v="0"/>
    <m/>
    <m/>
    <n v="0"/>
    <n v="-337"/>
    <n v="-1324.41"/>
    <n v="-202.2"/>
    <n v="33700"/>
  </r>
  <r>
    <x v="19"/>
    <x v="0"/>
    <n v="139274280902"/>
    <n v="4871.5"/>
    <n v="16113344.99"/>
    <x v="0"/>
    <m/>
    <m/>
    <n v="0"/>
    <n v="-50"/>
    <n v="-48.5"/>
    <n v="-30"/>
    <n v="5000"/>
  </r>
  <r>
    <x v="19"/>
    <x v="0"/>
    <n v="139275103290"/>
    <n v="4871.5"/>
    <n v="16118705.99"/>
    <x v="0"/>
    <m/>
    <m/>
    <n v="0"/>
    <n v="-50"/>
    <n v="-48.5"/>
    <n v="-30"/>
    <n v="5000"/>
  </r>
  <r>
    <x v="19"/>
    <x v="0"/>
    <n v="139275323288"/>
    <n v="17050.25"/>
    <n v="16135756.24"/>
    <x v="0"/>
    <m/>
    <m/>
    <n v="0"/>
    <n v="-175"/>
    <n v="-169.75"/>
    <n v="-105"/>
    <n v="17500"/>
  </r>
  <r>
    <x v="19"/>
    <x v="0"/>
    <n v="139276302934"/>
    <n v="21824.32"/>
    <n v="16157580.560000001"/>
    <x v="0"/>
    <m/>
    <m/>
    <n v="0"/>
    <n v="-224"/>
    <n v="-217.28"/>
    <n v="-134.4"/>
    <n v="22400"/>
  </r>
  <r>
    <x v="19"/>
    <x v="0"/>
    <n v="138631353807"/>
    <n v="4599.1400000000003"/>
    <n v="16162179.699999999"/>
    <x v="0"/>
    <m/>
    <m/>
    <n v="0"/>
    <n v="-49"/>
    <n v="-222.46"/>
    <n v="-29.4"/>
    <n v="4900"/>
  </r>
  <r>
    <x v="19"/>
    <x v="0"/>
    <n v="138633140959"/>
    <n v="11802.7"/>
    <n v="16173982.4"/>
    <x v="0"/>
    <m/>
    <m/>
    <n v="0"/>
    <n v="-130"/>
    <n v="-989.3"/>
    <n v="-78"/>
    <n v="13000"/>
  </r>
  <r>
    <x v="19"/>
    <x v="0"/>
    <n v="138633302091"/>
    <n v="4676.6400000000003"/>
    <n v="16178659.039999999"/>
    <x v="0"/>
    <m/>
    <m/>
    <n v="0"/>
    <n v="-48"/>
    <n v="-46.56"/>
    <n v="-28.8"/>
    <n v="4800.0000000000009"/>
  </r>
  <r>
    <x v="19"/>
    <x v="0"/>
    <n v="138633435065"/>
    <n v="9548.14"/>
    <n v="16188207.18"/>
    <x v="0"/>
    <m/>
    <m/>
    <n v="0"/>
    <n v="-98"/>
    <n v="-95.06"/>
    <n v="-58.8"/>
    <n v="9799.9999999999982"/>
  </r>
  <r>
    <x v="19"/>
    <x v="0"/>
    <n v="138633489427"/>
    <n v="4871.5"/>
    <n v="16193558.390000001"/>
    <x v="0"/>
    <m/>
    <m/>
    <n v="0"/>
    <n v="-50"/>
    <n v="-48.5"/>
    <n v="-30"/>
    <n v="5000"/>
  </r>
  <r>
    <x v="19"/>
    <x v="0"/>
    <n v="138633605923"/>
    <n v="82472.31"/>
    <n v="16276030.699999999"/>
    <x v="0"/>
    <m/>
    <m/>
    <n v="0"/>
    <n v="-873"/>
    <n v="-3430.89"/>
    <n v="-523.79999999999995"/>
    <n v="87300"/>
  </r>
  <r>
    <x v="19"/>
    <x v="0"/>
    <n v="139279213150"/>
    <n v="9743"/>
    <n v="16285773.699999999"/>
    <x v="0"/>
    <m/>
    <m/>
    <n v="0"/>
    <n v="-100"/>
    <n v="-97"/>
    <n v="-60"/>
    <n v="10000"/>
  </r>
  <r>
    <x v="18"/>
    <x v="113"/>
    <n v="138323774237"/>
    <n v="6691.46"/>
    <n v="17071386.629999999"/>
    <x v="0"/>
    <m/>
    <m/>
    <n v="-102.53"/>
    <n v="0"/>
    <n v="0"/>
    <n v="-41.01"/>
    <n v="6835"/>
  </r>
  <r>
    <x v="19"/>
    <x v="0"/>
    <n v="138634295411"/>
    <n v="2435.75"/>
    <n v="16288209.449999999"/>
    <x v="0"/>
    <m/>
    <m/>
    <n v="0"/>
    <n v="-25"/>
    <n v="-24.25"/>
    <n v="-15"/>
    <n v="2500"/>
  </r>
  <r>
    <x v="19"/>
    <x v="0"/>
    <n v="138635021889"/>
    <n v="34879.94"/>
    <n v="16323089.390000001"/>
    <x v="0"/>
    <m/>
    <m/>
    <n v="0"/>
    <n v="-358"/>
    <n v="-347.26"/>
    <n v="-214.8"/>
    <n v="35800.000000000007"/>
  </r>
  <r>
    <x v="19"/>
    <x v="0"/>
    <n v="139280438028"/>
    <n v="44135.79"/>
    <n v="16368977.59"/>
    <x v="0"/>
    <m/>
    <m/>
    <n v="0"/>
    <n v="-453"/>
    <n v="-439.41"/>
    <n v="-271.8"/>
    <n v="45300.000000000007"/>
  </r>
  <r>
    <x v="19"/>
    <x v="0"/>
    <n v="139280754312"/>
    <n v="13347.91"/>
    <n v="16382325.5"/>
    <x v="0"/>
    <m/>
    <m/>
    <n v="0"/>
    <n v="-137"/>
    <n v="-132.88999999999999"/>
    <n v="-82.2"/>
    <n v="13700"/>
  </r>
  <r>
    <x v="19"/>
    <x v="0"/>
    <n v="139281632816"/>
    <n v="2252.64"/>
    <n v="16384578.140000001"/>
    <x v="0"/>
    <m/>
    <m/>
    <n v="0"/>
    <n v="-24"/>
    <n v="-108.96"/>
    <n v="-14.4"/>
    <n v="2400"/>
  </r>
  <r>
    <x v="19"/>
    <x v="0"/>
    <n v="138636328031"/>
    <n v="9855.2999999999993"/>
    <n v="16394433.439999999"/>
    <x v="0"/>
    <m/>
    <m/>
    <n v="0"/>
    <n v="-105"/>
    <n v="-476.7"/>
    <n v="-63"/>
    <n v="10500"/>
  </r>
  <r>
    <x v="19"/>
    <x v="0"/>
    <n v="139281926234"/>
    <n v="2435.75"/>
    <n v="16396869.189999999"/>
    <x v="0"/>
    <m/>
    <m/>
    <n v="0"/>
    <n v="-25"/>
    <n v="-24.25"/>
    <n v="-15"/>
    <n v="2500"/>
  </r>
  <r>
    <x v="19"/>
    <x v="0"/>
    <n v="139281911322"/>
    <n v="30982.74"/>
    <n v="16427851.93"/>
    <x v="0"/>
    <m/>
    <m/>
    <n v="0"/>
    <n v="-318"/>
    <n v="-308.45999999999998"/>
    <n v="-190.8"/>
    <n v="31800"/>
  </r>
  <r>
    <x v="19"/>
    <x v="0"/>
    <n v="138636840479"/>
    <n v="92769.54"/>
    <n v="16523734.689999999"/>
    <x v="0"/>
    <m/>
    <m/>
    <n v="0"/>
    <n v="-982"/>
    <n v="-3859.26"/>
    <n v="-589.20000000000005"/>
    <n v="98199.999999999985"/>
  </r>
  <r>
    <x v="19"/>
    <x v="0"/>
    <n v="138637654465"/>
    <n v="29423.86"/>
    <n v="16553158.550000001"/>
    <x v="0"/>
    <m/>
    <m/>
    <n v="0"/>
    <n v="-302"/>
    <n v="-292.94"/>
    <n v="-181.2"/>
    <n v="30200"/>
  </r>
  <r>
    <x v="19"/>
    <x v="0"/>
    <n v="138637623891"/>
    <n v="4723.5"/>
    <n v="16557882.050000001"/>
    <x v="0"/>
    <m/>
    <m/>
    <n v="0"/>
    <n v="-50"/>
    <n v="-196.5"/>
    <n v="-30"/>
    <n v="5000"/>
  </r>
  <r>
    <x v="20"/>
    <x v="0"/>
    <n v="139283314144"/>
    <n v="82718.070000000007"/>
    <n v="16640600.119999999"/>
    <x v="0"/>
    <m/>
    <m/>
    <n v="0"/>
    <n v="-849"/>
    <n v="-823.53"/>
    <n v="-509.4"/>
    <n v="84900"/>
  </r>
  <r>
    <x v="20"/>
    <x v="0"/>
    <n v="138638180357"/>
    <n v="17683.54"/>
    <n v="16662439.51"/>
    <x v="0"/>
    <m/>
    <m/>
    <n v="0"/>
    <n v="-181.5"/>
    <n v="-176.06"/>
    <n v="-108.9"/>
    <n v="18150.000000000004"/>
  </r>
  <r>
    <x v="20"/>
    <x v="0"/>
    <n v="139283485552"/>
    <n v="4539.5"/>
    <n v="16668755.890000001"/>
    <x v="0"/>
    <m/>
    <m/>
    <n v="0"/>
    <n v="-50"/>
    <n v="-380.5"/>
    <n v="-30"/>
    <n v="5000"/>
  </r>
  <r>
    <x v="20"/>
    <x v="0"/>
    <n v="139283523776"/>
    <n v="25624.09"/>
    <n v="16694379.98"/>
    <x v="0"/>
    <m/>
    <m/>
    <n v="0"/>
    <n v="-263"/>
    <n v="-255.11"/>
    <n v="-157.80000000000001"/>
    <n v="26300"/>
  </r>
  <r>
    <x v="20"/>
    <x v="0"/>
    <n v="138638356415"/>
    <n v="47029.22"/>
    <n v="16742696.58"/>
    <x v="0"/>
    <m/>
    <m/>
    <n v="0"/>
    <n v="-518"/>
    <n v="-3941.98"/>
    <n v="-310.8"/>
    <n v="51800.000000000007"/>
  </r>
  <r>
    <x v="20"/>
    <x v="0"/>
    <n v="139283726956"/>
    <n v="4774.07"/>
    <n v="16747470.65"/>
    <x v="0"/>
    <m/>
    <m/>
    <n v="0"/>
    <n v="-49"/>
    <n v="-47.53"/>
    <n v="-29.4"/>
    <n v="4899.9999999999991"/>
  </r>
  <r>
    <x v="20"/>
    <x v="0"/>
    <n v="138638643557"/>
    <n v="4871.5"/>
    <n v="16752342.15"/>
    <x v="0"/>
    <m/>
    <m/>
    <n v="0"/>
    <n v="-50"/>
    <n v="-48.5"/>
    <n v="-30"/>
    <n v="5000"/>
  </r>
  <r>
    <x v="20"/>
    <x v="0"/>
    <n v="139284640396"/>
    <n v="43942.36"/>
    <n v="16796284.510000002"/>
    <x v="0"/>
    <m/>
    <m/>
    <n v="0"/>
    <n v="-484"/>
    <n v="-3683.24"/>
    <n v="-290.39999999999998"/>
    <n v="48400"/>
  </r>
  <r>
    <x v="20"/>
    <x v="0"/>
    <n v="138639507879"/>
    <n v="4676.6400000000003"/>
    <n v="16800961.149999999"/>
    <x v="0"/>
    <m/>
    <m/>
    <n v="0"/>
    <n v="-48"/>
    <n v="-46.56"/>
    <n v="-28.8"/>
    <n v="4800.0000000000009"/>
  </r>
  <r>
    <x v="20"/>
    <x v="0"/>
    <n v="138639685509"/>
    <n v="4871.5"/>
    <n v="16805832.649999999"/>
    <x v="0"/>
    <m/>
    <m/>
    <n v="0"/>
    <n v="-50"/>
    <n v="-48.5"/>
    <n v="-30"/>
    <n v="5000"/>
  </r>
  <r>
    <x v="19"/>
    <x v="114"/>
    <n v="138626440873"/>
    <n v="234.96"/>
    <n v="16020614.85"/>
    <x v="0"/>
    <m/>
    <m/>
    <n v="-3.6"/>
    <n v="0"/>
    <n v="0"/>
    <n v="-1.44"/>
    <n v="240"/>
  </r>
  <r>
    <x v="20"/>
    <x v="0"/>
    <n v="138639735813"/>
    <n v="66734.460000000006"/>
    <n v="16872567.109999999"/>
    <x v="0"/>
    <m/>
    <m/>
    <n v="0"/>
    <n v="-711"/>
    <n v="-3227.94"/>
    <n v="-426.6"/>
    <n v="71100.000000000015"/>
  </r>
  <r>
    <x v="20"/>
    <x v="0"/>
    <n v="138640068139"/>
    <n v="9743"/>
    <n v="16882310.109999999"/>
    <x v="0"/>
    <m/>
    <m/>
    <n v="0"/>
    <n v="-100"/>
    <n v="-97"/>
    <n v="-60"/>
    <n v="10000"/>
  </r>
  <r>
    <x v="20"/>
    <x v="0"/>
    <n v="139285356220"/>
    <n v="4871.5"/>
    <n v="16887181.609999999"/>
    <x v="0"/>
    <m/>
    <m/>
    <n v="0"/>
    <n v="-50"/>
    <n v="-48.5"/>
    <n v="-30"/>
    <n v="5000"/>
  </r>
  <r>
    <x v="20"/>
    <x v="0"/>
    <n v="138640123705"/>
    <n v="4871.5"/>
    <n v="16892053.109999999"/>
    <x v="0"/>
    <m/>
    <m/>
    <n v="0"/>
    <n v="-50"/>
    <n v="-48.5"/>
    <n v="-30"/>
    <n v="5000"/>
  </r>
  <r>
    <x v="20"/>
    <x v="0"/>
    <n v="138640349487"/>
    <n v="4871.5"/>
    <n v="16896924.609999999"/>
    <x v="0"/>
    <m/>
    <m/>
    <n v="0"/>
    <n v="-50"/>
    <n v="-48.5"/>
    <n v="-30"/>
    <n v="5000"/>
  </r>
  <r>
    <x v="20"/>
    <x v="0"/>
    <n v="139285806502"/>
    <n v="53683.93"/>
    <n v="16950608.539999999"/>
    <x v="0"/>
    <m/>
    <m/>
    <n v="0"/>
    <n v="-551"/>
    <n v="-534.47"/>
    <n v="-330.6"/>
    <n v="55100"/>
  </r>
  <r>
    <x v="19"/>
    <x v="115"/>
    <n v="139274304686"/>
    <n v="489.5"/>
    <n v="16113834.49"/>
    <x v="0"/>
    <m/>
    <m/>
    <n v="-7.5"/>
    <n v="0"/>
    <n v="0"/>
    <n v="-3"/>
    <n v="500"/>
  </r>
  <r>
    <x v="20"/>
    <x v="0"/>
    <n v="138640656927"/>
    <n v="51958.5"/>
    <n v="17002567.039999999"/>
    <x v="0"/>
    <m/>
    <m/>
    <n v="0"/>
    <n v="-550"/>
    <n v="-2161.5"/>
    <n v="-330"/>
    <n v="55000"/>
  </r>
  <r>
    <x v="20"/>
    <x v="0"/>
    <n v="139286070746"/>
    <n v="9743"/>
    <n v="17012310.039999999"/>
    <x v="0"/>
    <m/>
    <m/>
    <n v="0"/>
    <n v="-100"/>
    <n v="-97"/>
    <n v="-60"/>
    <n v="10000"/>
  </r>
  <r>
    <x v="20"/>
    <x v="0"/>
    <n v="139286071896"/>
    <n v="4676.6400000000003"/>
    <n v="17016986.68"/>
    <x v="0"/>
    <m/>
    <m/>
    <n v="0"/>
    <n v="-48"/>
    <n v="-46.56"/>
    <n v="-28.8"/>
    <n v="4800.0000000000009"/>
  </r>
  <r>
    <x v="20"/>
    <x v="0"/>
    <n v="138640943505"/>
    <n v="4871.5"/>
    <n v="17021858.18"/>
    <x v="0"/>
    <m/>
    <m/>
    <n v="0"/>
    <n v="-50"/>
    <n v="-48.5"/>
    <n v="-30"/>
    <n v="5000"/>
  </r>
  <r>
    <x v="20"/>
    <x v="0"/>
    <n v="139286339902"/>
    <n v="32054.47"/>
    <n v="17053912.649999999"/>
    <x v="0"/>
    <m/>
    <m/>
    <n v="0"/>
    <n v="-329"/>
    <n v="-319.13"/>
    <n v="-197.4"/>
    <n v="32900"/>
  </r>
  <r>
    <x v="20"/>
    <x v="0"/>
    <n v="138641600673"/>
    <n v="30222.92"/>
    <n v="17085746.02"/>
    <x v="0"/>
    <m/>
    <m/>
    <n v="0"/>
    <n v="-322"/>
    <n v="-1461.88"/>
    <n v="-193.2"/>
    <n v="32200"/>
  </r>
  <r>
    <x v="20"/>
    <x v="0"/>
    <n v="139286935926"/>
    <n v="10230.15"/>
    <n v="17095976.170000002"/>
    <x v="0"/>
    <m/>
    <m/>
    <n v="0"/>
    <n v="-105"/>
    <n v="-101.85"/>
    <n v="-63"/>
    <n v="10500"/>
  </r>
  <r>
    <x v="19"/>
    <x v="116"/>
    <n v="138633472447"/>
    <n v="479.71"/>
    <n v="16188686.890000001"/>
    <x v="0"/>
    <m/>
    <m/>
    <n v="-7.35"/>
    <n v="0"/>
    <n v="0"/>
    <n v="-2.94"/>
    <n v="490"/>
  </r>
  <r>
    <x v="20"/>
    <x v="0"/>
    <n v="139287660210"/>
    <n v="4693"/>
    <n v="17100669.170000002"/>
    <x v="0"/>
    <m/>
    <m/>
    <n v="0"/>
    <n v="-50"/>
    <n v="-227"/>
    <n v="-30"/>
    <n v="5000"/>
  </r>
  <r>
    <x v="20"/>
    <x v="0"/>
    <n v="139287633758"/>
    <n v="37904.82"/>
    <n v="17138573.989999998"/>
    <x v="0"/>
    <m/>
    <m/>
    <n v="0"/>
    <n v="-417.5"/>
    <n v="-3177.18"/>
    <n v="-250.5"/>
    <n v="41750"/>
  </r>
  <r>
    <x v="20"/>
    <x v="0"/>
    <n v="138642549705"/>
    <n v="46998.82"/>
    <n v="17185572.809999999"/>
    <x v="0"/>
    <m/>
    <m/>
    <n v="0"/>
    <n v="-497.5"/>
    <n v="-1955.18"/>
    <n v="-298.5"/>
    <n v="49750"/>
  </r>
  <r>
    <x v="20"/>
    <x v="0"/>
    <n v="138642802769"/>
    <n v="4871.5"/>
    <n v="17190444.309999999"/>
    <x v="0"/>
    <m/>
    <m/>
    <n v="0"/>
    <n v="-50"/>
    <n v="-48.5"/>
    <n v="-30"/>
    <n v="5000"/>
  </r>
  <r>
    <x v="20"/>
    <x v="0"/>
    <n v="139288035188"/>
    <n v="5017.6400000000003"/>
    <n v="17195461.949999999"/>
    <x v="0"/>
    <m/>
    <m/>
    <n v="0"/>
    <n v="-51.5"/>
    <n v="-49.96"/>
    <n v="-30.9"/>
    <n v="5150"/>
  </r>
  <r>
    <x v="19"/>
    <x v="117"/>
    <n v="138635067467"/>
    <n v="1752.41"/>
    <n v="16324841.800000001"/>
    <x v="0"/>
    <m/>
    <m/>
    <n v="-26.85"/>
    <n v="0"/>
    <n v="0"/>
    <n v="-10.74"/>
    <n v="1790"/>
  </r>
  <r>
    <x v="20"/>
    <x v="0"/>
    <n v="138643137433"/>
    <n v="4871.5"/>
    <n v="17200333.449999999"/>
    <x v="0"/>
    <m/>
    <m/>
    <n v="0"/>
    <n v="-50"/>
    <n v="-48.5"/>
    <n v="-30"/>
    <n v="5000"/>
  </r>
  <r>
    <x v="20"/>
    <x v="0"/>
    <n v="138643246265"/>
    <n v="4871.5"/>
    <n v="17205204.949999999"/>
    <x v="0"/>
    <m/>
    <m/>
    <n v="0"/>
    <n v="-50"/>
    <n v="-48.5"/>
    <n v="-30"/>
    <n v="5000"/>
  </r>
  <r>
    <x v="20"/>
    <x v="0"/>
    <n v="139288624988"/>
    <n v="2922.9"/>
    <n v="17208127.850000001"/>
    <x v="0"/>
    <m/>
    <m/>
    <n v="0"/>
    <n v="-30"/>
    <n v="-29.1"/>
    <n v="-18"/>
    <n v="3000"/>
  </r>
  <r>
    <x v="20"/>
    <x v="0"/>
    <n v="138643534943"/>
    <n v="37950.22"/>
    <n v="17246078.07"/>
    <x v="0"/>
    <m/>
    <m/>
    <n v="0"/>
    <n v="-418"/>
    <n v="-3180.98"/>
    <n v="-250.8"/>
    <n v="41800.000000000007"/>
  </r>
  <r>
    <x v="20"/>
    <x v="0"/>
    <n v="138643607209"/>
    <n v="18609.13"/>
    <n v="17264687.199999999"/>
    <x v="0"/>
    <m/>
    <m/>
    <n v="0"/>
    <n v="-191"/>
    <n v="-185.27"/>
    <n v="-114.6"/>
    <n v="19100"/>
  </r>
  <r>
    <x v="20"/>
    <x v="0"/>
    <n v="138643629879"/>
    <n v="4871.5"/>
    <n v="17269558.699999999"/>
    <x v="0"/>
    <m/>
    <m/>
    <n v="0"/>
    <n v="-50"/>
    <n v="-48.5"/>
    <n v="-30"/>
    <n v="5000"/>
  </r>
  <r>
    <x v="19"/>
    <x v="118"/>
    <n v="138636696367"/>
    <n v="3113.22"/>
    <n v="16430965.15"/>
    <x v="0"/>
    <m/>
    <m/>
    <n v="-47.7"/>
    <n v="0"/>
    <n v="0"/>
    <n v="-19.079999999999998"/>
    <n v="3179.9999999999995"/>
  </r>
  <r>
    <x v="20"/>
    <x v="0"/>
    <n v="138643753585"/>
    <n v="13797.42"/>
    <n v="17283356.120000001"/>
    <x v="0"/>
    <m/>
    <m/>
    <n v="0"/>
    <n v="-147"/>
    <n v="-667.38"/>
    <n v="-88.2"/>
    <n v="14700"/>
  </r>
  <r>
    <x v="20"/>
    <x v="0"/>
    <n v="139289109558"/>
    <n v="23529.34"/>
    <n v="17306885.460000001"/>
    <x v="0"/>
    <m/>
    <m/>
    <n v="0"/>
    <n v="-241.5"/>
    <n v="-234.26"/>
    <n v="-144.9"/>
    <n v="24150"/>
  </r>
  <r>
    <x v="20"/>
    <x v="0"/>
    <n v="138644107181"/>
    <n v="4676.6400000000003"/>
    <n v="17311562.100000001"/>
    <x v="0"/>
    <m/>
    <m/>
    <n v="0"/>
    <n v="-48"/>
    <n v="-46.56"/>
    <n v="-28.8"/>
    <n v="4800.0000000000009"/>
  </r>
  <r>
    <x v="20"/>
    <x v="0"/>
    <n v="139289529016"/>
    <n v="2419.25"/>
    <n v="17313981.350000001"/>
    <x v="0"/>
    <m/>
    <m/>
    <n v="0"/>
    <n v="-25"/>
    <n v="-40.75"/>
    <n v="-15"/>
    <n v="2500"/>
  </r>
  <r>
    <x v="20"/>
    <x v="119"/>
    <n v="138638016173"/>
    <n v="4155.8500000000004"/>
    <n v="16644755.970000001"/>
    <x v="0"/>
    <m/>
    <m/>
    <n v="-63.68"/>
    <n v="0"/>
    <n v="0"/>
    <n v="-25.47"/>
    <n v="4245.0000000000009"/>
  </r>
  <r>
    <x v="20"/>
    <x v="0"/>
    <n v="138644468175"/>
    <n v="63621.79"/>
    <n v="17377603.140000001"/>
    <x v="0"/>
    <m/>
    <m/>
    <n v="0"/>
    <n v="-653"/>
    <n v="-633.41"/>
    <n v="-391.8"/>
    <n v="65300.000000000007"/>
  </r>
  <r>
    <x v="20"/>
    <x v="4"/>
    <n v="139283452990"/>
    <n v="1776.88"/>
    <n v="16664216.390000001"/>
    <x v="0"/>
    <m/>
    <m/>
    <n v="-27.23"/>
    <n v="0"/>
    <n v="0"/>
    <n v="-10.89"/>
    <n v="1815.0000000000002"/>
  </r>
  <r>
    <x v="21"/>
    <x v="0"/>
    <n v="138834348251"/>
    <n v="42284.62"/>
    <n v="17382534.34"/>
    <x v="0"/>
    <m/>
    <m/>
    <n v="0"/>
    <n v="-434"/>
    <n v="-420.98"/>
    <n v="-260.39999999999998"/>
    <n v="43400.000000000007"/>
  </r>
  <r>
    <x v="21"/>
    <x v="0"/>
    <n v="138835077283"/>
    <n v="38921.64"/>
    <n v="17423580.41"/>
    <x v="0"/>
    <m/>
    <m/>
    <n v="0"/>
    <n v="-412"/>
    <n v="-1619.16"/>
    <n v="-247.2"/>
    <n v="41200"/>
  </r>
  <r>
    <x v="20"/>
    <x v="120"/>
    <n v="138638300625"/>
    <n v="1287.3800000000001"/>
    <n v="16695667.359999999"/>
    <x v="0"/>
    <m/>
    <m/>
    <n v="-19.73"/>
    <n v="0"/>
    <n v="0"/>
    <n v="-7.89"/>
    <n v="1315.0000000000002"/>
  </r>
  <r>
    <x v="21"/>
    <x v="0"/>
    <n v="139482937318"/>
    <n v="38354.82"/>
    <n v="17461935.23"/>
    <x v="0"/>
    <m/>
    <m/>
    <n v="0"/>
    <n v="-406"/>
    <n v="-1595.58"/>
    <n v="-243.6"/>
    <n v="40600"/>
  </r>
  <r>
    <x v="21"/>
    <x v="0"/>
    <n v="138837039887"/>
    <n v="29758.05"/>
    <n v="17491693.280000001"/>
    <x v="0"/>
    <m/>
    <m/>
    <n v="0"/>
    <n v="-315"/>
    <n v="-1237.95"/>
    <n v="-189"/>
    <n v="31500"/>
  </r>
  <r>
    <x v="21"/>
    <x v="0"/>
    <n v="139483867620"/>
    <n v="26829.48"/>
    <n v="17518522.760000002"/>
    <x v="0"/>
    <m/>
    <m/>
    <n v="0"/>
    <n v="-284"/>
    <n v="-1116.1199999999999"/>
    <n v="-170.4"/>
    <n v="28400"/>
  </r>
  <r>
    <x v="21"/>
    <x v="0"/>
    <n v="138838194005"/>
    <n v="31930.86"/>
    <n v="17550453.620000001"/>
    <x v="0"/>
    <m/>
    <m/>
    <n v="0"/>
    <n v="-338"/>
    <n v="-1328.34"/>
    <n v="-202.8"/>
    <n v="33800"/>
  </r>
  <r>
    <x v="21"/>
    <x v="0"/>
    <n v="139485985744"/>
    <n v="25916.38"/>
    <n v="17576370"/>
    <x v="0"/>
    <m/>
    <m/>
    <n v="0"/>
    <n v="-266"/>
    <n v="-258.02"/>
    <n v="-159.6"/>
    <n v="26600"/>
  </r>
  <r>
    <x v="21"/>
    <x v="0"/>
    <n v="138839833769"/>
    <n v="40823.17"/>
    <n v="17619797.309999999"/>
    <x v="0"/>
    <m/>
    <m/>
    <n v="0"/>
    <n v="-419"/>
    <n v="-406.43"/>
    <n v="-251.4"/>
    <n v="41900"/>
  </r>
  <r>
    <x v="21"/>
    <x v="0"/>
    <n v="138841317619"/>
    <n v="80771.850000000006"/>
    <n v="17702620.16"/>
    <x v="0"/>
    <m/>
    <m/>
    <n v="0"/>
    <n v="-855"/>
    <n v="-3360.15"/>
    <n v="-513"/>
    <n v="85500"/>
  </r>
  <r>
    <x v="21"/>
    <x v="0"/>
    <n v="139488051760"/>
    <n v="49202.15"/>
    <n v="17751822.309999999"/>
    <x v="0"/>
    <m/>
    <m/>
    <n v="0"/>
    <n v="-505"/>
    <n v="-489.85"/>
    <n v="-303"/>
    <n v="50500"/>
  </r>
  <r>
    <x v="21"/>
    <x v="0"/>
    <n v="139489872526"/>
    <n v="46571.54"/>
    <n v="17798393.850000001"/>
    <x v="0"/>
    <m/>
    <m/>
    <n v="0"/>
    <n v="-478"/>
    <n v="-463.66"/>
    <n v="-286.8"/>
    <n v="47800.000000000007"/>
  </r>
  <r>
    <x v="21"/>
    <x v="0"/>
    <n v="139489922698"/>
    <n v="9548.14"/>
    <n v="17807941.989999998"/>
    <x v="0"/>
    <m/>
    <m/>
    <n v="0"/>
    <n v="-98"/>
    <n v="-95.06"/>
    <n v="-58.8"/>
    <n v="9799.9999999999982"/>
  </r>
  <r>
    <x v="21"/>
    <x v="0"/>
    <n v="139489925702"/>
    <n v="12753.45"/>
    <n v="17820695.440000001"/>
    <x v="0"/>
    <m/>
    <m/>
    <n v="0"/>
    <n v="-135"/>
    <n v="-530.54999999999995"/>
    <n v="-81"/>
    <n v="13500"/>
  </r>
  <r>
    <x v="22"/>
    <x v="0"/>
    <n v="139490512936"/>
    <n v="28059.84"/>
    <n v="17848755.280000001"/>
    <x v="0"/>
    <m/>
    <m/>
    <n v="0"/>
    <n v="-288"/>
    <n v="-279.36"/>
    <n v="-172.8"/>
    <n v="28800"/>
  </r>
  <r>
    <x v="22"/>
    <x v="0"/>
    <n v="138845223977"/>
    <n v="22847.33"/>
    <n v="17871602.609999999"/>
    <x v="0"/>
    <m/>
    <m/>
    <n v="0"/>
    <n v="-234.5"/>
    <n v="-227.47"/>
    <n v="-140.69999999999999"/>
    <n v="23450.000000000004"/>
  </r>
  <r>
    <x v="22"/>
    <x v="0"/>
    <n v="138845587111"/>
    <n v="45110.09"/>
    <n v="17916712.699999999"/>
    <x v="0"/>
    <m/>
    <m/>
    <n v="0"/>
    <n v="-463"/>
    <n v="-449.11"/>
    <n v="-277.8"/>
    <n v="46300"/>
  </r>
  <r>
    <x v="22"/>
    <x v="0"/>
    <n v="138846734249"/>
    <n v="16270.81"/>
    <n v="17932983.510000002"/>
    <x v="0"/>
    <m/>
    <m/>
    <n v="0"/>
    <n v="-167"/>
    <n v="-161.99"/>
    <n v="-100.2"/>
    <n v="16700"/>
  </r>
  <r>
    <x v="22"/>
    <x v="0"/>
    <n v="139493377384"/>
    <n v="4871.5"/>
    <n v="17938672.469999999"/>
    <x v="0"/>
    <m/>
    <m/>
    <n v="0"/>
    <n v="-50"/>
    <n v="-48.5"/>
    <n v="-30"/>
    <n v="5000"/>
  </r>
  <r>
    <x v="22"/>
    <x v="0"/>
    <n v="138847199637"/>
    <n v="4676.6400000000003"/>
    <n v="17943349.109999999"/>
    <x v="0"/>
    <m/>
    <m/>
    <n v="0"/>
    <n v="-48"/>
    <n v="-46.56"/>
    <n v="-28.8"/>
    <n v="4800.0000000000009"/>
  </r>
  <r>
    <x v="20"/>
    <x v="121"/>
    <n v="139286484298"/>
    <n v="1610.45"/>
    <n v="17055523.100000001"/>
    <x v="0"/>
    <m/>
    <m/>
    <n v="-24.68"/>
    <n v="0"/>
    <n v="0"/>
    <n v="-9.8699999999999992"/>
    <n v="1645"/>
  </r>
  <r>
    <x v="22"/>
    <x v="0"/>
    <n v="138847521569"/>
    <n v="36316"/>
    <n v="17979665.109999999"/>
    <x v="0"/>
    <m/>
    <m/>
    <n v="0"/>
    <n v="-400"/>
    <n v="-3044"/>
    <n v="-240"/>
    <n v="40000"/>
  </r>
  <r>
    <x v="22"/>
    <x v="0"/>
    <n v="138848287941"/>
    <n v="44720.37"/>
    <n v="18024385.48"/>
    <x v="0"/>
    <m/>
    <m/>
    <n v="0"/>
    <n v="-459"/>
    <n v="-445.23"/>
    <n v="-275.39999999999998"/>
    <n v="45900.000000000007"/>
  </r>
  <r>
    <x v="22"/>
    <x v="0"/>
    <n v="138946899375"/>
    <n v="5358.65"/>
    <n v="11743687.48"/>
    <x v="0"/>
    <m/>
    <m/>
    <n v="0"/>
    <n v="-55"/>
    <n v="-53.35"/>
    <n v="-33"/>
    <n v="5500"/>
  </r>
  <r>
    <x v="22"/>
    <x v="0"/>
    <n v="139599090974"/>
    <n v="49934.5"/>
    <n v="11793621.98"/>
    <x v="0"/>
    <m/>
    <m/>
    <n v="0"/>
    <n v="-550"/>
    <n v="-4185.5"/>
    <n v="-330"/>
    <n v="55000"/>
  </r>
  <r>
    <x v="22"/>
    <x v="0"/>
    <n v="138959611901"/>
    <n v="13073.76"/>
    <n v="11809387.99"/>
    <x v="0"/>
    <m/>
    <m/>
    <n v="0"/>
    <n v="-144"/>
    <n v="-1095.8399999999999"/>
    <n v="-86.4"/>
    <n v="14400"/>
  </r>
  <r>
    <x v="22"/>
    <x v="0"/>
    <n v="138960532407"/>
    <n v="18705.060000000001"/>
    <n v="11828093.050000001"/>
    <x v="0"/>
    <m/>
    <m/>
    <n v="0"/>
    <n v="-198"/>
    <n v="-778.14"/>
    <n v="-118.8"/>
    <n v="19800"/>
  </r>
  <r>
    <x v="22"/>
    <x v="0"/>
    <n v="138963343339"/>
    <n v="4357.92"/>
    <n v="11832450.970000001"/>
    <x v="0"/>
    <m/>
    <m/>
    <n v="0"/>
    <n v="-48"/>
    <n v="-365.28"/>
    <n v="-28.8"/>
    <n v="4800"/>
  </r>
  <r>
    <x v="22"/>
    <x v="0"/>
    <n v="138963614327"/>
    <n v="34046.25"/>
    <n v="11866497.220000001"/>
    <x v="0"/>
    <m/>
    <m/>
    <n v="0"/>
    <n v="-375"/>
    <n v="-2853.75"/>
    <n v="-225"/>
    <n v="37500"/>
  </r>
  <r>
    <x v="22"/>
    <x v="0"/>
    <n v="138965535883"/>
    <n v="9447"/>
    <n v="11875944.220000001"/>
    <x v="0"/>
    <m/>
    <m/>
    <n v="0"/>
    <n v="-100"/>
    <n v="-393"/>
    <n v="-60"/>
    <n v="10000"/>
  </r>
  <r>
    <x v="22"/>
    <x v="0"/>
    <n v="138965717981"/>
    <n v="9447"/>
    <n v="11885391.220000001"/>
    <x v="0"/>
    <m/>
    <m/>
    <n v="0"/>
    <n v="-100"/>
    <n v="-393"/>
    <n v="-60"/>
    <n v="10000"/>
  </r>
  <r>
    <x v="22"/>
    <x v="0"/>
    <n v="138966237485"/>
    <n v="9069.1200000000008"/>
    <n v="11894460.34"/>
    <x v="0"/>
    <m/>
    <m/>
    <n v="0"/>
    <n v="-96"/>
    <n v="-377.28"/>
    <n v="-57.6"/>
    <n v="9600.0000000000018"/>
  </r>
  <r>
    <x v="22"/>
    <x v="0"/>
    <n v="139613303416"/>
    <n v="28254.7"/>
    <n v="11922715.039999999"/>
    <x v="0"/>
    <m/>
    <m/>
    <n v="0"/>
    <n v="-290"/>
    <n v="-281.3"/>
    <n v="-174"/>
    <n v="29000"/>
  </r>
  <r>
    <x v="22"/>
    <x v="0"/>
    <n v="138967782947"/>
    <n v="4838.5"/>
    <n v="11927553.539999999"/>
    <x v="0"/>
    <m/>
    <m/>
    <n v="0"/>
    <n v="-50"/>
    <n v="-81.5"/>
    <n v="-30"/>
    <n v="5000"/>
  </r>
  <r>
    <x v="22"/>
    <x v="0"/>
    <n v="139615922224"/>
    <n v="20367.62"/>
    <n v="11947921.16"/>
    <x v="0"/>
    <m/>
    <m/>
    <n v="0"/>
    <n v="-217"/>
    <n v="-985.18"/>
    <n v="-130.19999999999999"/>
    <n v="21700"/>
  </r>
  <r>
    <x v="22"/>
    <x v="0"/>
    <n v="138969778077"/>
    <n v="57154.35"/>
    <n v="12005075.51"/>
    <x v="0"/>
    <m/>
    <m/>
    <n v="0"/>
    <n v="-605"/>
    <n v="-2377.65"/>
    <n v="-363"/>
    <n v="60500"/>
  </r>
  <r>
    <x v="22"/>
    <x v="0"/>
    <n v="139617244154"/>
    <n v="33710.78"/>
    <n v="12038786.289999999"/>
    <x v="0"/>
    <m/>
    <m/>
    <n v="0"/>
    <n v="-346"/>
    <n v="-335.62"/>
    <n v="-207.6"/>
    <n v="34600"/>
  </r>
  <r>
    <x v="22"/>
    <x v="0"/>
    <n v="138970709575"/>
    <n v="9743"/>
    <n v="12048529.289999999"/>
    <x v="0"/>
    <m/>
    <m/>
    <n v="0"/>
    <n v="-100"/>
    <n v="-97"/>
    <n v="-60"/>
    <n v="10000"/>
  </r>
  <r>
    <x v="22"/>
    <x v="0"/>
    <n v="139618386762"/>
    <n v="37693.53"/>
    <n v="12087201.82"/>
    <x v="0"/>
    <m/>
    <m/>
    <n v="0"/>
    <n v="-399"/>
    <n v="-1568.07"/>
    <n v="-239.4"/>
    <n v="39900"/>
  </r>
  <r>
    <x v="20"/>
    <x v="122"/>
    <n v="138644454343"/>
    <n v="3196.43"/>
    <n v="17380799.57"/>
    <x v="0"/>
    <m/>
    <m/>
    <n v="-48.98"/>
    <n v="0"/>
    <n v="0"/>
    <n v="-19.59"/>
    <n v="3265"/>
  </r>
  <r>
    <x v="22"/>
    <x v="0"/>
    <n v="139618771272"/>
    <n v="40622.1"/>
    <n v="12127823.92"/>
    <x v="0"/>
    <m/>
    <m/>
    <n v="0"/>
    <n v="-430"/>
    <n v="-1689.9"/>
    <n v="-258"/>
    <n v="43000"/>
  </r>
  <r>
    <x v="22"/>
    <x v="0"/>
    <n v="139619856274"/>
    <n v="4838.5"/>
    <n v="12132662.42"/>
    <x v="0"/>
    <m/>
    <m/>
    <n v="0"/>
    <n v="-50"/>
    <n v="-81.5"/>
    <n v="-30"/>
    <n v="5000"/>
  </r>
  <r>
    <x v="22"/>
    <x v="0"/>
    <n v="138973548859"/>
    <n v="36731.11"/>
    <n v="12169393.529999999"/>
    <x v="0"/>
    <m/>
    <m/>
    <n v="0"/>
    <n v="-377"/>
    <n v="-365.69"/>
    <n v="-226.2"/>
    <n v="37700"/>
  </r>
  <r>
    <x v="21"/>
    <x v="123"/>
    <n v="139480526116"/>
    <n v="2124.4299999999998"/>
    <n v="17384658.77"/>
    <x v="0"/>
    <m/>
    <m/>
    <n v="-32.549999999999997"/>
    <n v="0"/>
    <n v="0"/>
    <n v="-13.02"/>
    <n v="2170"/>
  </r>
  <r>
    <x v="22"/>
    <x v="0"/>
    <n v="139620716118"/>
    <n v="8715.84"/>
    <n v="12178109.369999999"/>
    <x v="0"/>
    <m/>
    <m/>
    <n v="0"/>
    <n v="-96"/>
    <n v="-730.56"/>
    <n v="-57.6"/>
    <n v="9600"/>
  </r>
  <r>
    <x v="22"/>
    <x v="0"/>
    <n v="139621844894"/>
    <n v="86628.99"/>
    <n v="12264738.359999999"/>
    <x v="0"/>
    <m/>
    <m/>
    <n v="0"/>
    <n v="-917"/>
    <n v="-3603.81"/>
    <n v="-550.20000000000005"/>
    <n v="91700"/>
  </r>
  <r>
    <x v="22"/>
    <x v="0"/>
    <n v="138975586959"/>
    <n v="63861.72"/>
    <n v="12328600.08"/>
    <x v="0"/>
    <m/>
    <m/>
    <n v="0"/>
    <n v="-676"/>
    <n v="-2656.68"/>
    <n v="-405.6"/>
    <n v="67600"/>
  </r>
  <r>
    <x v="22"/>
    <x v="0"/>
    <n v="139622764004"/>
    <n v="69175.3"/>
    <n v="12397775.380000001"/>
    <x v="0"/>
    <m/>
    <m/>
    <n v="0"/>
    <n v="-710"/>
    <n v="-688.7"/>
    <n v="-426"/>
    <n v="71000"/>
  </r>
  <r>
    <x v="22"/>
    <x v="0"/>
    <n v="138976300439"/>
    <n v="105516.69"/>
    <n v="12503292.07"/>
    <x v="0"/>
    <m/>
    <m/>
    <n v="0"/>
    <n v="-1083"/>
    <n v="-1050.51"/>
    <n v="-649.79999999999995"/>
    <n v="108300"/>
  </r>
  <r>
    <x v="22"/>
    <x v="0"/>
    <n v="139623660942"/>
    <n v="8378.98"/>
    <n v="12511671.050000001"/>
    <x v="0"/>
    <m/>
    <m/>
    <n v="0"/>
    <n v="-86"/>
    <n v="-83.42"/>
    <n v="-51.6"/>
    <n v="8600"/>
  </r>
  <r>
    <x v="21"/>
    <x v="124"/>
    <n v="139485979798"/>
    <n v="2604.14"/>
    <n v="17578974.140000001"/>
    <x v="0"/>
    <m/>
    <m/>
    <n v="-39.9"/>
    <n v="0"/>
    <n v="0"/>
    <n v="-15.96"/>
    <n v="2660"/>
  </r>
  <r>
    <x v="23"/>
    <x v="0"/>
    <n v="139624260564"/>
    <n v="9986.9"/>
    <n v="12521657.949999999"/>
    <x v="0"/>
    <m/>
    <m/>
    <n v="0"/>
    <n v="-110"/>
    <n v="-837.1"/>
    <n v="-66"/>
    <n v="11000"/>
  </r>
  <r>
    <x v="21"/>
    <x v="125"/>
    <n v="139486139202"/>
    <n v="2051"/>
    <n v="17621848.309999999"/>
    <x v="0"/>
    <m/>
    <m/>
    <n v="-31.43"/>
    <n v="0"/>
    <n v="0"/>
    <n v="-12.57"/>
    <n v="2095"/>
  </r>
  <r>
    <x v="23"/>
    <x v="0"/>
    <n v="139625026608"/>
    <n v="50858.46"/>
    <n v="12572516.41"/>
    <x v="0"/>
    <m/>
    <m/>
    <n v="0"/>
    <n v="-522"/>
    <n v="-506.34"/>
    <n v="-313.2"/>
    <n v="52199.999999999993"/>
  </r>
  <r>
    <x v="23"/>
    <x v="0"/>
    <n v="138978259553"/>
    <n v="7414.94"/>
    <n v="12579931.35"/>
    <x v="0"/>
    <m/>
    <m/>
    <n v="0"/>
    <n v="-79"/>
    <n v="-358.66"/>
    <n v="-47.4"/>
    <n v="7899.9999999999991"/>
  </r>
  <r>
    <x v="23"/>
    <x v="0"/>
    <n v="139625329332"/>
    <n v="64523.01"/>
    <n v="12644454.359999999"/>
    <x v="0"/>
    <m/>
    <m/>
    <n v="0"/>
    <n v="-683"/>
    <n v="-2684.19"/>
    <n v="-409.8"/>
    <n v="68300"/>
  </r>
  <r>
    <x v="23"/>
    <x v="0"/>
    <n v="138978844689"/>
    <n v="74241.66"/>
    <n v="12718696.02"/>
    <x v="0"/>
    <m/>
    <m/>
    <n v="0"/>
    <n v="-762"/>
    <n v="-739.14"/>
    <n v="-457.2"/>
    <n v="76200"/>
  </r>
  <r>
    <x v="23"/>
    <x v="0"/>
    <n v="138978851547"/>
    <n v="15588.8"/>
    <n v="12734284.82"/>
    <x v="0"/>
    <m/>
    <m/>
    <n v="0"/>
    <n v="-160"/>
    <n v="-155.19999999999999"/>
    <n v="-96"/>
    <n v="16000"/>
  </r>
  <r>
    <x v="23"/>
    <x v="0"/>
    <n v="139626692140"/>
    <n v="42284.62"/>
    <n v="12776569.439999999"/>
    <x v="0"/>
    <m/>
    <m/>
    <n v="0"/>
    <n v="-434"/>
    <n v="-420.98"/>
    <n v="-260.39999999999998"/>
    <n v="43400.000000000007"/>
  </r>
  <r>
    <x v="23"/>
    <x v="0"/>
    <n v="138979990983"/>
    <n v="76872.27"/>
    <n v="12853441.710000001"/>
    <x v="0"/>
    <m/>
    <m/>
    <n v="0"/>
    <n v="-789"/>
    <n v="-765.33"/>
    <n v="-473.4"/>
    <n v="78900"/>
  </r>
  <r>
    <x v="23"/>
    <x v="0"/>
    <n v="139626843748"/>
    <n v="4871.5"/>
    <n v="12858313.210000001"/>
    <x v="0"/>
    <m/>
    <m/>
    <n v="0"/>
    <n v="-50"/>
    <n v="-48.5"/>
    <n v="-30"/>
    <n v="5000"/>
  </r>
  <r>
    <x v="23"/>
    <x v="0"/>
    <n v="138980531813"/>
    <n v="11147.46"/>
    <n v="12869460.67"/>
    <x v="0"/>
    <m/>
    <m/>
    <n v="0"/>
    <n v="-118"/>
    <n v="-463.74"/>
    <n v="-70.8"/>
    <n v="11799.999999999998"/>
  </r>
  <r>
    <x v="22"/>
    <x v="126"/>
    <n v="138846676695"/>
    <n v="817.46"/>
    <n v="17933800.969999999"/>
    <x v="0"/>
    <m/>
    <m/>
    <n v="-12.53"/>
    <n v="0"/>
    <n v="0"/>
    <n v="-5.01"/>
    <n v="835"/>
  </r>
  <r>
    <x v="23"/>
    <x v="0"/>
    <n v="138981018173"/>
    <n v="28157.27"/>
    <n v="12897617.939999999"/>
    <x v="0"/>
    <m/>
    <m/>
    <n v="0"/>
    <n v="-289"/>
    <n v="-280.33"/>
    <n v="-173.4"/>
    <n v="28900.000000000004"/>
  </r>
  <r>
    <x v="23"/>
    <x v="0"/>
    <n v="139627710518"/>
    <n v="35009.78"/>
    <n v="12932627.720000001"/>
    <x v="0"/>
    <m/>
    <m/>
    <n v="0"/>
    <n v="-373"/>
    <n v="-1693.42"/>
    <n v="-223.8"/>
    <n v="37300"/>
  </r>
  <r>
    <x v="23"/>
    <x v="0"/>
    <n v="138981406123"/>
    <n v="30300.73"/>
    <n v="12962928.449999999"/>
    <x v="0"/>
    <m/>
    <m/>
    <n v="0"/>
    <n v="-311"/>
    <n v="-301.67"/>
    <n v="-186.6"/>
    <n v="31099.999999999996"/>
  </r>
  <r>
    <x v="23"/>
    <x v="0"/>
    <n v="139628504836"/>
    <n v="9743"/>
    <n v="12972671.449999999"/>
    <x v="0"/>
    <m/>
    <m/>
    <n v="0"/>
    <n v="-100"/>
    <n v="-97"/>
    <n v="-60"/>
    <n v="10000"/>
  </r>
  <r>
    <x v="23"/>
    <x v="0"/>
    <n v="139628583816"/>
    <n v="18901.419999999998"/>
    <n v="12991572.869999999"/>
    <x v="0"/>
    <m/>
    <m/>
    <n v="0"/>
    <n v="-194"/>
    <n v="-188.18"/>
    <n v="-116.4"/>
    <n v="19400"/>
  </r>
  <r>
    <x v="23"/>
    <x v="0"/>
    <n v="138982147639"/>
    <n v="4871.5"/>
    <n v="12996444.369999999"/>
    <x v="0"/>
    <m/>
    <m/>
    <n v="0"/>
    <n v="-50"/>
    <n v="-48.5"/>
    <n v="-30"/>
    <n v="5000"/>
  </r>
  <r>
    <x v="23"/>
    <x v="0"/>
    <n v="138982236909"/>
    <n v="5358.65"/>
    <n v="13001803.02"/>
    <x v="0"/>
    <m/>
    <m/>
    <n v="0"/>
    <n v="-55"/>
    <n v="-53.35"/>
    <n v="-33"/>
    <n v="5500"/>
  </r>
  <r>
    <x v="23"/>
    <x v="0"/>
    <n v="138982300437"/>
    <n v="5358.65"/>
    <n v="13007161.67"/>
    <x v="0"/>
    <m/>
    <m/>
    <n v="0"/>
    <n v="-55"/>
    <n v="-53.35"/>
    <n v="-33"/>
    <n v="5500"/>
  </r>
  <r>
    <x v="23"/>
    <x v="0"/>
    <n v="138982362887"/>
    <n v="4676.6400000000003"/>
    <n v="13011838.310000001"/>
    <x v="0"/>
    <m/>
    <m/>
    <n v="0"/>
    <n v="-48"/>
    <n v="-46.56"/>
    <n v="-28.8"/>
    <n v="4800.0000000000009"/>
  </r>
  <r>
    <x v="23"/>
    <x v="0"/>
    <n v="138982602723"/>
    <n v="13445.34"/>
    <n v="13025283.65"/>
    <x v="0"/>
    <m/>
    <m/>
    <n v="0"/>
    <n v="-138"/>
    <n v="-133.86000000000001"/>
    <n v="-82.8"/>
    <n v="13800"/>
  </r>
  <r>
    <x v="22"/>
    <x v="69"/>
    <n v="138952390031"/>
    <n v="2692.25"/>
    <n v="11796314.23"/>
    <x v="0"/>
    <m/>
    <m/>
    <n v="-41.25"/>
    <n v="0"/>
    <n v="0"/>
    <n v="-16.5"/>
    <n v="2750"/>
  </r>
  <r>
    <x v="23"/>
    <x v="0"/>
    <n v="138982952411"/>
    <n v="4871.5"/>
    <n v="13030155.15"/>
    <x v="0"/>
    <m/>
    <m/>
    <n v="0"/>
    <n v="-50"/>
    <n v="-48.5"/>
    <n v="-30"/>
    <n v="5000"/>
  </r>
  <r>
    <x v="23"/>
    <x v="0"/>
    <n v="138982968973"/>
    <n v="29096.76"/>
    <n v="13059251.91"/>
    <x v="0"/>
    <m/>
    <m/>
    <n v="0"/>
    <n v="-308"/>
    <n v="-1210.44"/>
    <n v="-184.8"/>
    <n v="30799.999999999996"/>
  </r>
  <r>
    <x v="23"/>
    <x v="0"/>
    <n v="139630051996"/>
    <n v="24649.79"/>
    <n v="13083901.699999999"/>
    <x v="0"/>
    <m/>
    <m/>
    <n v="0"/>
    <n v="-253"/>
    <n v="-245.41"/>
    <n v="-151.80000000000001"/>
    <n v="25300"/>
  </r>
  <r>
    <x v="23"/>
    <x v="0"/>
    <n v="139630170634"/>
    <n v="56704.26"/>
    <n v="13140605.960000001"/>
    <x v="0"/>
    <m/>
    <m/>
    <n v="0"/>
    <n v="-582"/>
    <n v="-564.54"/>
    <n v="-349.2"/>
    <n v="58200"/>
  </r>
  <r>
    <x v="23"/>
    <x v="0"/>
    <n v="139630137722"/>
    <n v="56304.12"/>
    <n v="13196910.08"/>
    <x v="0"/>
    <m/>
    <m/>
    <n v="0"/>
    <n v="-596"/>
    <n v="-2342.2800000000002"/>
    <n v="-357.6"/>
    <n v="59600"/>
  </r>
  <r>
    <x v="23"/>
    <x v="0"/>
    <n v="139630171806"/>
    <n v="5358.65"/>
    <n v="13202268.73"/>
    <x v="0"/>
    <m/>
    <m/>
    <n v="0"/>
    <n v="-55"/>
    <n v="-53.35"/>
    <n v="-33"/>
    <n v="5500"/>
  </r>
  <r>
    <x v="23"/>
    <x v="0"/>
    <n v="138983545497"/>
    <n v="34977.370000000003"/>
    <n v="13237515.32"/>
    <x v="0"/>
    <m/>
    <m/>
    <n v="0"/>
    <n v="-359"/>
    <n v="-348.23"/>
    <n v="-215.4"/>
    <n v="35900.000000000007"/>
  </r>
  <r>
    <x v="23"/>
    <x v="0"/>
    <n v="139630576538"/>
    <n v="4871.5"/>
    <n v="13242386.82"/>
    <x v="0"/>
    <m/>
    <m/>
    <n v="0"/>
    <n v="-50"/>
    <n v="-48.5"/>
    <n v="-30"/>
    <n v="5000"/>
  </r>
  <r>
    <x v="23"/>
    <x v="0"/>
    <n v="139630636244"/>
    <n v="4676.6400000000003"/>
    <n v="13247063.460000001"/>
    <x v="0"/>
    <m/>
    <m/>
    <n v="0"/>
    <n v="-48"/>
    <n v="-46.56"/>
    <n v="-28.8"/>
    <n v="4800.0000000000009"/>
  </r>
  <r>
    <x v="23"/>
    <x v="0"/>
    <n v="139630821520"/>
    <n v="51832.76"/>
    <n v="13298896.220000001"/>
    <x v="0"/>
    <m/>
    <m/>
    <n v="0"/>
    <n v="-532"/>
    <n v="-516.04"/>
    <n v="-319.2"/>
    <n v="53200"/>
  </r>
  <r>
    <x v="23"/>
    <x v="0"/>
    <n v="138984089477"/>
    <n v="14029.92"/>
    <n v="13312926.140000001"/>
    <x v="0"/>
    <m/>
    <m/>
    <n v="0"/>
    <n v="-144"/>
    <n v="-139.68"/>
    <n v="-86.4"/>
    <n v="14400"/>
  </r>
  <r>
    <x v="23"/>
    <x v="0"/>
    <n v="138984279097"/>
    <n v="19354"/>
    <n v="13332985.02"/>
    <x v="0"/>
    <m/>
    <m/>
    <n v="0"/>
    <n v="-200"/>
    <n v="-326"/>
    <n v="-120"/>
    <n v="20000"/>
  </r>
  <r>
    <x v="23"/>
    <x v="0"/>
    <n v="139631095712"/>
    <n v="121202.92"/>
    <n v="13454187.939999999"/>
    <x v="0"/>
    <m/>
    <m/>
    <n v="0"/>
    <n v="-1244"/>
    <n v="-1206.68"/>
    <n v="-746.4"/>
    <n v="124399.99999999999"/>
  </r>
  <r>
    <x v="22"/>
    <x v="127"/>
    <n v="139617382916"/>
    <n v="979"/>
    <n v="12049508.289999999"/>
    <x v="0"/>
    <m/>
    <m/>
    <n v="-15"/>
    <n v="0"/>
    <n v="0"/>
    <n v="-6"/>
    <n v="1000"/>
  </r>
  <r>
    <x v="23"/>
    <x v="0"/>
    <n v="139631277772"/>
    <n v="68103.570000000007"/>
    <n v="13522291.51"/>
    <x v="0"/>
    <m/>
    <m/>
    <n v="0"/>
    <n v="-699"/>
    <n v="-678.03"/>
    <n v="-419.4"/>
    <n v="69900"/>
  </r>
  <r>
    <x v="23"/>
    <x v="0"/>
    <n v="138984795275"/>
    <n v="53586.5"/>
    <n v="13575878.01"/>
    <x v="0"/>
    <m/>
    <m/>
    <n v="0"/>
    <n v="-550"/>
    <n v="-533.5"/>
    <n v="-330"/>
    <n v="55000"/>
  </r>
  <r>
    <x v="23"/>
    <x v="0"/>
    <n v="138984902535"/>
    <n v="23480.63"/>
    <n v="13599358.640000001"/>
    <x v="0"/>
    <m/>
    <m/>
    <n v="0"/>
    <n v="-241"/>
    <n v="-233.77"/>
    <n v="-144.6"/>
    <n v="24100"/>
  </r>
  <r>
    <x v="23"/>
    <x v="0"/>
    <n v="139631549822"/>
    <n v="4871.5"/>
    <n v="13604230.140000001"/>
    <x v="0"/>
    <m/>
    <m/>
    <n v="0"/>
    <n v="-50"/>
    <n v="-48.5"/>
    <n v="-30"/>
    <n v="5000"/>
  </r>
  <r>
    <x v="23"/>
    <x v="0"/>
    <n v="139063218521"/>
    <n v="20460.3"/>
    <n v="13624690.439999999"/>
    <x v="0"/>
    <m/>
    <m/>
    <n v="0"/>
    <n v="-210"/>
    <n v="-203.7"/>
    <n v="-126"/>
    <n v="21000"/>
  </r>
  <r>
    <x v="23"/>
    <x v="0"/>
    <n v="139072847851"/>
    <n v="4358"/>
    <n v="13629048.439999999"/>
    <x v="0"/>
    <m/>
    <m/>
    <n v="0"/>
    <n v="-50"/>
    <n v="-562"/>
    <n v="-30"/>
    <n v="5000"/>
  </r>
  <r>
    <x v="23"/>
    <x v="0"/>
    <n v="139720219596"/>
    <n v="9353.2800000000007"/>
    <n v="13638401.720000001"/>
    <x v="0"/>
    <m/>
    <m/>
    <n v="0"/>
    <n v="-96"/>
    <n v="-93.12"/>
    <n v="-57.6"/>
    <n v="9600.0000000000018"/>
  </r>
  <r>
    <x v="23"/>
    <x v="0"/>
    <n v="139073157963"/>
    <n v="11496.74"/>
    <n v="13649898.460000001"/>
    <x v="0"/>
    <m/>
    <m/>
    <n v="0"/>
    <n v="-118"/>
    <n v="-114.46"/>
    <n v="-70.8"/>
    <n v="11799.999999999998"/>
  </r>
  <r>
    <x v="23"/>
    <x v="0"/>
    <n v="139074196447"/>
    <n v="24357.5"/>
    <n v="13674255.960000001"/>
    <x v="0"/>
    <m/>
    <m/>
    <n v="0"/>
    <n v="-250"/>
    <n v="-242.5"/>
    <n v="-150"/>
    <n v="25000"/>
  </r>
  <r>
    <x v="23"/>
    <x v="0"/>
    <n v="139721874566"/>
    <n v="13981.56"/>
    <n v="13688237.52"/>
    <x v="0"/>
    <m/>
    <m/>
    <n v="0"/>
    <n v="-148"/>
    <n v="-581.64"/>
    <n v="-88.8"/>
    <n v="14799.999999999998"/>
  </r>
  <r>
    <x v="23"/>
    <x v="0"/>
    <n v="139723099764"/>
    <n v="19973.150000000001"/>
    <n v="13708210.67"/>
    <x v="0"/>
    <m/>
    <m/>
    <n v="0"/>
    <n v="-205"/>
    <n v="-198.85"/>
    <n v="-123"/>
    <n v="20500"/>
  </r>
  <r>
    <x v="23"/>
    <x v="0"/>
    <n v="139077062539"/>
    <n v="4723.5"/>
    <n v="13712934.17"/>
    <x v="0"/>
    <m/>
    <m/>
    <n v="0"/>
    <n v="-50"/>
    <n v="-196.5"/>
    <n v="-30"/>
    <n v="5000"/>
  </r>
  <r>
    <x v="23"/>
    <x v="0"/>
    <n v="139724393082"/>
    <n v="9447"/>
    <n v="13722381.17"/>
    <x v="0"/>
    <m/>
    <m/>
    <n v="0"/>
    <n v="-100"/>
    <n v="-393"/>
    <n v="-60"/>
    <n v="10000"/>
  </r>
  <r>
    <x v="23"/>
    <x v="0"/>
    <n v="139079138431"/>
    <n v="9677"/>
    <n v="13732058.17"/>
    <x v="0"/>
    <m/>
    <m/>
    <n v="0"/>
    <n v="-100"/>
    <n v="-163"/>
    <n v="-60"/>
    <n v="10000"/>
  </r>
  <r>
    <x v="23"/>
    <x v="0"/>
    <n v="139729250792"/>
    <n v="7794.4"/>
    <n v="13739852.57"/>
    <x v="0"/>
    <m/>
    <m/>
    <n v="0"/>
    <n v="-80"/>
    <n v="-77.599999999999994"/>
    <n v="-48"/>
    <n v="8000"/>
  </r>
  <r>
    <x v="23"/>
    <x v="0"/>
    <n v="139082306869"/>
    <n v="45759"/>
    <n v="13785611.57"/>
    <x v="0"/>
    <m/>
    <m/>
    <n v="0"/>
    <n v="-525"/>
    <n v="-5901"/>
    <n v="-315"/>
    <n v="52500"/>
  </r>
  <r>
    <x v="23"/>
    <x v="0"/>
    <n v="139082797497"/>
    <n v="47545.84"/>
    <n v="13833157.41"/>
    <x v="0"/>
    <m/>
    <m/>
    <n v="0"/>
    <n v="-488"/>
    <n v="-473.36"/>
    <n v="-292.8"/>
    <n v="48800"/>
  </r>
  <r>
    <x v="23"/>
    <x v="0"/>
    <n v="139082973003"/>
    <n v="9447"/>
    <n v="13842604.41"/>
    <x v="0"/>
    <m/>
    <m/>
    <n v="0"/>
    <n v="-100"/>
    <n v="-393"/>
    <n v="-60"/>
    <n v="10000"/>
  </r>
  <r>
    <x v="23"/>
    <x v="0"/>
    <n v="139730594000"/>
    <n v="46384.77"/>
    <n v="13888989.18"/>
    <x v="0"/>
    <m/>
    <m/>
    <n v="0"/>
    <n v="-491"/>
    <n v="-1929.63"/>
    <n v="-294.60000000000002"/>
    <n v="49099.999999999993"/>
  </r>
  <r>
    <x v="23"/>
    <x v="0"/>
    <n v="139083518057"/>
    <n v="77807.03"/>
    <n v="13966796.210000001"/>
    <x v="0"/>
    <m/>
    <m/>
    <n v="0"/>
    <n v="-857"/>
    <n v="-6521.77"/>
    <n v="-514.20000000000005"/>
    <n v="85700"/>
  </r>
  <r>
    <x v="23"/>
    <x v="0"/>
    <n v="139084107193"/>
    <n v="36633.68"/>
    <n v="14003429.890000001"/>
    <x v="0"/>
    <m/>
    <m/>
    <n v="0"/>
    <n v="-376"/>
    <n v="-364.72"/>
    <n v="-225.6"/>
    <n v="37600"/>
  </r>
  <r>
    <x v="23"/>
    <x v="0"/>
    <n v="139085202049"/>
    <n v="4723.5"/>
    <n v="14008153.390000001"/>
    <x v="0"/>
    <m/>
    <m/>
    <n v="0"/>
    <n v="-50"/>
    <n v="-196.5"/>
    <n v="-30"/>
    <n v="5000"/>
  </r>
  <r>
    <x v="23"/>
    <x v="0"/>
    <n v="139734214508"/>
    <n v="48663.44"/>
    <n v="14056816.83"/>
    <x v="0"/>
    <m/>
    <m/>
    <n v="0"/>
    <n v="-536"/>
    <n v="-4078.96"/>
    <n v="-321.60000000000002"/>
    <n v="53600"/>
  </r>
  <r>
    <x v="23"/>
    <x v="0"/>
    <n v="139087122709"/>
    <n v="13225.8"/>
    <n v="14070042.630000001"/>
    <x v="0"/>
    <m/>
    <m/>
    <n v="0"/>
    <n v="-140"/>
    <n v="-550.20000000000005"/>
    <n v="-84"/>
    <n v="14000"/>
  </r>
  <r>
    <x v="23"/>
    <x v="0"/>
    <n v="139734505018"/>
    <n v="51904.58"/>
    <n v="14121947.210000001"/>
    <x v="0"/>
    <m/>
    <m/>
    <n v="0"/>
    <n v="-553"/>
    <n v="-2510.62"/>
    <n v="-331.8"/>
    <n v="55300.000000000007"/>
  </r>
  <r>
    <x v="23"/>
    <x v="0"/>
    <n v="139087711755"/>
    <n v="24649.79"/>
    <n v="14146597"/>
    <x v="0"/>
    <m/>
    <m/>
    <n v="0"/>
    <n v="-253"/>
    <n v="-245.41"/>
    <n v="-151.80000000000001"/>
    <n v="25300"/>
  </r>
  <r>
    <x v="23"/>
    <x v="0"/>
    <n v="139089424897"/>
    <n v="4871.5"/>
    <n v="14153945.369999999"/>
    <x v="0"/>
    <m/>
    <m/>
    <n v="0"/>
    <n v="-50"/>
    <n v="-48.5"/>
    <n v="-30"/>
    <n v="5000"/>
  </r>
  <r>
    <x v="23"/>
    <x v="0"/>
    <n v="139736694770"/>
    <n v="40141.160000000003"/>
    <n v="14194576.029999999"/>
    <x v="0"/>
    <m/>
    <m/>
    <n v="0"/>
    <n v="-412"/>
    <n v="-399.64"/>
    <n v="-247.2"/>
    <n v="41200"/>
  </r>
  <r>
    <x v="23"/>
    <x v="0"/>
    <n v="139089767285"/>
    <n v="19257.23"/>
    <n v="14213833.26"/>
    <x v="0"/>
    <m/>
    <m/>
    <n v="0"/>
    <n v="-199"/>
    <n v="-324.37"/>
    <n v="-119.4"/>
    <n v="19900"/>
  </r>
  <r>
    <x v="23"/>
    <x v="0"/>
    <n v="139090047369"/>
    <n v="26890.68"/>
    <n v="14240723.939999999"/>
    <x v="0"/>
    <m/>
    <m/>
    <n v="0"/>
    <n v="-276"/>
    <n v="-267.72000000000003"/>
    <n v="-165.6"/>
    <n v="27600"/>
  </r>
  <r>
    <x v="23"/>
    <x v="0"/>
    <n v="139090278709"/>
    <n v="71135.91"/>
    <n v="14314561.890000001"/>
    <x v="0"/>
    <m/>
    <m/>
    <n v="0"/>
    <n v="-753"/>
    <n v="-2959.29"/>
    <n v="-451.8"/>
    <n v="75300"/>
  </r>
  <r>
    <x v="23"/>
    <x v="0"/>
    <n v="139738821200"/>
    <n v="33321.06"/>
    <n v="14347882.949999999"/>
    <x v="0"/>
    <m/>
    <m/>
    <n v="0"/>
    <n v="-342"/>
    <n v="-331.74"/>
    <n v="-205.2"/>
    <n v="34199.999999999993"/>
  </r>
  <r>
    <x v="23"/>
    <x v="0"/>
    <n v="139092164837"/>
    <n v="85835.83"/>
    <n v="14433718.779999999"/>
    <x v="0"/>
    <m/>
    <m/>
    <n v="0"/>
    <n v="-881"/>
    <n v="-854.57"/>
    <n v="-528.6"/>
    <n v="88100.000000000015"/>
  </r>
  <r>
    <x v="24"/>
    <x v="0"/>
    <n v="139740074742"/>
    <n v="9548.14"/>
    <n v="14443266.92"/>
    <x v="0"/>
    <m/>
    <m/>
    <n v="0"/>
    <n v="-98"/>
    <n v="-95.06"/>
    <n v="-58.8"/>
    <n v="9799.9999999999982"/>
  </r>
  <r>
    <x v="24"/>
    <x v="0"/>
    <n v="139093374485"/>
    <n v="19291.14"/>
    <n v="14462558.060000001"/>
    <x v="0"/>
    <m/>
    <m/>
    <n v="0"/>
    <n v="-198"/>
    <n v="-192.06"/>
    <n v="-118.8"/>
    <n v="19800"/>
  </r>
  <r>
    <x v="24"/>
    <x v="0"/>
    <n v="139093878133"/>
    <n v="29852.52"/>
    <n v="14493379.789999999"/>
    <x v="0"/>
    <m/>
    <m/>
    <n v="0"/>
    <n v="-316"/>
    <n v="-1241.8800000000001"/>
    <n v="-189.6"/>
    <n v="31600"/>
  </r>
  <r>
    <x v="23"/>
    <x v="128"/>
    <n v="138983534997"/>
    <n v="269.22000000000003"/>
    <n v="13202537.949999999"/>
    <x v="0"/>
    <m/>
    <m/>
    <n v="-4.13"/>
    <n v="0"/>
    <n v="0"/>
    <n v="-1.65"/>
    <n v="275"/>
  </r>
  <r>
    <x v="24"/>
    <x v="0"/>
    <n v="139094071125"/>
    <n v="18138.240000000002"/>
    <n v="14511518.029999999"/>
    <x v="0"/>
    <m/>
    <m/>
    <n v="0"/>
    <n v="-192"/>
    <n v="-754.56"/>
    <n v="-115.2"/>
    <n v="19200.000000000004"/>
  </r>
  <r>
    <x v="24"/>
    <x v="0"/>
    <n v="139741640206"/>
    <n v="9743"/>
    <n v="14521261.029999999"/>
    <x v="0"/>
    <m/>
    <m/>
    <n v="0"/>
    <n v="-100"/>
    <n v="-97"/>
    <n v="-60"/>
    <n v="10000"/>
  </r>
  <r>
    <x v="24"/>
    <x v="0"/>
    <n v="139094631503"/>
    <n v="147373.20000000001"/>
    <n v="14668634.23"/>
    <x v="0"/>
    <m/>
    <m/>
    <n v="0"/>
    <n v="-1560"/>
    <n v="-6130.8"/>
    <n v="-936"/>
    <n v="156000"/>
  </r>
  <r>
    <x v="24"/>
    <x v="0"/>
    <n v="139742005488"/>
    <n v="9743"/>
    <n v="14678377.23"/>
    <x v="0"/>
    <m/>
    <m/>
    <n v="0"/>
    <n v="-100"/>
    <n v="-97"/>
    <n v="-60"/>
    <n v="10000"/>
  </r>
  <r>
    <x v="24"/>
    <x v="0"/>
    <n v="139742125860"/>
    <n v="54171.08"/>
    <n v="14732548.310000001"/>
    <x v="0"/>
    <m/>
    <m/>
    <n v="0"/>
    <n v="-556"/>
    <n v="-539.32000000000005"/>
    <n v="-333.6"/>
    <n v="55600"/>
  </r>
  <r>
    <x v="23"/>
    <x v="129"/>
    <n v="139630899542"/>
    <n v="704.88"/>
    <n v="13313631.02"/>
    <x v="0"/>
    <m/>
    <m/>
    <n v="-10.8"/>
    <n v="0"/>
    <n v="0"/>
    <n v="-4.32"/>
    <n v="720"/>
  </r>
  <r>
    <x v="24"/>
    <x v="0"/>
    <n v="139742356014"/>
    <n v="81433.14"/>
    <n v="14813981.449999999"/>
    <x v="0"/>
    <m/>
    <m/>
    <n v="0"/>
    <n v="-862"/>
    <n v="-3387.66"/>
    <n v="-517.20000000000005"/>
    <n v="86200"/>
  </r>
  <r>
    <x v="24"/>
    <x v="0"/>
    <n v="139742892010"/>
    <n v="45110.09"/>
    <n v="14859091.539999999"/>
    <x v="0"/>
    <m/>
    <m/>
    <n v="0"/>
    <n v="-463"/>
    <n v="-449.11"/>
    <n v="-277.8"/>
    <n v="46300"/>
  </r>
  <r>
    <x v="24"/>
    <x v="0"/>
    <n v="139743113042"/>
    <n v="55145.38"/>
    <n v="14916503.300000001"/>
    <x v="0"/>
    <m/>
    <m/>
    <n v="0"/>
    <n v="-566"/>
    <n v="-549.02"/>
    <n v="-339.6"/>
    <n v="56599.999999999993"/>
  </r>
  <r>
    <x v="24"/>
    <x v="0"/>
    <n v="139095819989"/>
    <n v="13257.49"/>
    <n v="14932531.359999999"/>
    <x v="0"/>
    <m/>
    <m/>
    <n v="0"/>
    <n v="-137"/>
    <n v="-223.31"/>
    <n v="-82.2"/>
    <n v="13700"/>
  </r>
  <r>
    <x v="24"/>
    <x v="0"/>
    <n v="139096355877"/>
    <n v="69077.87"/>
    <n v="15001609.23"/>
    <x v="0"/>
    <m/>
    <m/>
    <n v="0"/>
    <n v="-709"/>
    <n v="-687.73"/>
    <n v="-425.4"/>
    <n v="70899.999999999985"/>
  </r>
  <r>
    <x v="24"/>
    <x v="0"/>
    <n v="139743764936"/>
    <n v="35331.78"/>
    <n v="15036941.01"/>
    <x v="0"/>
    <m/>
    <m/>
    <n v="0"/>
    <n v="-374"/>
    <n v="-1469.82"/>
    <n v="-224.4"/>
    <n v="37400"/>
  </r>
  <r>
    <x v="24"/>
    <x v="0"/>
    <n v="139743954796"/>
    <n v="27585.24"/>
    <n v="15064526.25"/>
    <x v="0"/>
    <m/>
    <m/>
    <n v="0"/>
    <n v="-292"/>
    <n v="-1147.56"/>
    <n v="-175.2"/>
    <n v="29200.000000000004"/>
  </r>
  <r>
    <x v="24"/>
    <x v="0"/>
    <n v="139744308788"/>
    <n v="10035.290000000001"/>
    <n v="15074561.539999999"/>
    <x v="0"/>
    <m/>
    <m/>
    <n v="0"/>
    <n v="-103"/>
    <n v="-99.91"/>
    <n v="-61.8"/>
    <n v="10300"/>
  </r>
  <r>
    <x v="24"/>
    <x v="0"/>
    <n v="139745018564"/>
    <n v="56509.4"/>
    <n v="15131070.939999999"/>
    <x v="0"/>
    <m/>
    <m/>
    <n v="0"/>
    <n v="-580"/>
    <n v="-562.6"/>
    <n v="-348"/>
    <n v="58000"/>
  </r>
  <r>
    <x v="24"/>
    <x v="0"/>
    <n v="139745156910"/>
    <n v="31175.1"/>
    <n v="15162246.039999999"/>
    <x v="0"/>
    <m/>
    <m/>
    <n v="0"/>
    <n v="-330"/>
    <n v="-1296.9000000000001"/>
    <n v="-198"/>
    <n v="33000"/>
  </r>
  <r>
    <x v="24"/>
    <x v="0"/>
    <n v="139745222594"/>
    <n v="106845.57"/>
    <n v="15269091.609999999"/>
    <x v="0"/>
    <m/>
    <m/>
    <n v="0"/>
    <n v="-1131"/>
    <n v="-4444.83"/>
    <n v="-678.6"/>
    <n v="113100.00000000001"/>
  </r>
  <r>
    <x v="24"/>
    <x v="0"/>
    <n v="139098023351"/>
    <n v="14906.79"/>
    <n v="15283998.4"/>
    <x v="0"/>
    <m/>
    <m/>
    <n v="0"/>
    <n v="-153"/>
    <n v="-148.41"/>
    <n v="-91.8"/>
    <n v="15300"/>
  </r>
  <r>
    <x v="24"/>
    <x v="0"/>
    <n v="139098272395"/>
    <n v="74436.52"/>
    <n v="15358434.92"/>
    <x v="0"/>
    <m/>
    <m/>
    <n v="0"/>
    <n v="-764"/>
    <n v="-741.08"/>
    <n v="-458.4"/>
    <n v="76400"/>
  </r>
  <r>
    <x v="24"/>
    <x v="0"/>
    <n v="139746116204"/>
    <n v="39946.300000000003"/>
    <n v="15398381.220000001"/>
    <x v="0"/>
    <m/>
    <m/>
    <n v="0"/>
    <n v="-410"/>
    <n v="-397.7"/>
    <n v="-246"/>
    <n v="41000"/>
  </r>
  <r>
    <x v="24"/>
    <x v="0"/>
    <n v="139746110436"/>
    <n v="44135.79"/>
    <n v="15442517.01"/>
    <x v="0"/>
    <m/>
    <m/>
    <n v="0"/>
    <n v="-453"/>
    <n v="-439.41"/>
    <n v="-271.8"/>
    <n v="45300.000000000007"/>
  </r>
  <r>
    <x v="24"/>
    <x v="0"/>
    <n v="139746069422"/>
    <n v="15393.94"/>
    <n v="15457910.949999999"/>
    <x v="0"/>
    <m/>
    <m/>
    <n v="0"/>
    <n v="-158"/>
    <n v="-153.26"/>
    <n v="-94.8"/>
    <n v="15800"/>
  </r>
  <r>
    <x v="24"/>
    <x v="0"/>
    <n v="139098946275"/>
    <n v="97040.28"/>
    <n v="15554951.23"/>
    <x v="0"/>
    <m/>
    <m/>
    <n v="0"/>
    <n v="-996"/>
    <n v="-966.12"/>
    <n v="-597.6"/>
    <n v="99600"/>
  </r>
  <r>
    <x v="24"/>
    <x v="0"/>
    <n v="139746652180"/>
    <n v="40043.730000000003"/>
    <n v="15594994.960000001"/>
    <x v="0"/>
    <m/>
    <m/>
    <n v="0"/>
    <n v="-411"/>
    <n v="-398.67"/>
    <n v="-246.6"/>
    <n v="41100"/>
  </r>
  <r>
    <x v="24"/>
    <x v="0"/>
    <n v="139746956110"/>
    <n v="25695.84"/>
    <n v="15622702.640000001"/>
    <x v="0"/>
    <m/>
    <m/>
    <n v="0"/>
    <n v="-272"/>
    <n v="-1068.96"/>
    <n v="-163.19999999999999"/>
    <n v="27200"/>
  </r>
  <r>
    <x v="24"/>
    <x v="0"/>
    <n v="139746996378"/>
    <n v="72269.55"/>
    <n v="15694972.189999999"/>
    <x v="0"/>
    <m/>
    <m/>
    <n v="0"/>
    <n v="-765"/>
    <n v="-3006.45"/>
    <n v="-459"/>
    <n v="76500"/>
  </r>
  <r>
    <x v="24"/>
    <x v="0"/>
    <n v="139747108932"/>
    <n v="29229"/>
    <n v="15724201.189999999"/>
    <x v="0"/>
    <m/>
    <m/>
    <n v="0"/>
    <n v="-300"/>
    <n v="-291"/>
    <n v="-180"/>
    <n v="30000"/>
  </r>
  <r>
    <x v="24"/>
    <x v="0"/>
    <n v="139747250496"/>
    <n v="140760.29999999999"/>
    <n v="15864961.49"/>
    <x v="0"/>
    <m/>
    <m/>
    <n v="0"/>
    <n v="-1490"/>
    <n v="-5855.7"/>
    <n v="-894"/>
    <n v="149000"/>
  </r>
  <r>
    <x v="24"/>
    <x v="0"/>
    <n v="139100436161"/>
    <n v="14029.92"/>
    <n v="15878991.41"/>
    <x v="0"/>
    <m/>
    <m/>
    <n v="0"/>
    <n v="-144"/>
    <n v="-139.68"/>
    <n v="-86.4"/>
    <n v="14400"/>
  </r>
  <r>
    <x v="24"/>
    <x v="0"/>
    <n v="139100574281"/>
    <n v="30203.3"/>
    <n v="15909194.710000001"/>
    <x v="0"/>
    <m/>
    <m/>
    <n v="0"/>
    <n v="-310"/>
    <n v="-300.7"/>
    <n v="-186"/>
    <n v="31000"/>
  </r>
  <r>
    <x v="24"/>
    <x v="0"/>
    <n v="139808799678"/>
    <n v="5322.35"/>
    <n v="15830748.550000001"/>
    <x v="0"/>
    <m/>
    <m/>
    <n v="0"/>
    <n v="-55"/>
    <n v="-89.65"/>
    <n v="-33"/>
    <n v="5500"/>
  </r>
  <r>
    <x v="24"/>
    <x v="0"/>
    <n v="139811178548"/>
    <n v="18894"/>
    <n v="15849642.550000001"/>
    <x v="0"/>
    <m/>
    <m/>
    <n v="0"/>
    <n v="-200"/>
    <n v="-786"/>
    <n v="-120"/>
    <n v="20000"/>
  </r>
  <r>
    <x v="24"/>
    <x v="0"/>
    <n v="139172546173"/>
    <n v="4774.07"/>
    <n v="15854416.619999999"/>
    <x v="0"/>
    <m/>
    <m/>
    <n v="0"/>
    <n v="-49"/>
    <n v="-47.53"/>
    <n v="-29.4"/>
    <n v="4899.9999999999991"/>
  </r>
  <r>
    <x v="24"/>
    <x v="0"/>
    <n v="139172710465"/>
    <n v="6275.52"/>
    <n v="15860692.140000001"/>
    <x v="0"/>
    <m/>
    <m/>
    <n v="0"/>
    <n v="-72"/>
    <n v="-809.28"/>
    <n v="-43.2"/>
    <n v="7200"/>
  </r>
  <r>
    <x v="23"/>
    <x v="130"/>
    <n v="139087916413"/>
    <n v="2476.87"/>
    <n v="14149073.869999999"/>
    <x v="0"/>
    <m/>
    <m/>
    <n v="-37.950000000000003"/>
    <n v="0"/>
    <n v="0"/>
    <n v="-15.18"/>
    <n v="2529.9999999999995"/>
  </r>
  <r>
    <x v="24"/>
    <x v="0"/>
    <n v="139820048220"/>
    <n v="18901.419999999998"/>
    <n v="15879593.560000001"/>
    <x v="0"/>
    <m/>
    <m/>
    <n v="0"/>
    <n v="-194"/>
    <n v="-188.18"/>
    <n v="-116.4"/>
    <n v="19400"/>
  </r>
  <r>
    <x v="23"/>
    <x v="131"/>
    <n v="139089399095"/>
    <n v="489.5"/>
    <n v="14154434.869999999"/>
    <x v="0"/>
    <m/>
    <m/>
    <n v="-7.5"/>
    <n v="0"/>
    <n v="0"/>
    <n v="-3"/>
    <n v="500"/>
  </r>
  <r>
    <x v="24"/>
    <x v="0"/>
    <n v="139173070093"/>
    <n v="18894"/>
    <n v="15900386.82"/>
    <x v="0"/>
    <m/>
    <m/>
    <n v="0"/>
    <n v="-200"/>
    <n v="-786"/>
    <n v="-120"/>
    <n v="20000"/>
  </r>
  <r>
    <x v="24"/>
    <x v="0"/>
    <n v="139820841428"/>
    <n v="12165.86"/>
    <n v="15912552.68"/>
    <x v="0"/>
    <m/>
    <m/>
    <n v="0"/>
    <n v="-134"/>
    <n v="-1019.74"/>
    <n v="-80.400000000000006"/>
    <n v="13400"/>
  </r>
  <r>
    <x v="24"/>
    <x v="0"/>
    <n v="139820905374"/>
    <n v="9447"/>
    <n v="15923311.539999999"/>
    <x v="0"/>
    <m/>
    <m/>
    <n v="0"/>
    <n v="-100"/>
    <n v="-393"/>
    <n v="-60"/>
    <n v="10000"/>
  </r>
  <r>
    <x v="23"/>
    <x v="132"/>
    <n v="139737185630"/>
    <n v="2702.04"/>
    <n v="14243425.98"/>
    <x v="0"/>
    <m/>
    <m/>
    <n v="-41.4"/>
    <n v="0"/>
    <n v="0"/>
    <n v="-16.559999999999999"/>
    <n v="2760"/>
  </r>
  <r>
    <x v="24"/>
    <x v="0"/>
    <n v="139174210059"/>
    <n v="4539.5"/>
    <n v="15927851.039999999"/>
    <x v="0"/>
    <m/>
    <m/>
    <n v="0"/>
    <n v="-50"/>
    <n v="-380.5"/>
    <n v="-30"/>
    <n v="5000"/>
  </r>
  <r>
    <x v="24"/>
    <x v="0"/>
    <n v="139174873593"/>
    <n v="9743"/>
    <n v="15937594.039999999"/>
    <x v="0"/>
    <m/>
    <m/>
    <n v="0"/>
    <n v="-100"/>
    <n v="-97"/>
    <n v="-60"/>
    <n v="10000"/>
  </r>
  <r>
    <x v="24"/>
    <x v="0"/>
    <n v="139174829827"/>
    <n v="4774.07"/>
    <n v="15942368.109999999"/>
    <x v="0"/>
    <m/>
    <m/>
    <n v="0"/>
    <n v="-49"/>
    <n v="-47.53"/>
    <n v="-29.4"/>
    <n v="4899.9999999999991"/>
  </r>
  <r>
    <x v="24"/>
    <x v="0"/>
    <n v="139175369981"/>
    <n v="7209.82"/>
    <n v="15949577.93"/>
    <x v="0"/>
    <m/>
    <m/>
    <n v="0"/>
    <n v="-74"/>
    <n v="-71.78"/>
    <n v="-44.4"/>
    <n v="7399.9999999999991"/>
  </r>
  <r>
    <x v="24"/>
    <x v="0"/>
    <n v="139176331131"/>
    <n v="13640.2"/>
    <n v="15963218.130000001"/>
    <x v="0"/>
    <m/>
    <m/>
    <n v="0"/>
    <n v="-140"/>
    <n v="-135.80000000000001"/>
    <n v="-84"/>
    <n v="14000"/>
  </r>
  <r>
    <x v="24"/>
    <x v="133"/>
    <n v="139093172083"/>
    <n v="969.21"/>
    <n v="14463527.27"/>
    <x v="0"/>
    <m/>
    <m/>
    <n v="-14.85"/>
    <n v="0"/>
    <n v="0"/>
    <n v="-5.94"/>
    <n v="990.00000000000011"/>
  </r>
  <r>
    <x v="24"/>
    <x v="0"/>
    <n v="139825993870"/>
    <n v="28529.94"/>
    <n v="15991748.07"/>
    <x v="0"/>
    <m/>
    <m/>
    <n v="0"/>
    <n v="-302"/>
    <n v="-1186.8599999999999"/>
    <n v="-181.2"/>
    <n v="30200"/>
  </r>
  <r>
    <x v="24"/>
    <x v="0"/>
    <n v="139827276052"/>
    <n v="38699.040000000001"/>
    <n v="16030447.109999999"/>
    <x v="0"/>
    <m/>
    <m/>
    <n v="0"/>
    <n v="-444"/>
    <n v="-4990.5600000000004"/>
    <n v="-266.39999999999998"/>
    <n v="44400"/>
  </r>
  <r>
    <x v="24"/>
    <x v="0"/>
    <n v="139181298385"/>
    <n v="82566.78"/>
    <n v="16113013.890000001"/>
    <x v="0"/>
    <m/>
    <m/>
    <n v="0"/>
    <n v="-874"/>
    <n v="-3434.82"/>
    <n v="-524.4"/>
    <n v="87400"/>
  </r>
  <r>
    <x v="24"/>
    <x v="0"/>
    <n v="139828941790"/>
    <n v="31664.75"/>
    <n v="16144678.640000001"/>
    <x v="0"/>
    <m/>
    <m/>
    <n v="0"/>
    <n v="-325"/>
    <n v="-315.25"/>
    <n v="-195"/>
    <n v="32500"/>
  </r>
  <r>
    <x v="24"/>
    <x v="0"/>
    <n v="139182522797"/>
    <n v="14419.64"/>
    <n v="16159098.279999999"/>
    <x v="0"/>
    <m/>
    <m/>
    <n v="0"/>
    <n v="-148"/>
    <n v="-143.56"/>
    <n v="-88.8"/>
    <n v="14799.999999999998"/>
  </r>
  <r>
    <x v="24"/>
    <x v="0"/>
    <n v="139829873234"/>
    <n v="53196.78"/>
    <n v="16212295.060000001"/>
    <x v="0"/>
    <m/>
    <m/>
    <n v="0"/>
    <n v="-546"/>
    <n v="-529.62"/>
    <n v="-327.60000000000002"/>
    <n v="54600"/>
  </r>
  <r>
    <x v="24"/>
    <x v="0"/>
    <n v="139182797023"/>
    <n v="32931.339999999997"/>
    <n v="16245226.4"/>
    <x v="0"/>
    <m/>
    <m/>
    <n v="0"/>
    <n v="-338"/>
    <n v="-327.86"/>
    <n v="-202.8"/>
    <n v="33800"/>
  </r>
  <r>
    <x v="24"/>
    <x v="0"/>
    <n v="139183086281"/>
    <n v="23967.78"/>
    <n v="16269194.18"/>
    <x v="0"/>
    <m/>
    <m/>
    <n v="0"/>
    <n v="-246"/>
    <n v="-238.62"/>
    <n v="-147.6"/>
    <n v="24599.999999999996"/>
  </r>
  <r>
    <x v="24"/>
    <x v="134"/>
    <n v="139095760979"/>
    <n v="2266.38"/>
    <n v="14861357.92"/>
    <x v="0"/>
    <m/>
    <m/>
    <n v="-34.729999999999997"/>
    <n v="0"/>
    <n v="0"/>
    <n v="-13.89"/>
    <n v="2315"/>
  </r>
  <r>
    <x v="24"/>
    <x v="0"/>
    <n v="139183307389"/>
    <n v="23675.49"/>
    <n v="16292869.67"/>
    <x v="0"/>
    <m/>
    <m/>
    <n v="0"/>
    <n v="-243"/>
    <n v="-235.71"/>
    <n v="-145.80000000000001"/>
    <n v="24300"/>
  </r>
  <r>
    <x v="24"/>
    <x v="135"/>
    <n v="139095930685"/>
    <n v="2770.57"/>
    <n v="14919273.869999999"/>
    <x v="0"/>
    <m/>
    <m/>
    <n v="-42.45"/>
    <n v="0"/>
    <n v="0"/>
    <n v="-16.98"/>
    <n v="2830"/>
  </r>
  <r>
    <x v="24"/>
    <x v="0"/>
    <n v="139830848786"/>
    <n v="83789.8"/>
    <n v="16377848.949999999"/>
    <x v="0"/>
    <m/>
    <m/>
    <n v="0"/>
    <n v="-860"/>
    <n v="-834.2"/>
    <n v="-516"/>
    <n v="86000"/>
  </r>
  <r>
    <x v="24"/>
    <x v="0"/>
    <n v="139184104301"/>
    <n v="40811.040000000001"/>
    <n v="16418659.99"/>
    <x v="0"/>
    <m/>
    <m/>
    <n v="0"/>
    <n v="-432"/>
    <n v="-1697.76"/>
    <n v="-259.2"/>
    <n v="43200"/>
  </r>
  <r>
    <x v="24"/>
    <x v="0"/>
    <n v="139184358441"/>
    <n v="27280.400000000001"/>
    <n v="16445940.390000001"/>
    <x v="0"/>
    <m/>
    <m/>
    <n v="0"/>
    <n v="-280"/>
    <n v="-271.60000000000002"/>
    <n v="-168"/>
    <n v="28000"/>
  </r>
  <r>
    <x v="24"/>
    <x v="0"/>
    <n v="139832577514"/>
    <n v="34685.08"/>
    <n v="16481996.07"/>
    <x v="0"/>
    <m/>
    <m/>
    <n v="0"/>
    <n v="-356"/>
    <n v="-345.32"/>
    <n v="-213.6"/>
    <n v="35600"/>
  </r>
  <r>
    <x v="24"/>
    <x v="0"/>
    <n v="139832669638"/>
    <n v="52159.03"/>
    <n v="16534155.1"/>
    <x v="0"/>
    <m/>
    <m/>
    <n v="0"/>
    <n v="-539"/>
    <n v="-878.57"/>
    <n v="-323.39999999999998"/>
    <n v="53900"/>
  </r>
  <r>
    <x v="24"/>
    <x v="0"/>
    <n v="139186007717"/>
    <n v="40920.6"/>
    <n v="16575075.699999999"/>
    <x v="0"/>
    <m/>
    <m/>
    <n v="0"/>
    <n v="-420"/>
    <n v="-407.4"/>
    <n v="-252"/>
    <n v="42000"/>
  </r>
  <r>
    <x v="24"/>
    <x v="0"/>
    <n v="139834422234"/>
    <n v="9743"/>
    <n v="16584818.699999999"/>
    <x v="0"/>
    <m/>
    <m/>
    <n v="0"/>
    <n v="-100"/>
    <n v="-97"/>
    <n v="-60"/>
    <n v="10000"/>
  </r>
  <r>
    <x v="24"/>
    <x v="0"/>
    <n v="139187061995"/>
    <n v="26357.13"/>
    <n v="16612154.83"/>
    <x v="0"/>
    <m/>
    <m/>
    <n v="0"/>
    <n v="-279"/>
    <n v="-1096.47"/>
    <n v="-167.4"/>
    <n v="27900.000000000004"/>
  </r>
  <r>
    <x v="24"/>
    <x v="0"/>
    <n v="139834672452"/>
    <n v="39264.29"/>
    <n v="16651419.119999999"/>
    <x v="0"/>
    <m/>
    <m/>
    <n v="0"/>
    <n v="-403"/>
    <n v="-390.91"/>
    <n v="-241.8"/>
    <n v="40300.000000000007"/>
  </r>
  <r>
    <x v="25"/>
    <x v="0"/>
    <n v="139188540317"/>
    <n v="36828.54"/>
    <n v="16688247.66"/>
    <x v="0"/>
    <m/>
    <m/>
    <n v="0"/>
    <n v="-378"/>
    <n v="-366.66"/>
    <n v="-226.8"/>
    <n v="37800.000000000007"/>
  </r>
  <r>
    <x v="25"/>
    <x v="0"/>
    <n v="139188415481"/>
    <n v="52904.49"/>
    <n v="16746703.08"/>
    <x v="0"/>
    <m/>
    <m/>
    <n v="0"/>
    <n v="-543"/>
    <n v="-526.71"/>
    <n v="-325.8"/>
    <n v="54300"/>
  </r>
  <r>
    <x v="25"/>
    <x v="0"/>
    <n v="139836291978"/>
    <n v="37218.26"/>
    <n v="16789237.309999999"/>
    <x v="0"/>
    <m/>
    <m/>
    <n v="0"/>
    <n v="-382"/>
    <n v="-370.54"/>
    <n v="-229.2"/>
    <n v="38200"/>
  </r>
  <r>
    <x v="25"/>
    <x v="0"/>
    <n v="139836502702"/>
    <n v="39751.440000000002"/>
    <n v="16832728.530000001"/>
    <x v="0"/>
    <m/>
    <m/>
    <n v="0"/>
    <n v="-408"/>
    <n v="-395.76"/>
    <n v="-244.8"/>
    <n v="40800.000000000007"/>
  </r>
  <r>
    <x v="25"/>
    <x v="0"/>
    <n v="139836675072"/>
    <n v="48617.57"/>
    <n v="16883343.260000002"/>
    <x v="0"/>
    <m/>
    <m/>
    <n v="0"/>
    <n v="-499"/>
    <n v="-484.03"/>
    <n v="-299.39999999999998"/>
    <n v="49900"/>
  </r>
  <r>
    <x v="25"/>
    <x v="0"/>
    <n v="139189628517"/>
    <n v="19486"/>
    <n v="16902829.260000002"/>
    <x v="0"/>
    <m/>
    <m/>
    <n v="0"/>
    <n v="-200"/>
    <n v="-194"/>
    <n v="-120"/>
    <n v="20000"/>
  </r>
  <r>
    <x v="24"/>
    <x v="136"/>
    <n v="139099300533"/>
    <n v="2011.84"/>
    <n v="15597006.800000001"/>
    <x v="0"/>
    <m/>
    <m/>
    <n v="-30.83"/>
    <n v="0"/>
    <n v="0"/>
    <n v="-12.33"/>
    <n v="2055"/>
  </r>
  <r>
    <x v="25"/>
    <x v="0"/>
    <n v="139837986428"/>
    <n v="9447"/>
    <n v="16914234.260000002"/>
    <x v="0"/>
    <m/>
    <m/>
    <n v="0"/>
    <n v="-100"/>
    <n v="-393"/>
    <n v="-60"/>
    <n v="10000"/>
  </r>
  <r>
    <x v="25"/>
    <x v="0"/>
    <n v="139191028607"/>
    <n v="180399.73"/>
    <n v="17094633.989999998"/>
    <x v="0"/>
    <m/>
    <m/>
    <n v="0"/>
    <n v="-1987"/>
    <n v="-15121.07"/>
    <n v="-1192.2"/>
    <n v="198700.00000000003"/>
  </r>
  <r>
    <x v="25"/>
    <x v="0"/>
    <n v="139838247870"/>
    <n v="9919.35"/>
    <n v="17104553.34"/>
    <x v="0"/>
    <m/>
    <m/>
    <n v="0"/>
    <n v="-105"/>
    <n v="-412.65"/>
    <n v="-63"/>
    <n v="10500"/>
  </r>
  <r>
    <x v="25"/>
    <x v="0"/>
    <n v="139191376159"/>
    <n v="28644.42"/>
    <n v="17133197.760000002"/>
    <x v="0"/>
    <m/>
    <m/>
    <n v="0"/>
    <n v="-294"/>
    <n v="-285.18"/>
    <n v="-176.4"/>
    <n v="29400"/>
  </r>
  <r>
    <x v="25"/>
    <x v="0"/>
    <n v="139191318807"/>
    <n v="28627.3"/>
    <n v="17161825.059999999"/>
    <x v="0"/>
    <m/>
    <m/>
    <n v="0"/>
    <n v="-305"/>
    <n v="-1384.7"/>
    <n v="-183"/>
    <n v="30500"/>
  </r>
  <r>
    <x v="25"/>
    <x v="0"/>
    <n v="139191239891"/>
    <n v="15588.8"/>
    <n v="17177413.859999999"/>
    <x v="0"/>
    <m/>
    <m/>
    <n v="0"/>
    <n v="-160"/>
    <n v="-155.19999999999999"/>
    <n v="-96"/>
    <n v="16000"/>
  </r>
  <r>
    <x v="24"/>
    <x v="118"/>
    <n v="139747543928"/>
    <n v="3034.9"/>
    <n v="15912229.609999999"/>
    <x v="0"/>
    <m/>
    <m/>
    <n v="-46.5"/>
    <n v="0"/>
    <n v="0"/>
    <n v="-18.600000000000001"/>
    <n v="3100"/>
  </r>
  <r>
    <x v="26"/>
    <x v="0"/>
    <n v="139441467593"/>
    <n v="27585.24"/>
    <n v="10244159.1"/>
    <x v="0"/>
    <m/>
    <m/>
    <n v="0"/>
    <n v="-292"/>
    <n v="-1147.56"/>
    <n v="-175.2"/>
    <n v="29200.000000000004"/>
  </r>
  <r>
    <x v="26"/>
    <x v="0"/>
    <n v="139447802567"/>
    <n v="14614.5"/>
    <n v="10258773.6"/>
    <x v="0"/>
    <m/>
    <m/>
    <n v="0"/>
    <n v="-150"/>
    <n v="-145.5"/>
    <n v="-90"/>
    <n v="15000"/>
  </r>
  <r>
    <x v="26"/>
    <x v="0"/>
    <n v="140096941494"/>
    <n v="37410.120000000003"/>
    <n v="10296183.720000001"/>
    <x v="0"/>
    <m/>
    <m/>
    <n v="0"/>
    <n v="-396"/>
    <n v="-1556.28"/>
    <n v="-237.6"/>
    <n v="39600"/>
  </r>
  <r>
    <x v="26"/>
    <x v="0"/>
    <n v="139450291447"/>
    <n v="9743"/>
    <n v="10305926.720000001"/>
    <x v="0"/>
    <m/>
    <m/>
    <n v="0"/>
    <n v="-100"/>
    <n v="-97"/>
    <n v="-60"/>
    <n v="10000"/>
  </r>
  <r>
    <x v="26"/>
    <x v="0"/>
    <n v="140102435218"/>
    <n v="18516.12"/>
    <n v="10324442.84"/>
    <x v="0"/>
    <m/>
    <m/>
    <n v="0"/>
    <n v="-196"/>
    <n v="-770.28"/>
    <n v="-117.6"/>
    <n v="19599.999999999996"/>
  </r>
  <r>
    <x v="26"/>
    <x v="0"/>
    <n v="140105601398"/>
    <n v="35074.800000000003"/>
    <n v="10359517.640000001"/>
    <x v="0"/>
    <m/>
    <m/>
    <n v="0"/>
    <n v="-360"/>
    <n v="-349.2"/>
    <n v="-216"/>
    <n v="36000"/>
  </r>
  <r>
    <x v="24"/>
    <x v="137"/>
    <n v="139819986828"/>
    <n v="1899.26"/>
    <n v="15881492.82"/>
    <x v="0"/>
    <m/>
    <m/>
    <n v="-29.1"/>
    <n v="0"/>
    <n v="0"/>
    <n v="-11.64"/>
    <n v="1940"/>
  </r>
  <r>
    <x v="26"/>
    <x v="0"/>
    <n v="139459696295"/>
    <n v="19271.88"/>
    <n v="10378789.52"/>
    <x v="0"/>
    <m/>
    <m/>
    <n v="0"/>
    <n v="-204"/>
    <n v="-801.72"/>
    <n v="-122.4"/>
    <n v="20400.000000000004"/>
  </r>
  <r>
    <x v="26"/>
    <x v="0"/>
    <n v="139460219937"/>
    <n v="4871.5"/>
    <n v="10383661.02"/>
    <x v="0"/>
    <m/>
    <m/>
    <n v="0"/>
    <n v="-50"/>
    <n v="-48.5"/>
    <n v="-30"/>
    <n v="5000"/>
  </r>
  <r>
    <x v="24"/>
    <x v="138"/>
    <n v="139173662641"/>
    <n v="1311.86"/>
    <n v="15913864.539999999"/>
    <x v="0"/>
    <m/>
    <m/>
    <n v="-20.100000000000001"/>
    <n v="0"/>
    <n v="0"/>
    <n v="-8.0399999999999991"/>
    <n v="1339.9999999999998"/>
  </r>
  <r>
    <x v="26"/>
    <x v="0"/>
    <n v="140108556622"/>
    <n v="5845.8"/>
    <n v="10389506.82"/>
    <x v="0"/>
    <m/>
    <m/>
    <n v="0"/>
    <n v="-60"/>
    <n v="-58.2"/>
    <n v="-36"/>
    <n v="6000"/>
  </r>
  <r>
    <x v="26"/>
    <x v="0"/>
    <n v="140110342078"/>
    <n v="19193.71"/>
    <n v="10408700.529999999"/>
    <x v="0"/>
    <m/>
    <m/>
    <n v="0"/>
    <n v="-197"/>
    <n v="-191.09"/>
    <n v="-118.2"/>
    <n v="19700"/>
  </r>
  <r>
    <x v="26"/>
    <x v="0"/>
    <n v="140111554838"/>
    <n v="16270.81"/>
    <n v="10424971.34"/>
    <x v="0"/>
    <m/>
    <m/>
    <n v="0"/>
    <n v="-167"/>
    <n v="-161.99"/>
    <n v="-100.2"/>
    <n v="16700"/>
  </r>
  <r>
    <x v="26"/>
    <x v="0"/>
    <n v="139464638853"/>
    <n v="16705.36"/>
    <n v="10444129.09"/>
    <x v="0"/>
    <m/>
    <m/>
    <n v="0"/>
    <n v="-184"/>
    <n v="-1400.24"/>
    <n v="-110.4"/>
    <n v="18400.000000000004"/>
  </r>
  <r>
    <x v="26"/>
    <x v="0"/>
    <n v="139465107537"/>
    <n v="9743"/>
    <n v="10453872.09"/>
    <x v="0"/>
    <m/>
    <m/>
    <n v="0"/>
    <n v="-100"/>
    <n v="-97"/>
    <n v="-60"/>
    <n v="10000"/>
  </r>
  <r>
    <x v="26"/>
    <x v="0"/>
    <n v="140113726872"/>
    <n v="9743"/>
    <n v="10463615.09"/>
    <x v="0"/>
    <m/>
    <m/>
    <n v="0"/>
    <n v="-100"/>
    <n v="-97"/>
    <n v="-60"/>
    <n v="10000"/>
  </r>
  <r>
    <x v="26"/>
    <x v="0"/>
    <n v="139466162181"/>
    <n v="19486"/>
    <n v="10483590.59"/>
    <x v="0"/>
    <m/>
    <m/>
    <n v="0"/>
    <n v="-200"/>
    <n v="-194"/>
    <n v="-120"/>
    <n v="20000"/>
  </r>
  <r>
    <x v="26"/>
    <x v="0"/>
    <n v="140115445908"/>
    <n v="10644.7"/>
    <n v="10495214.289999999"/>
    <x v="0"/>
    <m/>
    <m/>
    <n v="0"/>
    <n v="-110"/>
    <n v="-179.3"/>
    <n v="-66"/>
    <n v="11000"/>
  </r>
  <r>
    <x v="26"/>
    <x v="0"/>
    <n v="140115663656"/>
    <n v="9447"/>
    <n v="10504661.289999999"/>
    <x v="0"/>
    <m/>
    <m/>
    <n v="0"/>
    <n v="-100"/>
    <n v="-393"/>
    <n v="-60"/>
    <n v="10000"/>
  </r>
  <r>
    <x v="26"/>
    <x v="0"/>
    <n v="140116601668"/>
    <n v="18396.560000000001"/>
    <n v="10523057.85"/>
    <x v="0"/>
    <m/>
    <m/>
    <n v="0"/>
    <n v="-196"/>
    <n v="-889.84"/>
    <n v="-117.6"/>
    <n v="19600"/>
  </r>
  <r>
    <x v="26"/>
    <x v="0"/>
    <n v="140116779156"/>
    <n v="9353.2800000000007"/>
    <n v="10532411.130000001"/>
    <x v="0"/>
    <m/>
    <m/>
    <n v="0"/>
    <n v="-96"/>
    <n v="-93.12"/>
    <n v="-57.6"/>
    <n v="9600.0000000000018"/>
  </r>
  <r>
    <x v="26"/>
    <x v="0"/>
    <n v="140117650322"/>
    <n v="12096.25"/>
    <n v="10544507.380000001"/>
    <x v="0"/>
    <m/>
    <m/>
    <n v="0"/>
    <n v="-125"/>
    <n v="-203.75"/>
    <n v="-75"/>
    <n v="12500"/>
  </r>
  <r>
    <x v="26"/>
    <x v="0"/>
    <n v="139469521293"/>
    <n v="42089.760000000002"/>
    <n v="10586597.140000001"/>
    <x v="0"/>
    <m/>
    <m/>
    <n v="0"/>
    <n v="-432"/>
    <n v="-419.04"/>
    <n v="-259.2"/>
    <n v="43200"/>
  </r>
  <r>
    <x v="26"/>
    <x v="0"/>
    <n v="139472364079"/>
    <n v="9447"/>
    <n v="10596044.140000001"/>
    <x v="0"/>
    <m/>
    <m/>
    <n v="0"/>
    <n v="-100"/>
    <n v="-393"/>
    <n v="-60"/>
    <n v="10000"/>
  </r>
  <r>
    <x v="26"/>
    <x v="0"/>
    <n v="139472867537"/>
    <n v="28254.7"/>
    <n v="10624298.84"/>
    <x v="0"/>
    <m/>
    <m/>
    <n v="0"/>
    <n v="-290"/>
    <n v="-281.3"/>
    <n v="-174"/>
    <n v="29000"/>
  </r>
  <r>
    <x v="24"/>
    <x v="139"/>
    <n v="139830676398"/>
    <n v="1189.48"/>
    <n v="16294059.15"/>
    <x v="0"/>
    <m/>
    <m/>
    <n v="-18.23"/>
    <n v="0"/>
    <n v="0"/>
    <n v="-7.29"/>
    <n v="1215"/>
  </r>
  <r>
    <x v="26"/>
    <x v="0"/>
    <n v="139473304409"/>
    <n v="7085.25"/>
    <n v="10631384.09"/>
    <x v="0"/>
    <m/>
    <m/>
    <n v="0"/>
    <n v="-75"/>
    <n v="-294.75"/>
    <n v="-45"/>
    <n v="7500"/>
  </r>
  <r>
    <x v="26"/>
    <x v="0"/>
    <n v="140122127434"/>
    <n v="4723.5"/>
    <n v="10636107.59"/>
    <x v="0"/>
    <m/>
    <m/>
    <n v="0"/>
    <n v="-50"/>
    <n v="-196.5"/>
    <n v="-30"/>
    <n v="5000"/>
  </r>
  <r>
    <x v="26"/>
    <x v="0"/>
    <n v="139474299533"/>
    <n v="4723.5"/>
    <n v="10640831.09"/>
    <x v="0"/>
    <m/>
    <m/>
    <n v="0"/>
    <n v="-50"/>
    <n v="-196.5"/>
    <n v="-30"/>
    <n v="5000"/>
  </r>
  <r>
    <x v="24"/>
    <x v="140"/>
    <n v="139184362387"/>
    <n v="1370.6"/>
    <n v="16447310.99"/>
    <x v="0"/>
    <m/>
    <m/>
    <n v="-21"/>
    <n v="0"/>
    <n v="0"/>
    <n v="-8.4"/>
    <n v="1400"/>
  </r>
  <r>
    <x v="26"/>
    <x v="0"/>
    <n v="139474831259"/>
    <n v="9743"/>
    <n v="10650574.09"/>
    <x v="0"/>
    <m/>
    <m/>
    <n v="0"/>
    <n v="-100"/>
    <n v="-97"/>
    <n v="-60"/>
    <n v="10000"/>
  </r>
  <r>
    <x v="26"/>
    <x v="0"/>
    <n v="139474889257"/>
    <n v="27280.400000000001"/>
    <n v="10677854.49"/>
    <x v="0"/>
    <m/>
    <m/>
    <n v="0"/>
    <n v="-280"/>
    <n v="-271.60000000000002"/>
    <n v="-168"/>
    <n v="28000"/>
  </r>
  <r>
    <x v="26"/>
    <x v="0"/>
    <n v="139475371877"/>
    <n v="7307.25"/>
    <n v="10685161.74"/>
    <x v="0"/>
    <m/>
    <m/>
    <n v="0"/>
    <n v="-75"/>
    <n v="-72.75"/>
    <n v="-45"/>
    <n v="7500"/>
  </r>
  <r>
    <x v="26"/>
    <x v="0"/>
    <n v="139476022875"/>
    <n v="4676.6400000000003"/>
    <n v="10689838.380000001"/>
    <x v="0"/>
    <m/>
    <m/>
    <n v="0"/>
    <n v="-48"/>
    <n v="-46.56"/>
    <n v="-28.8"/>
    <n v="4800.0000000000009"/>
  </r>
  <r>
    <x v="24"/>
    <x v="141"/>
    <n v="139187005321"/>
    <n v="979"/>
    <n v="16585797.699999999"/>
    <x v="0"/>
    <m/>
    <m/>
    <n v="-15"/>
    <n v="0"/>
    <n v="0"/>
    <n v="-6"/>
    <n v="1000"/>
  </r>
  <r>
    <x v="26"/>
    <x v="0"/>
    <n v="139476163297"/>
    <n v="18386.3"/>
    <n v="10708459.640000001"/>
    <x v="0"/>
    <m/>
    <m/>
    <n v="0"/>
    <n v="-190"/>
    <n v="-309.7"/>
    <n v="-114"/>
    <n v="19000"/>
  </r>
  <r>
    <x v="26"/>
    <x v="0"/>
    <n v="139476380341"/>
    <n v="14614.5"/>
    <n v="10723074.140000001"/>
    <x v="0"/>
    <m/>
    <m/>
    <n v="0"/>
    <n v="-150"/>
    <n v="-145.5"/>
    <n v="-90"/>
    <n v="15000"/>
  </r>
  <r>
    <x v="26"/>
    <x v="0"/>
    <n v="139476781595"/>
    <n v="9743"/>
    <n v="10732817.140000001"/>
    <x v="0"/>
    <m/>
    <m/>
    <n v="0"/>
    <n v="-100"/>
    <n v="-97"/>
    <n v="-60"/>
    <n v="10000"/>
  </r>
  <r>
    <x v="25"/>
    <x v="142"/>
    <n v="139188337731"/>
    <n v="5550.93"/>
    <n v="16693798.59"/>
    <x v="0"/>
    <m/>
    <m/>
    <n v="-85.05"/>
    <n v="0"/>
    <n v="0"/>
    <n v="-34.020000000000003"/>
    <n v="5670.0000000000009"/>
  </r>
  <r>
    <x v="26"/>
    <x v="0"/>
    <n v="140124952752"/>
    <n v="31080.17"/>
    <n v="10764386.810000001"/>
    <x v="0"/>
    <m/>
    <m/>
    <n v="0"/>
    <n v="-319"/>
    <n v="-309.43"/>
    <n v="-191.4"/>
    <n v="31900"/>
  </r>
  <r>
    <x v="25"/>
    <x v="143"/>
    <n v="139835864462"/>
    <n v="5315.97"/>
    <n v="16752019.050000001"/>
    <x v="0"/>
    <m/>
    <m/>
    <n v="-81.45"/>
    <n v="0"/>
    <n v="0"/>
    <n v="-32.58"/>
    <n v="5430"/>
  </r>
  <r>
    <x v="26"/>
    <x v="0"/>
    <n v="140125689836"/>
    <n v="7557.6"/>
    <n v="10775067.42"/>
    <x v="0"/>
    <m/>
    <m/>
    <n v="0"/>
    <n v="-80"/>
    <n v="-314.39999999999998"/>
    <n v="-48"/>
    <n v="8000"/>
  </r>
  <r>
    <x v="25"/>
    <x v="144"/>
    <n v="139836327732"/>
    <n v="3739.78"/>
    <n v="16792977.09"/>
    <x v="0"/>
    <m/>
    <m/>
    <n v="-57.3"/>
    <n v="0"/>
    <n v="0"/>
    <n v="-22.92"/>
    <n v="3820.0000000000005"/>
  </r>
  <r>
    <x v="26"/>
    <x v="0"/>
    <n v="139478121971"/>
    <n v="7112.39"/>
    <n v="10782179.810000001"/>
    <x v="0"/>
    <m/>
    <m/>
    <n v="0"/>
    <n v="-73"/>
    <n v="-70.81"/>
    <n v="-43.8"/>
    <n v="7300.0000000000009"/>
  </r>
  <r>
    <x v="25"/>
    <x v="145"/>
    <n v="139836544342"/>
    <n v="1997.16"/>
    <n v="16834725.690000001"/>
    <x v="0"/>
    <m/>
    <m/>
    <n v="-30.6"/>
    <n v="0"/>
    <n v="0"/>
    <n v="-12.24"/>
    <n v="2040"/>
  </r>
  <r>
    <x v="26"/>
    <x v="0"/>
    <n v="140126690492"/>
    <n v="7307.25"/>
    <n v="10789487.060000001"/>
    <x v="0"/>
    <m/>
    <m/>
    <n v="0"/>
    <n v="-75"/>
    <n v="-72.75"/>
    <n v="-45"/>
    <n v="7500"/>
  </r>
  <r>
    <x v="26"/>
    <x v="0"/>
    <n v="139478863041"/>
    <n v="46863.83"/>
    <n v="10836718.01"/>
    <x v="0"/>
    <m/>
    <m/>
    <n v="0"/>
    <n v="-481"/>
    <n v="-466.57"/>
    <n v="-288.60000000000002"/>
    <n v="48100"/>
  </r>
  <r>
    <x v="25"/>
    <x v="146"/>
    <n v="139836791360"/>
    <n v="1958"/>
    <n v="16904787.260000002"/>
    <x v="0"/>
    <m/>
    <m/>
    <n v="-30"/>
    <n v="0"/>
    <n v="0"/>
    <n v="-12"/>
    <n v="2000"/>
  </r>
  <r>
    <x v="26"/>
    <x v="0"/>
    <n v="140126955086"/>
    <n v="40628.31"/>
    <n v="10877346.32"/>
    <x v="0"/>
    <m/>
    <m/>
    <n v="0"/>
    <n v="-417"/>
    <n v="-404.49"/>
    <n v="-250.2"/>
    <n v="41699.999999999993"/>
  </r>
  <r>
    <x v="26"/>
    <x v="0"/>
    <n v="139479170537"/>
    <n v="30410.639999999999"/>
    <n v="10907756.960000001"/>
    <x v="0"/>
    <m/>
    <m/>
    <n v="0"/>
    <n v="-324"/>
    <n v="-1470.96"/>
    <n v="-194.4"/>
    <n v="32400"/>
  </r>
  <r>
    <x v="26"/>
    <x v="0"/>
    <n v="140127339266"/>
    <n v="4505.28"/>
    <n v="10912262.24"/>
    <x v="0"/>
    <m/>
    <m/>
    <n v="0"/>
    <n v="-48"/>
    <n v="-217.92"/>
    <n v="-28.8"/>
    <n v="4800"/>
  </r>
  <r>
    <x v="27"/>
    <x v="0"/>
    <n v="140128375658"/>
    <n v="8378.98"/>
    <n v="10920641.220000001"/>
    <x v="0"/>
    <m/>
    <m/>
    <n v="0"/>
    <n v="-86"/>
    <n v="-83.42"/>
    <n v="-51.6"/>
    <n v="8600"/>
  </r>
  <r>
    <x v="27"/>
    <x v="0"/>
    <n v="139480783565"/>
    <n v="9743"/>
    <n v="10930384.220000001"/>
    <x v="0"/>
    <m/>
    <m/>
    <n v="0"/>
    <n v="-100"/>
    <n v="-97"/>
    <n v="-60"/>
    <n v="10000"/>
  </r>
  <r>
    <x v="27"/>
    <x v="0"/>
    <n v="140129124980"/>
    <n v="10391.700000000001"/>
    <n v="10941265.42"/>
    <x v="0"/>
    <m/>
    <m/>
    <n v="0"/>
    <n v="-110"/>
    <n v="-432.3"/>
    <n v="-66"/>
    <n v="11000"/>
  </r>
  <r>
    <x v="27"/>
    <x v="0"/>
    <n v="139481099341"/>
    <n v="4723.5"/>
    <n v="10945988.92"/>
    <x v="0"/>
    <m/>
    <m/>
    <n v="0"/>
    <n v="-50"/>
    <n v="-196.5"/>
    <n v="-30"/>
    <n v="5000"/>
  </r>
  <r>
    <x v="27"/>
    <x v="0"/>
    <n v="140129225334"/>
    <n v="4723.5"/>
    <n v="10950712.42"/>
    <x v="0"/>
    <m/>
    <m/>
    <n v="0"/>
    <n v="-50"/>
    <n v="-196.5"/>
    <n v="-30"/>
    <n v="5000"/>
  </r>
  <r>
    <x v="27"/>
    <x v="0"/>
    <n v="140129793484"/>
    <n v="7696.97"/>
    <n v="10958409.390000001"/>
    <x v="0"/>
    <m/>
    <m/>
    <n v="0"/>
    <n v="-79"/>
    <n v="-76.63"/>
    <n v="-47.4"/>
    <n v="7900"/>
  </r>
  <r>
    <x v="27"/>
    <x v="0"/>
    <n v="139482482409"/>
    <n v="4871.5"/>
    <n v="10963667.59"/>
    <x v="0"/>
    <m/>
    <m/>
    <n v="0"/>
    <n v="-50"/>
    <n v="-48.5"/>
    <n v="-30"/>
    <n v="5000"/>
  </r>
  <r>
    <x v="26"/>
    <x v="147"/>
    <n v="139427737813"/>
    <n v="39160"/>
    <n v="10216573.859999999"/>
    <x v="0"/>
    <m/>
    <m/>
    <n v="-600"/>
    <n v="0"/>
    <n v="0"/>
    <n v="-240"/>
    <n v="40000"/>
  </r>
  <r>
    <x v="27"/>
    <x v="0"/>
    <n v="139482363759"/>
    <n v="5358.65"/>
    <n v="10969026.24"/>
    <x v="0"/>
    <m/>
    <m/>
    <n v="0"/>
    <n v="-55"/>
    <n v="-53.35"/>
    <n v="-33"/>
    <n v="5500"/>
  </r>
  <r>
    <x v="27"/>
    <x v="0"/>
    <n v="140130674408"/>
    <n v="4774.07"/>
    <n v="10973800.310000001"/>
    <x v="0"/>
    <m/>
    <m/>
    <n v="0"/>
    <n v="-49"/>
    <n v="-47.53"/>
    <n v="-29.4"/>
    <n v="4899.9999999999991"/>
  </r>
  <r>
    <x v="27"/>
    <x v="0"/>
    <n v="139483078587"/>
    <n v="23050.68"/>
    <n v="10996850.99"/>
    <x v="0"/>
    <m/>
    <m/>
    <n v="0"/>
    <n v="-244"/>
    <n v="-958.92"/>
    <n v="-146.4"/>
    <n v="24400"/>
  </r>
  <r>
    <x v="27"/>
    <x v="0"/>
    <n v="139483146433"/>
    <n v="47058.69"/>
    <n v="11043909.68"/>
    <x v="0"/>
    <m/>
    <m/>
    <n v="0"/>
    <n v="-483"/>
    <n v="-468.51"/>
    <n v="-289.8"/>
    <n v="48300.000000000007"/>
  </r>
  <r>
    <x v="27"/>
    <x v="0"/>
    <n v="139483278643"/>
    <n v="7039.5"/>
    <n v="11053313.460000001"/>
    <x v="0"/>
    <m/>
    <m/>
    <n v="0"/>
    <n v="-75"/>
    <n v="-340.5"/>
    <n v="-45"/>
    <n v="7500"/>
  </r>
  <r>
    <x v="27"/>
    <x v="0"/>
    <n v="139483504133"/>
    <n v="7696.97"/>
    <n v="11061010.43"/>
    <x v="0"/>
    <m/>
    <m/>
    <n v="0"/>
    <n v="-79"/>
    <n v="-76.63"/>
    <n v="-47.4"/>
    <n v="7900"/>
  </r>
  <r>
    <x v="27"/>
    <x v="0"/>
    <n v="139483492351"/>
    <n v="10391.700000000001"/>
    <n v="11071402.130000001"/>
    <x v="0"/>
    <m/>
    <m/>
    <n v="0"/>
    <n v="-110"/>
    <n v="-432.3"/>
    <n v="-66"/>
    <n v="11000"/>
  </r>
  <r>
    <x v="27"/>
    <x v="0"/>
    <n v="139483449131"/>
    <n v="4644.96"/>
    <n v="11076047.09"/>
    <x v="0"/>
    <m/>
    <m/>
    <n v="0"/>
    <n v="-48"/>
    <n v="-78.239999999999995"/>
    <n v="-28.8"/>
    <n v="4800"/>
  </r>
  <r>
    <x v="27"/>
    <x v="0"/>
    <n v="140132323268"/>
    <n v="17634.830000000002"/>
    <n v="11093681.92"/>
    <x v="0"/>
    <m/>
    <m/>
    <n v="0"/>
    <n v="-181"/>
    <n v="-175.57"/>
    <n v="-108.6"/>
    <n v="18100"/>
  </r>
  <r>
    <x v="27"/>
    <x v="0"/>
    <n v="139484535079"/>
    <n v="23578.06"/>
    <n v="11117259.98"/>
    <x v="0"/>
    <m/>
    <m/>
    <n v="0"/>
    <n v="-242"/>
    <n v="-234.74"/>
    <n v="-145.19999999999999"/>
    <n v="24200.000000000004"/>
  </r>
  <r>
    <x v="27"/>
    <x v="0"/>
    <n v="140132565856"/>
    <n v="10230.15"/>
    <n v="11127490.130000001"/>
    <x v="0"/>
    <m/>
    <m/>
    <n v="0"/>
    <n v="-105"/>
    <n v="-101.85"/>
    <n v="-63"/>
    <n v="10500"/>
  </r>
  <r>
    <x v="26"/>
    <x v="148"/>
    <n v="140111640118"/>
    <n v="2452.39"/>
    <n v="10427423.73"/>
    <x v="0"/>
    <m/>
    <m/>
    <n v="-37.58"/>
    <n v="0"/>
    <n v="0"/>
    <n v="-15.03"/>
    <n v="2505"/>
  </r>
  <r>
    <x v="27"/>
    <x v="0"/>
    <n v="140132858928"/>
    <n v="29031"/>
    <n v="11156521.130000001"/>
    <x v="0"/>
    <m/>
    <m/>
    <n v="0"/>
    <n v="-300"/>
    <n v="-489"/>
    <n v="-180"/>
    <n v="30000"/>
  </r>
  <r>
    <x v="27"/>
    <x v="0"/>
    <n v="140132881300"/>
    <n v="15881.09"/>
    <n v="11172402.220000001"/>
    <x v="0"/>
    <m/>
    <m/>
    <n v="0"/>
    <n v="-163"/>
    <n v="-158.11000000000001"/>
    <n v="-97.8"/>
    <n v="16300"/>
  </r>
  <r>
    <x v="27"/>
    <x v="0"/>
    <n v="139484972295"/>
    <n v="31063.17"/>
    <n v="11203465.390000001"/>
    <x v="0"/>
    <m/>
    <m/>
    <n v="0"/>
    <n v="-321"/>
    <n v="-523.23"/>
    <n v="-192.6"/>
    <n v="32099.999999999996"/>
  </r>
  <r>
    <x v="26"/>
    <x v="149"/>
    <n v="140113621612"/>
    <n v="489.5"/>
    <n v="10464104.59"/>
    <x v="0"/>
    <m/>
    <m/>
    <n v="-7.5"/>
    <n v="0"/>
    <n v="0"/>
    <n v="-3"/>
    <n v="500"/>
  </r>
  <r>
    <x v="27"/>
    <x v="0"/>
    <n v="140133204838"/>
    <n v="7696.97"/>
    <n v="11211162.359999999"/>
    <x v="0"/>
    <m/>
    <m/>
    <n v="0"/>
    <n v="-79"/>
    <n v="-76.63"/>
    <n v="-47.4"/>
    <n v="7900"/>
  </r>
  <r>
    <x v="26"/>
    <x v="132"/>
    <n v="139466124447"/>
    <n v="979"/>
    <n v="10484569.59"/>
    <x v="0"/>
    <m/>
    <m/>
    <n v="-15"/>
    <n v="0"/>
    <n v="0"/>
    <n v="-6"/>
    <n v="1000"/>
  </r>
  <r>
    <x v="27"/>
    <x v="0"/>
    <n v="139485340871"/>
    <n v="2361.75"/>
    <n v="11214297.52"/>
    <x v="0"/>
    <m/>
    <m/>
    <n v="0"/>
    <n v="-25"/>
    <n v="-98.25"/>
    <n v="-15"/>
    <n v="2500"/>
  </r>
  <r>
    <x v="27"/>
    <x v="0"/>
    <n v="139485632399"/>
    <n v="9824.8799999999992"/>
    <n v="11224122.4"/>
    <x v="0"/>
    <m/>
    <m/>
    <n v="0"/>
    <n v="-104"/>
    <n v="-408.72"/>
    <n v="-62.4"/>
    <n v="10399.999999999998"/>
  </r>
  <r>
    <x v="27"/>
    <x v="0"/>
    <n v="139485607001"/>
    <n v="34071.18"/>
    <n v="11258193.58"/>
    <x v="0"/>
    <m/>
    <m/>
    <n v="0"/>
    <n v="-363"/>
    <n v="-1648.02"/>
    <n v="-217.8"/>
    <n v="36300"/>
  </r>
  <r>
    <x v="27"/>
    <x v="0"/>
    <n v="140133653336"/>
    <n v="14419.64"/>
    <n v="11272613.220000001"/>
    <x v="0"/>
    <m/>
    <m/>
    <n v="0"/>
    <n v="-148"/>
    <n v="-143.56"/>
    <n v="-88.8"/>
    <n v="14799.999999999998"/>
  </r>
  <r>
    <x v="27"/>
    <x v="0"/>
    <n v="139485756335"/>
    <n v="25818.95"/>
    <n v="11299156.630000001"/>
    <x v="0"/>
    <m/>
    <m/>
    <n v="0"/>
    <n v="-265"/>
    <n v="-257.05"/>
    <n v="-159"/>
    <n v="26500"/>
  </r>
  <r>
    <x v="27"/>
    <x v="0"/>
    <n v="140133896184"/>
    <n v="107845.14"/>
    <n v="11407001.77"/>
    <x v="0"/>
    <m/>
    <m/>
    <n v="0"/>
    <n v="-1149"/>
    <n v="-5216.46"/>
    <n v="-689.4"/>
    <n v="114900"/>
  </r>
  <r>
    <x v="27"/>
    <x v="0"/>
    <n v="140133763234"/>
    <n v="18706.560000000001"/>
    <n v="11425708.33"/>
    <x v="0"/>
    <m/>
    <m/>
    <n v="0"/>
    <n v="-192"/>
    <n v="-186.24"/>
    <n v="-115.2"/>
    <n v="19200.000000000004"/>
  </r>
  <r>
    <x v="27"/>
    <x v="0"/>
    <n v="140133910726"/>
    <n v="14322.21"/>
    <n v="11440030.539999999"/>
    <x v="0"/>
    <m/>
    <m/>
    <n v="0"/>
    <n v="-147"/>
    <n v="-142.59"/>
    <n v="-88.2"/>
    <n v="14700"/>
  </r>
  <r>
    <x v="27"/>
    <x v="0"/>
    <n v="139485908731"/>
    <n v="79308.02"/>
    <n v="11520058.119999999"/>
    <x v="0"/>
    <m/>
    <m/>
    <n v="0"/>
    <n v="-814"/>
    <n v="-789.58"/>
    <n v="-488.4"/>
    <n v="81400"/>
  </r>
  <r>
    <x v="27"/>
    <x v="0"/>
    <n v="140133907214"/>
    <n v="9353.2800000000007"/>
    <n v="11529411.4"/>
    <x v="0"/>
    <m/>
    <m/>
    <n v="0"/>
    <n v="-96"/>
    <n v="-93.12"/>
    <n v="-57.6"/>
    <n v="9600.0000000000018"/>
  </r>
  <r>
    <x v="27"/>
    <x v="0"/>
    <n v="139485954691"/>
    <n v="7307.25"/>
    <n v="11537188.57"/>
    <x v="0"/>
    <m/>
    <m/>
    <n v="0"/>
    <n v="-75"/>
    <n v="-72.75"/>
    <n v="-45"/>
    <n v="7500"/>
  </r>
  <r>
    <x v="27"/>
    <x v="0"/>
    <n v="140133989406"/>
    <n v="81938.63"/>
    <n v="11619127.199999999"/>
    <x v="0"/>
    <m/>
    <m/>
    <n v="0"/>
    <n v="-841"/>
    <n v="-815.77"/>
    <n v="-504.6"/>
    <n v="84100.000000000015"/>
  </r>
  <r>
    <x v="27"/>
    <x v="0"/>
    <n v="139486142195"/>
    <n v="39166.86"/>
    <n v="11658294.060000001"/>
    <x v="0"/>
    <m/>
    <m/>
    <n v="0"/>
    <n v="-402"/>
    <n v="-389.94"/>
    <n v="-241.2"/>
    <n v="40200"/>
  </r>
  <r>
    <x v="27"/>
    <x v="0"/>
    <n v="139486182203"/>
    <n v="35561.949999999997"/>
    <n v="11693856.01"/>
    <x v="0"/>
    <m/>
    <m/>
    <n v="0"/>
    <n v="-365"/>
    <n v="-354.05"/>
    <n v="-219"/>
    <n v="36500"/>
  </r>
  <r>
    <x v="27"/>
    <x v="0"/>
    <n v="140134110924"/>
    <n v="4723.5"/>
    <n v="11698579.51"/>
    <x v="0"/>
    <m/>
    <m/>
    <n v="0"/>
    <n v="-50"/>
    <n v="-196.5"/>
    <n v="-30"/>
    <n v="5000"/>
  </r>
  <r>
    <x v="26"/>
    <x v="150"/>
    <n v="140124023076"/>
    <n v="234.96"/>
    <n v="10690073.34"/>
    <x v="0"/>
    <m/>
    <m/>
    <n v="-3.6"/>
    <n v="0"/>
    <n v="0"/>
    <n v="-1.44"/>
    <n v="240"/>
  </r>
  <r>
    <x v="27"/>
    <x v="0"/>
    <n v="140134031710"/>
    <n v="4774.07"/>
    <n v="11703353.58"/>
    <x v="0"/>
    <m/>
    <m/>
    <n v="0"/>
    <n v="-49"/>
    <n v="-47.53"/>
    <n v="-29.4"/>
    <n v="4899.9999999999991"/>
  </r>
  <r>
    <x v="27"/>
    <x v="0"/>
    <n v="139486025795"/>
    <n v="12276.18"/>
    <n v="11715629.76"/>
    <x v="0"/>
    <m/>
    <m/>
    <n v="0"/>
    <n v="-126"/>
    <n v="-122.22"/>
    <n v="-75.599999999999994"/>
    <n v="12600"/>
  </r>
  <r>
    <x v="27"/>
    <x v="0"/>
    <n v="139486246871"/>
    <n v="7794.4"/>
    <n v="11723424.16"/>
    <x v="0"/>
    <m/>
    <m/>
    <n v="0"/>
    <n v="-80"/>
    <n v="-77.599999999999994"/>
    <n v="-48"/>
    <n v="8000"/>
  </r>
  <r>
    <x v="26"/>
    <x v="151"/>
    <n v="139476918527"/>
    <n v="489.5"/>
    <n v="10733306.640000001"/>
    <x v="0"/>
    <m/>
    <m/>
    <n v="-7.5"/>
    <n v="0"/>
    <n v="0"/>
    <n v="-3"/>
    <n v="500"/>
  </r>
  <r>
    <x v="27"/>
    <x v="0"/>
    <n v="140134313280"/>
    <n v="39166.86"/>
    <n v="11762591.02"/>
    <x v="0"/>
    <m/>
    <m/>
    <n v="0"/>
    <n v="-402"/>
    <n v="-389.94"/>
    <n v="-241.2"/>
    <n v="40200"/>
  </r>
  <r>
    <x v="26"/>
    <x v="152"/>
    <n v="139476996191"/>
    <n v="3123.01"/>
    <n v="10767509.82"/>
    <x v="0"/>
    <m/>
    <m/>
    <n v="-47.85"/>
    <n v="0"/>
    <n v="0"/>
    <n v="-19.14"/>
    <n v="3190"/>
  </r>
  <r>
    <x v="27"/>
    <x v="0"/>
    <n v="139486404629"/>
    <n v="3312.62"/>
    <n v="11765903.640000001"/>
    <x v="0"/>
    <m/>
    <m/>
    <n v="0"/>
    <n v="-34"/>
    <n v="-32.979999999999997"/>
    <n v="-20.399999999999999"/>
    <n v="3400"/>
  </r>
  <r>
    <x v="27"/>
    <x v="0"/>
    <n v="140134432862"/>
    <n v="217442.05"/>
    <n v="11983345.689999999"/>
    <x v="0"/>
    <m/>
    <m/>
    <n v="0"/>
    <n v="-2395"/>
    <n v="-18225.95"/>
    <n v="-1437"/>
    <n v="239500"/>
  </r>
  <r>
    <x v="27"/>
    <x v="0"/>
    <n v="139486393553"/>
    <n v="3702.34"/>
    <n v="11987048.029999999"/>
    <x v="0"/>
    <m/>
    <m/>
    <n v="0"/>
    <n v="-38"/>
    <n v="-36.86"/>
    <n v="-22.8"/>
    <n v="3800.0000000000005"/>
  </r>
  <r>
    <x v="26"/>
    <x v="153"/>
    <n v="139478507609"/>
    <n v="367.12"/>
    <n v="10789854.18"/>
    <x v="0"/>
    <m/>
    <m/>
    <n v="-5.63"/>
    <n v="0"/>
    <n v="0"/>
    <n v="-2.25"/>
    <n v="375"/>
  </r>
  <r>
    <x v="15"/>
    <x v="21"/>
    <n v="138034620679"/>
    <n v="-18138.240000000002"/>
    <n v="10449486.300000001"/>
    <x v="0"/>
    <m/>
    <m/>
    <n v="0"/>
    <n v="192"/>
    <n v="754.56"/>
    <n v="115.2"/>
    <n v="-19200.000000000004"/>
  </r>
  <r>
    <x v="15"/>
    <x v="21"/>
    <n v="138034929089"/>
    <n v="-94.47"/>
    <n v="10467624.539999999"/>
    <x v="0"/>
    <m/>
    <m/>
    <n v="0"/>
    <n v="1"/>
    <n v="3.93"/>
    <n v="0.6"/>
    <n v="-100"/>
  </r>
  <r>
    <x v="17"/>
    <x v="21"/>
    <n v="138853192420"/>
    <n v="-25136.94"/>
    <n v="13794300.59"/>
    <x v="0"/>
    <m/>
    <m/>
    <n v="0"/>
    <n v="258"/>
    <n v="250.26"/>
    <n v="154.80000000000001"/>
    <n v="-25799.999999999996"/>
  </r>
  <r>
    <x v="19"/>
    <x v="21"/>
    <n v="139273670082"/>
    <n v="-37032.239999999998"/>
    <n v="16076637.1"/>
    <x v="0"/>
    <m/>
    <m/>
    <n v="0"/>
    <n v="392"/>
    <n v="1540.56"/>
    <n v="235.2"/>
    <n v="-39199.999999999993"/>
  </r>
  <r>
    <x v="7"/>
    <x v="48"/>
    <n v="136643701755"/>
    <n v="-1000000"/>
    <n v="15800467.59"/>
    <x v="4"/>
    <n v="-1000000"/>
    <m/>
    <n v="0"/>
    <n v="0"/>
    <n v="0"/>
    <n v="0"/>
    <n v="-1000000"/>
  </r>
  <r>
    <x v="7"/>
    <x v="48"/>
    <n v="136644102125"/>
    <n v="-1000000"/>
    <n v="23800467.59"/>
    <x v="4"/>
    <n v="-1000000"/>
    <m/>
    <n v="0"/>
    <n v="0"/>
    <n v="0"/>
    <n v="0"/>
    <n v="-1000000"/>
  </r>
  <r>
    <x v="27"/>
    <x v="153"/>
    <n v="139480876737"/>
    <n v="489.5"/>
    <n v="10930873.720000001"/>
    <x v="0"/>
    <m/>
    <m/>
    <n v="-7.5"/>
    <n v="0"/>
    <n v="0"/>
    <n v="-3"/>
    <n v="500"/>
  </r>
  <r>
    <x v="7"/>
    <x v="48"/>
    <n v="136644141961"/>
    <n v="-1000000"/>
    <n v="11800467.59"/>
    <x v="4"/>
    <n v="-1000000"/>
    <m/>
    <n v="0"/>
    <n v="0"/>
    <n v="0"/>
    <n v="0"/>
    <n v="-1000000"/>
  </r>
  <r>
    <x v="7"/>
    <x v="48"/>
    <n v="136645101177"/>
    <n v="-200000"/>
    <n v="9600467.5899999999"/>
    <x v="4"/>
    <n v="-200000"/>
    <m/>
    <n v="0"/>
    <n v="0"/>
    <n v="0"/>
    <n v="0"/>
    <n v="-200000"/>
  </r>
  <r>
    <x v="7"/>
    <x v="1"/>
    <n v="137266249568"/>
    <n v="-3000"/>
    <n v="25800467.59"/>
    <x v="1"/>
    <n v="-500000"/>
    <m/>
    <n v="0"/>
    <n v="0"/>
    <n v="0"/>
    <m/>
    <n v="-3000"/>
  </r>
  <r>
    <x v="7"/>
    <x v="3"/>
    <n v="137266249568"/>
    <n v="-500000"/>
    <n v="25803467.59"/>
    <x v="2"/>
    <m/>
    <m/>
    <n v="0"/>
    <n v="0"/>
    <n v="0"/>
    <n v="-3000"/>
    <n v="-500000"/>
  </r>
  <r>
    <x v="27"/>
    <x v="154"/>
    <n v="140129960332"/>
    <n v="386.7"/>
    <n v="10958796.09"/>
    <x v="0"/>
    <m/>
    <m/>
    <n v="-5.93"/>
    <n v="0"/>
    <n v="0"/>
    <n v="-2.37"/>
    <n v="395"/>
  </r>
  <r>
    <x v="7"/>
    <x v="48"/>
    <n v="137272037684"/>
    <n v="-1000000"/>
    <n v="21800467.59"/>
    <x v="4"/>
    <n v="-1000000"/>
    <m/>
    <n v="0"/>
    <n v="0"/>
    <n v="0"/>
    <n v="0"/>
    <n v="-1000000"/>
  </r>
  <r>
    <x v="7"/>
    <x v="48"/>
    <n v="137272199862"/>
    <n v="-1000000"/>
    <n v="18800467.59"/>
    <x v="4"/>
    <n v="-1000000"/>
    <m/>
    <n v="0"/>
    <n v="0"/>
    <n v="0"/>
    <n v="0"/>
    <n v="-1000000"/>
  </r>
  <r>
    <x v="7"/>
    <x v="48"/>
    <n v="137272959812"/>
    <n v="-1000000"/>
    <n v="14800467.59"/>
    <x v="4"/>
    <n v="-1000000"/>
    <m/>
    <n v="0"/>
    <n v="0"/>
    <n v="0"/>
    <n v="0"/>
    <n v="-1000000"/>
  </r>
  <r>
    <x v="7"/>
    <x v="48"/>
    <n v="137273297958"/>
    <n v="-1000000"/>
    <n v="10800467.59"/>
    <x v="4"/>
    <n v="-1000000"/>
    <m/>
    <n v="0"/>
    <n v="0"/>
    <n v="0"/>
    <n v="0"/>
    <n v="-1000000"/>
  </r>
  <r>
    <x v="7"/>
    <x v="48"/>
    <n v="137273876874"/>
    <n v="-1000000"/>
    <n v="12800467.59"/>
    <x v="4"/>
    <n v="-1000000"/>
    <m/>
    <n v="0"/>
    <n v="0"/>
    <n v="0"/>
    <n v="0"/>
    <n v="-1000000"/>
  </r>
  <r>
    <x v="27"/>
    <x v="155"/>
    <n v="140131190404"/>
    <n v="2364.2800000000002"/>
    <n v="11046273.960000001"/>
    <x v="0"/>
    <m/>
    <m/>
    <n v="-36.229999999999997"/>
    <n v="0"/>
    <n v="0"/>
    <n v="-14.49"/>
    <n v="2415"/>
  </r>
  <r>
    <x v="7"/>
    <x v="48"/>
    <n v="137273884824"/>
    <n v="-1000000"/>
    <n v="13800467.59"/>
    <x v="4"/>
    <n v="-1000000"/>
    <m/>
    <n v="0"/>
    <n v="0"/>
    <n v="0"/>
    <n v="0"/>
    <n v="-1000000"/>
  </r>
  <r>
    <x v="7"/>
    <x v="48"/>
    <n v="137273929588"/>
    <n v="-1000000"/>
    <n v="9800467.5899999999"/>
    <x v="4"/>
    <n v="-1000000"/>
    <m/>
    <n v="0"/>
    <n v="0"/>
    <n v="0"/>
    <n v="0"/>
    <n v="-1000000"/>
  </r>
  <r>
    <x v="8"/>
    <x v="156"/>
    <n v="137611435372"/>
    <n v="-144652.32999999999"/>
    <n v="12987065.060000001"/>
    <x v="2"/>
    <n v="-143789.59244532802"/>
    <m/>
    <n v="0"/>
    <n v="0"/>
    <n v="0"/>
    <n v="-862.74"/>
    <n v="-143789.59"/>
  </r>
  <r>
    <x v="8"/>
    <x v="157"/>
    <n v="137621114436"/>
    <n v="-45268.99"/>
    <n v="12941796.07"/>
    <x v="2"/>
    <n v="-44998.99602385686"/>
    <m/>
    <n v="0"/>
    <n v="0"/>
    <n v="0"/>
    <n v="-269.99"/>
    <n v="-44999"/>
  </r>
  <r>
    <x v="13"/>
    <x v="1"/>
    <n v="137625617225"/>
    <n v="-1800"/>
    <n v="17348924.239999998"/>
    <x v="1"/>
    <n v="-300000"/>
    <m/>
    <n v="0"/>
    <n v="0"/>
    <n v="0"/>
    <m/>
    <n v="-1800"/>
  </r>
  <r>
    <x v="13"/>
    <x v="3"/>
    <n v="137625617225"/>
    <n v="-300000"/>
    <n v="17350724.239999998"/>
    <x v="2"/>
    <m/>
    <m/>
    <n v="0"/>
    <n v="0"/>
    <n v="0"/>
    <n v="-1800"/>
    <n v="-300000"/>
  </r>
  <r>
    <x v="13"/>
    <x v="158"/>
    <n v="137628567805"/>
    <n v="-366988.79999999999"/>
    <n v="16981935.440000001"/>
    <x v="2"/>
    <n v="-364800"/>
    <m/>
    <n v="0"/>
    <n v="0"/>
    <n v="0"/>
    <n v="-2188.7999999999884"/>
    <n v="-364800"/>
  </r>
  <r>
    <x v="13"/>
    <x v="48"/>
    <n v="137647504691"/>
    <n v="-3200000"/>
    <n v="13781935.439999999"/>
    <x v="4"/>
    <n v="-3200000"/>
    <m/>
    <n v="0"/>
    <n v="0"/>
    <n v="0"/>
    <n v="0"/>
    <n v="-3200000"/>
  </r>
  <r>
    <x v="13"/>
    <x v="159"/>
    <n v="137676769397"/>
    <n v="-89507.839999999997"/>
    <n v="13692427.6"/>
    <x v="2"/>
    <n v="-88973.99602385686"/>
    <m/>
    <n v="0"/>
    <n v="0"/>
    <n v="0"/>
    <n v="-533.84"/>
    <n v="-88974"/>
  </r>
  <r>
    <x v="15"/>
    <x v="1"/>
    <n v="137934058475"/>
    <n v="-3084.42"/>
    <n v="16851886.300000001"/>
    <x v="1"/>
    <n v="-514070"/>
    <m/>
    <n v="0"/>
    <n v="0"/>
    <n v="0"/>
    <m/>
    <n v="-3084.42"/>
  </r>
  <r>
    <x v="15"/>
    <x v="160"/>
    <n v="137934058475"/>
    <n v="-514069.75"/>
    <n v="16854970.719999999"/>
    <x v="2"/>
    <m/>
    <m/>
    <n v="0"/>
    <n v="0"/>
    <n v="0"/>
    <n v="-3084.42"/>
    <n v="-514069.75"/>
  </r>
  <r>
    <x v="27"/>
    <x v="154"/>
    <n v="139485224387"/>
    <n v="773.41"/>
    <n v="11211935.77"/>
    <x v="0"/>
    <m/>
    <m/>
    <n v="-11.85"/>
    <n v="0"/>
    <n v="0"/>
    <n v="-4.74"/>
    <n v="790"/>
  </r>
  <r>
    <x v="15"/>
    <x v="48"/>
    <n v="137938761795"/>
    <n v="-2000000"/>
    <n v="10851886.300000001"/>
    <x v="4"/>
    <n v="-2000000"/>
    <m/>
    <n v="0"/>
    <n v="0"/>
    <n v="0"/>
    <n v="0"/>
    <n v="-2000000"/>
  </r>
  <r>
    <x v="15"/>
    <x v="1"/>
    <n v="138016711113"/>
    <n v="-2400"/>
    <n v="10449486.300000001"/>
    <x v="1"/>
    <n v="-400000"/>
    <m/>
    <n v="0"/>
    <n v="0"/>
    <n v="0"/>
    <m/>
    <n v="-2400"/>
  </r>
  <r>
    <x v="15"/>
    <x v="3"/>
    <n v="138016711113"/>
    <n v="-400000"/>
    <n v="10451886.300000001"/>
    <x v="2"/>
    <m/>
    <m/>
    <n v="0"/>
    <n v="0"/>
    <n v="0"/>
    <n v="-2400"/>
    <n v="-400000"/>
  </r>
  <r>
    <x v="13"/>
    <x v="161"/>
    <n v="138355746802"/>
    <n v="-118708"/>
    <n v="13573719.6"/>
    <x v="2"/>
    <n v="-118000"/>
    <m/>
    <n v="0"/>
    <n v="0"/>
    <n v="0"/>
    <n v="-708"/>
    <n v="-118000"/>
  </r>
  <r>
    <x v="27"/>
    <x v="153"/>
    <n v="139485730265"/>
    <n v="724.46"/>
    <n v="11273337.68"/>
    <x v="0"/>
    <m/>
    <m/>
    <n v="-11.1"/>
    <n v="0"/>
    <n v="0"/>
    <n v="-4.4400000000000004"/>
    <n v="740.00000000000011"/>
  </r>
  <r>
    <x v="18"/>
    <x v="47"/>
    <n v="138371810153"/>
    <n v="-716612.4"/>
    <n v="16030589.710000001"/>
    <x v="3"/>
    <n v="-712338.36978131218"/>
    <m/>
    <n v="0"/>
    <n v="0"/>
    <n v="0"/>
    <n v="-4274.0302186878398"/>
    <n v="-712338.36978131218"/>
  </r>
  <r>
    <x v="15"/>
    <x v="48"/>
    <n v="138579078470"/>
    <n v="-2000000"/>
    <n v="12851886.300000001"/>
    <x v="4"/>
    <n v="-2000000"/>
    <m/>
    <n v="0"/>
    <n v="0"/>
    <n v="0"/>
    <n v="0"/>
    <n v="-2000000"/>
  </r>
  <r>
    <x v="15"/>
    <x v="48"/>
    <n v="138579090174"/>
    <n v="-2000000"/>
    <n v="14851886.300000001"/>
    <x v="4"/>
    <n v="-2000000"/>
    <m/>
    <n v="0"/>
    <n v="0"/>
    <n v="0"/>
    <n v="0"/>
    <n v="-2000000"/>
  </r>
  <r>
    <x v="16"/>
    <x v="162"/>
    <n v="138781228844"/>
    <n v="-66827.570000000007"/>
    <n v="12611533.42"/>
    <x v="2"/>
    <n v="-66428.99602385686"/>
    <m/>
    <n v="0"/>
    <n v="0"/>
    <n v="0"/>
    <n v="-398.57"/>
    <n v="-66429"/>
  </r>
  <r>
    <x v="27"/>
    <x v="163"/>
    <n v="140133811442"/>
    <n v="719.56"/>
    <n v="11440750.1"/>
    <x v="0"/>
    <m/>
    <m/>
    <n v="-11.03"/>
    <n v="0"/>
    <n v="0"/>
    <n v="-4.41"/>
    <n v="734.99999999999989"/>
  </r>
  <r>
    <x v="22"/>
    <x v="47"/>
    <n v="138873529219"/>
    <n v="-5960492.9299999997"/>
    <n v="12063892.550000001"/>
    <x v="3"/>
    <n v="-5924943.2703777328"/>
    <m/>
    <n v="0"/>
    <n v="0"/>
    <n v="0"/>
    <n v="-35549.659622266889"/>
    <n v="-5924943.2703777328"/>
  </r>
  <r>
    <x v="18"/>
    <x v="1"/>
    <n v="139008795034"/>
    <n v="-3000"/>
    <n v="16747202.109999999"/>
    <x v="1"/>
    <n v="-500000"/>
    <m/>
    <n v="0"/>
    <n v="0"/>
    <n v="0"/>
    <m/>
    <n v="-3000"/>
  </r>
  <r>
    <x v="27"/>
    <x v="150"/>
    <n v="140133851874"/>
    <n v="469.92"/>
    <n v="11529881.32"/>
    <x v="0"/>
    <m/>
    <m/>
    <n v="-7.2"/>
    <n v="0"/>
    <n v="0"/>
    <n v="-2.88"/>
    <n v="480"/>
  </r>
  <r>
    <x v="18"/>
    <x v="3"/>
    <n v="139008795034"/>
    <n v="-500000"/>
    <n v="16750202.109999999"/>
    <x v="2"/>
    <m/>
    <m/>
    <n v="0"/>
    <n v="0"/>
    <n v="0"/>
    <n v="-3000"/>
    <n v="-500000"/>
  </r>
  <r>
    <x v="19"/>
    <x v="164"/>
    <n v="139221936120"/>
    <n v="-169242.76"/>
    <n v="15861346.949999999"/>
    <x v="2"/>
    <n v="-168233.35984095428"/>
    <m/>
    <n v="0"/>
    <n v="0"/>
    <n v="0"/>
    <n v="-1009.4001590457337"/>
    <n v="-168233.35984095428"/>
  </r>
  <r>
    <x v="20"/>
    <x v="1"/>
    <n v="139334412514"/>
    <n v="-241.85"/>
    <n v="17340249.719999999"/>
    <x v="1"/>
    <n v="-40308.333333333328"/>
    <m/>
    <n v="0"/>
    <n v="0"/>
    <n v="0"/>
    <m/>
    <n v="-241.85"/>
  </r>
  <r>
    <x v="20"/>
    <x v="165"/>
    <n v="139334412514"/>
    <n v="-40308"/>
    <n v="17340491.57"/>
    <x v="2"/>
    <m/>
    <m/>
    <n v="0"/>
    <n v="0"/>
    <n v="0"/>
    <n v="-241.85"/>
    <n v="-40308"/>
  </r>
  <r>
    <x v="26"/>
    <x v="48"/>
    <n v="139377235019"/>
    <n v="-2000000"/>
    <n v="11177413.859999999"/>
    <x v="4"/>
    <n v="-2000000"/>
    <m/>
    <n v="0"/>
    <n v="0"/>
    <n v="0"/>
    <n v="0"/>
    <n v="-2000000"/>
  </r>
  <r>
    <x v="22"/>
    <x v="1"/>
    <n v="139546743318"/>
    <n v="-794.31"/>
    <n v="11930713.949999999"/>
    <x v="1"/>
    <n v="-132385"/>
    <m/>
    <n v="0"/>
    <n v="0"/>
    <n v="0"/>
    <m/>
    <n v="-794.31"/>
  </r>
  <r>
    <x v="22"/>
    <x v="165"/>
    <n v="139546743318"/>
    <n v="-132384.29"/>
    <n v="11931508.26"/>
    <x v="2"/>
    <m/>
    <m/>
    <n v="0"/>
    <n v="0"/>
    <n v="0"/>
    <n v="-794.31"/>
    <n v="-132384.29"/>
  </r>
  <r>
    <x v="22"/>
    <x v="158"/>
    <n v="139565543138"/>
    <n v="-192385.12"/>
    <n v="11738328.83"/>
    <x v="2"/>
    <n v="-191237.69383697811"/>
    <m/>
    <n v="0"/>
    <n v="0"/>
    <n v="0"/>
    <n v="-1147.4261630218825"/>
    <n v="-191237.69383697811"/>
  </r>
  <r>
    <x v="24"/>
    <x v="166"/>
    <n v="139791742310"/>
    <n v="-86803.41"/>
    <n v="15825426.199999999"/>
    <x v="2"/>
    <n v="-86285.695825049712"/>
    <m/>
    <n v="0"/>
    <n v="0"/>
    <n v="0"/>
    <n v="-517.71"/>
    <n v="-86285.7"/>
  </r>
  <r>
    <x v="26"/>
    <x v="48"/>
    <n v="140025042408"/>
    <n v="-2000000"/>
    <n v="15177413.859999999"/>
    <x v="4"/>
    <n v="-2000000"/>
    <m/>
    <n v="0"/>
    <n v="0"/>
    <n v="0"/>
    <n v="0"/>
    <n v="-2000000"/>
  </r>
  <r>
    <x v="26"/>
    <x v="48"/>
    <n v="140025238710"/>
    <n v="-1000000"/>
    <n v="10177413.859999999"/>
    <x v="4"/>
    <n v="-1000000"/>
    <m/>
    <n v="0"/>
    <n v="0"/>
    <n v="0"/>
    <n v="0"/>
    <n v="-1000000"/>
  </r>
  <r>
    <x v="26"/>
    <x v="48"/>
    <n v="140025370240"/>
    <n v="-2000000"/>
    <n v="13177413.859999999"/>
    <x v="4"/>
    <n v="-2000000"/>
    <m/>
    <n v="0"/>
    <n v="0"/>
    <n v="0"/>
    <n v="0"/>
    <n v="-2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la dinámica15" cacheId="1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G172" firstHeaderRow="1" firstDataRow="2" firstDataCol="1"/>
  <pivotFields count="13">
    <pivotField showAll="0">
      <items count="29">
        <item x="0"/>
        <item x="1"/>
        <item x="2"/>
        <item x="3"/>
        <item x="4"/>
        <item x="5"/>
        <item x="6"/>
        <item x="7"/>
        <item x="9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t="default"/>
      </items>
    </pivotField>
    <pivotField axis="axisRow" showAll="0">
      <items count="168">
        <item x="161"/>
        <item x="156"/>
        <item x="159"/>
        <item x="1"/>
        <item x="0"/>
        <item x="21"/>
        <item x="166"/>
        <item x="47"/>
        <item x="164"/>
        <item x="20"/>
        <item x="157"/>
        <item x="162"/>
        <item x="2"/>
        <item x="48"/>
        <item x="3"/>
        <item x="160"/>
        <item x="158"/>
        <item x="165"/>
        <item x="62"/>
        <item x="42"/>
        <item x="67"/>
        <item x="44"/>
        <item x="60"/>
        <item x="155"/>
        <item x="86"/>
        <item x="120"/>
        <item x="119"/>
        <item x="147"/>
        <item x="138"/>
        <item x="13"/>
        <item x="15"/>
        <item x="118"/>
        <item x="112"/>
        <item x="79"/>
        <item x="97"/>
        <item x="82"/>
        <item x="129"/>
        <item x="109"/>
        <item x="84"/>
        <item x="37"/>
        <item x="141"/>
        <item x="96"/>
        <item x="71"/>
        <item x="93"/>
        <item x="131"/>
        <item x="91"/>
        <item x="145"/>
        <item x="75"/>
        <item x="106"/>
        <item x="98"/>
        <item x="61"/>
        <item x="103"/>
        <item x="55"/>
        <item x="132"/>
        <item x="90"/>
        <item x="88"/>
        <item x="12"/>
        <item x="46"/>
        <item x="19"/>
        <item x="24"/>
        <item x="94"/>
        <item x="153"/>
        <item x="110"/>
        <item x="135"/>
        <item x="26"/>
        <item x="137"/>
        <item x="114"/>
        <item x="92"/>
        <item x="43"/>
        <item x="28"/>
        <item x="59"/>
        <item x="54"/>
        <item x="133"/>
        <item x="16"/>
        <item x="41"/>
        <item x="122"/>
        <item x="8"/>
        <item x="34"/>
        <item x="140"/>
        <item x="30"/>
        <item x="58"/>
        <item x="150"/>
        <item x="4"/>
        <item x="14"/>
        <item x="125"/>
        <item x="73"/>
        <item x="124"/>
        <item x="128"/>
        <item x="36"/>
        <item x="10"/>
        <item x="66"/>
        <item x="143"/>
        <item x="127"/>
        <item x="23"/>
        <item x="25"/>
        <item x="17"/>
        <item x="31"/>
        <item x="113"/>
        <item x="53"/>
        <item x="144"/>
        <item x="99"/>
        <item x="40"/>
        <item x="68"/>
        <item x="87"/>
        <item x="7"/>
        <item x="121"/>
        <item x="152"/>
        <item x="117"/>
        <item x="77"/>
        <item x="72"/>
        <item x="39"/>
        <item x="64"/>
        <item x="69"/>
        <item x="115"/>
        <item x="51"/>
        <item x="151"/>
        <item x="146"/>
        <item x="11"/>
        <item x="65"/>
        <item x="9"/>
        <item x="45"/>
        <item x="38"/>
        <item x="27"/>
        <item x="74"/>
        <item x="163"/>
        <item x="148"/>
        <item x="83"/>
        <item x="139"/>
        <item x="80"/>
        <item x="123"/>
        <item x="6"/>
        <item x="108"/>
        <item x="154"/>
        <item x="32"/>
        <item x="81"/>
        <item x="78"/>
        <item x="126"/>
        <item x="101"/>
        <item x="5"/>
        <item x="116"/>
        <item x="111"/>
        <item x="50"/>
        <item x="57"/>
        <item x="70"/>
        <item x="76"/>
        <item x="63"/>
        <item x="95"/>
        <item x="49"/>
        <item x="35"/>
        <item x="107"/>
        <item x="100"/>
        <item x="52"/>
        <item x="149"/>
        <item x="136"/>
        <item x="142"/>
        <item x="105"/>
        <item x="89"/>
        <item x="134"/>
        <item x="22"/>
        <item x="33"/>
        <item x="85"/>
        <item x="18"/>
        <item x="130"/>
        <item x="56"/>
        <item x="102"/>
        <item x="29"/>
        <item x="104"/>
        <item t="default"/>
      </items>
    </pivotField>
    <pivotField numFmtId="1" showAll="0"/>
    <pivotField showAll="0"/>
    <pivotField numFmtId="4" showAll="0"/>
    <pivotField axis="axisCol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numFmtId="164" showAll="0"/>
    <pivotField numFmtId="164" showAll="0"/>
    <pivotField numFmtId="164" showAll="0"/>
    <pivotField showAll="0"/>
    <pivotField dataField="1" numFmtId="164" showAll="0"/>
  </pivotFields>
  <rowFields count="1">
    <field x="1"/>
  </rowFields>
  <rowItems count="1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 t="grand">
      <x/>
    </i>
  </rowItems>
  <colFields count="1">
    <field x="5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a de MOV TOTAL" fld="12" baseField="0" baseItem="0"/>
  </dataFields>
  <formats count="34">
    <format dxfId="57">
      <pivotArea collapsedLevelsAreSubtotals="1" fieldPosition="0">
        <references count="1">
          <reference field="1" count="3">
            <x v="0"/>
            <x v="1"/>
            <x v="2"/>
          </reference>
        </references>
      </pivotArea>
    </format>
    <format dxfId="56">
      <pivotArea dataOnly="0" labelOnly="1" fieldPosition="0">
        <references count="1">
          <reference field="1" count="3">
            <x v="0"/>
            <x v="1"/>
            <x v="2"/>
          </reference>
        </references>
      </pivotArea>
    </format>
    <format dxfId="55">
      <pivotArea collapsedLevelsAreSubtotals="1" fieldPosition="0">
        <references count="1">
          <reference field="1" count="1">
            <x v="3"/>
          </reference>
        </references>
      </pivotArea>
    </format>
    <format dxfId="54">
      <pivotArea dataOnly="0" labelOnly="1" fieldPosition="0">
        <references count="1">
          <reference field="1" count="1">
            <x v="3"/>
          </reference>
        </references>
      </pivotArea>
    </format>
    <format dxfId="53">
      <pivotArea collapsedLevelsAreSubtotals="1" fieldPosition="0">
        <references count="1">
          <reference field="1" count="2">
            <x v="4"/>
            <x v="5"/>
          </reference>
        </references>
      </pivotArea>
    </format>
    <format dxfId="52">
      <pivotArea dataOnly="0" labelOnly="1" fieldPosition="0">
        <references count="1">
          <reference field="1" count="2">
            <x v="4"/>
            <x v="5"/>
          </reference>
        </references>
      </pivotArea>
    </format>
    <format dxfId="51">
      <pivotArea collapsedLevelsAreSubtotals="1" fieldPosition="0">
        <references count="1">
          <reference field="1" count="149"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</reference>
        </references>
      </pivotArea>
    </format>
    <format dxfId="50">
      <pivotArea dataOnly="0" labelOnly="1" fieldPosition="0">
        <references count="1">
          <reference field="1" count="50"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</reference>
        </references>
      </pivotArea>
    </format>
    <format dxfId="49">
      <pivotArea dataOnly="0" labelOnly="1" fieldPosition="0">
        <references count="1">
          <reference field="1" count="50"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</reference>
        </references>
      </pivotArea>
    </format>
    <format dxfId="48">
      <pivotArea dataOnly="0" labelOnly="1" fieldPosition="0">
        <references count="1">
          <reference field="1" count="49"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</reference>
        </references>
      </pivotArea>
    </format>
    <format dxfId="47">
      <pivotArea collapsedLevelsAreSubtotals="1" fieldPosition="0">
        <references count="1">
          <reference field="1" count="1">
            <x v="11"/>
          </reference>
        </references>
      </pivotArea>
    </format>
    <format dxfId="46">
      <pivotArea dataOnly="0" labelOnly="1" fieldPosition="0">
        <references count="1">
          <reference field="1" count="1">
            <x v="11"/>
          </reference>
        </references>
      </pivotArea>
    </format>
    <format dxfId="45">
      <pivotArea collapsedLevelsAreSubtotals="1" fieldPosition="0">
        <references count="1">
          <reference field="1" count="1">
            <x v="13"/>
          </reference>
        </references>
      </pivotArea>
    </format>
    <format dxfId="44">
      <pivotArea dataOnly="0" labelOnly="1" fieldPosition="0">
        <references count="1">
          <reference field="1" count="1">
            <x v="13"/>
          </reference>
        </references>
      </pivotArea>
    </format>
    <format dxfId="43">
      <pivotArea collapsedLevelsAreSubtotals="1" fieldPosition="0">
        <references count="1">
          <reference field="1" count="1">
            <x v="7"/>
          </reference>
        </references>
      </pivotArea>
    </format>
    <format dxfId="42">
      <pivotArea dataOnly="0" labelOnly="1" fieldPosition="0">
        <references count="1">
          <reference field="1" count="1">
            <x v="7"/>
          </reference>
        </references>
      </pivotArea>
    </format>
    <format dxfId="41">
      <pivotArea collapsedLevelsAreSubtotals="1" fieldPosition="0">
        <references count="1">
          <reference field="1" count="1">
            <x v="9"/>
          </reference>
        </references>
      </pivotArea>
    </format>
    <format dxfId="40">
      <pivotArea dataOnly="0" labelOnly="1" fieldPosition="0">
        <references count="1">
          <reference field="1" count="1">
            <x v="9"/>
          </reference>
        </references>
      </pivotArea>
    </format>
    <format dxfId="39">
      <pivotArea collapsedLevelsAreSubtotals="1" fieldPosition="0">
        <references count="1">
          <reference field="1" count="1">
            <x v="15"/>
          </reference>
        </references>
      </pivotArea>
    </format>
    <format dxfId="38">
      <pivotArea dataOnly="0" labelOnly="1" fieldPosition="0">
        <references count="1">
          <reference field="1" count="1">
            <x v="15"/>
          </reference>
        </references>
      </pivotArea>
    </format>
    <format dxfId="37">
      <pivotArea collapsedLevelsAreSubtotals="1" fieldPosition="0">
        <references count="1">
          <reference field="1" count="1">
            <x v="6"/>
          </reference>
        </references>
      </pivotArea>
    </format>
    <format dxfId="36">
      <pivotArea dataOnly="0" labelOnly="1" fieldPosition="0">
        <references count="1">
          <reference field="1" count="1">
            <x v="6"/>
          </reference>
        </references>
      </pivotArea>
    </format>
    <format dxfId="35">
      <pivotArea collapsedLevelsAreSubtotals="1" fieldPosition="0">
        <references count="1">
          <reference field="1" count="1">
            <x v="8"/>
          </reference>
        </references>
      </pivotArea>
    </format>
    <format dxfId="34">
      <pivotArea dataOnly="0" labelOnly="1" fieldPosition="0">
        <references count="1">
          <reference field="1" count="1">
            <x v="8"/>
          </reference>
        </references>
      </pivotArea>
    </format>
    <format dxfId="33">
      <pivotArea collapsedLevelsAreSubtotals="1" fieldPosition="0">
        <references count="1">
          <reference field="1" count="1">
            <x v="12"/>
          </reference>
        </references>
      </pivotArea>
    </format>
    <format dxfId="32">
      <pivotArea dataOnly="0" labelOnly="1" fieldPosition="0">
        <references count="1">
          <reference field="1" count="1">
            <x v="12"/>
          </reference>
        </references>
      </pivotArea>
    </format>
    <format dxfId="31">
      <pivotArea collapsedLevelsAreSubtotals="1" fieldPosition="0">
        <references count="1">
          <reference field="1" count="1">
            <x v="14"/>
          </reference>
        </references>
      </pivotArea>
    </format>
    <format dxfId="30">
      <pivotArea dataOnly="0" labelOnly="1" fieldPosition="0">
        <references count="1">
          <reference field="1" count="1">
            <x v="14"/>
          </reference>
        </references>
      </pivotArea>
    </format>
    <format dxfId="29">
      <pivotArea collapsedLevelsAreSubtotals="1" fieldPosition="0">
        <references count="1">
          <reference field="1" count="2">
            <x v="16"/>
            <x v="17"/>
          </reference>
        </references>
      </pivotArea>
    </format>
    <format dxfId="28">
      <pivotArea dataOnly="0" labelOnly="1" fieldPosition="0">
        <references count="1">
          <reference field="1" count="2">
            <x v="16"/>
            <x v="17"/>
          </reference>
        </references>
      </pivotArea>
    </format>
    <format dxfId="27">
      <pivotArea collapsedLevelsAreSubtotals="1" fieldPosition="0">
        <references count="1">
          <reference field="1" count="1">
            <x v="10"/>
          </reference>
        </references>
      </pivotArea>
    </format>
    <format dxfId="26">
      <pivotArea collapsedLevelsAreSubtotals="1" fieldPosition="0">
        <references count="1">
          <reference field="1" count="1">
            <x v="10"/>
          </reference>
        </references>
      </pivotArea>
    </format>
    <format dxfId="25">
      <pivotArea collapsedLevelsAreSubtotals="1" fieldPosition="0">
        <references count="1">
          <reference field="1" count="1">
            <x v="10"/>
          </reference>
        </references>
      </pivotArea>
    </format>
    <format dxfId="24">
      <pivotArea dataOnly="0" labelOnly="1" fieldPosition="0">
        <references count="1">
          <reference field="1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1000000}" name="Tabla dinámica14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3:B171" firstHeaderRow="1" firstDataRow="1" firstDataCol="1"/>
  <pivotFields count="5">
    <pivotField showAll="0"/>
    <pivotField axis="axisRow" showAll="0">
      <items count="168">
        <item x="84"/>
        <item x="65"/>
        <item x="83"/>
        <item x="2"/>
        <item x="0"/>
        <item x="21"/>
        <item x="146"/>
        <item x="47"/>
        <item x="121"/>
        <item x="20"/>
        <item x="66"/>
        <item x="103"/>
        <item x="3"/>
        <item x="48"/>
        <item x="1"/>
        <item x="97"/>
        <item x="82"/>
        <item x="131"/>
        <item x="62"/>
        <item x="42"/>
        <item x="69"/>
        <item x="44"/>
        <item x="60"/>
        <item x="165"/>
        <item x="91"/>
        <item x="128"/>
        <item x="127"/>
        <item x="157"/>
        <item x="148"/>
        <item x="13"/>
        <item x="15"/>
        <item x="126"/>
        <item x="119"/>
        <item x="81"/>
        <item x="104"/>
        <item x="87"/>
        <item x="138"/>
        <item x="116"/>
        <item x="89"/>
        <item x="37"/>
        <item x="151"/>
        <item x="102"/>
        <item x="73"/>
        <item x="99"/>
        <item x="140"/>
        <item x="96"/>
        <item x="155"/>
        <item x="77"/>
        <item x="113"/>
        <item x="105"/>
        <item x="61"/>
        <item x="110"/>
        <item x="55"/>
        <item x="141"/>
        <item x="95"/>
        <item x="93"/>
        <item x="12"/>
        <item x="46"/>
        <item x="19"/>
        <item x="24"/>
        <item x="100"/>
        <item x="163"/>
        <item x="117"/>
        <item x="144"/>
        <item x="26"/>
        <item x="147"/>
        <item x="122"/>
        <item x="98"/>
        <item x="43"/>
        <item x="28"/>
        <item x="59"/>
        <item x="54"/>
        <item x="142"/>
        <item x="16"/>
        <item x="41"/>
        <item x="130"/>
        <item x="8"/>
        <item x="34"/>
        <item x="150"/>
        <item x="30"/>
        <item x="58"/>
        <item x="160"/>
        <item x="4"/>
        <item x="14"/>
        <item x="134"/>
        <item x="75"/>
        <item x="133"/>
        <item x="137"/>
        <item x="36"/>
        <item x="10"/>
        <item x="68"/>
        <item x="153"/>
        <item x="136"/>
        <item x="23"/>
        <item x="25"/>
        <item x="17"/>
        <item x="31"/>
        <item x="120"/>
        <item x="53"/>
        <item x="154"/>
        <item x="106"/>
        <item x="40"/>
        <item x="70"/>
        <item x="92"/>
        <item x="7"/>
        <item x="129"/>
        <item x="162"/>
        <item x="125"/>
        <item x="79"/>
        <item x="74"/>
        <item x="39"/>
        <item x="64"/>
        <item x="71"/>
        <item x="123"/>
        <item x="51"/>
        <item x="161"/>
        <item x="156"/>
        <item x="11"/>
        <item x="67"/>
        <item x="9"/>
        <item x="45"/>
        <item x="38"/>
        <item x="27"/>
        <item x="76"/>
        <item x="166"/>
        <item x="158"/>
        <item x="88"/>
        <item x="149"/>
        <item x="85"/>
        <item x="132"/>
        <item x="6"/>
        <item x="115"/>
        <item x="164"/>
        <item x="32"/>
        <item x="86"/>
        <item x="80"/>
        <item x="135"/>
        <item x="108"/>
        <item x="5"/>
        <item x="124"/>
        <item x="118"/>
        <item x="50"/>
        <item x="57"/>
        <item x="72"/>
        <item x="78"/>
        <item x="63"/>
        <item x="101"/>
        <item x="49"/>
        <item x="35"/>
        <item x="114"/>
        <item x="107"/>
        <item x="52"/>
        <item x="159"/>
        <item x="145"/>
        <item x="152"/>
        <item x="112"/>
        <item x="94"/>
        <item x="143"/>
        <item x="22"/>
        <item x="33"/>
        <item x="90"/>
        <item x="18"/>
        <item x="139"/>
        <item x="56"/>
        <item x="109"/>
        <item x="29"/>
        <item x="111"/>
        <item t="default"/>
      </items>
    </pivotField>
    <pivotField showAll="0"/>
    <pivotField dataField="1" showAll="0"/>
    <pivotField numFmtId="4" showAll="0"/>
  </pivotFields>
  <rowFields count="1">
    <field x="1"/>
  </rowFields>
  <rowItems count="1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 t="grand">
      <x/>
    </i>
  </rowItems>
  <colItems count="1">
    <i/>
  </colItems>
  <dataFields count="1">
    <dataField name="Suma de TRANSACTION_NET_AMOUNT" fld="3" baseField="0" baseItem="0"/>
  </dataFields>
  <formats count="24">
    <format dxfId="23">
      <pivotArea collapsedLevelsAreSubtotals="1" fieldPosition="0">
        <references count="1">
          <reference field="1" count="3">
            <x v="0"/>
            <x v="1"/>
            <x v="2"/>
          </reference>
        </references>
      </pivotArea>
    </format>
    <format dxfId="22">
      <pivotArea dataOnly="0" labelOnly="1" fieldPosition="0">
        <references count="1">
          <reference field="1" count="3">
            <x v="0"/>
            <x v="1"/>
            <x v="2"/>
          </reference>
        </references>
      </pivotArea>
    </format>
    <format dxfId="21">
      <pivotArea collapsedLevelsAreSubtotals="1" fieldPosition="0">
        <references count="1">
          <reference field="1" count="1">
            <x v="3"/>
          </reference>
        </references>
      </pivotArea>
    </format>
    <format dxfId="20">
      <pivotArea dataOnly="0" labelOnly="1" fieldPosition="0">
        <references count="1">
          <reference field="1" count="1">
            <x v="3"/>
          </reference>
        </references>
      </pivotArea>
    </format>
    <format dxfId="19">
      <pivotArea collapsedLevelsAreSubtotals="1" fieldPosition="0">
        <references count="1">
          <reference field="1" count="2">
            <x v="4"/>
            <x v="5"/>
          </reference>
        </references>
      </pivotArea>
    </format>
    <format dxfId="18">
      <pivotArea dataOnly="0" labelOnly="1" fieldPosition="0">
        <references count="1">
          <reference field="1" count="2">
            <x v="4"/>
            <x v="5"/>
          </reference>
        </references>
      </pivotArea>
    </format>
    <format dxfId="17">
      <pivotArea collapsedLevelsAreSubtotals="1" fieldPosition="0">
        <references count="1">
          <reference field="1" count="1">
            <x v="7"/>
          </reference>
        </references>
      </pivotArea>
    </format>
    <format dxfId="16">
      <pivotArea dataOnly="0" labelOnly="1" fieldPosition="0">
        <references count="1">
          <reference field="1" count="1">
            <x v="7"/>
          </reference>
        </references>
      </pivotArea>
    </format>
    <format dxfId="15">
      <pivotArea collapsedLevelsAreSubtotals="1" fieldPosition="0">
        <references count="1">
          <reference field="1" count="10"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4">
      <pivotArea dataOnly="0" labelOnly="1" fieldPosition="0">
        <references count="1">
          <reference field="1" count="10">
            <x v="8"/>
            <x v="9"/>
            <x v="10"/>
            <x v="11"/>
            <x v="12"/>
            <x v="13"/>
            <x v="14"/>
            <x v="15"/>
            <x v="16"/>
            <x v="17"/>
          </reference>
        </references>
      </pivotArea>
    </format>
    <format dxfId="13">
      <pivotArea collapsedLevelsAreSubtotals="1" fieldPosition="0">
        <references count="1">
          <reference field="1" count="149"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</reference>
        </references>
      </pivotArea>
    </format>
    <format dxfId="12">
      <pivotArea dataOnly="0" labelOnly="1" fieldPosition="0">
        <references count="1">
          <reference field="1" count="50"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</reference>
        </references>
      </pivotArea>
    </format>
    <format dxfId="11">
      <pivotArea dataOnly="0" labelOnly="1" fieldPosition="0">
        <references count="1">
          <reference field="1" count="50"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</reference>
        </references>
      </pivotArea>
    </format>
    <format dxfId="10">
      <pivotArea dataOnly="0" labelOnly="1" fieldPosition="0">
        <references count="1">
          <reference field="1" count="49"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</reference>
        </references>
      </pivotArea>
    </format>
    <format dxfId="9">
      <pivotArea collapsedLevelsAreSubtotals="1" fieldPosition="0">
        <references count="1">
          <reference field="1" count="1">
            <x v="13"/>
          </reference>
        </references>
      </pivotArea>
    </format>
    <format dxfId="8">
      <pivotArea dataOnly="0" labelOnly="1" fieldPosition="0">
        <references count="1">
          <reference field="1" count="1">
            <x v="13"/>
          </reference>
        </references>
      </pivotArea>
    </format>
    <format dxfId="7">
      <pivotArea collapsedLevelsAreSubtotals="1" fieldPosition="0">
        <references count="1">
          <reference field="1" count="1">
            <x v="6"/>
          </reference>
        </references>
      </pivotArea>
    </format>
    <format dxfId="6">
      <pivotArea dataOnly="0" labelOnly="1" fieldPosition="0">
        <references count="1">
          <reference field="1" count="1">
            <x v="6"/>
          </reference>
        </references>
      </pivotArea>
    </format>
    <format dxfId="5">
      <pivotArea collapsedLevelsAreSubtotals="1" fieldPosition="0">
        <references count="1">
          <reference field="1" count="1">
            <x v="15"/>
          </reference>
        </references>
      </pivotArea>
    </format>
    <format dxfId="4">
      <pivotArea dataOnly="0" labelOnly="1" fieldPosition="0">
        <references count="1">
          <reference field="1" count="1">
            <x v="15"/>
          </reference>
        </references>
      </pivotArea>
    </format>
    <format dxfId="3">
      <pivotArea collapsedLevelsAreSubtotals="1" fieldPosition="0">
        <references count="1">
          <reference field="1" count="1">
            <x v="11"/>
          </reference>
        </references>
      </pivotArea>
    </format>
    <format dxfId="2">
      <pivotArea dataOnly="0" labelOnly="1" fieldPosition="0">
        <references count="1">
          <reference field="1" count="1">
            <x v="11"/>
          </reference>
        </references>
      </pivotArea>
    </format>
    <format dxfId="1">
      <pivotArea collapsedLevelsAreSubtotals="1" fieldPosition="0">
        <references count="1">
          <reference field="1" count="1">
            <x v="9"/>
          </reference>
        </references>
      </pivotArea>
    </format>
    <format dxfId="0">
      <pivotArea dataOnly="0" labelOnly="1" fieldPosition="0">
        <references count="1">
          <reference field="1" count="1">
            <x v="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1" Type="http://schemas.openxmlformats.org/officeDocument/2006/relationships/hyperlink" Target="https://www.mercadolibre.com.ar/reporting/activity/detail?id=54316304943" TargetMode="External"/><Relationship Id="rId170" Type="http://schemas.openxmlformats.org/officeDocument/2006/relationships/hyperlink" Target="https://www.mercadolibre.com.ar/reporting/activity/detail?id=54433364651" TargetMode="External"/><Relationship Id="rId268" Type="http://schemas.openxmlformats.org/officeDocument/2006/relationships/hyperlink" Target="https://www.mercadolibre.com.ar/reporting/activity/detail?id=54669688143" TargetMode="External"/><Relationship Id="rId475" Type="http://schemas.openxmlformats.org/officeDocument/2006/relationships/hyperlink" Target="https://www.mercadolibre.com.ar/reporting/activity/detail?id=55072574904" TargetMode="External"/><Relationship Id="rId682" Type="http://schemas.openxmlformats.org/officeDocument/2006/relationships/hyperlink" Target="https://www.mercadolibre.com.ar/reporting/activity/detail?id=55138092741" TargetMode="External"/><Relationship Id="rId128" Type="http://schemas.openxmlformats.org/officeDocument/2006/relationships/hyperlink" Target="https://www.mercadolibre.com.ar/reporting/activity/detail?id=54427838251" TargetMode="External"/><Relationship Id="rId335" Type="http://schemas.openxmlformats.org/officeDocument/2006/relationships/hyperlink" Target="https://www.mercadolibre.com.ar/reporting/activity/detail?id=54729063432" TargetMode="External"/><Relationship Id="rId542" Type="http://schemas.openxmlformats.org/officeDocument/2006/relationships/hyperlink" Target="https://www.mercadolibre.com.ar/reporting/activity/detail?id=55077396972" TargetMode="External"/><Relationship Id="rId987" Type="http://schemas.openxmlformats.org/officeDocument/2006/relationships/hyperlink" Target="https://www.mercadolibre.com.ar/reporting/activity/detail?id=55514636109" TargetMode="External"/><Relationship Id="rId1172" Type="http://schemas.openxmlformats.org/officeDocument/2006/relationships/hyperlink" Target="https://www.mercadolibre.com.ar/reporting/activity/detail?id=55784759575" TargetMode="External"/><Relationship Id="rId402" Type="http://schemas.openxmlformats.org/officeDocument/2006/relationships/hyperlink" Target="https://www.mercadolibre.com.ar/reporting/activity/detail?id=54786218277" TargetMode="External"/><Relationship Id="rId847" Type="http://schemas.openxmlformats.org/officeDocument/2006/relationships/hyperlink" Target="https://www.mercadolibre.com.ar/reporting/activity/detail?id=55348452527" TargetMode="External"/><Relationship Id="rId1032" Type="http://schemas.openxmlformats.org/officeDocument/2006/relationships/hyperlink" Target="https://www.mercadolibre.com.ar/reporting/activity/detail?id=55552728570" TargetMode="External"/><Relationship Id="rId707" Type="http://schemas.openxmlformats.org/officeDocument/2006/relationships/hyperlink" Target="https://www.mercadolibre.com.ar/reporting/activity/detail?id=55185761537" TargetMode="External"/><Relationship Id="rId914" Type="http://schemas.openxmlformats.org/officeDocument/2006/relationships/hyperlink" Target="https://www.mercadolibre.com.ar/reporting/activity/detail?id=55464044253" TargetMode="External"/><Relationship Id="rId1337" Type="http://schemas.openxmlformats.org/officeDocument/2006/relationships/hyperlink" Target="https://www.mercadolibre.com.ar/reporting/activity/detail?id=54205841364" TargetMode="External"/><Relationship Id="rId43" Type="http://schemas.openxmlformats.org/officeDocument/2006/relationships/hyperlink" Target="https://www.mercadolibre.com.ar/reporting/activity/detail?id=54328215765" TargetMode="External"/><Relationship Id="rId192" Type="http://schemas.openxmlformats.org/officeDocument/2006/relationships/hyperlink" Target="https://www.mercadolibre.com.ar/reporting/activity/detail?id=54603152353" TargetMode="External"/><Relationship Id="rId497" Type="http://schemas.openxmlformats.org/officeDocument/2006/relationships/hyperlink" Target="https://www.mercadolibre.com.ar/reporting/activity/detail?id=55074891127" TargetMode="External"/><Relationship Id="rId357" Type="http://schemas.openxmlformats.org/officeDocument/2006/relationships/hyperlink" Target="https://www.mercadolibre.com.ar/reporting/activity/detail?id=54732207679" TargetMode="External"/><Relationship Id="rId1194" Type="http://schemas.openxmlformats.org/officeDocument/2006/relationships/hyperlink" Target="https://www.mercadolibre.com.ar/reporting/activity/detail?id=55787501020" TargetMode="External"/><Relationship Id="rId217" Type="http://schemas.openxmlformats.org/officeDocument/2006/relationships/hyperlink" Target="https://www.mercadolibre.com.ar/reporting/activity/detail?id=54661659790" TargetMode="External"/><Relationship Id="rId564" Type="http://schemas.openxmlformats.org/officeDocument/2006/relationships/hyperlink" Target="https://www.mercadolibre.com.ar/reporting/activity/detail?id=55077950642" TargetMode="External"/><Relationship Id="rId771" Type="http://schemas.openxmlformats.org/officeDocument/2006/relationships/hyperlink" Target="https://www.mercadolibre.com.ar/reporting/activity/detail?id=55197710677" TargetMode="External"/><Relationship Id="rId869" Type="http://schemas.openxmlformats.org/officeDocument/2006/relationships/hyperlink" Target="https://www.mercadolibre.com.ar/reporting/activity/detail?id=55350415117" TargetMode="External"/><Relationship Id="rId424" Type="http://schemas.openxmlformats.org/officeDocument/2006/relationships/hyperlink" Target="https://www.mercadolibre.com.ar/reporting/activity/detail?id=54830309581" TargetMode="External"/><Relationship Id="rId631" Type="http://schemas.openxmlformats.org/officeDocument/2006/relationships/hyperlink" Target="https://www.mercadolibre.com.ar/reporting/activity/detail?id=55080486609" TargetMode="External"/><Relationship Id="rId729" Type="http://schemas.openxmlformats.org/officeDocument/2006/relationships/hyperlink" Target="https://www.mercadolibre.com.ar/reporting/activity/detail?id=55194266123" TargetMode="External"/><Relationship Id="rId1054" Type="http://schemas.openxmlformats.org/officeDocument/2006/relationships/hyperlink" Target="https://www.mercadolibre.com.ar/reporting/activity/detail?id=55643364262" TargetMode="External"/><Relationship Id="rId1261" Type="http://schemas.openxmlformats.org/officeDocument/2006/relationships/hyperlink" Target="https://www.mercadolibre.com.ar/reporting/activity/detail?id=55833479814" TargetMode="External"/><Relationship Id="rId1359" Type="http://schemas.openxmlformats.org/officeDocument/2006/relationships/hyperlink" Target="https://www.mercadolibre.com.ar/reporting/activity/detail?id=54259670543" TargetMode="External"/><Relationship Id="rId936" Type="http://schemas.openxmlformats.org/officeDocument/2006/relationships/hyperlink" Target="https://www.mercadolibre.com.ar/reporting/activity/detail?id=55469033517" TargetMode="External"/><Relationship Id="rId1121" Type="http://schemas.openxmlformats.org/officeDocument/2006/relationships/hyperlink" Target="https://www.mercadolibre.com.ar/reporting/activity/detail?id=55659120840" TargetMode="External"/><Relationship Id="rId1219" Type="http://schemas.openxmlformats.org/officeDocument/2006/relationships/hyperlink" Target="https://www.mercadolibre.com.ar/reporting/activity/detail?id=55827556740" TargetMode="External"/><Relationship Id="rId65" Type="http://schemas.openxmlformats.org/officeDocument/2006/relationships/hyperlink" Target="https://www.mercadolibre.com.ar/reporting/activity/detail?id=54378187453" TargetMode="External"/><Relationship Id="rId281" Type="http://schemas.openxmlformats.org/officeDocument/2006/relationships/hyperlink" Target="https://www.mercadolibre.com.ar/reporting/activity/detail?id=54670366827" TargetMode="External"/><Relationship Id="rId141" Type="http://schemas.openxmlformats.org/officeDocument/2006/relationships/hyperlink" Target="https://www.mercadolibre.com.ar/reporting/activity/detail?id=54429954971" TargetMode="External"/><Relationship Id="rId379" Type="http://schemas.openxmlformats.org/officeDocument/2006/relationships/hyperlink" Target="https://www.mercadolibre.com.ar/reporting/activity/detail?id=54782903631" TargetMode="External"/><Relationship Id="rId586" Type="http://schemas.openxmlformats.org/officeDocument/2006/relationships/hyperlink" Target="https://www.mercadolibre.com.ar/reporting/activity/detail?id=55078802375" TargetMode="External"/><Relationship Id="rId793" Type="http://schemas.openxmlformats.org/officeDocument/2006/relationships/hyperlink" Target="https://www.mercadolibre.com.ar/reporting/activity/detail?id=55239710455" TargetMode="External"/><Relationship Id="rId7" Type="http://schemas.openxmlformats.org/officeDocument/2006/relationships/hyperlink" Target="https://www.mercadolibre.com.ar/reporting/activity/detail?id=54264075740" TargetMode="External"/><Relationship Id="rId239" Type="http://schemas.openxmlformats.org/officeDocument/2006/relationships/hyperlink" Target="https://www.mercadolibre.com.ar/reporting/activity/detail?id=54666017509" TargetMode="External"/><Relationship Id="rId446" Type="http://schemas.openxmlformats.org/officeDocument/2006/relationships/hyperlink" Target="https://www.mercadolibre.com.ar/reporting/activity/detail?id=55016312944" TargetMode="External"/><Relationship Id="rId653" Type="http://schemas.openxmlformats.org/officeDocument/2006/relationships/hyperlink" Target="https://www.mercadolibre.com.ar/reporting/activity/detail?id=55130720778" TargetMode="External"/><Relationship Id="rId1076" Type="http://schemas.openxmlformats.org/officeDocument/2006/relationships/hyperlink" Target="https://www.mercadolibre.com.ar/reporting/activity/detail?id=55655059122" TargetMode="External"/><Relationship Id="rId1283" Type="http://schemas.openxmlformats.org/officeDocument/2006/relationships/hyperlink" Target="https://www.mercadolibre.com.ar/reporting/activity/detail?id=55835017383" TargetMode="External"/><Relationship Id="rId306" Type="http://schemas.openxmlformats.org/officeDocument/2006/relationships/hyperlink" Target="https://www.mercadolibre.com.ar/reporting/activity/detail?id=54723065576" TargetMode="External"/><Relationship Id="rId860" Type="http://schemas.openxmlformats.org/officeDocument/2006/relationships/hyperlink" Target="https://www.mercadolibre.com.ar/reporting/activity/detail?id=55349578712" TargetMode="External"/><Relationship Id="rId958" Type="http://schemas.openxmlformats.org/officeDocument/2006/relationships/hyperlink" Target="https://www.mercadolibre.com.ar/reporting/activity/detail?id=55471858897" TargetMode="External"/><Relationship Id="rId1143" Type="http://schemas.openxmlformats.org/officeDocument/2006/relationships/hyperlink" Target="https://www.mercadolibre.com.ar/reporting/activity/detail?id=55732093492" TargetMode="External"/><Relationship Id="rId87" Type="http://schemas.openxmlformats.org/officeDocument/2006/relationships/hyperlink" Target="https://www.mercadolibre.com.ar/reporting/activity/detail?id=54383403063" TargetMode="External"/><Relationship Id="rId513" Type="http://schemas.openxmlformats.org/officeDocument/2006/relationships/hyperlink" Target="https://www.mercadolibre.com.ar/reporting/activity/detail?id=55076095782" TargetMode="External"/><Relationship Id="rId720" Type="http://schemas.openxmlformats.org/officeDocument/2006/relationships/hyperlink" Target="https://www.mercadolibre.com.ar/reporting/activity/detail?id=55192459375" TargetMode="External"/><Relationship Id="rId818" Type="http://schemas.openxmlformats.org/officeDocument/2006/relationships/hyperlink" Target="https://www.mercadolibre.com.ar/reporting/activity/detail?id=55242684937" TargetMode="External"/><Relationship Id="rId1350" Type="http://schemas.openxmlformats.org/officeDocument/2006/relationships/hyperlink" Target="https://www.mercadolibre.com.ar/reporting/activity/detail?id=54251251227" TargetMode="External"/><Relationship Id="rId1003" Type="http://schemas.openxmlformats.org/officeDocument/2006/relationships/hyperlink" Target="https://www.mercadolibre.com.ar/reporting/activity/detail?id=55516273047" TargetMode="External"/><Relationship Id="rId1210" Type="http://schemas.openxmlformats.org/officeDocument/2006/relationships/hyperlink" Target="https://www.mercadolibre.com.ar/reporting/activity/detail?id=55822998005" TargetMode="External"/><Relationship Id="rId1308" Type="http://schemas.openxmlformats.org/officeDocument/2006/relationships/hyperlink" Target="https://www.mercadolibre.com.ar/reporting/activity/detail?id=55872357192" TargetMode="External"/><Relationship Id="rId14" Type="http://schemas.openxmlformats.org/officeDocument/2006/relationships/hyperlink" Target="https://www.mercadolibre.com.ar/reporting/activity/detail?id=54265382746" TargetMode="External"/><Relationship Id="rId163" Type="http://schemas.openxmlformats.org/officeDocument/2006/relationships/hyperlink" Target="https://www.mercadolibre.com.ar/reporting/activity/detail?id=54432879299" TargetMode="External"/><Relationship Id="rId370" Type="http://schemas.openxmlformats.org/officeDocument/2006/relationships/hyperlink" Target="https://www.mercadolibre.com.ar/reporting/activity/detail?id=54780360886" TargetMode="External"/><Relationship Id="rId230" Type="http://schemas.openxmlformats.org/officeDocument/2006/relationships/hyperlink" Target="https://www.mercadolibre.com.ar/reporting/activity/detail?id=54664991043" TargetMode="External"/><Relationship Id="rId468" Type="http://schemas.openxmlformats.org/officeDocument/2006/relationships/hyperlink" Target="https://www.mercadolibre.com.ar/reporting/activity/detail?id=55071545228" TargetMode="External"/><Relationship Id="rId675" Type="http://schemas.openxmlformats.org/officeDocument/2006/relationships/hyperlink" Target="https://www.mercadolibre.com.ar/reporting/activity/detail?id=55136752911" TargetMode="External"/><Relationship Id="rId882" Type="http://schemas.openxmlformats.org/officeDocument/2006/relationships/hyperlink" Target="https://www.mercadolibre.com.ar/reporting/activity/detail?id=55351553256" TargetMode="External"/><Relationship Id="rId1098" Type="http://schemas.openxmlformats.org/officeDocument/2006/relationships/hyperlink" Target="https://www.mercadolibre.com.ar/reporting/activity/detail?id=55657900288" TargetMode="External"/><Relationship Id="rId328" Type="http://schemas.openxmlformats.org/officeDocument/2006/relationships/hyperlink" Target="https://www.mercadolibre.com.ar/reporting/activity/detail?id=54728355986" TargetMode="External"/><Relationship Id="rId535" Type="http://schemas.openxmlformats.org/officeDocument/2006/relationships/hyperlink" Target="https://www.mercadolibre.com.ar/reporting/activity/detail?id=55077000056" TargetMode="External"/><Relationship Id="rId742" Type="http://schemas.openxmlformats.org/officeDocument/2006/relationships/hyperlink" Target="https://www.mercadolibre.com.ar/reporting/activity/detail?id=55195724829" TargetMode="External"/><Relationship Id="rId1165" Type="http://schemas.openxmlformats.org/officeDocument/2006/relationships/hyperlink" Target="https://www.mercadolibre.com.ar/reporting/activity/detail?id=55783798297" TargetMode="External"/><Relationship Id="rId1372" Type="http://schemas.openxmlformats.org/officeDocument/2006/relationships/hyperlink" Target="https://www.mercadolibre.com.ar/reporting/activity/detail?id=54261279096" TargetMode="External"/><Relationship Id="rId602" Type="http://schemas.openxmlformats.org/officeDocument/2006/relationships/hyperlink" Target="https://www.mercadolibre.com.ar/reporting/activity/detail?id=55079247097" TargetMode="External"/><Relationship Id="rId1025" Type="http://schemas.openxmlformats.org/officeDocument/2006/relationships/hyperlink" Target="https://www.mercadolibre.com.ar/reporting/activity/detail?id=55550192512" TargetMode="External"/><Relationship Id="rId1232" Type="http://schemas.openxmlformats.org/officeDocument/2006/relationships/hyperlink" Target="https://www.mercadolibre.com.ar/reporting/activity/detail?id=55830667148" TargetMode="External"/><Relationship Id="rId907" Type="http://schemas.openxmlformats.org/officeDocument/2006/relationships/hyperlink" Target="https://www.mercadolibre.com.ar/reporting/activity/detail?id=55423450539" TargetMode="External"/><Relationship Id="rId36" Type="http://schemas.openxmlformats.org/officeDocument/2006/relationships/hyperlink" Target="https://www.mercadolibre.com.ar/reporting/activity/detail?id=54325071870" TargetMode="External"/><Relationship Id="rId185" Type="http://schemas.openxmlformats.org/officeDocument/2006/relationships/hyperlink" Target="https://www.mercadolibre.com.ar/reporting/activity/detail?id=54598187971" TargetMode="External"/><Relationship Id="rId392" Type="http://schemas.openxmlformats.org/officeDocument/2006/relationships/hyperlink" Target="https://www.mercadolibre.com.ar/reporting/activity/detail?id=54785282094" TargetMode="External"/><Relationship Id="rId697" Type="http://schemas.openxmlformats.org/officeDocument/2006/relationships/hyperlink" Target="https://www.mercadolibre.com.ar/reporting/activity/detail?id=55141035153" TargetMode="External"/><Relationship Id="rId252" Type="http://schemas.openxmlformats.org/officeDocument/2006/relationships/hyperlink" Target="https://www.mercadolibre.com.ar/reporting/activity/detail?id=54667706762" TargetMode="External"/><Relationship Id="rId1187" Type="http://schemas.openxmlformats.org/officeDocument/2006/relationships/hyperlink" Target="https://www.mercadolibre.com.ar/reporting/activity/detail?id=55786290292" TargetMode="External"/><Relationship Id="rId112" Type="http://schemas.openxmlformats.org/officeDocument/2006/relationships/hyperlink" Target="https://www.mercadolibre.com.ar/reporting/activity/detail?id=54386909219" TargetMode="External"/><Relationship Id="rId557" Type="http://schemas.openxmlformats.org/officeDocument/2006/relationships/hyperlink" Target="https://www.mercadolibre.com.ar/reporting/activity/detail?id=55077854553" TargetMode="External"/><Relationship Id="rId764" Type="http://schemas.openxmlformats.org/officeDocument/2006/relationships/hyperlink" Target="https://www.mercadolibre.com.ar/reporting/activity/detail?id=55197256531" TargetMode="External"/><Relationship Id="rId971" Type="http://schemas.openxmlformats.org/officeDocument/2006/relationships/hyperlink" Target="https://www.mercadolibre.com.ar/reporting/activity/detail?id=55510766554" TargetMode="External"/><Relationship Id="rId417" Type="http://schemas.openxmlformats.org/officeDocument/2006/relationships/hyperlink" Target="https://www.mercadolibre.com.ar/reporting/activity/detail?id=54827833562" TargetMode="External"/><Relationship Id="rId624" Type="http://schemas.openxmlformats.org/officeDocument/2006/relationships/hyperlink" Target="https://www.mercadolibre.com.ar/reporting/activity/detail?id=55080277979" TargetMode="External"/><Relationship Id="rId831" Type="http://schemas.openxmlformats.org/officeDocument/2006/relationships/hyperlink" Target="https://www.mercadolibre.com.ar/reporting/activity/detail?id=55344762888" TargetMode="External"/><Relationship Id="rId1047" Type="http://schemas.openxmlformats.org/officeDocument/2006/relationships/hyperlink" Target="https://www.mercadolibre.com.ar/reporting/activity/detail?id=55555307527" TargetMode="External"/><Relationship Id="rId1254" Type="http://schemas.openxmlformats.org/officeDocument/2006/relationships/hyperlink" Target="https://www.mercadolibre.com.ar/reporting/activity/detail?id=55832849123" TargetMode="External"/><Relationship Id="rId929" Type="http://schemas.openxmlformats.org/officeDocument/2006/relationships/hyperlink" Target="https://www.mercadolibre.com.ar/reporting/activity/detail?id=55467997930" TargetMode="External"/><Relationship Id="rId1114" Type="http://schemas.openxmlformats.org/officeDocument/2006/relationships/hyperlink" Target="https://www.mercadolibre.com.ar/reporting/activity/detail?id=55659000347" TargetMode="External"/><Relationship Id="rId1321" Type="http://schemas.openxmlformats.org/officeDocument/2006/relationships/hyperlink" Target="https://www.mercadolibre.com.ar/reporting/activity/detail?id=54034429224" TargetMode="External"/><Relationship Id="rId58" Type="http://schemas.openxmlformats.org/officeDocument/2006/relationships/hyperlink" Target="https://www.mercadolibre.com.ar/reporting/activity/detail?id=54373737196" TargetMode="External"/><Relationship Id="rId274" Type="http://schemas.openxmlformats.org/officeDocument/2006/relationships/hyperlink" Target="https://www.mercadolibre.com.ar/reporting/activity/detail?id=54669952555" TargetMode="External"/><Relationship Id="rId481" Type="http://schemas.openxmlformats.org/officeDocument/2006/relationships/hyperlink" Target="https://www.mercadolibre.com.ar/reporting/activity/detail?id=55073939501" TargetMode="External"/><Relationship Id="rId134" Type="http://schemas.openxmlformats.org/officeDocument/2006/relationships/hyperlink" Target="https://www.mercadolibre.com.ar/reporting/activity/detail?id=54428255651" TargetMode="External"/><Relationship Id="rId579" Type="http://schemas.openxmlformats.org/officeDocument/2006/relationships/hyperlink" Target="https://www.mercadolibre.com.ar/reporting/activity/detail?id=55078493772" TargetMode="External"/><Relationship Id="rId786" Type="http://schemas.openxmlformats.org/officeDocument/2006/relationships/hyperlink" Target="https://www.mercadolibre.com.ar/reporting/activity/detail?id=55238322689" TargetMode="External"/><Relationship Id="rId993" Type="http://schemas.openxmlformats.org/officeDocument/2006/relationships/hyperlink" Target="https://www.mercadolibre.com.ar/reporting/activity/detail?id=55515163652" TargetMode="External"/><Relationship Id="rId341" Type="http://schemas.openxmlformats.org/officeDocument/2006/relationships/hyperlink" Target="https://www.mercadolibre.com.ar/reporting/activity/detail?id=54729687892" TargetMode="External"/><Relationship Id="rId439" Type="http://schemas.openxmlformats.org/officeDocument/2006/relationships/hyperlink" Target="https://www.mercadolibre.com.ar/reporting/activity/detail?id=55014248560" TargetMode="External"/><Relationship Id="rId646" Type="http://schemas.openxmlformats.org/officeDocument/2006/relationships/hyperlink" Target="https://www.mercadolibre.com.ar/reporting/activity/detail?id=55126820093" TargetMode="External"/><Relationship Id="rId1069" Type="http://schemas.openxmlformats.org/officeDocument/2006/relationships/hyperlink" Target="https://www.mercadolibre.com.ar/reporting/activity/detail?id=55653016613" TargetMode="External"/><Relationship Id="rId1276" Type="http://schemas.openxmlformats.org/officeDocument/2006/relationships/hyperlink" Target="https://www.mercadolibre.com.ar/reporting/activity/detail?id=55834632250" TargetMode="External"/><Relationship Id="rId201" Type="http://schemas.openxmlformats.org/officeDocument/2006/relationships/hyperlink" Target="https://www.mercadolibre.com.ar/reporting/activity/detail?id=54607730314" TargetMode="External"/><Relationship Id="rId506" Type="http://schemas.openxmlformats.org/officeDocument/2006/relationships/hyperlink" Target="https://www.mercadolibre.com.ar/reporting/activity/detail?id=55075489589" TargetMode="External"/><Relationship Id="rId853" Type="http://schemas.openxmlformats.org/officeDocument/2006/relationships/hyperlink" Target="https://www.mercadolibre.com.ar/reporting/activity/detail?id=55349004203" TargetMode="External"/><Relationship Id="rId1136" Type="http://schemas.openxmlformats.org/officeDocument/2006/relationships/hyperlink" Target="https://www.mercadolibre.com.ar/reporting/activity/detail?id=55730158274" TargetMode="External"/><Relationship Id="rId713" Type="http://schemas.openxmlformats.org/officeDocument/2006/relationships/hyperlink" Target="https://www.mercadolibre.com.ar/reporting/activity/detail?id=55190402425" TargetMode="External"/><Relationship Id="rId920" Type="http://schemas.openxmlformats.org/officeDocument/2006/relationships/hyperlink" Target="https://www.mercadolibre.com.ar/reporting/activity/detail?id=55465847365" TargetMode="External"/><Relationship Id="rId1343" Type="http://schemas.openxmlformats.org/officeDocument/2006/relationships/hyperlink" Target="https://www.mercadolibre.com.ar/reporting/activity/detail?id=54206453607" TargetMode="External"/><Relationship Id="rId1203" Type="http://schemas.openxmlformats.org/officeDocument/2006/relationships/hyperlink" Target="https://www.mercadolibre.com.ar/reporting/activity/detail?id=55788010021" TargetMode="External"/><Relationship Id="rId296" Type="http://schemas.openxmlformats.org/officeDocument/2006/relationships/hyperlink" Target="https://www.mercadolibre.com.ar/reporting/activity/detail?id=54671370875" TargetMode="External"/><Relationship Id="rId156" Type="http://schemas.openxmlformats.org/officeDocument/2006/relationships/hyperlink" Target="https://www.mercadolibre.com.ar/reporting/activity/detail?id=54431910676" TargetMode="External"/><Relationship Id="rId363" Type="http://schemas.openxmlformats.org/officeDocument/2006/relationships/hyperlink" Target="https://www.mercadolibre.com.ar/reporting/activity/detail?id=54776702825" TargetMode="External"/><Relationship Id="rId570" Type="http://schemas.openxmlformats.org/officeDocument/2006/relationships/hyperlink" Target="https://www.mercadolibre.com.ar/reporting/activity/detail?id=55078133753" TargetMode="External"/><Relationship Id="rId223" Type="http://schemas.openxmlformats.org/officeDocument/2006/relationships/hyperlink" Target="https://www.mercadolibre.com.ar/reporting/activity/detail?id=54663881049" TargetMode="External"/><Relationship Id="rId430" Type="http://schemas.openxmlformats.org/officeDocument/2006/relationships/hyperlink" Target="https://www.mercadolibre.com.ar/reporting/activity/detail?id=55008071800" TargetMode="External"/><Relationship Id="rId668" Type="http://schemas.openxmlformats.org/officeDocument/2006/relationships/hyperlink" Target="https://www.mercadolibre.com.ar/reporting/activity/detail?id=55135055773" TargetMode="External"/><Relationship Id="rId875" Type="http://schemas.openxmlformats.org/officeDocument/2006/relationships/hyperlink" Target="https://www.mercadolibre.com.ar/reporting/activity/detail?id=55351055580" TargetMode="External"/><Relationship Id="rId1060" Type="http://schemas.openxmlformats.org/officeDocument/2006/relationships/hyperlink" Target="https://www.mercadolibre.com.ar/reporting/activity/detail?id=55649916529" TargetMode="External"/><Relationship Id="rId1298" Type="http://schemas.openxmlformats.org/officeDocument/2006/relationships/hyperlink" Target="https://www.mercadolibre.com.ar/reporting/activity/detail?id=55870648013" TargetMode="External"/><Relationship Id="rId528" Type="http://schemas.openxmlformats.org/officeDocument/2006/relationships/hyperlink" Target="https://www.mercadolibre.com.ar/reporting/activity/detail?id=55076700446" TargetMode="External"/><Relationship Id="rId735" Type="http://schemas.openxmlformats.org/officeDocument/2006/relationships/hyperlink" Target="https://www.mercadolibre.com.ar/reporting/activity/detail?id=55195214529" TargetMode="External"/><Relationship Id="rId942" Type="http://schemas.openxmlformats.org/officeDocument/2006/relationships/hyperlink" Target="https://www.mercadolibre.com.ar/reporting/activity/detail?id=55470124376" TargetMode="External"/><Relationship Id="rId1158" Type="http://schemas.openxmlformats.org/officeDocument/2006/relationships/hyperlink" Target="https://www.mercadolibre.com.ar/reporting/activity/detail?id=55781796540" TargetMode="External"/><Relationship Id="rId1365" Type="http://schemas.openxmlformats.org/officeDocument/2006/relationships/hyperlink" Target="https://www.mercadolibre.com.ar/reporting/activity/detail?id=54260443945" TargetMode="External"/><Relationship Id="rId1018" Type="http://schemas.openxmlformats.org/officeDocument/2006/relationships/hyperlink" Target="https://www.mercadolibre.com.ar/reporting/activity/detail?id=55548816932" TargetMode="External"/><Relationship Id="rId1225" Type="http://schemas.openxmlformats.org/officeDocument/2006/relationships/hyperlink" Target="https://www.mercadolibre.com.ar/reporting/activity/detail?id=55828874624" TargetMode="External"/><Relationship Id="rId71" Type="http://schemas.openxmlformats.org/officeDocument/2006/relationships/hyperlink" Target="https://www.mercadolibre.com.ar/reporting/activity/detail?id=54379527374" TargetMode="External"/><Relationship Id="rId802" Type="http://schemas.openxmlformats.org/officeDocument/2006/relationships/hyperlink" Target="https://www.mercadolibre.com.ar/reporting/activity/detail?id=55240462740" TargetMode="External"/><Relationship Id="rId29" Type="http://schemas.openxmlformats.org/officeDocument/2006/relationships/hyperlink" Target="https://www.mercadolibre.com.ar/reporting/activity/detail?id=54321565799" TargetMode="External"/><Relationship Id="rId178" Type="http://schemas.openxmlformats.org/officeDocument/2006/relationships/hyperlink" Target="https://www.mercadolibre.com.ar/reporting/activity/detail?id=54433777215" TargetMode="External"/><Relationship Id="rId385" Type="http://schemas.openxmlformats.org/officeDocument/2006/relationships/hyperlink" Target="https://www.mercadolibre.com.ar/reporting/activity/detail?id=54784215138" TargetMode="External"/><Relationship Id="rId592" Type="http://schemas.openxmlformats.org/officeDocument/2006/relationships/hyperlink" Target="https://www.mercadolibre.com.ar/reporting/activity/detail?id=55078920241" TargetMode="External"/><Relationship Id="rId245" Type="http://schemas.openxmlformats.org/officeDocument/2006/relationships/hyperlink" Target="https://www.mercadolibre.com.ar/reporting/activity/detail?id=54667094056" TargetMode="External"/><Relationship Id="rId452" Type="http://schemas.openxmlformats.org/officeDocument/2006/relationships/hyperlink" Target="https://www.mercadolibre.com.ar/reporting/activity/detail?id=55018480137" TargetMode="External"/><Relationship Id="rId897" Type="http://schemas.openxmlformats.org/officeDocument/2006/relationships/hyperlink" Target="https://www.mercadolibre.com.ar/reporting/activity/detail?id=55421259986" TargetMode="External"/><Relationship Id="rId1082" Type="http://schemas.openxmlformats.org/officeDocument/2006/relationships/hyperlink" Target="https://www.mercadolibre.com.ar/reporting/activity/detail?id=55655827953" TargetMode="External"/><Relationship Id="rId105" Type="http://schemas.openxmlformats.org/officeDocument/2006/relationships/hyperlink" Target="https://www.mercadolibre.com.ar/reporting/activity/detail?id=54385655761" TargetMode="External"/><Relationship Id="rId312" Type="http://schemas.openxmlformats.org/officeDocument/2006/relationships/hyperlink" Target="https://www.mercadolibre.com.ar/reporting/activity/detail?id=54724738416" TargetMode="External"/><Relationship Id="rId757" Type="http://schemas.openxmlformats.org/officeDocument/2006/relationships/hyperlink" Target="https://www.mercadolibre.com.ar/reporting/activity/detail?id=55196708507" TargetMode="External"/><Relationship Id="rId964" Type="http://schemas.openxmlformats.org/officeDocument/2006/relationships/hyperlink" Target="https://www.mercadolibre.com.ar/reporting/activity/detail?id=55508326884" TargetMode="External"/><Relationship Id="rId93" Type="http://schemas.openxmlformats.org/officeDocument/2006/relationships/hyperlink" Target="https://www.mercadolibre.com.ar/reporting/activity/detail?id=54384175561" TargetMode="External"/><Relationship Id="rId617" Type="http://schemas.openxmlformats.org/officeDocument/2006/relationships/hyperlink" Target="https://www.mercadolibre.com.ar/reporting/activity/detail?id=55079939150" TargetMode="External"/><Relationship Id="rId824" Type="http://schemas.openxmlformats.org/officeDocument/2006/relationships/hyperlink" Target="https://www.mercadolibre.com.ar/reporting/activity/detail?id=55340737727" TargetMode="External"/><Relationship Id="rId1247" Type="http://schemas.openxmlformats.org/officeDocument/2006/relationships/hyperlink" Target="https://www.mercadolibre.com.ar/reporting/activity/detail?id=55831943864" TargetMode="External"/><Relationship Id="rId1107" Type="http://schemas.openxmlformats.org/officeDocument/2006/relationships/hyperlink" Target="https://www.mercadolibre.com.ar/reporting/activity/detail?id=55658693335" TargetMode="External"/><Relationship Id="rId1314" Type="http://schemas.openxmlformats.org/officeDocument/2006/relationships/hyperlink" Target="https://www.mercadolibre.com.ar/reporting/activity/detail?id=55873149765" TargetMode="External"/><Relationship Id="rId20" Type="http://schemas.openxmlformats.org/officeDocument/2006/relationships/hyperlink" Target="https://www.mercadolibre.com.ar/reporting/activity/detail?id=54316038366" TargetMode="External"/><Relationship Id="rId267" Type="http://schemas.openxmlformats.org/officeDocument/2006/relationships/hyperlink" Target="https://www.mercadolibre.com.ar/reporting/activity/detail?id=54669675420" TargetMode="External"/><Relationship Id="rId474" Type="http://schemas.openxmlformats.org/officeDocument/2006/relationships/hyperlink" Target="https://www.mercadolibre.com.ar/reporting/activity/detail?id=55072507200" TargetMode="External"/><Relationship Id="rId127" Type="http://schemas.openxmlformats.org/officeDocument/2006/relationships/hyperlink" Target="https://www.mercadolibre.com.ar/reporting/activity/detail?id=54427387985" TargetMode="External"/><Relationship Id="rId681" Type="http://schemas.openxmlformats.org/officeDocument/2006/relationships/hyperlink" Target="https://www.mercadolibre.com.ar/reporting/activity/detail?id=55137747525" TargetMode="External"/><Relationship Id="rId779" Type="http://schemas.openxmlformats.org/officeDocument/2006/relationships/hyperlink" Target="https://www.mercadolibre.com.ar/reporting/activity/detail?id=55236091328" TargetMode="External"/><Relationship Id="rId986" Type="http://schemas.openxmlformats.org/officeDocument/2006/relationships/hyperlink" Target="https://www.mercadolibre.com.ar/reporting/activity/detail?id=55514432524" TargetMode="External"/><Relationship Id="rId334" Type="http://schemas.openxmlformats.org/officeDocument/2006/relationships/hyperlink" Target="https://www.mercadolibre.com.ar/reporting/activity/detail?id=54728972308" TargetMode="External"/><Relationship Id="rId541" Type="http://schemas.openxmlformats.org/officeDocument/2006/relationships/hyperlink" Target="https://www.mercadolibre.com.ar/reporting/activity/detail?id=55077296412" TargetMode="External"/><Relationship Id="rId639" Type="http://schemas.openxmlformats.org/officeDocument/2006/relationships/hyperlink" Target="https://www.mercadolibre.com.ar/reporting/activity/detail?id=55080817260" TargetMode="External"/><Relationship Id="rId1171" Type="http://schemas.openxmlformats.org/officeDocument/2006/relationships/hyperlink" Target="https://www.mercadolibre.com.ar/reporting/activity/detail?id=55784292367" TargetMode="External"/><Relationship Id="rId1269" Type="http://schemas.openxmlformats.org/officeDocument/2006/relationships/hyperlink" Target="https://www.mercadolibre.com.ar/reporting/activity/detail?id=55834223087" TargetMode="External"/><Relationship Id="rId401" Type="http://schemas.openxmlformats.org/officeDocument/2006/relationships/hyperlink" Target="https://www.mercadolibre.com.ar/reporting/activity/detail?id=54785966537" TargetMode="External"/><Relationship Id="rId846" Type="http://schemas.openxmlformats.org/officeDocument/2006/relationships/hyperlink" Target="https://www.mercadolibre.com.ar/reporting/activity/detail?id=55348192831" TargetMode="External"/><Relationship Id="rId1031" Type="http://schemas.openxmlformats.org/officeDocument/2006/relationships/hyperlink" Target="https://www.mercadolibre.com.ar/reporting/activity/detail?id=55552667402" TargetMode="External"/><Relationship Id="rId1129" Type="http://schemas.openxmlformats.org/officeDocument/2006/relationships/hyperlink" Target="https://www.mercadolibre.com.ar/reporting/activity/detail?id=55659296474" TargetMode="External"/><Relationship Id="rId706" Type="http://schemas.openxmlformats.org/officeDocument/2006/relationships/hyperlink" Target="https://www.mercadolibre.com.ar/reporting/activity/detail?id=55184019885" TargetMode="External"/><Relationship Id="rId913" Type="http://schemas.openxmlformats.org/officeDocument/2006/relationships/hyperlink" Target="https://www.mercadolibre.com.ar/reporting/activity/detail?id=55463334509" TargetMode="External"/><Relationship Id="rId1336" Type="http://schemas.openxmlformats.org/officeDocument/2006/relationships/hyperlink" Target="https://www.mercadolibre.com.ar/reporting/activity/detail?id=54205773905" TargetMode="External"/><Relationship Id="rId42" Type="http://schemas.openxmlformats.org/officeDocument/2006/relationships/hyperlink" Target="https://www.mercadolibre.com.ar/reporting/activity/detail?id=54328170639" TargetMode="External"/><Relationship Id="rId191" Type="http://schemas.openxmlformats.org/officeDocument/2006/relationships/hyperlink" Target="https://www.mercadolibre.com.ar/reporting/activity/detail?id=54602763415" TargetMode="External"/><Relationship Id="rId289" Type="http://schemas.openxmlformats.org/officeDocument/2006/relationships/hyperlink" Target="https://www.mercadolibre.com.ar/reporting/activity/detail?id=54670986944" TargetMode="External"/><Relationship Id="rId496" Type="http://schemas.openxmlformats.org/officeDocument/2006/relationships/hyperlink" Target="https://www.mercadolibre.com.ar/reporting/activity/detail?id=55074856563" TargetMode="External"/><Relationship Id="rId149" Type="http://schemas.openxmlformats.org/officeDocument/2006/relationships/hyperlink" Target="https://www.mercadolibre.com.ar/reporting/activity/detail?id=54430940006" TargetMode="External"/><Relationship Id="rId356" Type="http://schemas.openxmlformats.org/officeDocument/2006/relationships/hyperlink" Target="https://www.mercadolibre.com.ar/reporting/activity/detail?id=54732016414" TargetMode="External"/><Relationship Id="rId563" Type="http://schemas.openxmlformats.org/officeDocument/2006/relationships/hyperlink" Target="https://www.mercadolibre.com.ar/reporting/activity/detail?id=55077934589" TargetMode="External"/><Relationship Id="rId770" Type="http://schemas.openxmlformats.org/officeDocument/2006/relationships/hyperlink" Target="https://www.mercadolibre.com.ar/reporting/activity/detail?id=55197694192" TargetMode="External"/><Relationship Id="rId1193" Type="http://schemas.openxmlformats.org/officeDocument/2006/relationships/hyperlink" Target="https://www.mercadolibre.com.ar/reporting/activity/detail?id=55787468730" TargetMode="External"/><Relationship Id="rId216" Type="http://schemas.openxmlformats.org/officeDocument/2006/relationships/hyperlink" Target="https://www.mercadolibre.com.ar/reporting/activity/detail?id=54661564283" TargetMode="External"/><Relationship Id="rId423" Type="http://schemas.openxmlformats.org/officeDocument/2006/relationships/hyperlink" Target="https://www.mercadolibre.com.ar/reporting/activity/detail?id=54829571492" TargetMode="External"/><Relationship Id="rId868" Type="http://schemas.openxmlformats.org/officeDocument/2006/relationships/hyperlink" Target="https://www.mercadolibre.com.ar/reporting/activity/detail?id=55350365392" TargetMode="External"/><Relationship Id="rId1053" Type="http://schemas.openxmlformats.org/officeDocument/2006/relationships/hyperlink" Target="https://www.mercadolibre.com.ar/reporting/activity/detail?id=55555874407" TargetMode="External"/><Relationship Id="rId1260" Type="http://schemas.openxmlformats.org/officeDocument/2006/relationships/hyperlink" Target="https://www.mercadolibre.com.ar/reporting/activity/detail?id=55833292351" TargetMode="External"/><Relationship Id="rId630" Type="http://schemas.openxmlformats.org/officeDocument/2006/relationships/hyperlink" Target="https://www.mercadolibre.com.ar/reporting/activity/detail?id=55080462186" TargetMode="External"/><Relationship Id="rId728" Type="http://schemas.openxmlformats.org/officeDocument/2006/relationships/hyperlink" Target="https://www.mercadolibre.com.ar/reporting/activity/detail?id=55194152804" TargetMode="External"/><Relationship Id="rId935" Type="http://schemas.openxmlformats.org/officeDocument/2006/relationships/hyperlink" Target="https://www.mercadolibre.com.ar/reporting/activity/detail?id=55469007202" TargetMode="External"/><Relationship Id="rId1358" Type="http://schemas.openxmlformats.org/officeDocument/2006/relationships/hyperlink" Target="https://www.mercadolibre.com.ar/reporting/activity/detail?id=54259178746" TargetMode="External"/><Relationship Id="rId64" Type="http://schemas.openxmlformats.org/officeDocument/2006/relationships/hyperlink" Target="https://www.mercadolibre.com.ar/reporting/activity/detail?id=54378133113" TargetMode="External"/><Relationship Id="rId1120" Type="http://schemas.openxmlformats.org/officeDocument/2006/relationships/hyperlink" Target="https://www.mercadolibre.com.ar/reporting/activity/detail?id=55659102573" TargetMode="External"/><Relationship Id="rId1218" Type="http://schemas.openxmlformats.org/officeDocument/2006/relationships/hyperlink" Target="https://www.mercadolibre.com.ar/reporting/activity/detail?id=55827326703" TargetMode="External"/><Relationship Id="rId280" Type="http://schemas.openxmlformats.org/officeDocument/2006/relationships/hyperlink" Target="https://www.mercadolibre.com.ar/reporting/activity/detail?id=54670212580" TargetMode="External"/><Relationship Id="rId140" Type="http://schemas.openxmlformats.org/officeDocument/2006/relationships/hyperlink" Target="https://www.mercadolibre.com.ar/reporting/activity/detail?id=54429700710" TargetMode="External"/><Relationship Id="rId378" Type="http://schemas.openxmlformats.org/officeDocument/2006/relationships/hyperlink" Target="https://www.mercadolibre.com.ar/reporting/activity/detail?id=54782478457" TargetMode="External"/><Relationship Id="rId585" Type="http://schemas.openxmlformats.org/officeDocument/2006/relationships/hyperlink" Target="https://www.mercadolibre.com.ar/reporting/activity/detail?id=55078721447" TargetMode="External"/><Relationship Id="rId792" Type="http://schemas.openxmlformats.org/officeDocument/2006/relationships/hyperlink" Target="https://www.mercadolibre.com.ar/reporting/activity/detail?id=55239571125" TargetMode="External"/><Relationship Id="rId6" Type="http://schemas.openxmlformats.org/officeDocument/2006/relationships/hyperlink" Target="https://www.mercadolibre.com.ar/reporting/activity/detail?id=54263993507" TargetMode="External"/><Relationship Id="rId238" Type="http://schemas.openxmlformats.org/officeDocument/2006/relationships/hyperlink" Target="https://www.mercadolibre.com.ar/reporting/activity/detail?id=54665928372" TargetMode="External"/><Relationship Id="rId445" Type="http://schemas.openxmlformats.org/officeDocument/2006/relationships/hyperlink" Target="https://www.mercadolibre.com.ar/reporting/activity/detail?id=55016047136" TargetMode="External"/><Relationship Id="rId652" Type="http://schemas.openxmlformats.org/officeDocument/2006/relationships/hyperlink" Target="https://www.mercadolibre.com.ar/reporting/activity/detail?id=55130480651" TargetMode="External"/><Relationship Id="rId1075" Type="http://schemas.openxmlformats.org/officeDocument/2006/relationships/hyperlink" Target="https://www.mercadolibre.com.ar/reporting/activity/detail?id=55654885498" TargetMode="External"/><Relationship Id="rId1282" Type="http://schemas.openxmlformats.org/officeDocument/2006/relationships/hyperlink" Target="https://www.mercadolibre.com.ar/reporting/activity/detail?id=55835004689" TargetMode="External"/><Relationship Id="rId305" Type="http://schemas.openxmlformats.org/officeDocument/2006/relationships/hyperlink" Target="https://www.mercadolibre.com.ar/reporting/activity/detail?id=54722888020" TargetMode="External"/><Relationship Id="rId512" Type="http://schemas.openxmlformats.org/officeDocument/2006/relationships/hyperlink" Target="https://www.mercadolibre.com.ar/reporting/activity/detail?id=55075936267" TargetMode="External"/><Relationship Id="rId957" Type="http://schemas.openxmlformats.org/officeDocument/2006/relationships/hyperlink" Target="https://www.mercadolibre.com.ar/reporting/activity/detail?id=55471842829" TargetMode="External"/><Relationship Id="rId1142" Type="http://schemas.openxmlformats.org/officeDocument/2006/relationships/hyperlink" Target="https://www.mercadolibre.com.ar/reporting/activity/detail?id=55731756318" TargetMode="External"/><Relationship Id="rId86" Type="http://schemas.openxmlformats.org/officeDocument/2006/relationships/hyperlink" Target="https://www.mercadolibre.com.ar/reporting/activity/detail?id=54383335060" TargetMode="External"/><Relationship Id="rId817" Type="http://schemas.openxmlformats.org/officeDocument/2006/relationships/hyperlink" Target="https://www.mercadolibre.com.ar/reporting/activity/detail?id=55242145038" TargetMode="External"/><Relationship Id="rId1002" Type="http://schemas.openxmlformats.org/officeDocument/2006/relationships/hyperlink" Target="https://www.mercadolibre.com.ar/reporting/activity/detail?id=55516238364" TargetMode="External"/><Relationship Id="rId1307" Type="http://schemas.openxmlformats.org/officeDocument/2006/relationships/hyperlink" Target="https://www.mercadolibre.com.ar/reporting/activity/detail?id=55872280569" TargetMode="External"/><Relationship Id="rId13" Type="http://schemas.openxmlformats.org/officeDocument/2006/relationships/hyperlink" Target="https://www.mercadolibre.com.ar/reporting/activity/detail?id=54265216189" TargetMode="External"/><Relationship Id="rId162" Type="http://schemas.openxmlformats.org/officeDocument/2006/relationships/hyperlink" Target="https://www.mercadolibre.com.ar/reporting/activity/detail?id=54432623976" TargetMode="External"/><Relationship Id="rId467" Type="http://schemas.openxmlformats.org/officeDocument/2006/relationships/hyperlink" Target="https://www.mercadolibre.com.ar/reporting/activity/detail?id=55071485499" TargetMode="External"/><Relationship Id="rId1097" Type="http://schemas.openxmlformats.org/officeDocument/2006/relationships/hyperlink" Target="https://www.mercadolibre.com.ar/reporting/activity/detail?id=55657842965" TargetMode="External"/><Relationship Id="rId674" Type="http://schemas.openxmlformats.org/officeDocument/2006/relationships/hyperlink" Target="https://www.mercadolibre.com.ar/reporting/activity/detail?id=55136476858" TargetMode="External"/><Relationship Id="rId881" Type="http://schemas.openxmlformats.org/officeDocument/2006/relationships/hyperlink" Target="https://www.mercadolibre.com.ar/reporting/activity/detail?id=55351473970" TargetMode="External"/><Relationship Id="rId979" Type="http://schemas.openxmlformats.org/officeDocument/2006/relationships/hyperlink" Target="https://www.mercadolibre.com.ar/reporting/activity/detail?id=55512507814" TargetMode="External"/><Relationship Id="rId327" Type="http://schemas.openxmlformats.org/officeDocument/2006/relationships/hyperlink" Target="https://www.mercadolibre.com.ar/reporting/activity/detail?id=54727917039" TargetMode="External"/><Relationship Id="rId534" Type="http://schemas.openxmlformats.org/officeDocument/2006/relationships/hyperlink" Target="https://www.mercadolibre.com.ar/reporting/activity/detail?id=55076969109" TargetMode="External"/><Relationship Id="rId741" Type="http://schemas.openxmlformats.org/officeDocument/2006/relationships/hyperlink" Target="https://www.mercadolibre.com.ar/reporting/activity/detail?id=55195722564" TargetMode="External"/><Relationship Id="rId839" Type="http://schemas.openxmlformats.org/officeDocument/2006/relationships/hyperlink" Target="https://www.mercadolibre.com.ar/reporting/activity/detail?id=55347249976" TargetMode="External"/><Relationship Id="rId1164" Type="http://schemas.openxmlformats.org/officeDocument/2006/relationships/hyperlink" Target="https://www.mercadolibre.com.ar/reporting/activity/detail?id=55783739619" TargetMode="External"/><Relationship Id="rId1371" Type="http://schemas.openxmlformats.org/officeDocument/2006/relationships/hyperlink" Target="https://www.mercadolibre.com.ar/reporting/activity/detail?id=54261231530" TargetMode="External"/><Relationship Id="rId601" Type="http://schemas.openxmlformats.org/officeDocument/2006/relationships/hyperlink" Target="https://www.mercadolibre.com.ar/reporting/activity/detail?id=55079216377" TargetMode="External"/><Relationship Id="rId1024" Type="http://schemas.openxmlformats.org/officeDocument/2006/relationships/hyperlink" Target="https://www.mercadolibre.com.ar/reporting/activity/detail?id=55549688278" TargetMode="External"/><Relationship Id="rId1231" Type="http://schemas.openxmlformats.org/officeDocument/2006/relationships/hyperlink" Target="https://www.mercadolibre.com.ar/reporting/activity/detail?id=55830410984" TargetMode="External"/><Relationship Id="rId906" Type="http://schemas.openxmlformats.org/officeDocument/2006/relationships/hyperlink" Target="https://www.mercadolibre.com.ar/reporting/activity/detail?id=55423282890" TargetMode="External"/><Relationship Id="rId1329" Type="http://schemas.openxmlformats.org/officeDocument/2006/relationships/hyperlink" Target="https://www.mercadolibre.com.ar/reporting/activity/detail?id=54197864029" TargetMode="External"/><Relationship Id="rId35" Type="http://schemas.openxmlformats.org/officeDocument/2006/relationships/hyperlink" Target="https://www.mercadolibre.com.ar/reporting/activity/detail?id=54324920616" TargetMode="External"/><Relationship Id="rId184" Type="http://schemas.openxmlformats.org/officeDocument/2006/relationships/hyperlink" Target="https://www.mercadolibre.com.ar/reporting/activity/detail?id=54433894243" TargetMode="External"/><Relationship Id="rId391" Type="http://schemas.openxmlformats.org/officeDocument/2006/relationships/hyperlink" Target="https://www.mercadolibre.com.ar/reporting/activity/detail?id=54785277857" TargetMode="External"/><Relationship Id="rId251" Type="http://schemas.openxmlformats.org/officeDocument/2006/relationships/hyperlink" Target="https://www.mercadolibre.com.ar/reporting/activity/detail?id=54667624293" TargetMode="External"/><Relationship Id="rId489" Type="http://schemas.openxmlformats.org/officeDocument/2006/relationships/hyperlink" Target="https://www.mercadolibre.com.ar/reporting/activity/detail?id=55074294504" TargetMode="External"/><Relationship Id="rId696" Type="http://schemas.openxmlformats.org/officeDocument/2006/relationships/hyperlink" Target="https://www.mercadolibre.com.ar/reporting/activity/detail?id=55140599522" TargetMode="External"/><Relationship Id="rId46" Type="http://schemas.openxmlformats.org/officeDocument/2006/relationships/hyperlink" Target="https://www.mercadolibre.com.ar/reporting/activity/detail?id=54328467165" TargetMode="External"/><Relationship Id="rId349" Type="http://schemas.openxmlformats.org/officeDocument/2006/relationships/hyperlink" Target="https://www.mercadolibre.com.ar/reporting/activity/detail?id=54730827320" TargetMode="External"/><Relationship Id="rId556" Type="http://schemas.openxmlformats.org/officeDocument/2006/relationships/hyperlink" Target="https://www.mercadolibre.com.ar/reporting/activity/detail?id=55077832613" TargetMode="External"/><Relationship Id="rId763" Type="http://schemas.openxmlformats.org/officeDocument/2006/relationships/hyperlink" Target="https://www.mercadolibre.com.ar/reporting/activity/detail?id=55197227253" TargetMode="External"/><Relationship Id="rId1186" Type="http://schemas.openxmlformats.org/officeDocument/2006/relationships/hyperlink" Target="https://www.mercadolibre.com.ar/reporting/activity/detail?id=55786266676" TargetMode="External"/><Relationship Id="rId111" Type="http://schemas.openxmlformats.org/officeDocument/2006/relationships/hyperlink" Target="https://www.mercadolibre.com.ar/reporting/activity/detail?id=54386883678" TargetMode="External"/><Relationship Id="rId195" Type="http://schemas.openxmlformats.org/officeDocument/2006/relationships/hyperlink" Target="https://www.mercadolibre.com.ar/reporting/activity/detail?id=54603863044" TargetMode="External"/><Relationship Id="rId209" Type="http://schemas.openxmlformats.org/officeDocument/2006/relationships/hyperlink" Target="https://www.mercadolibre.com.ar/reporting/activity/detail?id=54657225883" TargetMode="External"/><Relationship Id="rId416" Type="http://schemas.openxmlformats.org/officeDocument/2006/relationships/hyperlink" Target="https://www.mercadolibre.com.ar/reporting/activity/detail?id=54827777854" TargetMode="External"/><Relationship Id="rId970" Type="http://schemas.openxmlformats.org/officeDocument/2006/relationships/hyperlink" Target="https://www.mercadolibre.com.ar/reporting/activity/detail?id=55510732752" TargetMode="External"/><Relationship Id="rId1046" Type="http://schemas.openxmlformats.org/officeDocument/2006/relationships/hyperlink" Target="https://www.mercadolibre.com.ar/reporting/activity/detail?id=55555254380" TargetMode="External"/><Relationship Id="rId1253" Type="http://schemas.openxmlformats.org/officeDocument/2006/relationships/hyperlink" Target="https://www.mercadolibre.com.ar/reporting/activity/detail?id=55832683055" TargetMode="External"/><Relationship Id="rId623" Type="http://schemas.openxmlformats.org/officeDocument/2006/relationships/hyperlink" Target="https://www.mercadolibre.com.ar/reporting/activity/detail?id=55080199686" TargetMode="External"/><Relationship Id="rId830" Type="http://schemas.openxmlformats.org/officeDocument/2006/relationships/hyperlink" Target="https://www.mercadolibre.com.ar/reporting/activity/detail?id=55344630079" TargetMode="External"/><Relationship Id="rId928" Type="http://schemas.openxmlformats.org/officeDocument/2006/relationships/hyperlink" Target="https://www.mercadolibre.com.ar/reporting/activity/detail?id=55467924930" TargetMode="External"/><Relationship Id="rId57" Type="http://schemas.openxmlformats.org/officeDocument/2006/relationships/hyperlink" Target="https://www.mercadolibre.com.ar/reporting/activity/detail?id=54369420642" TargetMode="External"/><Relationship Id="rId262" Type="http://schemas.openxmlformats.org/officeDocument/2006/relationships/hyperlink" Target="https://www.mercadolibre.com.ar/reporting/activity/detail?id=54668712259" TargetMode="External"/><Relationship Id="rId567" Type="http://schemas.openxmlformats.org/officeDocument/2006/relationships/hyperlink" Target="https://www.mercadolibre.com.ar/reporting/activity/detail?id=55078030502" TargetMode="External"/><Relationship Id="rId1113" Type="http://schemas.openxmlformats.org/officeDocument/2006/relationships/hyperlink" Target="https://www.mercadolibre.com.ar/reporting/activity/detail?id=55658996071" TargetMode="External"/><Relationship Id="rId1197" Type="http://schemas.openxmlformats.org/officeDocument/2006/relationships/hyperlink" Target="https://www.mercadolibre.com.ar/reporting/activity/detail?id=55787776275" TargetMode="External"/><Relationship Id="rId1320" Type="http://schemas.openxmlformats.org/officeDocument/2006/relationships/hyperlink" Target="https://www.mercadolibre.com.ar/reporting/activity/detail?id=54200200216" TargetMode="External"/><Relationship Id="rId122" Type="http://schemas.openxmlformats.org/officeDocument/2006/relationships/hyperlink" Target="https://www.mercadolibre.com.ar/reporting/activity/detail?id=54426257719" TargetMode="External"/><Relationship Id="rId774" Type="http://schemas.openxmlformats.org/officeDocument/2006/relationships/hyperlink" Target="https://www.mercadolibre.com.ar/reporting/activity/detail?id=55235388352" TargetMode="External"/><Relationship Id="rId981" Type="http://schemas.openxmlformats.org/officeDocument/2006/relationships/hyperlink" Target="https://www.mercadolibre.com.ar/reporting/activity/detail?id=55513171546" TargetMode="External"/><Relationship Id="rId1057" Type="http://schemas.openxmlformats.org/officeDocument/2006/relationships/hyperlink" Target="https://www.mercadolibre.com.ar/reporting/activity/detail?id=55647914642" TargetMode="External"/><Relationship Id="rId427" Type="http://schemas.openxmlformats.org/officeDocument/2006/relationships/hyperlink" Target="https://www.mercadolibre.com.ar/reporting/activity/detail?id=54831450064" TargetMode="External"/><Relationship Id="rId634" Type="http://schemas.openxmlformats.org/officeDocument/2006/relationships/hyperlink" Target="https://www.mercadolibre.com.ar/reporting/activity/detail?id=55080602497" TargetMode="External"/><Relationship Id="rId841" Type="http://schemas.openxmlformats.org/officeDocument/2006/relationships/hyperlink" Target="https://www.mercadolibre.com.ar/reporting/activity/detail?id=55347908082" TargetMode="External"/><Relationship Id="rId1264" Type="http://schemas.openxmlformats.org/officeDocument/2006/relationships/hyperlink" Target="https://www.mercadolibre.com.ar/reporting/activity/detail?id=55833678210" TargetMode="External"/><Relationship Id="rId273" Type="http://schemas.openxmlformats.org/officeDocument/2006/relationships/hyperlink" Target="https://www.mercadolibre.com.ar/reporting/activity/detail?id=54669910515" TargetMode="External"/><Relationship Id="rId480" Type="http://schemas.openxmlformats.org/officeDocument/2006/relationships/hyperlink" Target="https://www.mercadolibre.com.ar/reporting/activity/detail?id=55073844578" TargetMode="External"/><Relationship Id="rId701" Type="http://schemas.openxmlformats.org/officeDocument/2006/relationships/hyperlink" Target="https://www.mercadolibre.com.ar/reporting/activity/detail?id=55141276942" TargetMode="External"/><Relationship Id="rId939" Type="http://schemas.openxmlformats.org/officeDocument/2006/relationships/hyperlink" Target="https://www.mercadolibre.com.ar/reporting/activity/detail?id=55469743973" TargetMode="External"/><Relationship Id="rId1124" Type="http://schemas.openxmlformats.org/officeDocument/2006/relationships/hyperlink" Target="https://www.mercadolibre.com.ar/reporting/activity/detail?id=55659161610" TargetMode="External"/><Relationship Id="rId1331" Type="http://schemas.openxmlformats.org/officeDocument/2006/relationships/hyperlink" Target="https://www.mercadolibre.com.ar/reporting/activity/detail?id=54199605104" TargetMode="External"/><Relationship Id="rId68" Type="http://schemas.openxmlformats.org/officeDocument/2006/relationships/hyperlink" Target="https://www.mercadolibre.com.ar/reporting/activity/detail?id=54378885910" TargetMode="External"/><Relationship Id="rId133" Type="http://schemas.openxmlformats.org/officeDocument/2006/relationships/hyperlink" Target="https://www.mercadolibre.com.ar/reporting/activity/detail?id=54428128921" TargetMode="External"/><Relationship Id="rId340" Type="http://schemas.openxmlformats.org/officeDocument/2006/relationships/hyperlink" Target="https://www.mercadolibre.com.ar/reporting/activity/detail?id=54729373455" TargetMode="External"/><Relationship Id="rId578" Type="http://schemas.openxmlformats.org/officeDocument/2006/relationships/hyperlink" Target="https://www.mercadolibre.com.ar/reporting/activity/detail?id=55078463264" TargetMode="External"/><Relationship Id="rId785" Type="http://schemas.openxmlformats.org/officeDocument/2006/relationships/hyperlink" Target="https://www.mercadolibre.com.ar/reporting/activity/detail?id=55238042340" TargetMode="External"/><Relationship Id="rId992" Type="http://schemas.openxmlformats.org/officeDocument/2006/relationships/hyperlink" Target="https://www.mercadolibre.com.ar/reporting/activity/detail?id=55515079678" TargetMode="External"/><Relationship Id="rId200" Type="http://schemas.openxmlformats.org/officeDocument/2006/relationships/hyperlink" Target="https://www.mercadolibre.com.ar/reporting/activity/detail?id=54606462200" TargetMode="External"/><Relationship Id="rId438" Type="http://schemas.openxmlformats.org/officeDocument/2006/relationships/hyperlink" Target="https://www.mercadolibre.com.ar/reporting/activity/detail?id=55013810726" TargetMode="External"/><Relationship Id="rId645" Type="http://schemas.openxmlformats.org/officeDocument/2006/relationships/hyperlink" Target="https://www.mercadolibre.com.ar/reporting/activity/detail?id=55126780957" TargetMode="External"/><Relationship Id="rId852" Type="http://schemas.openxmlformats.org/officeDocument/2006/relationships/hyperlink" Target="https://www.mercadolibre.com.ar/reporting/activity/detail?id=55348981790" TargetMode="External"/><Relationship Id="rId1068" Type="http://schemas.openxmlformats.org/officeDocument/2006/relationships/hyperlink" Target="https://www.mercadolibre.com.ar/reporting/activity/detail?id=55652694016" TargetMode="External"/><Relationship Id="rId1275" Type="http://schemas.openxmlformats.org/officeDocument/2006/relationships/hyperlink" Target="https://www.mercadolibre.com.ar/reporting/activity/detail?id=55834600272" TargetMode="External"/><Relationship Id="rId284" Type="http://schemas.openxmlformats.org/officeDocument/2006/relationships/hyperlink" Target="https://www.mercadolibre.com.ar/reporting/activity/detail?id=54670470189" TargetMode="External"/><Relationship Id="rId491" Type="http://schemas.openxmlformats.org/officeDocument/2006/relationships/hyperlink" Target="https://www.mercadolibre.com.ar/reporting/activity/detail?id=55074567131" TargetMode="External"/><Relationship Id="rId505" Type="http://schemas.openxmlformats.org/officeDocument/2006/relationships/hyperlink" Target="https://www.mercadolibre.com.ar/reporting/activity/detail?id=55075471197" TargetMode="External"/><Relationship Id="rId712" Type="http://schemas.openxmlformats.org/officeDocument/2006/relationships/hyperlink" Target="https://www.mercadolibre.com.ar/reporting/activity/detail?id=55190135250" TargetMode="External"/><Relationship Id="rId1135" Type="http://schemas.openxmlformats.org/officeDocument/2006/relationships/hyperlink" Target="https://www.mercadolibre.com.ar/reporting/activity/detail?id=55729987954" TargetMode="External"/><Relationship Id="rId1342" Type="http://schemas.openxmlformats.org/officeDocument/2006/relationships/hyperlink" Target="https://www.mercadolibre.com.ar/reporting/activity/detail?id=54206430316" TargetMode="External"/><Relationship Id="rId79" Type="http://schemas.openxmlformats.org/officeDocument/2006/relationships/hyperlink" Target="https://www.mercadolibre.com.ar/reporting/activity/detail?id=54382328455" TargetMode="External"/><Relationship Id="rId144" Type="http://schemas.openxmlformats.org/officeDocument/2006/relationships/hyperlink" Target="https://www.mercadolibre.com.ar/reporting/activity/detail?id=54430161841" TargetMode="External"/><Relationship Id="rId589" Type="http://schemas.openxmlformats.org/officeDocument/2006/relationships/hyperlink" Target="https://www.mercadolibre.com.ar/reporting/activity/detail?id=55078874702" TargetMode="External"/><Relationship Id="rId796" Type="http://schemas.openxmlformats.org/officeDocument/2006/relationships/hyperlink" Target="https://www.mercadolibre.com.ar/reporting/activity/detail?id=55240082072" TargetMode="External"/><Relationship Id="rId1202" Type="http://schemas.openxmlformats.org/officeDocument/2006/relationships/hyperlink" Target="https://www.mercadolibre.com.ar/reporting/activity/detail?id=55788002771" TargetMode="External"/><Relationship Id="rId351" Type="http://schemas.openxmlformats.org/officeDocument/2006/relationships/hyperlink" Target="https://www.mercadolibre.com.ar/reporting/activity/detail?id=54730932227" TargetMode="External"/><Relationship Id="rId449" Type="http://schemas.openxmlformats.org/officeDocument/2006/relationships/hyperlink" Target="https://www.mercadolibre.com.ar/reporting/activity/detail?id=55017004135" TargetMode="External"/><Relationship Id="rId656" Type="http://schemas.openxmlformats.org/officeDocument/2006/relationships/hyperlink" Target="https://www.mercadolibre.com.ar/reporting/activity/detail?id=55132703911" TargetMode="External"/><Relationship Id="rId863" Type="http://schemas.openxmlformats.org/officeDocument/2006/relationships/hyperlink" Target="https://www.mercadolibre.com.ar/reporting/activity/detail?id=55350068879" TargetMode="External"/><Relationship Id="rId1079" Type="http://schemas.openxmlformats.org/officeDocument/2006/relationships/hyperlink" Target="https://www.mercadolibre.com.ar/reporting/activity/detail?id=55655354937" TargetMode="External"/><Relationship Id="rId1286" Type="http://schemas.openxmlformats.org/officeDocument/2006/relationships/hyperlink" Target="https://www.mercadolibre.com.ar/reporting/activity/detail?id=55835113610" TargetMode="External"/><Relationship Id="rId211" Type="http://schemas.openxmlformats.org/officeDocument/2006/relationships/hyperlink" Target="https://www.mercadolibre.com.ar/reporting/activity/detail?id=54658138925" TargetMode="External"/><Relationship Id="rId295" Type="http://schemas.openxmlformats.org/officeDocument/2006/relationships/hyperlink" Target="https://www.mercadolibre.com.ar/reporting/activity/detail?id=54671271978" TargetMode="External"/><Relationship Id="rId309" Type="http://schemas.openxmlformats.org/officeDocument/2006/relationships/hyperlink" Target="https://www.mercadolibre.com.ar/reporting/activity/detail?id=54723949848" TargetMode="External"/><Relationship Id="rId516" Type="http://schemas.openxmlformats.org/officeDocument/2006/relationships/hyperlink" Target="https://www.mercadolibre.com.ar/reporting/activity/detail?id=55076161319" TargetMode="External"/><Relationship Id="rId1146" Type="http://schemas.openxmlformats.org/officeDocument/2006/relationships/hyperlink" Target="https://www.mercadolibre.com.ar/reporting/activity/detail?id=55735242937" TargetMode="External"/><Relationship Id="rId723" Type="http://schemas.openxmlformats.org/officeDocument/2006/relationships/hyperlink" Target="https://www.mercadolibre.com.ar/reporting/activity/detail?id=55193482559" TargetMode="External"/><Relationship Id="rId930" Type="http://schemas.openxmlformats.org/officeDocument/2006/relationships/hyperlink" Target="https://www.mercadolibre.com.ar/reporting/activity/detail?id=55468285349" TargetMode="External"/><Relationship Id="rId1006" Type="http://schemas.openxmlformats.org/officeDocument/2006/relationships/hyperlink" Target="https://www.mercadolibre.com.ar/reporting/activity/detail?id=55516559817" TargetMode="External"/><Relationship Id="rId1353" Type="http://schemas.openxmlformats.org/officeDocument/2006/relationships/hyperlink" Target="https://www.mercadolibre.com.ar/reporting/activity/detail?id=54254113616" TargetMode="External"/><Relationship Id="rId155" Type="http://schemas.openxmlformats.org/officeDocument/2006/relationships/hyperlink" Target="https://www.mercadolibre.com.ar/reporting/activity/detail?id=54431811629" TargetMode="External"/><Relationship Id="rId362" Type="http://schemas.openxmlformats.org/officeDocument/2006/relationships/hyperlink" Target="https://www.mercadolibre.com.ar/reporting/activity/detail?id=54776684667" TargetMode="External"/><Relationship Id="rId1213" Type="http://schemas.openxmlformats.org/officeDocument/2006/relationships/hyperlink" Target="https://www.mercadolibre.com.ar/reporting/activity/detail?id=55824810243" TargetMode="External"/><Relationship Id="rId1297" Type="http://schemas.openxmlformats.org/officeDocument/2006/relationships/hyperlink" Target="https://www.mercadolibre.com.ar/reporting/activity/detail?id=55870136032" TargetMode="External"/><Relationship Id="rId222" Type="http://schemas.openxmlformats.org/officeDocument/2006/relationships/hyperlink" Target="https://www.mercadolibre.com.ar/reporting/activity/detail?id=54663738785" TargetMode="External"/><Relationship Id="rId667" Type="http://schemas.openxmlformats.org/officeDocument/2006/relationships/hyperlink" Target="https://www.mercadolibre.com.ar/reporting/activity/detail?id=55134957282" TargetMode="External"/><Relationship Id="rId874" Type="http://schemas.openxmlformats.org/officeDocument/2006/relationships/hyperlink" Target="https://www.mercadolibre.com.ar/reporting/activity/detail?id=55350825416" TargetMode="External"/><Relationship Id="rId17" Type="http://schemas.openxmlformats.org/officeDocument/2006/relationships/hyperlink" Target="https://www.mercadolibre.com.ar/reporting/activity/detail?id=54266554876" TargetMode="External"/><Relationship Id="rId527" Type="http://schemas.openxmlformats.org/officeDocument/2006/relationships/hyperlink" Target="https://www.mercadolibre.com.ar/reporting/activity/detail?id=55076692323" TargetMode="External"/><Relationship Id="rId734" Type="http://schemas.openxmlformats.org/officeDocument/2006/relationships/hyperlink" Target="https://www.mercadolibre.com.ar/reporting/activity/detail?id=55195159365" TargetMode="External"/><Relationship Id="rId941" Type="http://schemas.openxmlformats.org/officeDocument/2006/relationships/hyperlink" Target="https://www.mercadolibre.com.ar/reporting/activity/detail?id=55469931840" TargetMode="External"/><Relationship Id="rId1157" Type="http://schemas.openxmlformats.org/officeDocument/2006/relationships/hyperlink" Target="https://www.mercadolibre.com.ar/reporting/activity/detail?id=55781743870" TargetMode="External"/><Relationship Id="rId1364" Type="http://schemas.openxmlformats.org/officeDocument/2006/relationships/hyperlink" Target="https://www.mercadolibre.com.ar/reporting/activity/detail?id=54260238790" TargetMode="External"/><Relationship Id="rId70" Type="http://schemas.openxmlformats.org/officeDocument/2006/relationships/hyperlink" Target="https://www.mercadolibre.com.ar/reporting/activity/detail?id=54379475104" TargetMode="External"/><Relationship Id="rId166" Type="http://schemas.openxmlformats.org/officeDocument/2006/relationships/hyperlink" Target="https://www.mercadolibre.com.ar/reporting/activity/detail?id=54433163821" TargetMode="External"/><Relationship Id="rId373" Type="http://schemas.openxmlformats.org/officeDocument/2006/relationships/hyperlink" Target="https://www.mercadolibre.com.ar/reporting/activity/detail?id=54781430497" TargetMode="External"/><Relationship Id="rId580" Type="http://schemas.openxmlformats.org/officeDocument/2006/relationships/hyperlink" Target="https://www.mercadolibre.com.ar/reporting/activity/detail?id=55078546262" TargetMode="External"/><Relationship Id="rId801" Type="http://schemas.openxmlformats.org/officeDocument/2006/relationships/hyperlink" Target="https://www.mercadolibre.com.ar/reporting/activity/detail?id=55240263315" TargetMode="External"/><Relationship Id="rId1017" Type="http://schemas.openxmlformats.org/officeDocument/2006/relationships/hyperlink" Target="https://www.mercadolibre.com.ar/reporting/activity/detail?id=55545327685" TargetMode="External"/><Relationship Id="rId1224" Type="http://schemas.openxmlformats.org/officeDocument/2006/relationships/hyperlink" Target="https://www.mercadolibre.com.ar/reporting/activity/detail?id=55828626490" TargetMode="External"/><Relationship Id="rId1" Type="http://schemas.openxmlformats.org/officeDocument/2006/relationships/hyperlink" Target="https://www.mercadolibre.com.ar/reporting/activity/detail?id=54263290267" TargetMode="External"/><Relationship Id="rId233" Type="http://schemas.openxmlformats.org/officeDocument/2006/relationships/hyperlink" Target="https://www.mercadolibre.com.ar/reporting/activity/detail?id=54665287151" TargetMode="External"/><Relationship Id="rId440" Type="http://schemas.openxmlformats.org/officeDocument/2006/relationships/hyperlink" Target="https://www.mercadolibre.com.ar/reporting/activity/detail?id=55015016241" TargetMode="External"/><Relationship Id="rId678" Type="http://schemas.openxmlformats.org/officeDocument/2006/relationships/hyperlink" Target="https://www.mercadolibre.com.ar/reporting/activity/detail?id=55136918751" TargetMode="External"/><Relationship Id="rId885" Type="http://schemas.openxmlformats.org/officeDocument/2006/relationships/hyperlink" Target="https://www.mercadolibre.com.ar/reporting/activity/detail?id=55351734023" TargetMode="External"/><Relationship Id="rId1070" Type="http://schemas.openxmlformats.org/officeDocument/2006/relationships/hyperlink" Target="https://www.mercadolibre.com.ar/reporting/activity/detail?id=55653040467" TargetMode="External"/><Relationship Id="rId28" Type="http://schemas.openxmlformats.org/officeDocument/2006/relationships/hyperlink" Target="https://www.mercadolibre.com.ar/reporting/activity/detail?id=54321115339" TargetMode="External"/><Relationship Id="rId300" Type="http://schemas.openxmlformats.org/officeDocument/2006/relationships/hyperlink" Target="https://www.mercadolibre.com.ar/reporting/activity/detail?id=54720190350" TargetMode="External"/><Relationship Id="rId538" Type="http://schemas.openxmlformats.org/officeDocument/2006/relationships/hyperlink" Target="https://www.mercadolibre.com.ar/reporting/activity/detail?id=55077071406" TargetMode="External"/><Relationship Id="rId745" Type="http://schemas.openxmlformats.org/officeDocument/2006/relationships/hyperlink" Target="https://www.mercadolibre.com.ar/reporting/activity/detail?id=55195911594" TargetMode="External"/><Relationship Id="rId952" Type="http://schemas.openxmlformats.org/officeDocument/2006/relationships/hyperlink" Target="https://www.mercadolibre.com.ar/reporting/activity/detail?id=55471418361" TargetMode="External"/><Relationship Id="rId1168" Type="http://schemas.openxmlformats.org/officeDocument/2006/relationships/hyperlink" Target="https://www.mercadolibre.com.ar/reporting/activity/detail?id=55783966272" TargetMode="External"/><Relationship Id="rId1375" Type="http://schemas.openxmlformats.org/officeDocument/2006/relationships/hyperlink" Target="https://www.mercadolibre.com.ar/reporting/activity/detail?id=54261455892" TargetMode="External"/><Relationship Id="rId81" Type="http://schemas.openxmlformats.org/officeDocument/2006/relationships/hyperlink" Target="https://www.mercadolibre.com.ar/reporting/activity/detail?id=54382565883" TargetMode="External"/><Relationship Id="rId177" Type="http://schemas.openxmlformats.org/officeDocument/2006/relationships/hyperlink" Target="https://www.mercadolibre.com.ar/reporting/activity/detail?id=54433738199" TargetMode="External"/><Relationship Id="rId384" Type="http://schemas.openxmlformats.org/officeDocument/2006/relationships/hyperlink" Target="https://www.mercadolibre.com.ar/reporting/activity/detail?id=54784019484" TargetMode="External"/><Relationship Id="rId591" Type="http://schemas.openxmlformats.org/officeDocument/2006/relationships/hyperlink" Target="https://www.mercadolibre.com.ar/reporting/activity/detail?id=55078909706" TargetMode="External"/><Relationship Id="rId605" Type="http://schemas.openxmlformats.org/officeDocument/2006/relationships/hyperlink" Target="https://www.mercadolibre.com.ar/reporting/activity/detail?id=55079347599" TargetMode="External"/><Relationship Id="rId812" Type="http://schemas.openxmlformats.org/officeDocument/2006/relationships/hyperlink" Target="https://www.mercadolibre.com.ar/reporting/activity/detail?id=55241931833" TargetMode="External"/><Relationship Id="rId1028" Type="http://schemas.openxmlformats.org/officeDocument/2006/relationships/hyperlink" Target="https://www.mercadolibre.com.ar/reporting/activity/detail?id=55552043375" TargetMode="External"/><Relationship Id="rId1235" Type="http://schemas.openxmlformats.org/officeDocument/2006/relationships/hyperlink" Target="https://www.mercadolibre.com.ar/reporting/activity/detail?id=55830868997" TargetMode="External"/><Relationship Id="rId244" Type="http://schemas.openxmlformats.org/officeDocument/2006/relationships/hyperlink" Target="https://www.mercadolibre.com.ar/reporting/activity/detail?id=54666844926" TargetMode="External"/><Relationship Id="rId689" Type="http://schemas.openxmlformats.org/officeDocument/2006/relationships/hyperlink" Target="https://www.mercadolibre.com.ar/reporting/activity/detail?id=55139373107" TargetMode="External"/><Relationship Id="rId896" Type="http://schemas.openxmlformats.org/officeDocument/2006/relationships/hyperlink" Target="https://www.mercadolibre.com.ar/reporting/activity/detail?id=55421099261" TargetMode="External"/><Relationship Id="rId1081" Type="http://schemas.openxmlformats.org/officeDocument/2006/relationships/hyperlink" Target="https://www.mercadolibre.com.ar/reporting/activity/detail?id=55655556397" TargetMode="External"/><Relationship Id="rId1302" Type="http://schemas.openxmlformats.org/officeDocument/2006/relationships/hyperlink" Target="https://www.mercadolibre.com.ar/reporting/activity/detail?id=55871329296" TargetMode="External"/><Relationship Id="rId39" Type="http://schemas.openxmlformats.org/officeDocument/2006/relationships/hyperlink" Target="https://www.mercadolibre.com.ar/reporting/activity/detail?id=54327246869" TargetMode="External"/><Relationship Id="rId451" Type="http://schemas.openxmlformats.org/officeDocument/2006/relationships/hyperlink" Target="https://www.mercadolibre.com.ar/reporting/activity/detail?id=55018357806" TargetMode="External"/><Relationship Id="rId549" Type="http://schemas.openxmlformats.org/officeDocument/2006/relationships/hyperlink" Target="https://www.mercadolibre.com.ar/reporting/activity/detail?id=55077649243" TargetMode="External"/><Relationship Id="rId756" Type="http://schemas.openxmlformats.org/officeDocument/2006/relationships/hyperlink" Target="https://www.mercadolibre.com.ar/reporting/activity/detail?id=55196679076" TargetMode="External"/><Relationship Id="rId1179" Type="http://schemas.openxmlformats.org/officeDocument/2006/relationships/hyperlink" Target="https://www.mercadolibre.com.ar/reporting/activity/detail?id=55785790837" TargetMode="External"/><Relationship Id="rId104" Type="http://schemas.openxmlformats.org/officeDocument/2006/relationships/hyperlink" Target="https://www.mercadolibre.com.ar/reporting/activity/detail?id=54385437494" TargetMode="External"/><Relationship Id="rId188" Type="http://schemas.openxmlformats.org/officeDocument/2006/relationships/hyperlink" Target="https://www.mercadolibre.com.ar/reporting/activity/detail?id=54602084611" TargetMode="External"/><Relationship Id="rId311" Type="http://schemas.openxmlformats.org/officeDocument/2006/relationships/hyperlink" Target="https://www.mercadolibre.com.ar/reporting/activity/detail?id=54724505251" TargetMode="External"/><Relationship Id="rId395" Type="http://schemas.openxmlformats.org/officeDocument/2006/relationships/hyperlink" Target="https://www.mercadolibre.com.ar/reporting/activity/detail?id=54785641485" TargetMode="External"/><Relationship Id="rId409" Type="http://schemas.openxmlformats.org/officeDocument/2006/relationships/hyperlink" Target="https://www.mercadolibre.com.ar/reporting/activity/detail?id=54822847159" TargetMode="External"/><Relationship Id="rId963" Type="http://schemas.openxmlformats.org/officeDocument/2006/relationships/hyperlink" Target="https://www.mercadolibre.com.ar/reporting/activity/detail?id=55507850481" TargetMode="External"/><Relationship Id="rId1039" Type="http://schemas.openxmlformats.org/officeDocument/2006/relationships/hyperlink" Target="https://www.mercadolibre.com.ar/reporting/activity/detail?id=55554326309" TargetMode="External"/><Relationship Id="rId1246" Type="http://schemas.openxmlformats.org/officeDocument/2006/relationships/hyperlink" Target="https://www.mercadolibre.com.ar/reporting/activity/detail?id=55831716774" TargetMode="External"/><Relationship Id="rId92" Type="http://schemas.openxmlformats.org/officeDocument/2006/relationships/hyperlink" Target="https://www.mercadolibre.com.ar/reporting/activity/detail?id=54384134257" TargetMode="External"/><Relationship Id="rId616" Type="http://schemas.openxmlformats.org/officeDocument/2006/relationships/hyperlink" Target="https://www.mercadolibre.com.ar/reporting/activity/detail?id=55079933643" TargetMode="External"/><Relationship Id="rId823" Type="http://schemas.openxmlformats.org/officeDocument/2006/relationships/hyperlink" Target="https://www.mercadolibre.com.ar/reporting/activity/detail?id=55243533491" TargetMode="External"/><Relationship Id="rId255" Type="http://schemas.openxmlformats.org/officeDocument/2006/relationships/hyperlink" Target="https://www.mercadolibre.com.ar/reporting/activity/detail?id=54667899448" TargetMode="External"/><Relationship Id="rId462" Type="http://schemas.openxmlformats.org/officeDocument/2006/relationships/hyperlink" Target="https://www.mercadolibre.com.ar/reporting/activity/detail?id=55069460591" TargetMode="External"/><Relationship Id="rId1092" Type="http://schemas.openxmlformats.org/officeDocument/2006/relationships/hyperlink" Target="https://www.mercadolibre.com.ar/reporting/activity/detail?id=55657123756" TargetMode="External"/><Relationship Id="rId1106" Type="http://schemas.openxmlformats.org/officeDocument/2006/relationships/hyperlink" Target="https://www.mercadolibre.com.ar/reporting/activity/detail?id=55658616739" TargetMode="External"/><Relationship Id="rId1313" Type="http://schemas.openxmlformats.org/officeDocument/2006/relationships/hyperlink" Target="https://www.mercadolibre.com.ar/reporting/activity/detail?id=55872831273" TargetMode="External"/><Relationship Id="rId115" Type="http://schemas.openxmlformats.org/officeDocument/2006/relationships/hyperlink" Target="https://www.mercadolibre.com.ar/reporting/activity/detail?id=54422340104" TargetMode="External"/><Relationship Id="rId322" Type="http://schemas.openxmlformats.org/officeDocument/2006/relationships/hyperlink" Target="https://www.mercadolibre.com.ar/reporting/activity/detail?id=54726918938" TargetMode="External"/><Relationship Id="rId767" Type="http://schemas.openxmlformats.org/officeDocument/2006/relationships/hyperlink" Target="https://www.mercadolibre.com.ar/reporting/activity/detail?id=55197550544" TargetMode="External"/><Relationship Id="rId974" Type="http://schemas.openxmlformats.org/officeDocument/2006/relationships/hyperlink" Target="https://www.mercadolibre.com.ar/reporting/activity/detail?id=55511167006" TargetMode="External"/><Relationship Id="rId199" Type="http://schemas.openxmlformats.org/officeDocument/2006/relationships/hyperlink" Target="https://www.mercadolibre.com.ar/reporting/activity/detail?id=54605757400" TargetMode="External"/><Relationship Id="rId627" Type="http://schemas.openxmlformats.org/officeDocument/2006/relationships/hyperlink" Target="https://www.mercadolibre.com.ar/reporting/activity/detail?id=55080420110" TargetMode="External"/><Relationship Id="rId834" Type="http://schemas.openxmlformats.org/officeDocument/2006/relationships/hyperlink" Target="https://www.mercadolibre.com.ar/reporting/activity/detail?id=55345592502" TargetMode="External"/><Relationship Id="rId1257" Type="http://schemas.openxmlformats.org/officeDocument/2006/relationships/hyperlink" Target="https://www.mercadolibre.com.ar/reporting/activity/detail?id=55833051525" TargetMode="External"/><Relationship Id="rId266" Type="http://schemas.openxmlformats.org/officeDocument/2006/relationships/hyperlink" Target="https://www.mercadolibre.com.ar/reporting/activity/detail?id=54669628991" TargetMode="External"/><Relationship Id="rId473" Type="http://schemas.openxmlformats.org/officeDocument/2006/relationships/hyperlink" Target="https://www.mercadolibre.com.ar/reporting/activity/detail?id=55072307519" TargetMode="External"/><Relationship Id="rId680" Type="http://schemas.openxmlformats.org/officeDocument/2006/relationships/hyperlink" Target="https://www.mercadolibre.com.ar/reporting/activity/detail?id=55137556658" TargetMode="External"/><Relationship Id="rId901" Type="http://schemas.openxmlformats.org/officeDocument/2006/relationships/hyperlink" Target="https://www.mercadolibre.com.ar/reporting/activity/detail?id=55422626829" TargetMode="External"/><Relationship Id="rId1117" Type="http://schemas.openxmlformats.org/officeDocument/2006/relationships/hyperlink" Target="https://www.mercadolibre.com.ar/reporting/activity/detail?id=55659077048" TargetMode="External"/><Relationship Id="rId1324" Type="http://schemas.openxmlformats.org/officeDocument/2006/relationships/hyperlink" Target="https://www.mercadolibre.com.ar/reporting/activity/detail?id=54203082239" TargetMode="External"/><Relationship Id="rId30" Type="http://schemas.openxmlformats.org/officeDocument/2006/relationships/hyperlink" Target="https://www.mercadolibre.com.ar/reporting/activity/detail?id=54321601331" TargetMode="External"/><Relationship Id="rId126" Type="http://schemas.openxmlformats.org/officeDocument/2006/relationships/hyperlink" Target="https://www.mercadolibre.com.ar/reporting/activity/detail?id=54427359702" TargetMode="External"/><Relationship Id="rId333" Type="http://schemas.openxmlformats.org/officeDocument/2006/relationships/hyperlink" Target="https://www.mercadolibre.com.ar/reporting/activity/detail?id=54728941962" TargetMode="External"/><Relationship Id="rId540" Type="http://schemas.openxmlformats.org/officeDocument/2006/relationships/hyperlink" Target="https://www.mercadolibre.com.ar/reporting/activity/detail?id=55077266486" TargetMode="External"/><Relationship Id="rId778" Type="http://schemas.openxmlformats.org/officeDocument/2006/relationships/hyperlink" Target="https://www.mercadolibre.com.ar/reporting/activity/detail?id=55236017301" TargetMode="External"/><Relationship Id="rId985" Type="http://schemas.openxmlformats.org/officeDocument/2006/relationships/hyperlink" Target="https://www.mercadolibre.com.ar/reporting/activity/detail?id=55514297928" TargetMode="External"/><Relationship Id="rId1170" Type="http://schemas.openxmlformats.org/officeDocument/2006/relationships/hyperlink" Target="https://www.mercadolibre.com.ar/reporting/activity/detail?id=55784228564" TargetMode="External"/><Relationship Id="rId638" Type="http://schemas.openxmlformats.org/officeDocument/2006/relationships/hyperlink" Target="https://www.mercadolibre.com.ar/reporting/activity/detail?id=55080735872" TargetMode="External"/><Relationship Id="rId845" Type="http://schemas.openxmlformats.org/officeDocument/2006/relationships/hyperlink" Target="https://www.mercadolibre.com.ar/reporting/activity/detail?id=55348070926" TargetMode="External"/><Relationship Id="rId1030" Type="http://schemas.openxmlformats.org/officeDocument/2006/relationships/hyperlink" Target="https://www.mercadolibre.com.ar/reporting/activity/detail?id=55552601475" TargetMode="External"/><Relationship Id="rId1268" Type="http://schemas.openxmlformats.org/officeDocument/2006/relationships/hyperlink" Target="https://www.mercadolibre.com.ar/reporting/activity/detail?id=55834166495" TargetMode="External"/><Relationship Id="rId277" Type="http://schemas.openxmlformats.org/officeDocument/2006/relationships/hyperlink" Target="https://www.mercadolibre.com.ar/reporting/activity/detail?id=54670072206" TargetMode="External"/><Relationship Id="rId400" Type="http://schemas.openxmlformats.org/officeDocument/2006/relationships/hyperlink" Target="https://www.mercadolibre.com.ar/reporting/activity/detail?id=54785866239" TargetMode="External"/><Relationship Id="rId484" Type="http://schemas.openxmlformats.org/officeDocument/2006/relationships/hyperlink" Target="https://www.mercadolibre.com.ar/reporting/activity/detail?id=55074128122" TargetMode="External"/><Relationship Id="rId705" Type="http://schemas.openxmlformats.org/officeDocument/2006/relationships/hyperlink" Target="https://www.mercadolibre.com.ar/reporting/activity/detail?id=55183832521" TargetMode="External"/><Relationship Id="rId1128" Type="http://schemas.openxmlformats.org/officeDocument/2006/relationships/hyperlink" Target="https://www.mercadolibre.com.ar/reporting/activity/detail?id=55659265559" TargetMode="External"/><Relationship Id="rId1335" Type="http://schemas.openxmlformats.org/officeDocument/2006/relationships/hyperlink" Target="https://www.mercadolibre.com.ar/reporting/activity/detail?id=54205610330" TargetMode="External"/><Relationship Id="rId137" Type="http://schemas.openxmlformats.org/officeDocument/2006/relationships/hyperlink" Target="https://www.mercadolibre.com.ar/reporting/activity/detail?id=54429358990" TargetMode="External"/><Relationship Id="rId344" Type="http://schemas.openxmlformats.org/officeDocument/2006/relationships/hyperlink" Target="https://www.mercadolibre.com.ar/reporting/activity/detail?id=54730207977" TargetMode="External"/><Relationship Id="rId691" Type="http://schemas.openxmlformats.org/officeDocument/2006/relationships/hyperlink" Target="https://www.mercadolibre.com.ar/reporting/activity/detail?id=55139797271" TargetMode="External"/><Relationship Id="rId789" Type="http://schemas.openxmlformats.org/officeDocument/2006/relationships/hyperlink" Target="https://www.mercadolibre.com.ar/reporting/activity/detail?id=55238963412" TargetMode="External"/><Relationship Id="rId912" Type="http://schemas.openxmlformats.org/officeDocument/2006/relationships/hyperlink" Target="https://www.mercadolibre.com.ar/reporting/activity/detail?id=55463284665" TargetMode="External"/><Relationship Id="rId996" Type="http://schemas.openxmlformats.org/officeDocument/2006/relationships/hyperlink" Target="https://www.mercadolibre.com.ar/reporting/activity/detail?id=55515447731" TargetMode="External"/><Relationship Id="rId41" Type="http://schemas.openxmlformats.org/officeDocument/2006/relationships/hyperlink" Target="https://www.mercadolibre.com.ar/reporting/activity/detail?id=54327885006" TargetMode="External"/><Relationship Id="rId551" Type="http://schemas.openxmlformats.org/officeDocument/2006/relationships/hyperlink" Target="https://www.mercadolibre.com.ar/reporting/activity/detail?id=55077688396" TargetMode="External"/><Relationship Id="rId649" Type="http://schemas.openxmlformats.org/officeDocument/2006/relationships/hyperlink" Target="https://www.mercadolibre.com.ar/reporting/activity/detail?id=55129184974" TargetMode="External"/><Relationship Id="rId856" Type="http://schemas.openxmlformats.org/officeDocument/2006/relationships/hyperlink" Target="https://www.mercadolibre.com.ar/reporting/activity/detail?id=55349442438" TargetMode="External"/><Relationship Id="rId1181" Type="http://schemas.openxmlformats.org/officeDocument/2006/relationships/hyperlink" Target="https://www.mercadolibre.com.ar/reporting/activity/detail?id=55785812208" TargetMode="External"/><Relationship Id="rId1279" Type="http://schemas.openxmlformats.org/officeDocument/2006/relationships/hyperlink" Target="https://www.mercadolibre.com.ar/reporting/activity/detail?id=55834731932" TargetMode="External"/><Relationship Id="rId190" Type="http://schemas.openxmlformats.org/officeDocument/2006/relationships/hyperlink" Target="https://www.mercadolibre.com.ar/reporting/activity/detail?id=54602614575" TargetMode="External"/><Relationship Id="rId204" Type="http://schemas.openxmlformats.org/officeDocument/2006/relationships/hyperlink" Target="https://www.mercadolibre.com.ar/reporting/activity/detail?id=54608672935" TargetMode="External"/><Relationship Id="rId288" Type="http://schemas.openxmlformats.org/officeDocument/2006/relationships/hyperlink" Target="https://www.mercadolibre.com.ar/reporting/activity/detail?id=54670778210" TargetMode="External"/><Relationship Id="rId411" Type="http://schemas.openxmlformats.org/officeDocument/2006/relationships/hyperlink" Target="https://www.mercadolibre.com.ar/reporting/activity/detail?id=54826469697" TargetMode="External"/><Relationship Id="rId509" Type="http://schemas.openxmlformats.org/officeDocument/2006/relationships/hyperlink" Target="https://www.mercadolibre.com.ar/reporting/activity/detail?id=55075765308" TargetMode="External"/><Relationship Id="rId1041" Type="http://schemas.openxmlformats.org/officeDocument/2006/relationships/hyperlink" Target="https://www.mercadolibre.com.ar/reporting/activity/detail?id=55554413415" TargetMode="External"/><Relationship Id="rId1139" Type="http://schemas.openxmlformats.org/officeDocument/2006/relationships/hyperlink" Target="https://www.mercadolibre.com.ar/reporting/activity/detail?id=55730871026" TargetMode="External"/><Relationship Id="rId1346" Type="http://schemas.openxmlformats.org/officeDocument/2006/relationships/hyperlink" Target="https://www.mercadolibre.com.ar/reporting/activity/detail?id=54207406619" TargetMode="External"/><Relationship Id="rId495" Type="http://schemas.openxmlformats.org/officeDocument/2006/relationships/hyperlink" Target="https://www.mercadolibre.com.ar/reporting/activity/detail?id=55074800191" TargetMode="External"/><Relationship Id="rId716" Type="http://schemas.openxmlformats.org/officeDocument/2006/relationships/hyperlink" Target="https://www.mercadolibre.com.ar/reporting/activity/detail?id=55191439018" TargetMode="External"/><Relationship Id="rId923" Type="http://schemas.openxmlformats.org/officeDocument/2006/relationships/hyperlink" Target="https://www.mercadolibre.com.ar/reporting/activity/detail?id=55466394116" TargetMode="External"/><Relationship Id="rId52" Type="http://schemas.openxmlformats.org/officeDocument/2006/relationships/hyperlink" Target="https://www.mercadolibre.com.ar/reporting/activity/detail?id=54329566683" TargetMode="External"/><Relationship Id="rId148" Type="http://schemas.openxmlformats.org/officeDocument/2006/relationships/hyperlink" Target="https://www.mercadolibre.com.ar/reporting/activity/detail?id=54430619949" TargetMode="External"/><Relationship Id="rId355" Type="http://schemas.openxmlformats.org/officeDocument/2006/relationships/hyperlink" Target="https://www.mercadolibre.com.ar/reporting/activity/detail?id=54731908543" TargetMode="External"/><Relationship Id="rId562" Type="http://schemas.openxmlformats.org/officeDocument/2006/relationships/hyperlink" Target="https://www.mercadolibre.com.ar/reporting/activity/detail?id=55077910655" TargetMode="External"/><Relationship Id="rId1192" Type="http://schemas.openxmlformats.org/officeDocument/2006/relationships/hyperlink" Target="https://www.mercadolibre.com.ar/reporting/activity/detail?id=55787180747" TargetMode="External"/><Relationship Id="rId1206" Type="http://schemas.openxmlformats.org/officeDocument/2006/relationships/hyperlink" Target="https://www.mercadolibre.com.ar/reporting/activity/detail?id=55788069588" TargetMode="External"/><Relationship Id="rId215" Type="http://schemas.openxmlformats.org/officeDocument/2006/relationships/hyperlink" Target="https://www.mercadolibre.com.ar/reporting/activity/detail?id=54660609146" TargetMode="External"/><Relationship Id="rId422" Type="http://schemas.openxmlformats.org/officeDocument/2006/relationships/hyperlink" Target="https://www.mercadolibre.com.ar/reporting/activity/detail?id=54829540406" TargetMode="External"/><Relationship Id="rId867" Type="http://schemas.openxmlformats.org/officeDocument/2006/relationships/hyperlink" Target="https://www.mercadolibre.com.ar/reporting/activity/detail?id=55350320350" TargetMode="External"/><Relationship Id="rId1052" Type="http://schemas.openxmlformats.org/officeDocument/2006/relationships/hyperlink" Target="https://www.mercadolibre.com.ar/reporting/activity/detail?id=55555835387" TargetMode="External"/><Relationship Id="rId299" Type="http://schemas.openxmlformats.org/officeDocument/2006/relationships/hyperlink" Target="https://www.mercadolibre.com.ar/reporting/activity/detail?id=54719960879" TargetMode="External"/><Relationship Id="rId727" Type="http://schemas.openxmlformats.org/officeDocument/2006/relationships/hyperlink" Target="https://www.mercadolibre.com.ar/reporting/activity/detail?id=55194129903" TargetMode="External"/><Relationship Id="rId934" Type="http://schemas.openxmlformats.org/officeDocument/2006/relationships/hyperlink" Target="https://www.mercadolibre.com.ar/reporting/activity/detail?id=55468931658" TargetMode="External"/><Relationship Id="rId1357" Type="http://schemas.openxmlformats.org/officeDocument/2006/relationships/hyperlink" Target="https://www.mercadolibre.com.ar/reporting/activity/detail?id=54259052989" TargetMode="External"/><Relationship Id="rId63" Type="http://schemas.openxmlformats.org/officeDocument/2006/relationships/hyperlink" Target="https://www.mercadolibre.com.ar/reporting/activity/detail?id=54378111063" TargetMode="External"/><Relationship Id="rId159" Type="http://schemas.openxmlformats.org/officeDocument/2006/relationships/hyperlink" Target="https://www.mercadolibre.com.ar/reporting/activity/detail?id=54432198120" TargetMode="External"/><Relationship Id="rId366" Type="http://schemas.openxmlformats.org/officeDocument/2006/relationships/hyperlink" Target="https://www.mercadolibre.com.ar/reporting/activity/detail?id=54779649979" TargetMode="External"/><Relationship Id="rId573" Type="http://schemas.openxmlformats.org/officeDocument/2006/relationships/hyperlink" Target="https://www.mercadolibre.com.ar/reporting/activity/detail?id=55078343219" TargetMode="External"/><Relationship Id="rId780" Type="http://schemas.openxmlformats.org/officeDocument/2006/relationships/hyperlink" Target="https://www.mercadolibre.com.ar/reporting/activity/detail?id=55236116320" TargetMode="External"/><Relationship Id="rId1217" Type="http://schemas.openxmlformats.org/officeDocument/2006/relationships/hyperlink" Target="https://www.mercadolibre.com.ar/reporting/activity/detail?id=55827009543" TargetMode="External"/><Relationship Id="rId226" Type="http://schemas.openxmlformats.org/officeDocument/2006/relationships/hyperlink" Target="https://www.mercadolibre.com.ar/reporting/activity/detail?id=54664528703" TargetMode="External"/><Relationship Id="rId433" Type="http://schemas.openxmlformats.org/officeDocument/2006/relationships/hyperlink" Target="https://www.mercadolibre.com.ar/reporting/activity/detail?id=55012036624" TargetMode="External"/><Relationship Id="rId878" Type="http://schemas.openxmlformats.org/officeDocument/2006/relationships/hyperlink" Target="https://www.mercadolibre.com.ar/reporting/activity/detail?id=55351223443" TargetMode="External"/><Relationship Id="rId1063" Type="http://schemas.openxmlformats.org/officeDocument/2006/relationships/hyperlink" Target="https://www.mercadolibre.com.ar/reporting/activity/detail?id=55651518575" TargetMode="External"/><Relationship Id="rId1270" Type="http://schemas.openxmlformats.org/officeDocument/2006/relationships/hyperlink" Target="https://www.mercadolibre.com.ar/reporting/activity/detail?id=55834269042" TargetMode="External"/><Relationship Id="rId640" Type="http://schemas.openxmlformats.org/officeDocument/2006/relationships/hyperlink" Target="https://www.mercadolibre.com.ar/reporting/activity/detail?id=55080828345" TargetMode="External"/><Relationship Id="rId738" Type="http://schemas.openxmlformats.org/officeDocument/2006/relationships/hyperlink" Target="https://www.mercadolibre.com.ar/reporting/activity/detail?id=55195353311" TargetMode="External"/><Relationship Id="rId945" Type="http://schemas.openxmlformats.org/officeDocument/2006/relationships/hyperlink" Target="https://www.mercadolibre.com.ar/reporting/activity/detail?id=55470862148" TargetMode="External"/><Relationship Id="rId1368" Type="http://schemas.openxmlformats.org/officeDocument/2006/relationships/hyperlink" Target="https://www.mercadolibre.com.ar/reporting/activity/detail?id=54260929882" TargetMode="External"/><Relationship Id="rId74" Type="http://schemas.openxmlformats.org/officeDocument/2006/relationships/hyperlink" Target="https://www.mercadolibre.com.ar/reporting/activity/detail?id=54380867297" TargetMode="External"/><Relationship Id="rId377" Type="http://schemas.openxmlformats.org/officeDocument/2006/relationships/hyperlink" Target="https://www.mercadolibre.com.ar/reporting/activity/detail?id=54782452795" TargetMode="External"/><Relationship Id="rId500" Type="http://schemas.openxmlformats.org/officeDocument/2006/relationships/hyperlink" Target="https://www.mercadolibre.com.ar/reporting/activity/detail?id=55075213235" TargetMode="External"/><Relationship Id="rId584" Type="http://schemas.openxmlformats.org/officeDocument/2006/relationships/hyperlink" Target="https://www.mercadolibre.com.ar/reporting/activity/detail?id=55078698951" TargetMode="External"/><Relationship Id="rId805" Type="http://schemas.openxmlformats.org/officeDocument/2006/relationships/hyperlink" Target="https://www.mercadolibre.com.ar/reporting/activity/detail?id=55241054937" TargetMode="External"/><Relationship Id="rId1130" Type="http://schemas.openxmlformats.org/officeDocument/2006/relationships/hyperlink" Target="https://www.mercadolibre.com.ar/reporting/activity/detail?id=55726034933" TargetMode="External"/><Relationship Id="rId1228" Type="http://schemas.openxmlformats.org/officeDocument/2006/relationships/hyperlink" Target="https://www.mercadolibre.com.ar/reporting/activity/detail?id=55830139162" TargetMode="External"/><Relationship Id="rId5" Type="http://schemas.openxmlformats.org/officeDocument/2006/relationships/hyperlink" Target="https://www.mercadolibre.com.ar/reporting/activity/detail?id=54263825185" TargetMode="External"/><Relationship Id="rId237" Type="http://schemas.openxmlformats.org/officeDocument/2006/relationships/hyperlink" Target="https://www.mercadolibre.com.ar/reporting/activity/detail?id=54665800541" TargetMode="External"/><Relationship Id="rId791" Type="http://schemas.openxmlformats.org/officeDocument/2006/relationships/hyperlink" Target="https://www.mercadolibre.com.ar/reporting/activity/detail?id=55239510159" TargetMode="External"/><Relationship Id="rId889" Type="http://schemas.openxmlformats.org/officeDocument/2006/relationships/hyperlink" Target="https://www.mercadolibre.com.ar/reporting/activity/detail?id=55418705675" TargetMode="External"/><Relationship Id="rId1074" Type="http://schemas.openxmlformats.org/officeDocument/2006/relationships/hyperlink" Target="https://www.mercadolibre.com.ar/reporting/activity/detail?id=55654662339" TargetMode="External"/><Relationship Id="rId444" Type="http://schemas.openxmlformats.org/officeDocument/2006/relationships/hyperlink" Target="https://www.mercadolibre.com.ar/reporting/activity/detail?id=55015658888" TargetMode="External"/><Relationship Id="rId651" Type="http://schemas.openxmlformats.org/officeDocument/2006/relationships/hyperlink" Target="https://www.mercadolibre.com.ar/reporting/activity/detail?id=55130438329" TargetMode="External"/><Relationship Id="rId749" Type="http://schemas.openxmlformats.org/officeDocument/2006/relationships/hyperlink" Target="https://www.mercadolibre.com.ar/reporting/activity/detail?id=55196295792" TargetMode="External"/><Relationship Id="rId1281" Type="http://schemas.openxmlformats.org/officeDocument/2006/relationships/hyperlink" Target="https://www.mercadolibre.com.ar/reporting/activity/detail?id=55834909238" TargetMode="External"/><Relationship Id="rId1379" Type="http://schemas.openxmlformats.org/officeDocument/2006/relationships/hyperlink" Target="https://www.mercadolibre.com.ar/reporting/activity/detail?id=54261788251" TargetMode="External"/><Relationship Id="rId290" Type="http://schemas.openxmlformats.org/officeDocument/2006/relationships/hyperlink" Target="https://www.mercadolibre.com.ar/reporting/activity/detail?id=54671058121" TargetMode="External"/><Relationship Id="rId304" Type="http://schemas.openxmlformats.org/officeDocument/2006/relationships/hyperlink" Target="https://www.mercadolibre.com.ar/reporting/activity/detail?id=54722336931" TargetMode="External"/><Relationship Id="rId388" Type="http://schemas.openxmlformats.org/officeDocument/2006/relationships/hyperlink" Target="https://www.mercadolibre.com.ar/reporting/activity/detail?id=54784890082" TargetMode="External"/><Relationship Id="rId511" Type="http://schemas.openxmlformats.org/officeDocument/2006/relationships/hyperlink" Target="https://www.mercadolibre.com.ar/reporting/activity/detail?id=55075906248" TargetMode="External"/><Relationship Id="rId609" Type="http://schemas.openxmlformats.org/officeDocument/2006/relationships/hyperlink" Target="https://www.mercadolibre.com.ar/reporting/activity/detail?id=55079648268" TargetMode="External"/><Relationship Id="rId956" Type="http://schemas.openxmlformats.org/officeDocument/2006/relationships/hyperlink" Target="https://www.mercadolibre.com.ar/reporting/activity/detail?id=55471821667" TargetMode="External"/><Relationship Id="rId1141" Type="http://schemas.openxmlformats.org/officeDocument/2006/relationships/hyperlink" Target="https://www.mercadolibre.com.ar/reporting/activity/detail?id=55731034010" TargetMode="External"/><Relationship Id="rId1239" Type="http://schemas.openxmlformats.org/officeDocument/2006/relationships/hyperlink" Target="https://www.mercadolibre.com.ar/reporting/activity/detail?id=55831195953" TargetMode="External"/><Relationship Id="rId85" Type="http://schemas.openxmlformats.org/officeDocument/2006/relationships/hyperlink" Target="https://www.mercadolibre.com.ar/reporting/activity/detail?id=54383305410" TargetMode="External"/><Relationship Id="rId150" Type="http://schemas.openxmlformats.org/officeDocument/2006/relationships/hyperlink" Target="https://www.mercadolibre.com.ar/reporting/activity/detail?id=54431219101" TargetMode="External"/><Relationship Id="rId595" Type="http://schemas.openxmlformats.org/officeDocument/2006/relationships/hyperlink" Target="https://www.mercadolibre.com.ar/reporting/activity/detail?id=55079045921" TargetMode="External"/><Relationship Id="rId816" Type="http://schemas.openxmlformats.org/officeDocument/2006/relationships/hyperlink" Target="https://www.mercadolibre.com.ar/reporting/activity/detail?id=55242039554" TargetMode="External"/><Relationship Id="rId1001" Type="http://schemas.openxmlformats.org/officeDocument/2006/relationships/hyperlink" Target="https://www.mercadolibre.com.ar/reporting/activity/detail?id=55516221359" TargetMode="External"/><Relationship Id="rId248" Type="http://schemas.openxmlformats.org/officeDocument/2006/relationships/hyperlink" Target="https://www.mercadolibre.com.ar/reporting/activity/detail?id=54667402907" TargetMode="External"/><Relationship Id="rId455" Type="http://schemas.openxmlformats.org/officeDocument/2006/relationships/hyperlink" Target="https://www.mercadolibre.com.ar/reporting/activity/detail?id=55021336158" TargetMode="External"/><Relationship Id="rId662" Type="http://schemas.openxmlformats.org/officeDocument/2006/relationships/hyperlink" Target="https://www.mercadolibre.com.ar/reporting/activity/detail?id=55133903748" TargetMode="External"/><Relationship Id="rId1085" Type="http://schemas.openxmlformats.org/officeDocument/2006/relationships/hyperlink" Target="https://www.mercadolibre.com.ar/reporting/activity/detail?id=55656243171" TargetMode="External"/><Relationship Id="rId1292" Type="http://schemas.openxmlformats.org/officeDocument/2006/relationships/hyperlink" Target="https://www.mercadolibre.com.ar/reporting/activity/detail?id=55866660896" TargetMode="External"/><Relationship Id="rId1306" Type="http://schemas.openxmlformats.org/officeDocument/2006/relationships/hyperlink" Target="https://www.mercadolibre.com.ar/reporting/activity/detail?id=55872237270" TargetMode="External"/><Relationship Id="rId12" Type="http://schemas.openxmlformats.org/officeDocument/2006/relationships/hyperlink" Target="https://www.mercadolibre.com.ar/reporting/activity/detail?id=54264520873" TargetMode="External"/><Relationship Id="rId108" Type="http://schemas.openxmlformats.org/officeDocument/2006/relationships/hyperlink" Target="https://www.mercadolibre.com.ar/reporting/activity/detail?id=54386472524" TargetMode="External"/><Relationship Id="rId315" Type="http://schemas.openxmlformats.org/officeDocument/2006/relationships/hyperlink" Target="https://www.mercadolibre.com.ar/reporting/activity/detail?id=54725765694" TargetMode="External"/><Relationship Id="rId522" Type="http://schemas.openxmlformats.org/officeDocument/2006/relationships/hyperlink" Target="https://www.mercadolibre.com.ar/reporting/activity/detail?id=55076444278" TargetMode="External"/><Relationship Id="rId967" Type="http://schemas.openxmlformats.org/officeDocument/2006/relationships/hyperlink" Target="https://www.mercadolibre.com.ar/reporting/activity/detail?id=55509409930" TargetMode="External"/><Relationship Id="rId1152" Type="http://schemas.openxmlformats.org/officeDocument/2006/relationships/hyperlink" Target="https://www.mercadolibre.com.ar/reporting/activity/detail?id=55778908585" TargetMode="External"/><Relationship Id="rId96" Type="http://schemas.openxmlformats.org/officeDocument/2006/relationships/hyperlink" Target="https://www.mercadolibre.com.ar/reporting/activity/detail?id=54384567262" TargetMode="External"/><Relationship Id="rId161" Type="http://schemas.openxmlformats.org/officeDocument/2006/relationships/hyperlink" Target="https://www.mercadolibre.com.ar/reporting/activity/detail?id=54432544163" TargetMode="External"/><Relationship Id="rId399" Type="http://schemas.openxmlformats.org/officeDocument/2006/relationships/hyperlink" Target="https://www.mercadolibre.com.ar/reporting/activity/detail?id=54785864980" TargetMode="External"/><Relationship Id="rId827" Type="http://schemas.openxmlformats.org/officeDocument/2006/relationships/hyperlink" Target="https://www.mercadolibre.com.ar/reporting/activity/detail?id=55342869591" TargetMode="External"/><Relationship Id="rId1012" Type="http://schemas.openxmlformats.org/officeDocument/2006/relationships/hyperlink" Target="https://www.mercadolibre.com.ar/reporting/activity/detail?id=55517028176" TargetMode="External"/><Relationship Id="rId259" Type="http://schemas.openxmlformats.org/officeDocument/2006/relationships/hyperlink" Target="https://www.mercadolibre.com.ar/reporting/activity/detail?id=54668548677" TargetMode="External"/><Relationship Id="rId466" Type="http://schemas.openxmlformats.org/officeDocument/2006/relationships/hyperlink" Target="https://www.mercadolibre.com.ar/reporting/activity/detail?id=55071309405" TargetMode="External"/><Relationship Id="rId673" Type="http://schemas.openxmlformats.org/officeDocument/2006/relationships/hyperlink" Target="https://www.mercadolibre.com.ar/reporting/activity/detail?id=55136450698" TargetMode="External"/><Relationship Id="rId880" Type="http://schemas.openxmlformats.org/officeDocument/2006/relationships/hyperlink" Target="https://www.mercadolibre.com.ar/reporting/activity/detail?id=55351426011" TargetMode="External"/><Relationship Id="rId1096" Type="http://schemas.openxmlformats.org/officeDocument/2006/relationships/hyperlink" Target="https://www.mercadolibre.com.ar/reporting/activity/detail?id=55657822606" TargetMode="External"/><Relationship Id="rId1317" Type="http://schemas.openxmlformats.org/officeDocument/2006/relationships/hyperlink" Target="https://www.mercadolibre.com.ar/reporting/activity/detail?id=54262527242" TargetMode="External"/><Relationship Id="rId23" Type="http://schemas.openxmlformats.org/officeDocument/2006/relationships/hyperlink" Target="https://www.mercadolibre.com.ar/reporting/activity/detail?id=54316690542" TargetMode="External"/><Relationship Id="rId119" Type="http://schemas.openxmlformats.org/officeDocument/2006/relationships/hyperlink" Target="https://www.mercadolibre.com.ar/reporting/activity/detail?id=54423950709" TargetMode="External"/><Relationship Id="rId326" Type="http://schemas.openxmlformats.org/officeDocument/2006/relationships/hyperlink" Target="https://www.mercadolibre.com.ar/reporting/activity/detail?id=54727861459" TargetMode="External"/><Relationship Id="rId533" Type="http://schemas.openxmlformats.org/officeDocument/2006/relationships/hyperlink" Target="https://www.mercadolibre.com.ar/reporting/activity/detail?id=55076965033" TargetMode="External"/><Relationship Id="rId978" Type="http://schemas.openxmlformats.org/officeDocument/2006/relationships/hyperlink" Target="https://www.mercadolibre.com.ar/reporting/activity/detail?id=55512278412" TargetMode="External"/><Relationship Id="rId1163" Type="http://schemas.openxmlformats.org/officeDocument/2006/relationships/hyperlink" Target="https://www.mercadolibre.com.ar/reporting/activity/detail?id=55783703898" TargetMode="External"/><Relationship Id="rId1370" Type="http://schemas.openxmlformats.org/officeDocument/2006/relationships/hyperlink" Target="https://www.mercadolibre.com.ar/reporting/activity/detail?id=54261094086" TargetMode="External"/><Relationship Id="rId740" Type="http://schemas.openxmlformats.org/officeDocument/2006/relationships/hyperlink" Target="https://www.mercadolibre.com.ar/reporting/activity/detail?id=55195560168" TargetMode="External"/><Relationship Id="rId838" Type="http://schemas.openxmlformats.org/officeDocument/2006/relationships/hyperlink" Target="https://www.mercadolibre.com.ar/reporting/activity/detail?id=55347100545" TargetMode="External"/><Relationship Id="rId1023" Type="http://schemas.openxmlformats.org/officeDocument/2006/relationships/hyperlink" Target="https://www.mercadolibre.com.ar/reporting/activity/detail?id=55549466160" TargetMode="External"/><Relationship Id="rId172" Type="http://schemas.openxmlformats.org/officeDocument/2006/relationships/hyperlink" Target="https://www.mercadolibre.com.ar/reporting/activity/detail?id=54433439904" TargetMode="External"/><Relationship Id="rId477" Type="http://schemas.openxmlformats.org/officeDocument/2006/relationships/hyperlink" Target="https://www.mercadolibre.com.ar/reporting/activity/detail?id=55073138029" TargetMode="External"/><Relationship Id="rId600" Type="http://schemas.openxmlformats.org/officeDocument/2006/relationships/hyperlink" Target="https://www.mercadolibre.com.ar/reporting/activity/detail?id=55079212905" TargetMode="External"/><Relationship Id="rId684" Type="http://schemas.openxmlformats.org/officeDocument/2006/relationships/hyperlink" Target="https://www.mercadolibre.com.ar/reporting/activity/detail?id=55138474613" TargetMode="External"/><Relationship Id="rId1230" Type="http://schemas.openxmlformats.org/officeDocument/2006/relationships/hyperlink" Target="https://www.mercadolibre.com.ar/reporting/activity/detail?id=55830311102" TargetMode="External"/><Relationship Id="rId1328" Type="http://schemas.openxmlformats.org/officeDocument/2006/relationships/hyperlink" Target="https://www.mercadolibre.com.ar/reporting/activity/detail?id=54197630941" TargetMode="External"/><Relationship Id="rId337" Type="http://schemas.openxmlformats.org/officeDocument/2006/relationships/hyperlink" Target="https://www.mercadolibre.com.ar/reporting/activity/detail?id=54729094039" TargetMode="External"/><Relationship Id="rId891" Type="http://schemas.openxmlformats.org/officeDocument/2006/relationships/hyperlink" Target="https://www.mercadolibre.com.ar/reporting/activity/detail?id=55419484521" TargetMode="External"/><Relationship Id="rId905" Type="http://schemas.openxmlformats.org/officeDocument/2006/relationships/hyperlink" Target="https://www.mercadolibre.com.ar/reporting/activity/detail?id=55423197207" TargetMode="External"/><Relationship Id="rId989" Type="http://schemas.openxmlformats.org/officeDocument/2006/relationships/hyperlink" Target="https://www.mercadolibre.com.ar/reporting/activity/detail?id=55514854676" TargetMode="External"/><Relationship Id="rId34" Type="http://schemas.openxmlformats.org/officeDocument/2006/relationships/hyperlink" Target="https://www.mercadolibre.com.ar/reporting/activity/detail?id=54323699026" TargetMode="External"/><Relationship Id="rId544" Type="http://schemas.openxmlformats.org/officeDocument/2006/relationships/hyperlink" Target="https://www.mercadolibre.com.ar/reporting/activity/detail?id=55077420070" TargetMode="External"/><Relationship Id="rId751" Type="http://schemas.openxmlformats.org/officeDocument/2006/relationships/hyperlink" Target="https://www.mercadolibre.com.ar/reporting/activity/detail?id=55196405778" TargetMode="External"/><Relationship Id="rId849" Type="http://schemas.openxmlformats.org/officeDocument/2006/relationships/hyperlink" Target="https://www.mercadolibre.com.ar/reporting/activity/detail?id=55348562780" TargetMode="External"/><Relationship Id="rId1174" Type="http://schemas.openxmlformats.org/officeDocument/2006/relationships/hyperlink" Target="https://www.mercadolibre.com.ar/reporting/activity/detail?id=55784867688" TargetMode="External"/><Relationship Id="rId1381" Type="http://schemas.openxmlformats.org/officeDocument/2006/relationships/hyperlink" Target="https://www.mercadolibre.com.ar/reporting/activity/detail?id=54262072400" TargetMode="External"/><Relationship Id="rId183" Type="http://schemas.openxmlformats.org/officeDocument/2006/relationships/hyperlink" Target="https://www.mercadolibre.com.ar/reporting/activity/detail?id=54433877353" TargetMode="External"/><Relationship Id="rId390" Type="http://schemas.openxmlformats.org/officeDocument/2006/relationships/hyperlink" Target="https://www.mercadolibre.com.ar/reporting/activity/detail?id=54785192932" TargetMode="External"/><Relationship Id="rId404" Type="http://schemas.openxmlformats.org/officeDocument/2006/relationships/hyperlink" Target="https://www.mercadolibre.com.ar/reporting/activity/detail?id=54786446644" TargetMode="External"/><Relationship Id="rId611" Type="http://schemas.openxmlformats.org/officeDocument/2006/relationships/hyperlink" Target="https://www.mercadolibre.com.ar/reporting/activity/detail?id=55079713769" TargetMode="External"/><Relationship Id="rId1034" Type="http://schemas.openxmlformats.org/officeDocument/2006/relationships/hyperlink" Target="https://www.mercadolibre.com.ar/reporting/activity/detail?id=55552956763" TargetMode="External"/><Relationship Id="rId1241" Type="http://schemas.openxmlformats.org/officeDocument/2006/relationships/hyperlink" Target="https://www.mercadolibre.com.ar/reporting/activity/detail?id=55831334790" TargetMode="External"/><Relationship Id="rId1339" Type="http://schemas.openxmlformats.org/officeDocument/2006/relationships/hyperlink" Target="https://www.mercadolibre.com.ar/reporting/activity/detail?id=54206130691" TargetMode="External"/><Relationship Id="rId250" Type="http://schemas.openxmlformats.org/officeDocument/2006/relationships/hyperlink" Target="https://www.mercadolibre.com.ar/reporting/activity/detail?id=54667585865" TargetMode="External"/><Relationship Id="rId488" Type="http://schemas.openxmlformats.org/officeDocument/2006/relationships/hyperlink" Target="https://www.mercadolibre.com.ar/reporting/activity/detail?id=55074244126" TargetMode="External"/><Relationship Id="rId695" Type="http://schemas.openxmlformats.org/officeDocument/2006/relationships/hyperlink" Target="https://www.mercadolibre.com.ar/reporting/activity/detail?id=55140357169" TargetMode="External"/><Relationship Id="rId709" Type="http://schemas.openxmlformats.org/officeDocument/2006/relationships/hyperlink" Target="https://www.mercadolibre.com.ar/reporting/activity/detail?id=55187744238" TargetMode="External"/><Relationship Id="rId916" Type="http://schemas.openxmlformats.org/officeDocument/2006/relationships/hyperlink" Target="https://www.mercadolibre.com.ar/reporting/activity/detail?id=55464345457" TargetMode="External"/><Relationship Id="rId1101" Type="http://schemas.openxmlformats.org/officeDocument/2006/relationships/hyperlink" Target="https://www.mercadolibre.com.ar/reporting/activity/detail?id=55657995058" TargetMode="External"/><Relationship Id="rId45" Type="http://schemas.openxmlformats.org/officeDocument/2006/relationships/hyperlink" Target="https://www.mercadolibre.com.ar/reporting/activity/detail?id=54328442960" TargetMode="External"/><Relationship Id="rId110" Type="http://schemas.openxmlformats.org/officeDocument/2006/relationships/hyperlink" Target="https://www.mercadolibre.com.ar/reporting/activity/detail?id=54386747109" TargetMode="External"/><Relationship Id="rId348" Type="http://schemas.openxmlformats.org/officeDocument/2006/relationships/hyperlink" Target="https://www.mercadolibre.com.ar/reporting/activity/detail?id=54730484538" TargetMode="External"/><Relationship Id="rId555" Type="http://schemas.openxmlformats.org/officeDocument/2006/relationships/hyperlink" Target="https://www.mercadolibre.com.ar/reporting/activity/detail?id=55077778178" TargetMode="External"/><Relationship Id="rId762" Type="http://schemas.openxmlformats.org/officeDocument/2006/relationships/hyperlink" Target="https://www.mercadolibre.com.ar/reporting/activity/detail?id=55197191156" TargetMode="External"/><Relationship Id="rId1185" Type="http://schemas.openxmlformats.org/officeDocument/2006/relationships/hyperlink" Target="https://www.mercadolibre.com.ar/reporting/activity/detail?id=55786254308" TargetMode="External"/><Relationship Id="rId194" Type="http://schemas.openxmlformats.org/officeDocument/2006/relationships/hyperlink" Target="https://www.mercadolibre.com.ar/reporting/activity/detail?id=54603805748" TargetMode="External"/><Relationship Id="rId208" Type="http://schemas.openxmlformats.org/officeDocument/2006/relationships/hyperlink" Target="https://www.mercadolibre.com.ar/reporting/activity/detail?id=54653273382" TargetMode="External"/><Relationship Id="rId415" Type="http://schemas.openxmlformats.org/officeDocument/2006/relationships/hyperlink" Target="https://www.mercadolibre.com.ar/reporting/activity/detail?id=54827508118" TargetMode="External"/><Relationship Id="rId622" Type="http://schemas.openxmlformats.org/officeDocument/2006/relationships/hyperlink" Target="https://www.mercadolibre.com.ar/reporting/activity/detail?id=55080157725" TargetMode="External"/><Relationship Id="rId1045" Type="http://schemas.openxmlformats.org/officeDocument/2006/relationships/hyperlink" Target="https://www.mercadolibre.com.ar/reporting/activity/detail?id=55555150114" TargetMode="External"/><Relationship Id="rId1252" Type="http://schemas.openxmlformats.org/officeDocument/2006/relationships/hyperlink" Target="https://www.mercadolibre.com.ar/reporting/activity/detail?id=55832673982" TargetMode="External"/><Relationship Id="rId261" Type="http://schemas.openxmlformats.org/officeDocument/2006/relationships/hyperlink" Target="https://www.mercadolibre.com.ar/reporting/activity/detail?id=54668676505" TargetMode="External"/><Relationship Id="rId499" Type="http://schemas.openxmlformats.org/officeDocument/2006/relationships/hyperlink" Target="https://www.mercadolibre.com.ar/reporting/activity/detail?id=55075145189" TargetMode="External"/><Relationship Id="rId927" Type="http://schemas.openxmlformats.org/officeDocument/2006/relationships/hyperlink" Target="https://www.mercadolibre.com.ar/reporting/activity/detail?id=55467690884" TargetMode="External"/><Relationship Id="rId1112" Type="http://schemas.openxmlformats.org/officeDocument/2006/relationships/hyperlink" Target="https://www.mercadolibre.com.ar/reporting/activity/detail?id=55658941376" TargetMode="External"/><Relationship Id="rId56" Type="http://schemas.openxmlformats.org/officeDocument/2006/relationships/hyperlink" Target="https://www.mercadolibre.com.ar/reporting/activity/detail?id=54329922529" TargetMode="External"/><Relationship Id="rId359" Type="http://schemas.openxmlformats.org/officeDocument/2006/relationships/hyperlink" Target="https://www.mercadolibre.com.ar/reporting/activity/detail?id=54732286600" TargetMode="External"/><Relationship Id="rId566" Type="http://schemas.openxmlformats.org/officeDocument/2006/relationships/hyperlink" Target="https://www.mercadolibre.com.ar/reporting/activity/detail?id=55078015131" TargetMode="External"/><Relationship Id="rId773" Type="http://schemas.openxmlformats.org/officeDocument/2006/relationships/hyperlink" Target="https://www.mercadolibre.com.ar/reporting/activity/detail?id=55232716943" TargetMode="External"/><Relationship Id="rId1196" Type="http://schemas.openxmlformats.org/officeDocument/2006/relationships/hyperlink" Target="https://www.mercadolibre.com.ar/reporting/activity/detail?id=55787631251" TargetMode="External"/><Relationship Id="rId121" Type="http://schemas.openxmlformats.org/officeDocument/2006/relationships/hyperlink" Target="https://www.mercadolibre.com.ar/reporting/activity/detail?id=54426101909" TargetMode="External"/><Relationship Id="rId219" Type="http://schemas.openxmlformats.org/officeDocument/2006/relationships/hyperlink" Target="https://www.mercadolibre.com.ar/reporting/activity/detail?id=54662165233" TargetMode="External"/><Relationship Id="rId426" Type="http://schemas.openxmlformats.org/officeDocument/2006/relationships/hyperlink" Target="https://www.mercadolibre.com.ar/reporting/activity/detail?id=54830565235" TargetMode="External"/><Relationship Id="rId633" Type="http://schemas.openxmlformats.org/officeDocument/2006/relationships/hyperlink" Target="https://www.mercadolibre.com.ar/reporting/activity/detail?id=55080553801" TargetMode="External"/><Relationship Id="rId980" Type="http://schemas.openxmlformats.org/officeDocument/2006/relationships/hyperlink" Target="https://www.mercadolibre.com.ar/reporting/activity/detail?id=55513019149" TargetMode="External"/><Relationship Id="rId1056" Type="http://schemas.openxmlformats.org/officeDocument/2006/relationships/hyperlink" Target="https://www.mercadolibre.com.ar/reporting/activity/detail?id=55646025133" TargetMode="External"/><Relationship Id="rId1263" Type="http://schemas.openxmlformats.org/officeDocument/2006/relationships/hyperlink" Target="https://www.mercadolibre.com.ar/reporting/activity/detail?id=55833606220" TargetMode="External"/><Relationship Id="rId840" Type="http://schemas.openxmlformats.org/officeDocument/2006/relationships/hyperlink" Target="https://www.mercadolibre.com.ar/reporting/activity/detail?id=55347802375" TargetMode="External"/><Relationship Id="rId938" Type="http://schemas.openxmlformats.org/officeDocument/2006/relationships/hyperlink" Target="https://www.mercadolibre.com.ar/reporting/activity/detail?id=55469551929" TargetMode="External"/><Relationship Id="rId67" Type="http://schemas.openxmlformats.org/officeDocument/2006/relationships/hyperlink" Target="https://www.mercadolibre.com.ar/reporting/activity/detail?id=54378782535" TargetMode="External"/><Relationship Id="rId272" Type="http://schemas.openxmlformats.org/officeDocument/2006/relationships/hyperlink" Target="https://www.mercadolibre.com.ar/reporting/activity/detail?id=54669807305" TargetMode="External"/><Relationship Id="rId577" Type="http://schemas.openxmlformats.org/officeDocument/2006/relationships/hyperlink" Target="https://www.mercadolibre.com.ar/reporting/activity/detail?id=55078403060" TargetMode="External"/><Relationship Id="rId700" Type="http://schemas.openxmlformats.org/officeDocument/2006/relationships/hyperlink" Target="https://www.mercadolibre.com.ar/reporting/activity/detail?id=55141083873" TargetMode="External"/><Relationship Id="rId1123" Type="http://schemas.openxmlformats.org/officeDocument/2006/relationships/hyperlink" Target="https://www.mercadolibre.com.ar/reporting/activity/detail?id=55659158683" TargetMode="External"/><Relationship Id="rId1330" Type="http://schemas.openxmlformats.org/officeDocument/2006/relationships/hyperlink" Target="https://www.mercadolibre.com.ar/reporting/activity/detail?id=54199590496" TargetMode="External"/><Relationship Id="rId132" Type="http://schemas.openxmlformats.org/officeDocument/2006/relationships/hyperlink" Target="https://www.mercadolibre.com.ar/reporting/activity/detail?id=54428065497" TargetMode="External"/><Relationship Id="rId784" Type="http://schemas.openxmlformats.org/officeDocument/2006/relationships/hyperlink" Target="https://www.mercadolibre.com.ar/reporting/activity/detail?id=55237483938" TargetMode="External"/><Relationship Id="rId991" Type="http://schemas.openxmlformats.org/officeDocument/2006/relationships/hyperlink" Target="https://www.mercadolibre.com.ar/reporting/activity/detail?id=55515022396" TargetMode="External"/><Relationship Id="rId1067" Type="http://schemas.openxmlformats.org/officeDocument/2006/relationships/hyperlink" Target="https://www.mercadolibre.com.ar/reporting/activity/detail?id=55652392352" TargetMode="External"/><Relationship Id="rId437" Type="http://schemas.openxmlformats.org/officeDocument/2006/relationships/hyperlink" Target="https://www.mercadolibre.com.ar/reporting/activity/detail?id=55013767246" TargetMode="External"/><Relationship Id="rId644" Type="http://schemas.openxmlformats.org/officeDocument/2006/relationships/hyperlink" Target="https://www.mercadolibre.com.ar/reporting/activity/detail?id=55081056706" TargetMode="External"/><Relationship Id="rId851" Type="http://schemas.openxmlformats.org/officeDocument/2006/relationships/hyperlink" Target="https://www.mercadolibre.com.ar/reporting/activity/detail?id=55348911182" TargetMode="External"/><Relationship Id="rId1274" Type="http://schemas.openxmlformats.org/officeDocument/2006/relationships/hyperlink" Target="https://www.mercadolibre.com.ar/reporting/activity/detail?id=55834484553" TargetMode="External"/><Relationship Id="rId283" Type="http://schemas.openxmlformats.org/officeDocument/2006/relationships/hyperlink" Target="https://www.mercadolibre.com.ar/reporting/activity/detail?id=54670458934" TargetMode="External"/><Relationship Id="rId490" Type="http://schemas.openxmlformats.org/officeDocument/2006/relationships/hyperlink" Target="https://www.mercadolibre.com.ar/reporting/activity/detail?id=55074330277" TargetMode="External"/><Relationship Id="rId504" Type="http://schemas.openxmlformats.org/officeDocument/2006/relationships/hyperlink" Target="https://www.mercadolibre.com.ar/reporting/activity/detail?id=55075400412" TargetMode="External"/><Relationship Id="rId711" Type="http://schemas.openxmlformats.org/officeDocument/2006/relationships/hyperlink" Target="https://www.mercadolibre.com.ar/reporting/activity/detail?id=55189036950" TargetMode="External"/><Relationship Id="rId949" Type="http://schemas.openxmlformats.org/officeDocument/2006/relationships/hyperlink" Target="https://www.mercadolibre.com.ar/reporting/activity/detail?id=55471168583" TargetMode="External"/><Relationship Id="rId1134" Type="http://schemas.openxmlformats.org/officeDocument/2006/relationships/hyperlink" Target="https://www.mercadolibre.com.ar/reporting/activity/detail?id=55729237940" TargetMode="External"/><Relationship Id="rId1341" Type="http://schemas.openxmlformats.org/officeDocument/2006/relationships/hyperlink" Target="https://www.mercadolibre.com.ar/reporting/activity/detail?id=54206407970" TargetMode="External"/><Relationship Id="rId78" Type="http://schemas.openxmlformats.org/officeDocument/2006/relationships/hyperlink" Target="https://www.mercadolibre.com.ar/reporting/activity/detail?id=54381953102" TargetMode="External"/><Relationship Id="rId143" Type="http://schemas.openxmlformats.org/officeDocument/2006/relationships/hyperlink" Target="https://www.mercadolibre.com.ar/reporting/activity/detail?id=54429979200" TargetMode="External"/><Relationship Id="rId350" Type="http://schemas.openxmlformats.org/officeDocument/2006/relationships/hyperlink" Target="https://www.mercadolibre.com.ar/reporting/activity/detail?id=54730855372" TargetMode="External"/><Relationship Id="rId588" Type="http://schemas.openxmlformats.org/officeDocument/2006/relationships/hyperlink" Target="https://www.mercadolibre.com.ar/reporting/activity/detail?id=55078868834" TargetMode="External"/><Relationship Id="rId795" Type="http://schemas.openxmlformats.org/officeDocument/2006/relationships/hyperlink" Target="https://www.mercadolibre.com.ar/reporting/activity/detail?id=55240058242" TargetMode="External"/><Relationship Id="rId809" Type="http://schemas.openxmlformats.org/officeDocument/2006/relationships/hyperlink" Target="https://www.mercadolibre.com.ar/reporting/activity/detail?id=55241701524" TargetMode="External"/><Relationship Id="rId1201" Type="http://schemas.openxmlformats.org/officeDocument/2006/relationships/hyperlink" Target="https://www.mercadolibre.com.ar/reporting/activity/detail?id=55787998742" TargetMode="External"/><Relationship Id="rId9" Type="http://schemas.openxmlformats.org/officeDocument/2006/relationships/hyperlink" Target="https://www.mercadolibre.com.ar/reporting/activity/detail?id=54264238785" TargetMode="External"/><Relationship Id="rId210" Type="http://schemas.openxmlformats.org/officeDocument/2006/relationships/hyperlink" Target="https://www.mercadolibre.com.ar/reporting/activity/detail?id=54657672426" TargetMode="External"/><Relationship Id="rId448" Type="http://schemas.openxmlformats.org/officeDocument/2006/relationships/hyperlink" Target="https://www.mercadolibre.com.ar/reporting/activity/detail?id=55016986136" TargetMode="External"/><Relationship Id="rId655" Type="http://schemas.openxmlformats.org/officeDocument/2006/relationships/hyperlink" Target="https://www.mercadolibre.com.ar/reporting/activity/detail?id=55131865222" TargetMode="External"/><Relationship Id="rId862" Type="http://schemas.openxmlformats.org/officeDocument/2006/relationships/hyperlink" Target="https://www.mercadolibre.com.ar/reporting/activity/detail?id=55349939691" TargetMode="External"/><Relationship Id="rId1078" Type="http://schemas.openxmlformats.org/officeDocument/2006/relationships/hyperlink" Target="https://www.mercadolibre.com.ar/reporting/activity/detail?id=55655293164" TargetMode="External"/><Relationship Id="rId1285" Type="http://schemas.openxmlformats.org/officeDocument/2006/relationships/hyperlink" Target="https://www.mercadolibre.com.ar/reporting/activity/detail?id=55835099225" TargetMode="External"/><Relationship Id="rId294" Type="http://schemas.openxmlformats.org/officeDocument/2006/relationships/hyperlink" Target="https://www.mercadolibre.com.ar/reporting/activity/detail?id=54671243288" TargetMode="External"/><Relationship Id="rId308" Type="http://schemas.openxmlformats.org/officeDocument/2006/relationships/hyperlink" Target="https://www.mercadolibre.com.ar/reporting/activity/detail?id=54723370690" TargetMode="External"/><Relationship Id="rId515" Type="http://schemas.openxmlformats.org/officeDocument/2006/relationships/hyperlink" Target="https://www.mercadolibre.com.ar/reporting/activity/detail?id=55076152361" TargetMode="External"/><Relationship Id="rId722" Type="http://schemas.openxmlformats.org/officeDocument/2006/relationships/hyperlink" Target="https://www.mercadolibre.com.ar/reporting/activity/detail?id=55193046753" TargetMode="External"/><Relationship Id="rId1145" Type="http://schemas.openxmlformats.org/officeDocument/2006/relationships/hyperlink" Target="https://www.mercadolibre.com.ar/reporting/activity/detail?id=55734727286" TargetMode="External"/><Relationship Id="rId1352" Type="http://schemas.openxmlformats.org/officeDocument/2006/relationships/hyperlink" Target="https://www.mercadolibre.com.ar/reporting/activity/detail?id=54253921768" TargetMode="External"/><Relationship Id="rId89" Type="http://schemas.openxmlformats.org/officeDocument/2006/relationships/hyperlink" Target="https://www.mercadolibre.com.ar/reporting/activity/detail?id=54383576509" TargetMode="External"/><Relationship Id="rId154" Type="http://schemas.openxmlformats.org/officeDocument/2006/relationships/hyperlink" Target="https://www.mercadolibre.com.ar/reporting/activity/detail?id=54431794215" TargetMode="External"/><Relationship Id="rId361" Type="http://schemas.openxmlformats.org/officeDocument/2006/relationships/hyperlink" Target="https://www.mercadolibre.com.ar/reporting/activity/detail?id=54773182778" TargetMode="External"/><Relationship Id="rId599" Type="http://schemas.openxmlformats.org/officeDocument/2006/relationships/hyperlink" Target="https://www.mercadolibre.com.ar/reporting/activity/detail?id=55079187964" TargetMode="External"/><Relationship Id="rId1005" Type="http://schemas.openxmlformats.org/officeDocument/2006/relationships/hyperlink" Target="https://www.mercadolibre.com.ar/reporting/activity/detail?id=55516533760" TargetMode="External"/><Relationship Id="rId1212" Type="http://schemas.openxmlformats.org/officeDocument/2006/relationships/hyperlink" Target="https://www.mercadolibre.com.ar/reporting/activity/detail?id=55824473655" TargetMode="External"/><Relationship Id="rId459" Type="http://schemas.openxmlformats.org/officeDocument/2006/relationships/hyperlink" Target="https://www.mercadolibre.com.ar/reporting/activity/detail?id=55065487277" TargetMode="External"/><Relationship Id="rId666" Type="http://schemas.openxmlformats.org/officeDocument/2006/relationships/hyperlink" Target="https://www.mercadolibre.com.ar/reporting/activity/detail?id=55134429808" TargetMode="External"/><Relationship Id="rId873" Type="http://schemas.openxmlformats.org/officeDocument/2006/relationships/hyperlink" Target="https://www.mercadolibre.com.ar/reporting/activity/detail?id=55350763256" TargetMode="External"/><Relationship Id="rId1089" Type="http://schemas.openxmlformats.org/officeDocument/2006/relationships/hyperlink" Target="https://www.mercadolibre.com.ar/reporting/activity/detail?id=55656972630" TargetMode="External"/><Relationship Id="rId1296" Type="http://schemas.openxmlformats.org/officeDocument/2006/relationships/hyperlink" Target="https://www.mercadolibre.com.ar/reporting/activity/detail?id=55870041029" TargetMode="External"/><Relationship Id="rId16" Type="http://schemas.openxmlformats.org/officeDocument/2006/relationships/hyperlink" Target="https://www.mercadolibre.com.ar/reporting/activity/detail?id=54266526809" TargetMode="External"/><Relationship Id="rId221" Type="http://schemas.openxmlformats.org/officeDocument/2006/relationships/hyperlink" Target="https://www.mercadolibre.com.ar/reporting/activity/detail?id=54663677506" TargetMode="External"/><Relationship Id="rId319" Type="http://schemas.openxmlformats.org/officeDocument/2006/relationships/hyperlink" Target="https://www.mercadolibre.com.ar/reporting/activity/detail?id=54726363572" TargetMode="External"/><Relationship Id="rId526" Type="http://schemas.openxmlformats.org/officeDocument/2006/relationships/hyperlink" Target="https://www.mercadolibre.com.ar/reporting/activity/detail?id=55076655496" TargetMode="External"/><Relationship Id="rId1156" Type="http://schemas.openxmlformats.org/officeDocument/2006/relationships/hyperlink" Target="https://www.mercadolibre.com.ar/reporting/activity/detail?id=55781670393" TargetMode="External"/><Relationship Id="rId1363" Type="http://schemas.openxmlformats.org/officeDocument/2006/relationships/hyperlink" Target="https://www.mercadolibre.com.ar/reporting/activity/detail?id=54260185164" TargetMode="External"/><Relationship Id="rId733" Type="http://schemas.openxmlformats.org/officeDocument/2006/relationships/hyperlink" Target="https://www.mercadolibre.com.ar/reporting/activity/detail?id=55194912192" TargetMode="External"/><Relationship Id="rId940" Type="http://schemas.openxmlformats.org/officeDocument/2006/relationships/hyperlink" Target="https://www.mercadolibre.com.ar/reporting/activity/detail?id=55469925950" TargetMode="External"/><Relationship Id="rId1016" Type="http://schemas.openxmlformats.org/officeDocument/2006/relationships/hyperlink" Target="https://www.mercadolibre.com.ar/reporting/activity/detail?id=55544426455" TargetMode="External"/><Relationship Id="rId165" Type="http://schemas.openxmlformats.org/officeDocument/2006/relationships/hyperlink" Target="https://www.mercadolibre.com.ar/reporting/activity/detail?id=54433131682" TargetMode="External"/><Relationship Id="rId372" Type="http://schemas.openxmlformats.org/officeDocument/2006/relationships/hyperlink" Target="https://www.mercadolibre.com.ar/reporting/activity/detail?id=54781185249" TargetMode="External"/><Relationship Id="rId677" Type="http://schemas.openxmlformats.org/officeDocument/2006/relationships/hyperlink" Target="https://www.mercadolibre.com.ar/reporting/activity/detail?id=55136845454" TargetMode="External"/><Relationship Id="rId800" Type="http://schemas.openxmlformats.org/officeDocument/2006/relationships/hyperlink" Target="https://www.mercadolibre.com.ar/reporting/activity/detail?id=55240217777" TargetMode="External"/><Relationship Id="rId1223" Type="http://schemas.openxmlformats.org/officeDocument/2006/relationships/hyperlink" Target="https://www.mercadolibre.com.ar/reporting/activity/detail?id=55828443930" TargetMode="External"/><Relationship Id="rId232" Type="http://schemas.openxmlformats.org/officeDocument/2006/relationships/hyperlink" Target="https://www.mercadolibre.com.ar/reporting/activity/detail?id=54665147871" TargetMode="External"/><Relationship Id="rId884" Type="http://schemas.openxmlformats.org/officeDocument/2006/relationships/hyperlink" Target="https://www.mercadolibre.com.ar/reporting/activity/detail?id=55351687980" TargetMode="External"/><Relationship Id="rId27" Type="http://schemas.openxmlformats.org/officeDocument/2006/relationships/hyperlink" Target="https://www.mercadolibre.com.ar/reporting/activity/detail?id=54321034118" TargetMode="External"/><Relationship Id="rId537" Type="http://schemas.openxmlformats.org/officeDocument/2006/relationships/hyperlink" Target="https://www.mercadolibre.com.ar/reporting/activity/detail?id=55077054927" TargetMode="External"/><Relationship Id="rId744" Type="http://schemas.openxmlformats.org/officeDocument/2006/relationships/hyperlink" Target="https://www.mercadolibre.com.ar/reporting/activity/detail?id=55195803040" TargetMode="External"/><Relationship Id="rId951" Type="http://schemas.openxmlformats.org/officeDocument/2006/relationships/hyperlink" Target="https://www.mercadolibre.com.ar/reporting/activity/detail?id=55471415244" TargetMode="External"/><Relationship Id="rId1167" Type="http://schemas.openxmlformats.org/officeDocument/2006/relationships/hyperlink" Target="https://www.mercadolibre.com.ar/reporting/activity/detail?id=55783946675" TargetMode="External"/><Relationship Id="rId1374" Type="http://schemas.openxmlformats.org/officeDocument/2006/relationships/hyperlink" Target="https://www.mercadolibre.com.ar/reporting/activity/detail?id=54261429470" TargetMode="External"/><Relationship Id="rId80" Type="http://schemas.openxmlformats.org/officeDocument/2006/relationships/hyperlink" Target="https://www.mercadolibre.com.ar/reporting/activity/detail?id=54382477034" TargetMode="External"/><Relationship Id="rId176" Type="http://schemas.openxmlformats.org/officeDocument/2006/relationships/hyperlink" Target="https://www.mercadolibre.com.ar/reporting/activity/detail?id=54433678408" TargetMode="External"/><Relationship Id="rId383" Type="http://schemas.openxmlformats.org/officeDocument/2006/relationships/hyperlink" Target="https://www.mercadolibre.com.ar/reporting/activity/detail?id=54783215960" TargetMode="External"/><Relationship Id="rId590" Type="http://schemas.openxmlformats.org/officeDocument/2006/relationships/hyperlink" Target="https://www.mercadolibre.com.ar/reporting/activity/detail?id=55078899012" TargetMode="External"/><Relationship Id="rId604" Type="http://schemas.openxmlformats.org/officeDocument/2006/relationships/hyperlink" Target="https://www.mercadolibre.com.ar/reporting/activity/detail?id=55079301281" TargetMode="External"/><Relationship Id="rId811" Type="http://schemas.openxmlformats.org/officeDocument/2006/relationships/hyperlink" Target="https://www.mercadolibre.com.ar/reporting/activity/detail?id=55241917990" TargetMode="External"/><Relationship Id="rId1027" Type="http://schemas.openxmlformats.org/officeDocument/2006/relationships/hyperlink" Target="https://www.mercadolibre.com.ar/reporting/activity/detail?id=55551669579" TargetMode="External"/><Relationship Id="rId1234" Type="http://schemas.openxmlformats.org/officeDocument/2006/relationships/hyperlink" Target="https://www.mercadolibre.com.ar/reporting/activity/detail?id=55830728334" TargetMode="External"/><Relationship Id="rId243" Type="http://schemas.openxmlformats.org/officeDocument/2006/relationships/hyperlink" Target="https://www.mercadolibre.com.ar/reporting/activity/detail?id=54666752495" TargetMode="External"/><Relationship Id="rId450" Type="http://schemas.openxmlformats.org/officeDocument/2006/relationships/hyperlink" Target="https://www.mercadolibre.com.ar/reporting/activity/detail?id=55017865976" TargetMode="External"/><Relationship Id="rId688" Type="http://schemas.openxmlformats.org/officeDocument/2006/relationships/hyperlink" Target="https://www.mercadolibre.com.ar/reporting/activity/detail?id=55139098954" TargetMode="External"/><Relationship Id="rId895" Type="http://schemas.openxmlformats.org/officeDocument/2006/relationships/hyperlink" Target="https://www.mercadolibre.com.ar/reporting/activity/detail?id=55420532918" TargetMode="External"/><Relationship Id="rId909" Type="http://schemas.openxmlformats.org/officeDocument/2006/relationships/hyperlink" Target="https://www.mercadolibre.com.ar/reporting/activity/detail?id=55459252786" TargetMode="External"/><Relationship Id="rId1080" Type="http://schemas.openxmlformats.org/officeDocument/2006/relationships/hyperlink" Target="https://www.mercadolibre.com.ar/reporting/activity/detail?id=55655537336" TargetMode="External"/><Relationship Id="rId1301" Type="http://schemas.openxmlformats.org/officeDocument/2006/relationships/hyperlink" Target="https://www.mercadolibre.com.ar/reporting/activity/detail?id=55871088163" TargetMode="External"/><Relationship Id="rId38" Type="http://schemas.openxmlformats.org/officeDocument/2006/relationships/hyperlink" Target="https://www.mercadolibre.com.ar/reporting/activity/detail?id=54326746769" TargetMode="External"/><Relationship Id="rId103" Type="http://schemas.openxmlformats.org/officeDocument/2006/relationships/hyperlink" Target="https://www.mercadolibre.com.ar/reporting/activity/detail?id=54385418732" TargetMode="External"/><Relationship Id="rId310" Type="http://schemas.openxmlformats.org/officeDocument/2006/relationships/hyperlink" Target="https://www.mercadolibre.com.ar/reporting/activity/detail?id=54724274435" TargetMode="External"/><Relationship Id="rId548" Type="http://schemas.openxmlformats.org/officeDocument/2006/relationships/hyperlink" Target="https://www.mercadolibre.com.ar/reporting/activity/detail?id=55077584776" TargetMode="External"/><Relationship Id="rId755" Type="http://schemas.openxmlformats.org/officeDocument/2006/relationships/hyperlink" Target="https://www.mercadolibre.com.ar/reporting/activity/detail?id=55196648705" TargetMode="External"/><Relationship Id="rId962" Type="http://schemas.openxmlformats.org/officeDocument/2006/relationships/hyperlink" Target="https://www.mercadolibre.com.ar/reporting/activity/detail?id=55507368289" TargetMode="External"/><Relationship Id="rId1178" Type="http://schemas.openxmlformats.org/officeDocument/2006/relationships/hyperlink" Target="https://www.mercadolibre.com.ar/reporting/activity/detail?id=55785744452" TargetMode="External"/><Relationship Id="rId91" Type="http://schemas.openxmlformats.org/officeDocument/2006/relationships/hyperlink" Target="https://www.mercadolibre.com.ar/reporting/activity/detail?id=54383887049" TargetMode="External"/><Relationship Id="rId187" Type="http://schemas.openxmlformats.org/officeDocument/2006/relationships/hyperlink" Target="https://www.mercadolibre.com.ar/reporting/activity/detail?id=54599337351" TargetMode="External"/><Relationship Id="rId394" Type="http://schemas.openxmlformats.org/officeDocument/2006/relationships/hyperlink" Target="https://www.mercadolibre.com.ar/reporting/activity/detail?id=54785516723" TargetMode="External"/><Relationship Id="rId408" Type="http://schemas.openxmlformats.org/officeDocument/2006/relationships/hyperlink" Target="https://www.mercadolibre.com.ar/reporting/activity/detail?id=54822170279" TargetMode="External"/><Relationship Id="rId615" Type="http://schemas.openxmlformats.org/officeDocument/2006/relationships/hyperlink" Target="https://www.mercadolibre.com.ar/reporting/activity/detail?id=55079874606" TargetMode="External"/><Relationship Id="rId822" Type="http://schemas.openxmlformats.org/officeDocument/2006/relationships/hyperlink" Target="https://www.mercadolibre.com.ar/reporting/activity/detail?id=55243427402" TargetMode="External"/><Relationship Id="rId1038" Type="http://schemas.openxmlformats.org/officeDocument/2006/relationships/hyperlink" Target="https://www.mercadolibre.com.ar/reporting/activity/detail?id=55553946720" TargetMode="External"/><Relationship Id="rId1245" Type="http://schemas.openxmlformats.org/officeDocument/2006/relationships/hyperlink" Target="https://www.mercadolibre.com.ar/reporting/activity/detail?id=55831687479" TargetMode="External"/><Relationship Id="rId254" Type="http://schemas.openxmlformats.org/officeDocument/2006/relationships/hyperlink" Target="https://www.mercadolibre.com.ar/reporting/activity/detail?id=54667897778" TargetMode="External"/><Relationship Id="rId699" Type="http://schemas.openxmlformats.org/officeDocument/2006/relationships/hyperlink" Target="https://www.mercadolibre.com.ar/reporting/activity/detail?id=55141080743" TargetMode="External"/><Relationship Id="rId1091" Type="http://schemas.openxmlformats.org/officeDocument/2006/relationships/hyperlink" Target="https://www.mercadolibre.com.ar/reporting/activity/detail?id=55657092771" TargetMode="External"/><Relationship Id="rId1105" Type="http://schemas.openxmlformats.org/officeDocument/2006/relationships/hyperlink" Target="https://www.mercadolibre.com.ar/reporting/activity/detail?id=55658588586" TargetMode="External"/><Relationship Id="rId1312" Type="http://schemas.openxmlformats.org/officeDocument/2006/relationships/hyperlink" Target="https://www.mercadolibre.com.ar/reporting/activity/detail?id=55872777297" TargetMode="External"/><Relationship Id="rId49" Type="http://schemas.openxmlformats.org/officeDocument/2006/relationships/hyperlink" Target="https://www.mercadolibre.com.ar/reporting/activity/detail?id=54329213863" TargetMode="External"/><Relationship Id="rId114" Type="http://schemas.openxmlformats.org/officeDocument/2006/relationships/hyperlink" Target="https://www.mercadolibre.com.ar/reporting/activity/detail?id=54387017221" TargetMode="External"/><Relationship Id="rId461" Type="http://schemas.openxmlformats.org/officeDocument/2006/relationships/hyperlink" Target="https://www.mercadolibre.com.ar/reporting/activity/detail?id=55069232859" TargetMode="External"/><Relationship Id="rId559" Type="http://schemas.openxmlformats.org/officeDocument/2006/relationships/hyperlink" Target="https://www.mercadolibre.com.ar/reporting/activity/detail?id=55077865804" TargetMode="External"/><Relationship Id="rId766" Type="http://schemas.openxmlformats.org/officeDocument/2006/relationships/hyperlink" Target="https://www.mercadolibre.com.ar/reporting/activity/detail?id=55197547731" TargetMode="External"/><Relationship Id="rId1189" Type="http://schemas.openxmlformats.org/officeDocument/2006/relationships/hyperlink" Target="https://www.mercadolibre.com.ar/reporting/activity/detail?id=55786655934" TargetMode="External"/><Relationship Id="rId198" Type="http://schemas.openxmlformats.org/officeDocument/2006/relationships/hyperlink" Target="https://www.mercadolibre.com.ar/reporting/activity/detail?id=54605532647" TargetMode="External"/><Relationship Id="rId321" Type="http://schemas.openxmlformats.org/officeDocument/2006/relationships/hyperlink" Target="https://www.mercadolibre.com.ar/reporting/activity/detail?id=54726766965" TargetMode="External"/><Relationship Id="rId419" Type="http://schemas.openxmlformats.org/officeDocument/2006/relationships/hyperlink" Target="https://www.mercadolibre.com.ar/reporting/activity/detail?id=54828262567" TargetMode="External"/><Relationship Id="rId626" Type="http://schemas.openxmlformats.org/officeDocument/2006/relationships/hyperlink" Target="https://www.mercadolibre.com.ar/reporting/activity/detail?id=55080373486" TargetMode="External"/><Relationship Id="rId973" Type="http://schemas.openxmlformats.org/officeDocument/2006/relationships/hyperlink" Target="https://www.mercadolibre.com.ar/reporting/activity/detail?id=55511014402" TargetMode="External"/><Relationship Id="rId1049" Type="http://schemas.openxmlformats.org/officeDocument/2006/relationships/hyperlink" Target="https://www.mercadolibre.com.ar/reporting/activity/detail?id=55555716387" TargetMode="External"/><Relationship Id="rId1256" Type="http://schemas.openxmlformats.org/officeDocument/2006/relationships/hyperlink" Target="https://www.mercadolibre.com.ar/reporting/activity/detail?id=55832968182" TargetMode="External"/><Relationship Id="rId833" Type="http://schemas.openxmlformats.org/officeDocument/2006/relationships/hyperlink" Target="https://www.mercadolibre.com.ar/reporting/activity/detail?id=55345471252" TargetMode="External"/><Relationship Id="rId1116" Type="http://schemas.openxmlformats.org/officeDocument/2006/relationships/hyperlink" Target="https://www.mercadolibre.com.ar/reporting/activity/detail?id=55659053968" TargetMode="External"/><Relationship Id="rId265" Type="http://schemas.openxmlformats.org/officeDocument/2006/relationships/hyperlink" Target="https://www.mercadolibre.com.ar/reporting/activity/detail?id=54669291843" TargetMode="External"/><Relationship Id="rId472" Type="http://schemas.openxmlformats.org/officeDocument/2006/relationships/hyperlink" Target="https://www.mercadolibre.com.ar/reporting/activity/detail?id=55072267033" TargetMode="External"/><Relationship Id="rId900" Type="http://schemas.openxmlformats.org/officeDocument/2006/relationships/hyperlink" Target="https://www.mercadolibre.com.ar/reporting/activity/detail?id=55422219906" TargetMode="External"/><Relationship Id="rId1323" Type="http://schemas.openxmlformats.org/officeDocument/2006/relationships/hyperlink" Target="https://www.mercadolibre.com.ar/reporting/activity/detail?id=54034599783" TargetMode="External"/><Relationship Id="rId125" Type="http://schemas.openxmlformats.org/officeDocument/2006/relationships/hyperlink" Target="https://www.mercadolibre.com.ar/reporting/activity/detail?id=54427293862" TargetMode="External"/><Relationship Id="rId332" Type="http://schemas.openxmlformats.org/officeDocument/2006/relationships/hyperlink" Target="https://www.mercadolibre.com.ar/reporting/activity/detail?id=54728900725" TargetMode="External"/><Relationship Id="rId777" Type="http://schemas.openxmlformats.org/officeDocument/2006/relationships/hyperlink" Target="https://www.mercadolibre.com.ar/reporting/activity/detail?id=55235943782" TargetMode="External"/><Relationship Id="rId984" Type="http://schemas.openxmlformats.org/officeDocument/2006/relationships/hyperlink" Target="https://www.mercadolibre.com.ar/reporting/activity/detail?id=55514032142" TargetMode="External"/><Relationship Id="rId637" Type="http://schemas.openxmlformats.org/officeDocument/2006/relationships/hyperlink" Target="https://www.mercadolibre.com.ar/reporting/activity/detail?id=55080708651" TargetMode="External"/><Relationship Id="rId844" Type="http://schemas.openxmlformats.org/officeDocument/2006/relationships/hyperlink" Target="https://www.mercadolibre.com.ar/reporting/activity/detail?id=55348016135" TargetMode="External"/><Relationship Id="rId1267" Type="http://schemas.openxmlformats.org/officeDocument/2006/relationships/hyperlink" Target="https://www.mercadolibre.com.ar/reporting/activity/detail?id=55834091436" TargetMode="External"/><Relationship Id="rId276" Type="http://schemas.openxmlformats.org/officeDocument/2006/relationships/hyperlink" Target="https://www.mercadolibre.com.ar/reporting/activity/detail?id=54670026675" TargetMode="External"/><Relationship Id="rId483" Type="http://schemas.openxmlformats.org/officeDocument/2006/relationships/hyperlink" Target="https://www.mercadolibre.com.ar/reporting/activity/detail?id=55074023130" TargetMode="External"/><Relationship Id="rId690" Type="http://schemas.openxmlformats.org/officeDocument/2006/relationships/hyperlink" Target="https://www.mercadolibre.com.ar/reporting/activity/detail?id=55139410955" TargetMode="External"/><Relationship Id="rId704" Type="http://schemas.openxmlformats.org/officeDocument/2006/relationships/hyperlink" Target="https://www.mercadolibre.com.ar/reporting/activity/detail?id=55141473072" TargetMode="External"/><Relationship Id="rId911" Type="http://schemas.openxmlformats.org/officeDocument/2006/relationships/hyperlink" Target="https://www.mercadolibre.com.ar/reporting/activity/detail?id=55462257316" TargetMode="External"/><Relationship Id="rId1127" Type="http://schemas.openxmlformats.org/officeDocument/2006/relationships/hyperlink" Target="https://www.mercadolibre.com.ar/reporting/activity/detail?id=55659239914" TargetMode="External"/><Relationship Id="rId1334" Type="http://schemas.openxmlformats.org/officeDocument/2006/relationships/hyperlink" Target="https://www.mercadolibre.com.ar/reporting/activity/detail?id=54205151337" TargetMode="External"/><Relationship Id="rId40" Type="http://schemas.openxmlformats.org/officeDocument/2006/relationships/hyperlink" Target="https://www.mercadolibre.com.ar/reporting/activity/detail?id=54327293662" TargetMode="External"/><Relationship Id="rId136" Type="http://schemas.openxmlformats.org/officeDocument/2006/relationships/hyperlink" Target="https://www.mercadolibre.com.ar/reporting/activity/detail?id=54429254463" TargetMode="External"/><Relationship Id="rId343" Type="http://schemas.openxmlformats.org/officeDocument/2006/relationships/hyperlink" Target="https://www.mercadolibre.com.ar/reporting/activity/detail?id=54730002295" TargetMode="External"/><Relationship Id="rId550" Type="http://schemas.openxmlformats.org/officeDocument/2006/relationships/hyperlink" Target="https://www.mercadolibre.com.ar/reporting/activity/detail?id=55077670384" TargetMode="External"/><Relationship Id="rId788" Type="http://schemas.openxmlformats.org/officeDocument/2006/relationships/hyperlink" Target="https://www.mercadolibre.com.ar/reporting/activity/detail?id=55238810232" TargetMode="External"/><Relationship Id="rId995" Type="http://schemas.openxmlformats.org/officeDocument/2006/relationships/hyperlink" Target="https://www.mercadolibre.com.ar/reporting/activity/detail?id=55515432466" TargetMode="External"/><Relationship Id="rId1180" Type="http://schemas.openxmlformats.org/officeDocument/2006/relationships/hyperlink" Target="https://www.mercadolibre.com.ar/reporting/activity/detail?id=55785794445" TargetMode="External"/><Relationship Id="rId203" Type="http://schemas.openxmlformats.org/officeDocument/2006/relationships/hyperlink" Target="https://www.mercadolibre.com.ar/reporting/activity/detail?id=54608559734" TargetMode="External"/><Relationship Id="rId648" Type="http://schemas.openxmlformats.org/officeDocument/2006/relationships/hyperlink" Target="https://www.mercadolibre.com.ar/reporting/activity/detail?id=55128609056" TargetMode="External"/><Relationship Id="rId855" Type="http://schemas.openxmlformats.org/officeDocument/2006/relationships/hyperlink" Target="https://www.mercadolibre.com.ar/reporting/activity/detail?id=55349325196" TargetMode="External"/><Relationship Id="rId1040" Type="http://schemas.openxmlformats.org/officeDocument/2006/relationships/hyperlink" Target="https://www.mercadolibre.com.ar/reporting/activity/detail?id=55554375700" TargetMode="External"/><Relationship Id="rId1278" Type="http://schemas.openxmlformats.org/officeDocument/2006/relationships/hyperlink" Target="https://www.mercadolibre.com.ar/reporting/activity/detail?id=55834721587" TargetMode="External"/><Relationship Id="rId287" Type="http://schemas.openxmlformats.org/officeDocument/2006/relationships/hyperlink" Target="https://www.mercadolibre.com.ar/reporting/activity/detail?id=54670598403" TargetMode="External"/><Relationship Id="rId410" Type="http://schemas.openxmlformats.org/officeDocument/2006/relationships/hyperlink" Target="https://www.mercadolibre.com.ar/reporting/activity/detail?id=54825348227" TargetMode="External"/><Relationship Id="rId494" Type="http://schemas.openxmlformats.org/officeDocument/2006/relationships/hyperlink" Target="https://www.mercadolibre.com.ar/reporting/activity/detail?id=55074791178" TargetMode="External"/><Relationship Id="rId508" Type="http://schemas.openxmlformats.org/officeDocument/2006/relationships/hyperlink" Target="https://www.mercadolibre.com.ar/reporting/activity/detail?id=55075725596" TargetMode="External"/><Relationship Id="rId715" Type="http://schemas.openxmlformats.org/officeDocument/2006/relationships/hyperlink" Target="https://www.mercadolibre.com.ar/reporting/activity/detail?id=55191155754" TargetMode="External"/><Relationship Id="rId922" Type="http://schemas.openxmlformats.org/officeDocument/2006/relationships/hyperlink" Target="https://www.mercadolibre.com.ar/reporting/activity/detail?id=55466237699" TargetMode="External"/><Relationship Id="rId1138" Type="http://schemas.openxmlformats.org/officeDocument/2006/relationships/hyperlink" Target="https://www.mercadolibre.com.ar/reporting/activity/detail?id=55730738738" TargetMode="External"/><Relationship Id="rId1345" Type="http://schemas.openxmlformats.org/officeDocument/2006/relationships/hyperlink" Target="https://www.mercadolibre.com.ar/reporting/activity/detail?id=54207267695" TargetMode="External"/><Relationship Id="rId147" Type="http://schemas.openxmlformats.org/officeDocument/2006/relationships/hyperlink" Target="https://www.mercadolibre.com.ar/reporting/activity/detail?id=54430584935" TargetMode="External"/><Relationship Id="rId354" Type="http://schemas.openxmlformats.org/officeDocument/2006/relationships/hyperlink" Target="https://www.mercadolibre.com.ar/reporting/activity/detail?id=54731840221" TargetMode="External"/><Relationship Id="rId799" Type="http://schemas.openxmlformats.org/officeDocument/2006/relationships/hyperlink" Target="https://www.mercadolibre.com.ar/reporting/activity/detail?id=55240208272" TargetMode="External"/><Relationship Id="rId1191" Type="http://schemas.openxmlformats.org/officeDocument/2006/relationships/hyperlink" Target="https://www.mercadolibre.com.ar/reporting/activity/detail?id=55787176530" TargetMode="External"/><Relationship Id="rId1205" Type="http://schemas.openxmlformats.org/officeDocument/2006/relationships/hyperlink" Target="https://www.mercadolibre.com.ar/reporting/activity/detail?id=55788043083" TargetMode="External"/><Relationship Id="rId51" Type="http://schemas.openxmlformats.org/officeDocument/2006/relationships/hyperlink" Target="https://www.mercadolibre.com.ar/reporting/activity/detail?id=54329447072" TargetMode="External"/><Relationship Id="rId561" Type="http://schemas.openxmlformats.org/officeDocument/2006/relationships/hyperlink" Target="https://www.mercadolibre.com.ar/reporting/activity/detail?id=55077906505" TargetMode="External"/><Relationship Id="rId659" Type="http://schemas.openxmlformats.org/officeDocument/2006/relationships/hyperlink" Target="https://www.mercadolibre.com.ar/reporting/activity/detail?id=55132983439" TargetMode="External"/><Relationship Id="rId866" Type="http://schemas.openxmlformats.org/officeDocument/2006/relationships/hyperlink" Target="https://www.mercadolibre.com.ar/reporting/activity/detail?id=55350254822" TargetMode="External"/><Relationship Id="rId1289" Type="http://schemas.openxmlformats.org/officeDocument/2006/relationships/hyperlink" Target="https://www.mercadolibre.com.ar/reporting/activity/detail?id=55835197538" TargetMode="External"/><Relationship Id="rId214" Type="http://schemas.openxmlformats.org/officeDocument/2006/relationships/hyperlink" Target="https://www.mercadolibre.com.ar/reporting/activity/detail?id=54660568331" TargetMode="External"/><Relationship Id="rId298" Type="http://schemas.openxmlformats.org/officeDocument/2006/relationships/hyperlink" Target="https://www.mercadolibre.com.ar/reporting/activity/detail?id=54712177890" TargetMode="External"/><Relationship Id="rId421" Type="http://schemas.openxmlformats.org/officeDocument/2006/relationships/hyperlink" Target="https://www.mercadolibre.com.ar/reporting/activity/detail?id=54829098047" TargetMode="External"/><Relationship Id="rId519" Type="http://schemas.openxmlformats.org/officeDocument/2006/relationships/hyperlink" Target="https://www.mercadolibre.com.ar/reporting/activity/detail?id=55076317662" TargetMode="External"/><Relationship Id="rId1051" Type="http://schemas.openxmlformats.org/officeDocument/2006/relationships/hyperlink" Target="https://www.mercadolibre.com.ar/reporting/activity/detail?id=55555805648" TargetMode="External"/><Relationship Id="rId1149" Type="http://schemas.openxmlformats.org/officeDocument/2006/relationships/hyperlink" Target="https://www.mercadolibre.com.ar/reporting/activity/detail?id=55775280204" TargetMode="External"/><Relationship Id="rId1356" Type="http://schemas.openxmlformats.org/officeDocument/2006/relationships/hyperlink" Target="https://www.mercadolibre.com.ar/reporting/activity/detail?id=54258971062" TargetMode="External"/><Relationship Id="rId158" Type="http://schemas.openxmlformats.org/officeDocument/2006/relationships/hyperlink" Target="https://www.mercadolibre.com.ar/reporting/activity/detail?id=54432097238" TargetMode="External"/><Relationship Id="rId726" Type="http://schemas.openxmlformats.org/officeDocument/2006/relationships/hyperlink" Target="https://www.mercadolibre.com.ar/reporting/activity/detail?id=55193859911" TargetMode="External"/><Relationship Id="rId933" Type="http://schemas.openxmlformats.org/officeDocument/2006/relationships/hyperlink" Target="https://www.mercadolibre.com.ar/reporting/activity/detail?id=55468820986" TargetMode="External"/><Relationship Id="rId1009" Type="http://schemas.openxmlformats.org/officeDocument/2006/relationships/hyperlink" Target="https://www.mercadolibre.com.ar/reporting/activity/detail?id=55516793582" TargetMode="External"/><Relationship Id="rId62" Type="http://schemas.openxmlformats.org/officeDocument/2006/relationships/hyperlink" Target="https://www.mercadolibre.com.ar/reporting/activity/detail?id=54377548964" TargetMode="External"/><Relationship Id="rId365" Type="http://schemas.openxmlformats.org/officeDocument/2006/relationships/hyperlink" Target="https://www.mercadolibre.com.ar/reporting/activity/detail?id=54779011998" TargetMode="External"/><Relationship Id="rId572" Type="http://schemas.openxmlformats.org/officeDocument/2006/relationships/hyperlink" Target="https://www.mercadolibre.com.ar/reporting/activity/detail?id=55078268626" TargetMode="External"/><Relationship Id="rId1216" Type="http://schemas.openxmlformats.org/officeDocument/2006/relationships/hyperlink" Target="https://www.mercadolibre.com.ar/reporting/activity/detail?id=55826949344" TargetMode="External"/><Relationship Id="rId225" Type="http://schemas.openxmlformats.org/officeDocument/2006/relationships/hyperlink" Target="https://www.mercadolibre.com.ar/reporting/activity/detail?id=54664443033" TargetMode="External"/><Relationship Id="rId432" Type="http://schemas.openxmlformats.org/officeDocument/2006/relationships/hyperlink" Target="https://www.mercadolibre.com.ar/reporting/activity/detail?id=55011652580" TargetMode="External"/><Relationship Id="rId877" Type="http://schemas.openxmlformats.org/officeDocument/2006/relationships/hyperlink" Target="https://www.mercadolibre.com.ar/reporting/activity/detail?id=55351136525" TargetMode="External"/><Relationship Id="rId1062" Type="http://schemas.openxmlformats.org/officeDocument/2006/relationships/hyperlink" Target="https://www.mercadolibre.com.ar/reporting/activity/detail?id=55651342615" TargetMode="External"/><Relationship Id="rId737" Type="http://schemas.openxmlformats.org/officeDocument/2006/relationships/hyperlink" Target="https://www.mercadolibre.com.ar/reporting/activity/detail?id=55195303993" TargetMode="External"/><Relationship Id="rId944" Type="http://schemas.openxmlformats.org/officeDocument/2006/relationships/hyperlink" Target="https://www.mercadolibre.com.ar/reporting/activity/detail?id=55470483673" TargetMode="External"/><Relationship Id="rId1367" Type="http://schemas.openxmlformats.org/officeDocument/2006/relationships/hyperlink" Target="https://www.mercadolibre.com.ar/reporting/activity/detail?id=54260889584" TargetMode="External"/><Relationship Id="rId73" Type="http://schemas.openxmlformats.org/officeDocument/2006/relationships/hyperlink" Target="https://www.mercadolibre.com.ar/reporting/activity/detail?id=54379890539" TargetMode="External"/><Relationship Id="rId169" Type="http://schemas.openxmlformats.org/officeDocument/2006/relationships/hyperlink" Target="https://www.mercadolibre.com.ar/reporting/activity/detail?id=54433284897" TargetMode="External"/><Relationship Id="rId376" Type="http://schemas.openxmlformats.org/officeDocument/2006/relationships/hyperlink" Target="https://www.mercadolibre.com.ar/reporting/activity/detail?id=54782408172" TargetMode="External"/><Relationship Id="rId583" Type="http://schemas.openxmlformats.org/officeDocument/2006/relationships/hyperlink" Target="https://www.mercadolibre.com.ar/reporting/activity/detail?id=55078698570" TargetMode="External"/><Relationship Id="rId790" Type="http://schemas.openxmlformats.org/officeDocument/2006/relationships/hyperlink" Target="https://www.mercadolibre.com.ar/reporting/activity/detail?id=55239324464" TargetMode="External"/><Relationship Id="rId804" Type="http://schemas.openxmlformats.org/officeDocument/2006/relationships/hyperlink" Target="https://www.mercadolibre.com.ar/reporting/activity/detail?id=55240897368" TargetMode="External"/><Relationship Id="rId1227" Type="http://schemas.openxmlformats.org/officeDocument/2006/relationships/hyperlink" Target="https://www.mercadolibre.com.ar/reporting/activity/detail?id=55829742996" TargetMode="External"/><Relationship Id="rId4" Type="http://schemas.openxmlformats.org/officeDocument/2006/relationships/hyperlink" Target="https://www.mercadolibre.com.ar/reporting/activity/detail?id=54263716381" TargetMode="External"/><Relationship Id="rId236" Type="http://schemas.openxmlformats.org/officeDocument/2006/relationships/hyperlink" Target="https://www.mercadolibre.com.ar/reporting/activity/detail?id=54665658835" TargetMode="External"/><Relationship Id="rId443" Type="http://schemas.openxmlformats.org/officeDocument/2006/relationships/hyperlink" Target="https://www.mercadolibre.com.ar/reporting/activity/detail?id=55015626064" TargetMode="External"/><Relationship Id="rId650" Type="http://schemas.openxmlformats.org/officeDocument/2006/relationships/hyperlink" Target="https://www.mercadolibre.com.ar/reporting/activity/detail?id=55129993747" TargetMode="External"/><Relationship Id="rId888" Type="http://schemas.openxmlformats.org/officeDocument/2006/relationships/hyperlink" Target="https://www.mercadolibre.com.ar/reporting/activity/detail?id=55418398326" TargetMode="External"/><Relationship Id="rId1073" Type="http://schemas.openxmlformats.org/officeDocument/2006/relationships/hyperlink" Target="https://www.mercadolibre.com.ar/reporting/activity/detail?id=55654573670" TargetMode="External"/><Relationship Id="rId1280" Type="http://schemas.openxmlformats.org/officeDocument/2006/relationships/hyperlink" Target="https://www.mercadolibre.com.ar/reporting/activity/detail?id=55834735822" TargetMode="External"/><Relationship Id="rId303" Type="http://schemas.openxmlformats.org/officeDocument/2006/relationships/hyperlink" Target="https://www.mercadolibre.com.ar/reporting/activity/detail?id=54722278837" TargetMode="External"/><Relationship Id="rId748" Type="http://schemas.openxmlformats.org/officeDocument/2006/relationships/hyperlink" Target="https://www.mercadolibre.com.ar/reporting/activity/detail?id=55196208364" TargetMode="External"/><Relationship Id="rId955" Type="http://schemas.openxmlformats.org/officeDocument/2006/relationships/hyperlink" Target="https://www.mercadolibre.com.ar/reporting/activity/detail?id=55471683585" TargetMode="External"/><Relationship Id="rId1140" Type="http://schemas.openxmlformats.org/officeDocument/2006/relationships/hyperlink" Target="https://www.mercadolibre.com.ar/reporting/activity/detail?id=55730893334" TargetMode="External"/><Relationship Id="rId1378" Type="http://schemas.openxmlformats.org/officeDocument/2006/relationships/hyperlink" Target="https://www.mercadolibre.com.ar/reporting/activity/detail?id=54261744086" TargetMode="External"/><Relationship Id="rId84" Type="http://schemas.openxmlformats.org/officeDocument/2006/relationships/hyperlink" Target="https://www.mercadolibre.com.ar/reporting/activity/detail?id=54383125092" TargetMode="External"/><Relationship Id="rId387" Type="http://schemas.openxmlformats.org/officeDocument/2006/relationships/hyperlink" Target="https://www.mercadolibre.com.ar/reporting/activity/detail?id=54784847336" TargetMode="External"/><Relationship Id="rId510" Type="http://schemas.openxmlformats.org/officeDocument/2006/relationships/hyperlink" Target="https://www.mercadolibre.com.ar/reporting/activity/detail?id=55075885579" TargetMode="External"/><Relationship Id="rId594" Type="http://schemas.openxmlformats.org/officeDocument/2006/relationships/hyperlink" Target="https://www.mercadolibre.com.ar/reporting/activity/detail?id=55078993034" TargetMode="External"/><Relationship Id="rId608" Type="http://schemas.openxmlformats.org/officeDocument/2006/relationships/hyperlink" Target="https://www.mercadolibre.com.ar/reporting/activity/detail?id=55079620547" TargetMode="External"/><Relationship Id="rId815" Type="http://schemas.openxmlformats.org/officeDocument/2006/relationships/hyperlink" Target="https://www.mercadolibre.com.ar/reporting/activity/detail?id=55242034909" TargetMode="External"/><Relationship Id="rId1238" Type="http://schemas.openxmlformats.org/officeDocument/2006/relationships/hyperlink" Target="https://www.mercadolibre.com.ar/reporting/activity/detail?id=55831074082" TargetMode="External"/><Relationship Id="rId247" Type="http://schemas.openxmlformats.org/officeDocument/2006/relationships/hyperlink" Target="https://www.mercadolibre.com.ar/reporting/activity/detail?id=54667240309" TargetMode="External"/><Relationship Id="rId899" Type="http://schemas.openxmlformats.org/officeDocument/2006/relationships/hyperlink" Target="https://www.mercadolibre.com.ar/reporting/activity/detail?id=55422014836" TargetMode="External"/><Relationship Id="rId1000" Type="http://schemas.openxmlformats.org/officeDocument/2006/relationships/hyperlink" Target="https://www.mercadolibre.com.ar/reporting/activity/detail?id=55516122946" TargetMode="External"/><Relationship Id="rId1084" Type="http://schemas.openxmlformats.org/officeDocument/2006/relationships/hyperlink" Target="https://www.mercadolibre.com.ar/reporting/activity/detail?id=55656130784" TargetMode="External"/><Relationship Id="rId1305" Type="http://schemas.openxmlformats.org/officeDocument/2006/relationships/hyperlink" Target="https://www.mercadolibre.com.ar/reporting/activity/detail?id=55871936955" TargetMode="External"/><Relationship Id="rId107" Type="http://schemas.openxmlformats.org/officeDocument/2006/relationships/hyperlink" Target="https://www.mercadolibre.com.ar/reporting/activity/detail?id=54386415524" TargetMode="External"/><Relationship Id="rId454" Type="http://schemas.openxmlformats.org/officeDocument/2006/relationships/hyperlink" Target="https://www.mercadolibre.com.ar/reporting/activity/detail?id=55021291898" TargetMode="External"/><Relationship Id="rId661" Type="http://schemas.openxmlformats.org/officeDocument/2006/relationships/hyperlink" Target="https://www.mercadolibre.com.ar/reporting/activity/detail?id=55133524872" TargetMode="External"/><Relationship Id="rId759" Type="http://schemas.openxmlformats.org/officeDocument/2006/relationships/hyperlink" Target="https://www.mercadolibre.com.ar/reporting/activity/detail?id=55196807223" TargetMode="External"/><Relationship Id="rId966" Type="http://schemas.openxmlformats.org/officeDocument/2006/relationships/hyperlink" Target="https://www.mercadolibre.com.ar/reporting/activity/detail?id=55508759507" TargetMode="External"/><Relationship Id="rId1291" Type="http://schemas.openxmlformats.org/officeDocument/2006/relationships/hyperlink" Target="https://www.mercadolibre.com.ar/reporting/activity/detail?id=55866169087" TargetMode="External"/><Relationship Id="rId11" Type="http://schemas.openxmlformats.org/officeDocument/2006/relationships/hyperlink" Target="https://www.mercadolibre.com.ar/reporting/activity/detail?id=54264412062" TargetMode="External"/><Relationship Id="rId314" Type="http://schemas.openxmlformats.org/officeDocument/2006/relationships/hyperlink" Target="https://www.mercadolibre.com.ar/reporting/activity/detail?id=54725619533" TargetMode="External"/><Relationship Id="rId398" Type="http://schemas.openxmlformats.org/officeDocument/2006/relationships/hyperlink" Target="https://www.mercadolibre.com.ar/reporting/activity/detail?id=54785788659" TargetMode="External"/><Relationship Id="rId521" Type="http://schemas.openxmlformats.org/officeDocument/2006/relationships/hyperlink" Target="https://www.mercadolibre.com.ar/reporting/activity/detail?id=55076407014" TargetMode="External"/><Relationship Id="rId619" Type="http://schemas.openxmlformats.org/officeDocument/2006/relationships/hyperlink" Target="https://www.mercadolibre.com.ar/reporting/activity/detail?id=55080019603" TargetMode="External"/><Relationship Id="rId1151" Type="http://schemas.openxmlformats.org/officeDocument/2006/relationships/hyperlink" Target="https://www.mercadolibre.com.ar/reporting/activity/detail?id=55778795012" TargetMode="External"/><Relationship Id="rId1249" Type="http://schemas.openxmlformats.org/officeDocument/2006/relationships/hyperlink" Target="https://www.mercadolibre.com.ar/reporting/activity/detail?id=55832061162" TargetMode="External"/><Relationship Id="rId95" Type="http://schemas.openxmlformats.org/officeDocument/2006/relationships/hyperlink" Target="https://www.mercadolibre.com.ar/reporting/activity/detail?id=54384390417" TargetMode="External"/><Relationship Id="rId160" Type="http://schemas.openxmlformats.org/officeDocument/2006/relationships/hyperlink" Target="https://www.mercadolibre.com.ar/reporting/activity/detail?id=54432461496" TargetMode="External"/><Relationship Id="rId826" Type="http://schemas.openxmlformats.org/officeDocument/2006/relationships/hyperlink" Target="https://www.mercadolibre.com.ar/reporting/activity/detail?id=55342815366" TargetMode="External"/><Relationship Id="rId1011" Type="http://schemas.openxmlformats.org/officeDocument/2006/relationships/hyperlink" Target="https://www.mercadolibre.com.ar/reporting/activity/detail?id=55516946284" TargetMode="External"/><Relationship Id="rId1109" Type="http://schemas.openxmlformats.org/officeDocument/2006/relationships/hyperlink" Target="https://www.mercadolibre.com.ar/reporting/activity/detail?id=55658906424" TargetMode="External"/><Relationship Id="rId258" Type="http://schemas.openxmlformats.org/officeDocument/2006/relationships/hyperlink" Target="https://www.mercadolibre.com.ar/reporting/activity/detail?id=54668528573" TargetMode="External"/><Relationship Id="rId465" Type="http://schemas.openxmlformats.org/officeDocument/2006/relationships/hyperlink" Target="https://www.mercadolibre.com.ar/reporting/activity/detail?id=55071192193" TargetMode="External"/><Relationship Id="rId672" Type="http://schemas.openxmlformats.org/officeDocument/2006/relationships/hyperlink" Target="https://www.mercadolibre.com.ar/reporting/activity/detail?id=55136342028" TargetMode="External"/><Relationship Id="rId1095" Type="http://schemas.openxmlformats.org/officeDocument/2006/relationships/hyperlink" Target="https://www.mercadolibre.com.ar/reporting/activity/detail?id=55657658096" TargetMode="External"/><Relationship Id="rId1316" Type="http://schemas.openxmlformats.org/officeDocument/2006/relationships/hyperlink" Target="https://www.mercadolibre.com.ar/reporting/activity/detail?id=54262393350" TargetMode="External"/><Relationship Id="rId22" Type="http://schemas.openxmlformats.org/officeDocument/2006/relationships/hyperlink" Target="https://www.mercadolibre.com.ar/reporting/activity/detail?id=54316557097" TargetMode="External"/><Relationship Id="rId118" Type="http://schemas.openxmlformats.org/officeDocument/2006/relationships/hyperlink" Target="https://www.mercadolibre.com.ar/reporting/activity/detail?id=54423642843" TargetMode="External"/><Relationship Id="rId325" Type="http://schemas.openxmlformats.org/officeDocument/2006/relationships/hyperlink" Target="https://www.mercadolibre.com.ar/reporting/activity/detail?id=54727694250" TargetMode="External"/><Relationship Id="rId532" Type="http://schemas.openxmlformats.org/officeDocument/2006/relationships/hyperlink" Target="https://www.mercadolibre.com.ar/reporting/activity/detail?id=55076947391" TargetMode="External"/><Relationship Id="rId977" Type="http://schemas.openxmlformats.org/officeDocument/2006/relationships/hyperlink" Target="https://www.mercadolibre.com.ar/reporting/activity/detail?id=55512219798" TargetMode="External"/><Relationship Id="rId1162" Type="http://schemas.openxmlformats.org/officeDocument/2006/relationships/hyperlink" Target="https://www.mercadolibre.com.ar/reporting/activity/detail?id=55783620752" TargetMode="External"/><Relationship Id="rId171" Type="http://schemas.openxmlformats.org/officeDocument/2006/relationships/hyperlink" Target="https://www.mercadolibre.com.ar/reporting/activity/detail?id=54433410070" TargetMode="External"/><Relationship Id="rId837" Type="http://schemas.openxmlformats.org/officeDocument/2006/relationships/hyperlink" Target="https://www.mercadolibre.com.ar/reporting/activity/detail?id=55346451543" TargetMode="External"/><Relationship Id="rId1022" Type="http://schemas.openxmlformats.org/officeDocument/2006/relationships/hyperlink" Target="https://www.mercadolibre.com.ar/reporting/activity/detail?id=55549183830" TargetMode="External"/><Relationship Id="rId269" Type="http://schemas.openxmlformats.org/officeDocument/2006/relationships/hyperlink" Target="https://www.mercadolibre.com.ar/reporting/activity/detail?id=54669720327" TargetMode="External"/><Relationship Id="rId476" Type="http://schemas.openxmlformats.org/officeDocument/2006/relationships/hyperlink" Target="https://www.mercadolibre.com.ar/reporting/activity/detail?id=55072935047" TargetMode="External"/><Relationship Id="rId683" Type="http://schemas.openxmlformats.org/officeDocument/2006/relationships/hyperlink" Target="https://www.mercadolibre.com.ar/reporting/activity/detail?id=55138191298" TargetMode="External"/><Relationship Id="rId890" Type="http://schemas.openxmlformats.org/officeDocument/2006/relationships/hyperlink" Target="https://www.mercadolibre.com.ar/reporting/activity/detail?id=55419348137" TargetMode="External"/><Relationship Id="rId904" Type="http://schemas.openxmlformats.org/officeDocument/2006/relationships/hyperlink" Target="https://www.mercadolibre.com.ar/reporting/activity/detail?id=55423194525" TargetMode="External"/><Relationship Id="rId1327" Type="http://schemas.openxmlformats.org/officeDocument/2006/relationships/hyperlink" Target="https://www.mercadolibre.com.ar/reporting/activity/detail?id=54203679974" TargetMode="External"/><Relationship Id="rId33" Type="http://schemas.openxmlformats.org/officeDocument/2006/relationships/hyperlink" Target="https://www.mercadolibre.com.ar/reporting/activity/detail?id=54322589196" TargetMode="External"/><Relationship Id="rId129" Type="http://schemas.openxmlformats.org/officeDocument/2006/relationships/hyperlink" Target="https://www.mercadolibre.com.ar/reporting/activity/detail?id=54427914563" TargetMode="External"/><Relationship Id="rId336" Type="http://schemas.openxmlformats.org/officeDocument/2006/relationships/hyperlink" Target="https://www.mercadolibre.com.ar/reporting/activity/detail?id=54729073129" TargetMode="External"/><Relationship Id="rId543" Type="http://schemas.openxmlformats.org/officeDocument/2006/relationships/hyperlink" Target="https://www.mercadolibre.com.ar/reporting/activity/detail?id=55077403415" TargetMode="External"/><Relationship Id="rId988" Type="http://schemas.openxmlformats.org/officeDocument/2006/relationships/hyperlink" Target="https://www.mercadolibre.com.ar/reporting/activity/detail?id=55514758303" TargetMode="External"/><Relationship Id="rId1173" Type="http://schemas.openxmlformats.org/officeDocument/2006/relationships/hyperlink" Target="https://www.mercadolibre.com.ar/reporting/activity/detail?id=55784790631" TargetMode="External"/><Relationship Id="rId1380" Type="http://schemas.openxmlformats.org/officeDocument/2006/relationships/hyperlink" Target="https://www.mercadolibre.com.ar/reporting/activity/detail?id=54261896606" TargetMode="External"/><Relationship Id="rId182" Type="http://schemas.openxmlformats.org/officeDocument/2006/relationships/hyperlink" Target="https://www.mercadolibre.com.ar/reporting/activity/detail?id=54433827035" TargetMode="External"/><Relationship Id="rId403" Type="http://schemas.openxmlformats.org/officeDocument/2006/relationships/hyperlink" Target="https://www.mercadolibre.com.ar/reporting/activity/detail?id=54786398894" TargetMode="External"/><Relationship Id="rId750" Type="http://schemas.openxmlformats.org/officeDocument/2006/relationships/hyperlink" Target="https://www.mercadolibre.com.ar/reporting/activity/detail?id=55196404315" TargetMode="External"/><Relationship Id="rId848" Type="http://schemas.openxmlformats.org/officeDocument/2006/relationships/hyperlink" Target="https://www.mercadolibre.com.ar/reporting/activity/detail?id=55348535119" TargetMode="External"/><Relationship Id="rId1033" Type="http://schemas.openxmlformats.org/officeDocument/2006/relationships/hyperlink" Target="https://www.mercadolibre.com.ar/reporting/activity/detail?id=55552874502" TargetMode="External"/><Relationship Id="rId487" Type="http://schemas.openxmlformats.org/officeDocument/2006/relationships/hyperlink" Target="https://www.mercadolibre.com.ar/reporting/activity/detail?id=55074232828" TargetMode="External"/><Relationship Id="rId610" Type="http://schemas.openxmlformats.org/officeDocument/2006/relationships/hyperlink" Target="https://www.mercadolibre.com.ar/reporting/activity/detail?id=55079696178" TargetMode="External"/><Relationship Id="rId694" Type="http://schemas.openxmlformats.org/officeDocument/2006/relationships/hyperlink" Target="https://www.mercadolibre.com.ar/reporting/activity/detail?id=55140158179" TargetMode="External"/><Relationship Id="rId708" Type="http://schemas.openxmlformats.org/officeDocument/2006/relationships/hyperlink" Target="https://www.mercadolibre.com.ar/reporting/activity/detail?id=55187417800" TargetMode="External"/><Relationship Id="rId915" Type="http://schemas.openxmlformats.org/officeDocument/2006/relationships/hyperlink" Target="https://www.mercadolibre.com.ar/reporting/activity/detail?id=55464137529" TargetMode="External"/><Relationship Id="rId1240" Type="http://schemas.openxmlformats.org/officeDocument/2006/relationships/hyperlink" Target="https://www.mercadolibre.com.ar/reporting/activity/detail?id=55831286521" TargetMode="External"/><Relationship Id="rId1338" Type="http://schemas.openxmlformats.org/officeDocument/2006/relationships/hyperlink" Target="https://www.mercadolibre.com.ar/reporting/activity/detail?id=54206008055" TargetMode="External"/><Relationship Id="rId347" Type="http://schemas.openxmlformats.org/officeDocument/2006/relationships/hyperlink" Target="https://www.mercadolibre.com.ar/reporting/activity/detail?id=54730447648" TargetMode="External"/><Relationship Id="rId999" Type="http://schemas.openxmlformats.org/officeDocument/2006/relationships/hyperlink" Target="https://www.mercadolibre.com.ar/reporting/activity/detail?id=55515876799" TargetMode="External"/><Relationship Id="rId1100" Type="http://schemas.openxmlformats.org/officeDocument/2006/relationships/hyperlink" Target="https://www.mercadolibre.com.ar/reporting/activity/detail?id=55657993923" TargetMode="External"/><Relationship Id="rId1184" Type="http://schemas.openxmlformats.org/officeDocument/2006/relationships/hyperlink" Target="https://www.mercadolibre.com.ar/reporting/activity/detail?id=55786193202" TargetMode="External"/><Relationship Id="rId44" Type="http://schemas.openxmlformats.org/officeDocument/2006/relationships/hyperlink" Target="https://www.mercadolibre.com.ar/reporting/activity/detail?id=54328435920" TargetMode="External"/><Relationship Id="rId554" Type="http://schemas.openxmlformats.org/officeDocument/2006/relationships/hyperlink" Target="https://www.mercadolibre.com.ar/reporting/activity/detail?id=55077737653" TargetMode="External"/><Relationship Id="rId761" Type="http://schemas.openxmlformats.org/officeDocument/2006/relationships/hyperlink" Target="https://www.mercadolibre.com.ar/reporting/activity/detail?id=55196843817" TargetMode="External"/><Relationship Id="rId859" Type="http://schemas.openxmlformats.org/officeDocument/2006/relationships/hyperlink" Target="https://www.mercadolibre.com.ar/reporting/activity/detail?id=55349552885" TargetMode="External"/><Relationship Id="rId193" Type="http://schemas.openxmlformats.org/officeDocument/2006/relationships/hyperlink" Target="https://www.mercadolibre.com.ar/reporting/activity/detail?id=54603714501" TargetMode="External"/><Relationship Id="rId207" Type="http://schemas.openxmlformats.org/officeDocument/2006/relationships/hyperlink" Target="https://www.mercadolibre.com.ar/reporting/activity/detail?id=54653103834" TargetMode="External"/><Relationship Id="rId414" Type="http://schemas.openxmlformats.org/officeDocument/2006/relationships/hyperlink" Target="https://www.mercadolibre.com.ar/reporting/activity/detail?id=54827391323" TargetMode="External"/><Relationship Id="rId498" Type="http://schemas.openxmlformats.org/officeDocument/2006/relationships/hyperlink" Target="https://www.mercadolibre.com.ar/reporting/activity/detail?id=55075033936" TargetMode="External"/><Relationship Id="rId621" Type="http://schemas.openxmlformats.org/officeDocument/2006/relationships/hyperlink" Target="https://www.mercadolibre.com.ar/reporting/activity/detail?id=55080068075" TargetMode="External"/><Relationship Id="rId1044" Type="http://schemas.openxmlformats.org/officeDocument/2006/relationships/hyperlink" Target="https://www.mercadolibre.com.ar/reporting/activity/detail?id=55555149122" TargetMode="External"/><Relationship Id="rId1251" Type="http://schemas.openxmlformats.org/officeDocument/2006/relationships/hyperlink" Target="https://www.mercadolibre.com.ar/reporting/activity/detail?id=55832444013" TargetMode="External"/><Relationship Id="rId1349" Type="http://schemas.openxmlformats.org/officeDocument/2006/relationships/hyperlink" Target="https://www.mercadolibre.com.ar/reporting/activity/detail?id=54207573633" TargetMode="External"/><Relationship Id="rId260" Type="http://schemas.openxmlformats.org/officeDocument/2006/relationships/hyperlink" Target="https://www.mercadolibre.com.ar/reporting/activity/detail?id=54668634960" TargetMode="External"/><Relationship Id="rId719" Type="http://schemas.openxmlformats.org/officeDocument/2006/relationships/hyperlink" Target="https://www.mercadolibre.com.ar/reporting/activity/detail?id=55192027499" TargetMode="External"/><Relationship Id="rId926" Type="http://schemas.openxmlformats.org/officeDocument/2006/relationships/hyperlink" Target="https://www.mercadolibre.com.ar/reporting/activity/detail?id=55467547473" TargetMode="External"/><Relationship Id="rId1111" Type="http://schemas.openxmlformats.org/officeDocument/2006/relationships/hyperlink" Target="https://www.mercadolibre.com.ar/reporting/activity/detail?id=55658936347" TargetMode="External"/><Relationship Id="rId55" Type="http://schemas.openxmlformats.org/officeDocument/2006/relationships/hyperlink" Target="https://www.mercadolibre.com.ar/reporting/activity/detail?id=54329839515" TargetMode="External"/><Relationship Id="rId120" Type="http://schemas.openxmlformats.org/officeDocument/2006/relationships/hyperlink" Target="https://www.mercadolibre.com.ar/reporting/activity/detail?id=54424237030" TargetMode="External"/><Relationship Id="rId358" Type="http://schemas.openxmlformats.org/officeDocument/2006/relationships/hyperlink" Target="https://www.mercadolibre.com.ar/reporting/activity/detail?id=54732248976" TargetMode="External"/><Relationship Id="rId565" Type="http://schemas.openxmlformats.org/officeDocument/2006/relationships/hyperlink" Target="https://www.mercadolibre.com.ar/reporting/activity/detail?id=55077986321" TargetMode="External"/><Relationship Id="rId772" Type="http://schemas.openxmlformats.org/officeDocument/2006/relationships/hyperlink" Target="https://www.mercadolibre.com.ar/reporting/activity/detail?id=55229280469" TargetMode="External"/><Relationship Id="rId1195" Type="http://schemas.openxmlformats.org/officeDocument/2006/relationships/hyperlink" Target="https://www.mercadolibre.com.ar/reporting/activity/detail?id=55787600131" TargetMode="External"/><Relationship Id="rId1209" Type="http://schemas.openxmlformats.org/officeDocument/2006/relationships/hyperlink" Target="https://www.mercadolibre.com.ar/reporting/activity/detail?id=55822830962" TargetMode="External"/><Relationship Id="rId218" Type="http://schemas.openxmlformats.org/officeDocument/2006/relationships/hyperlink" Target="https://www.mercadolibre.com.ar/reporting/activity/detail?id=54662016571" TargetMode="External"/><Relationship Id="rId425" Type="http://schemas.openxmlformats.org/officeDocument/2006/relationships/hyperlink" Target="https://www.mercadolibre.com.ar/reporting/activity/detail?id=54830393059" TargetMode="External"/><Relationship Id="rId632" Type="http://schemas.openxmlformats.org/officeDocument/2006/relationships/hyperlink" Target="https://www.mercadolibre.com.ar/reporting/activity/detail?id=55080506161" TargetMode="External"/><Relationship Id="rId1055" Type="http://schemas.openxmlformats.org/officeDocument/2006/relationships/hyperlink" Target="https://www.mercadolibre.com.ar/reporting/activity/detail?id=55645534229" TargetMode="External"/><Relationship Id="rId1262" Type="http://schemas.openxmlformats.org/officeDocument/2006/relationships/hyperlink" Target="https://www.mercadolibre.com.ar/reporting/activity/detail?id=55833490587" TargetMode="External"/><Relationship Id="rId271" Type="http://schemas.openxmlformats.org/officeDocument/2006/relationships/hyperlink" Target="https://www.mercadolibre.com.ar/reporting/activity/detail?id=54669750604" TargetMode="External"/><Relationship Id="rId937" Type="http://schemas.openxmlformats.org/officeDocument/2006/relationships/hyperlink" Target="https://www.mercadolibre.com.ar/reporting/activity/detail?id=55469456156" TargetMode="External"/><Relationship Id="rId1122" Type="http://schemas.openxmlformats.org/officeDocument/2006/relationships/hyperlink" Target="https://www.mercadolibre.com.ar/reporting/activity/detail?id=55659155796" TargetMode="External"/><Relationship Id="rId66" Type="http://schemas.openxmlformats.org/officeDocument/2006/relationships/hyperlink" Target="https://www.mercadolibre.com.ar/reporting/activity/detail?id=54378450255" TargetMode="External"/><Relationship Id="rId131" Type="http://schemas.openxmlformats.org/officeDocument/2006/relationships/hyperlink" Target="https://www.mercadolibre.com.ar/reporting/activity/detail?id=54427997912" TargetMode="External"/><Relationship Id="rId369" Type="http://schemas.openxmlformats.org/officeDocument/2006/relationships/hyperlink" Target="https://www.mercadolibre.com.ar/reporting/activity/detail?id=54780337359" TargetMode="External"/><Relationship Id="rId576" Type="http://schemas.openxmlformats.org/officeDocument/2006/relationships/hyperlink" Target="https://www.mercadolibre.com.ar/reporting/activity/detail?id=55078398506" TargetMode="External"/><Relationship Id="rId783" Type="http://schemas.openxmlformats.org/officeDocument/2006/relationships/hyperlink" Target="https://www.mercadolibre.com.ar/reporting/activity/detail?id=55237400403" TargetMode="External"/><Relationship Id="rId990" Type="http://schemas.openxmlformats.org/officeDocument/2006/relationships/hyperlink" Target="https://www.mercadolibre.com.ar/reporting/activity/detail?id=55514974016" TargetMode="External"/><Relationship Id="rId229" Type="http://schemas.openxmlformats.org/officeDocument/2006/relationships/hyperlink" Target="https://www.mercadolibre.com.ar/reporting/activity/detail?id=54664845652" TargetMode="External"/><Relationship Id="rId436" Type="http://schemas.openxmlformats.org/officeDocument/2006/relationships/hyperlink" Target="https://www.mercadolibre.com.ar/reporting/activity/detail?id=55013710668" TargetMode="External"/><Relationship Id="rId643" Type="http://schemas.openxmlformats.org/officeDocument/2006/relationships/hyperlink" Target="https://www.mercadolibre.com.ar/reporting/activity/detail?id=55081034491" TargetMode="External"/><Relationship Id="rId1066" Type="http://schemas.openxmlformats.org/officeDocument/2006/relationships/hyperlink" Target="https://www.mercadolibre.com.ar/reporting/activity/detail?id=55652335660" TargetMode="External"/><Relationship Id="rId1273" Type="http://schemas.openxmlformats.org/officeDocument/2006/relationships/hyperlink" Target="https://www.mercadolibre.com.ar/reporting/activity/detail?id=55834380563" TargetMode="External"/><Relationship Id="rId850" Type="http://schemas.openxmlformats.org/officeDocument/2006/relationships/hyperlink" Target="https://www.mercadolibre.com.ar/reporting/activity/detail?id=55348886995" TargetMode="External"/><Relationship Id="rId948" Type="http://schemas.openxmlformats.org/officeDocument/2006/relationships/hyperlink" Target="https://www.mercadolibre.com.ar/reporting/activity/detail?id=55471142090" TargetMode="External"/><Relationship Id="rId1133" Type="http://schemas.openxmlformats.org/officeDocument/2006/relationships/hyperlink" Target="https://www.mercadolibre.com.ar/reporting/activity/detail?id=55729101518" TargetMode="External"/><Relationship Id="rId77" Type="http://schemas.openxmlformats.org/officeDocument/2006/relationships/hyperlink" Target="https://www.mercadolibre.com.ar/reporting/activity/detail?id=54381822360" TargetMode="External"/><Relationship Id="rId282" Type="http://schemas.openxmlformats.org/officeDocument/2006/relationships/hyperlink" Target="https://www.mercadolibre.com.ar/reporting/activity/detail?id=54670406050" TargetMode="External"/><Relationship Id="rId503" Type="http://schemas.openxmlformats.org/officeDocument/2006/relationships/hyperlink" Target="https://www.mercadolibre.com.ar/reporting/activity/detail?id=55075384858" TargetMode="External"/><Relationship Id="rId587" Type="http://schemas.openxmlformats.org/officeDocument/2006/relationships/hyperlink" Target="https://www.mercadolibre.com.ar/reporting/activity/detail?id=55078840021" TargetMode="External"/><Relationship Id="rId710" Type="http://schemas.openxmlformats.org/officeDocument/2006/relationships/hyperlink" Target="https://www.mercadolibre.com.ar/reporting/activity/detail?id=55188911452" TargetMode="External"/><Relationship Id="rId808" Type="http://schemas.openxmlformats.org/officeDocument/2006/relationships/hyperlink" Target="https://www.mercadolibre.com.ar/reporting/activity/detail?id=55241676901" TargetMode="External"/><Relationship Id="rId1340" Type="http://schemas.openxmlformats.org/officeDocument/2006/relationships/hyperlink" Target="https://www.mercadolibre.com.ar/reporting/activity/detail?id=54206160206" TargetMode="External"/><Relationship Id="rId8" Type="http://schemas.openxmlformats.org/officeDocument/2006/relationships/hyperlink" Target="https://www.mercadolibre.com.ar/reporting/activity/detail?id=54264204849" TargetMode="External"/><Relationship Id="rId142" Type="http://schemas.openxmlformats.org/officeDocument/2006/relationships/hyperlink" Target="https://www.mercadolibre.com.ar/reporting/activity/detail?id=54429961663" TargetMode="External"/><Relationship Id="rId447" Type="http://schemas.openxmlformats.org/officeDocument/2006/relationships/hyperlink" Target="https://www.mercadolibre.com.ar/reporting/activity/detail?id=55016856604" TargetMode="External"/><Relationship Id="rId794" Type="http://schemas.openxmlformats.org/officeDocument/2006/relationships/hyperlink" Target="https://www.mercadolibre.com.ar/reporting/activity/detail?id=55239792115" TargetMode="External"/><Relationship Id="rId1077" Type="http://schemas.openxmlformats.org/officeDocument/2006/relationships/hyperlink" Target="https://www.mercadolibre.com.ar/reporting/activity/detail?id=55655224075" TargetMode="External"/><Relationship Id="rId1200" Type="http://schemas.openxmlformats.org/officeDocument/2006/relationships/hyperlink" Target="https://www.mercadolibre.com.ar/reporting/activity/detail?id=55787873728" TargetMode="External"/><Relationship Id="rId654" Type="http://schemas.openxmlformats.org/officeDocument/2006/relationships/hyperlink" Target="https://www.mercadolibre.com.ar/reporting/activity/detail?id=55131261341" TargetMode="External"/><Relationship Id="rId861" Type="http://schemas.openxmlformats.org/officeDocument/2006/relationships/hyperlink" Target="https://www.mercadolibre.com.ar/reporting/activity/detail?id=55349627260" TargetMode="External"/><Relationship Id="rId959" Type="http://schemas.openxmlformats.org/officeDocument/2006/relationships/hyperlink" Target="https://www.mercadolibre.com.ar/reporting/activity/detail?id=55503755384" TargetMode="External"/><Relationship Id="rId1284" Type="http://schemas.openxmlformats.org/officeDocument/2006/relationships/hyperlink" Target="https://www.mercadolibre.com.ar/reporting/activity/detail?id=55835025684" TargetMode="External"/><Relationship Id="rId293" Type="http://schemas.openxmlformats.org/officeDocument/2006/relationships/hyperlink" Target="https://www.mercadolibre.com.ar/reporting/activity/detail?id=54671188303" TargetMode="External"/><Relationship Id="rId307" Type="http://schemas.openxmlformats.org/officeDocument/2006/relationships/hyperlink" Target="https://www.mercadolibre.com.ar/reporting/activity/detail?id=54723253322" TargetMode="External"/><Relationship Id="rId514" Type="http://schemas.openxmlformats.org/officeDocument/2006/relationships/hyperlink" Target="https://www.mercadolibre.com.ar/reporting/activity/detail?id=55076139831" TargetMode="External"/><Relationship Id="rId721" Type="http://schemas.openxmlformats.org/officeDocument/2006/relationships/hyperlink" Target="https://www.mercadolibre.com.ar/reporting/activity/detail?id=55192922889" TargetMode="External"/><Relationship Id="rId1144" Type="http://schemas.openxmlformats.org/officeDocument/2006/relationships/hyperlink" Target="https://www.mercadolibre.com.ar/reporting/activity/detail?id=55732604464" TargetMode="External"/><Relationship Id="rId1351" Type="http://schemas.openxmlformats.org/officeDocument/2006/relationships/hyperlink" Target="https://www.mercadolibre.com.ar/reporting/activity/detail?id=54253200155" TargetMode="External"/><Relationship Id="rId88" Type="http://schemas.openxmlformats.org/officeDocument/2006/relationships/hyperlink" Target="https://www.mercadolibre.com.ar/reporting/activity/detail?id=54383419542" TargetMode="External"/><Relationship Id="rId153" Type="http://schemas.openxmlformats.org/officeDocument/2006/relationships/hyperlink" Target="https://www.mercadolibre.com.ar/reporting/activity/detail?id=54431546026" TargetMode="External"/><Relationship Id="rId360" Type="http://schemas.openxmlformats.org/officeDocument/2006/relationships/hyperlink" Target="https://www.mercadolibre.com.ar/reporting/activity/detail?id=54732492143" TargetMode="External"/><Relationship Id="rId598" Type="http://schemas.openxmlformats.org/officeDocument/2006/relationships/hyperlink" Target="https://www.mercadolibre.com.ar/reporting/activity/detail?id=55079173210" TargetMode="External"/><Relationship Id="rId819" Type="http://schemas.openxmlformats.org/officeDocument/2006/relationships/hyperlink" Target="https://www.mercadolibre.com.ar/reporting/activity/detail?id=55242721736" TargetMode="External"/><Relationship Id="rId1004" Type="http://schemas.openxmlformats.org/officeDocument/2006/relationships/hyperlink" Target="https://www.mercadolibre.com.ar/reporting/activity/detail?id=55516329444" TargetMode="External"/><Relationship Id="rId1211" Type="http://schemas.openxmlformats.org/officeDocument/2006/relationships/hyperlink" Target="https://www.mercadolibre.com.ar/reporting/activity/detail?id=55824059754" TargetMode="External"/><Relationship Id="rId220" Type="http://schemas.openxmlformats.org/officeDocument/2006/relationships/hyperlink" Target="https://www.mercadolibre.com.ar/reporting/activity/detail?id=54663232418" TargetMode="External"/><Relationship Id="rId458" Type="http://schemas.openxmlformats.org/officeDocument/2006/relationships/hyperlink" Target="https://www.mercadolibre.com.ar/reporting/activity/detail?id=55064294966" TargetMode="External"/><Relationship Id="rId665" Type="http://schemas.openxmlformats.org/officeDocument/2006/relationships/hyperlink" Target="https://www.mercadolibre.com.ar/reporting/activity/detail?id=55134391518" TargetMode="External"/><Relationship Id="rId872" Type="http://schemas.openxmlformats.org/officeDocument/2006/relationships/hyperlink" Target="https://www.mercadolibre.com.ar/reporting/activity/detail?id=55350612002" TargetMode="External"/><Relationship Id="rId1088" Type="http://schemas.openxmlformats.org/officeDocument/2006/relationships/hyperlink" Target="https://www.mercadolibre.com.ar/reporting/activity/detail?id=55656827349" TargetMode="External"/><Relationship Id="rId1295" Type="http://schemas.openxmlformats.org/officeDocument/2006/relationships/hyperlink" Target="https://www.mercadolibre.com.ar/reporting/activity/detail?id=55869123078" TargetMode="External"/><Relationship Id="rId1309" Type="http://schemas.openxmlformats.org/officeDocument/2006/relationships/hyperlink" Target="https://www.mercadolibre.com.ar/reporting/activity/detail?id=55872362678" TargetMode="External"/><Relationship Id="rId15" Type="http://schemas.openxmlformats.org/officeDocument/2006/relationships/hyperlink" Target="https://www.mercadolibre.com.ar/reporting/activity/detail?id=54265506315" TargetMode="External"/><Relationship Id="rId318" Type="http://schemas.openxmlformats.org/officeDocument/2006/relationships/hyperlink" Target="https://www.mercadolibre.com.ar/reporting/activity/detail?id=54726173721" TargetMode="External"/><Relationship Id="rId525" Type="http://schemas.openxmlformats.org/officeDocument/2006/relationships/hyperlink" Target="https://www.mercadolibre.com.ar/reporting/activity/detail?id=55076584620" TargetMode="External"/><Relationship Id="rId732" Type="http://schemas.openxmlformats.org/officeDocument/2006/relationships/hyperlink" Target="https://www.mercadolibre.com.ar/reporting/activity/detail?id=55194890247" TargetMode="External"/><Relationship Id="rId1155" Type="http://schemas.openxmlformats.org/officeDocument/2006/relationships/hyperlink" Target="https://www.mercadolibre.com.ar/reporting/activity/detail?id=55781351416" TargetMode="External"/><Relationship Id="rId1362" Type="http://schemas.openxmlformats.org/officeDocument/2006/relationships/hyperlink" Target="https://www.mercadolibre.com.ar/reporting/activity/detail?id=54260005469" TargetMode="External"/><Relationship Id="rId99" Type="http://schemas.openxmlformats.org/officeDocument/2006/relationships/hyperlink" Target="https://www.mercadolibre.com.ar/reporting/activity/detail?id=54385029017" TargetMode="External"/><Relationship Id="rId164" Type="http://schemas.openxmlformats.org/officeDocument/2006/relationships/hyperlink" Target="https://www.mercadolibre.com.ar/reporting/activity/detail?id=54433114141" TargetMode="External"/><Relationship Id="rId371" Type="http://schemas.openxmlformats.org/officeDocument/2006/relationships/hyperlink" Target="https://www.mercadolibre.com.ar/reporting/activity/detail?id=54780569897" TargetMode="External"/><Relationship Id="rId1015" Type="http://schemas.openxmlformats.org/officeDocument/2006/relationships/hyperlink" Target="https://www.mercadolibre.com.ar/reporting/activity/detail?id=55517288977" TargetMode="External"/><Relationship Id="rId1222" Type="http://schemas.openxmlformats.org/officeDocument/2006/relationships/hyperlink" Target="https://www.mercadolibre.com.ar/reporting/activity/detail?id=55827961349" TargetMode="External"/><Relationship Id="rId469" Type="http://schemas.openxmlformats.org/officeDocument/2006/relationships/hyperlink" Target="https://www.mercadolibre.com.ar/reporting/activity/detail?id=55071696046" TargetMode="External"/><Relationship Id="rId676" Type="http://schemas.openxmlformats.org/officeDocument/2006/relationships/hyperlink" Target="https://www.mercadolibre.com.ar/reporting/activity/detail?id=55136795765" TargetMode="External"/><Relationship Id="rId883" Type="http://schemas.openxmlformats.org/officeDocument/2006/relationships/hyperlink" Target="https://www.mercadolibre.com.ar/reporting/activity/detail?id=55351644847" TargetMode="External"/><Relationship Id="rId1099" Type="http://schemas.openxmlformats.org/officeDocument/2006/relationships/hyperlink" Target="https://www.mercadolibre.com.ar/reporting/activity/detail?id=55657989812" TargetMode="External"/><Relationship Id="rId26" Type="http://schemas.openxmlformats.org/officeDocument/2006/relationships/hyperlink" Target="https://www.mercadolibre.com.ar/reporting/activity/detail?id=54319289098" TargetMode="External"/><Relationship Id="rId231" Type="http://schemas.openxmlformats.org/officeDocument/2006/relationships/hyperlink" Target="https://www.mercadolibre.com.ar/reporting/activity/detail?id=54665070278" TargetMode="External"/><Relationship Id="rId329" Type="http://schemas.openxmlformats.org/officeDocument/2006/relationships/hyperlink" Target="https://www.mercadolibre.com.ar/reporting/activity/detail?id=54728547567" TargetMode="External"/><Relationship Id="rId536" Type="http://schemas.openxmlformats.org/officeDocument/2006/relationships/hyperlink" Target="https://www.mercadolibre.com.ar/reporting/activity/detail?id=55077023065" TargetMode="External"/><Relationship Id="rId1166" Type="http://schemas.openxmlformats.org/officeDocument/2006/relationships/hyperlink" Target="https://www.mercadolibre.com.ar/reporting/activity/detail?id=55783903871" TargetMode="External"/><Relationship Id="rId1373" Type="http://schemas.openxmlformats.org/officeDocument/2006/relationships/hyperlink" Target="https://www.mercadolibre.com.ar/reporting/activity/detail?id=54261317198" TargetMode="External"/><Relationship Id="rId175" Type="http://schemas.openxmlformats.org/officeDocument/2006/relationships/hyperlink" Target="https://www.mercadolibre.com.ar/reporting/activity/detail?id=54433646458" TargetMode="External"/><Relationship Id="rId743" Type="http://schemas.openxmlformats.org/officeDocument/2006/relationships/hyperlink" Target="https://www.mercadolibre.com.ar/reporting/activity/detail?id=55195787708" TargetMode="External"/><Relationship Id="rId950" Type="http://schemas.openxmlformats.org/officeDocument/2006/relationships/hyperlink" Target="https://www.mercadolibre.com.ar/reporting/activity/detail?id=55471295520" TargetMode="External"/><Relationship Id="rId1026" Type="http://schemas.openxmlformats.org/officeDocument/2006/relationships/hyperlink" Target="https://www.mercadolibre.com.ar/reporting/activity/detail?id=55551177813" TargetMode="External"/><Relationship Id="rId382" Type="http://schemas.openxmlformats.org/officeDocument/2006/relationships/hyperlink" Target="https://www.mercadolibre.com.ar/reporting/activity/detail?id=54783165125" TargetMode="External"/><Relationship Id="rId603" Type="http://schemas.openxmlformats.org/officeDocument/2006/relationships/hyperlink" Target="https://www.mercadolibre.com.ar/reporting/activity/detail?id=55079247707" TargetMode="External"/><Relationship Id="rId687" Type="http://schemas.openxmlformats.org/officeDocument/2006/relationships/hyperlink" Target="https://www.mercadolibre.com.ar/reporting/activity/detail?id=55138949168" TargetMode="External"/><Relationship Id="rId810" Type="http://schemas.openxmlformats.org/officeDocument/2006/relationships/hyperlink" Target="https://www.mercadolibre.com.ar/reporting/activity/detail?id=55241790435" TargetMode="External"/><Relationship Id="rId908" Type="http://schemas.openxmlformats.org/officeDocument/2006/relationships/hyperlink" Target="https://www.mercadolibre.com.ar/reporting/activity/detail?id=55457201720" TargetMode="External"/><Relationship Id="rId1233" Type="http://schemas.openxmlformats.org/officeDocument/2006/relationships/hyperlink" Target="https://www.mercadolibre.com.ar/reporting/activity/detail?id=55830672480" TargetMode="External"/><Relationship Id="rId242" Type="http://schemas.openxmlformats.org/officeDocument/2006/relationships/hyperlink" Target="https://www.mercadolibre.com.ar/reporting/activity/detail?id=54666703854" TargetMode="External"/><Relationship Id="rId894" Type="http://schemas.openxmlformats.org/officeDocument/2006/relationships/hyperlink" Target="https://www.mercadolibre.com.ar/reporting/activity/detail?id=55420471452" TargetMode="External"/><Relationship Id="rId1177" Type="http://schemas.openxmlformats.org/officeDocument/2006/relationships/hyperlink" Target="https://www.mercadolibre.com.ar/reporting/activity/detail?id=55785274849" TargetMode="External"/><Relationship Id="rId1300" Type="http://schemas.openxmlformats.org/officeDocument/2006/relationships/hyperlink" Target="https://www.mercadolibre.com.ar/reporting/activity/detail?id=55870967732" TargetMode="External"/><Relationship Id="rId37" Type="http://schemas.openxmlformats.org/officeDocument/2006/relationships/hyperlink" Target="https://www.mercadolibre.com.ar/reporting/activity/detail?id=54326347600" TargetMode="External"/><Relationship Id="rId102" Type="http://schemas.openxmlformats.org/officeDocument/2006/relationships/hyperlink" Target="https://www.mercadolibre.com.ar/reporting/activity/detail?id=54385183116" TargetMode="External"/><Relationship Id="rId547" Type="http://schemas.openxmlformats.org/officeDocument/2006/relationships/hyperlink" Target="https://www.mercadolibre.com.ar/reporting/activity/detail?id=55077492426" TargetMode="External"/><Relationship Id="rId754" Type="http://schemas.openxmlformats.org/officeDocument/2006/relationships/hyperlink" Target="https://www.mercadolibre.com.ar/reporting/activity/detail?id=55196577781" TargetMode="External"/><Relationship Id="rId961" Type="http://schemas.openxmlformats.org/officeDocument/2006/relationships/hyperlink" Target="https://www.mercadolibre.com.ar/reporting/activity/detail?id=55507277968" TargetMode="External"/><Relationship Id="rId90" Type="http://schemas.openxmlformats.org/officeDocument/2006/relationships/hyperlink" Target="https://www.mercadolibre.com.ar/reporting/activity/detail?id=54383663439" TargetMode="External"/><Relationship Id="rId186" Type="http://schemas.openxmlformats.org/officeDocument/2006/relationships/hyperlink" Target="https://www.mercadolibre.com.ar/reporting/activity/detail?id=54599061746" TargetMode="External"/><Relationship Id="rId393" Type="http://schemas.openxmlformats.org/officeDocument/2006/relationships/hyperlink" Target="https://www.mercadolibre.com.ar/reporting/activity/detail?id=54785405094" TargetMode="External"/><Relationship Id="rId407" Type="http://schemas.openxmlformats.org/officeDocument/2006/relationships/hyperlink" Target="https://www.mercadolibre.com.ar/reporting/activity/detail?id=54786648287" TargetMode="External"/><Relationship Id="rId614" Type="http://schemas.openxmlformats.org/officeDocument/2006/relationships/hyperlink" Target="https://www.mercadolibre.com.ar/reporting/activity/detail?id=55079864867" TargetMode="External"/><Relationship Id="rId821" Type="http://schemas.openxmlformats.org/officeDocument/2006/relationships/hyperlink" Target="https://www.mercadolibre.com.ar/reporting/activity/detail?id=55242829580" TargetMode="External"/><Relationship Id="rId1037" Type="http://schemas.openxmlformats.org/officeDocument/2006/relationships/hyperlink" Target="https://www.mercadolibre.com.ar/reporting/activity/detail?id=55553682029" TargetMode="External"/><Relationship Id="rId1244" Type="http://schemas.openxmlformats.org/officeDocument/2006/relationships/hyperlink" Target="https://www.mercadolibre.com.ar/reporting/activity/detail?id=55831686549" TargetMode="External"/><Relationship Id="rId253" Type="http://schemas.openxmlformats.org/officeDocument/2006/relationships/hyperlink" Target="https://www.mercadolibre.com.ar/reporting/activity/detail?id=54667843536" TargetMode="External"/><Relationship Id="rId460" Type="http://schemas.openxmlformats.org/officeDocument/2006/relationships/hyperlink" Target="https://www.mercadolibre.com.ar/reporting/activity/detail?id=55066422272" TargetMode="External"/><Relationship Id="rId698" Type="http://schemas.openxmlformats.org/officeDocument/2006/relationships/hyperlink" Target="https://www.mercadolibre.com.ar/reporting/activity/detail?id=55141055150" TargetMode="External"/><Relationship Id="rId919" Type="http://schemas.openxmlformats.org/officeDocument/2006/relationships/hyperlink" Target="https://www.mercadolibre.com.ar/reporting/activity/detail?id=55465596917" TargetMode="External"/><Relationship Id="rId1090" Type="http://schemas.openxmlformats.org/officeDocument/2006/relationships/hyperlink" Target="https://www.mercadolibre.com.ar/reporting/activity/detail?id=55657078729" TargetMode="External"/><Relationship Id="rId1104" Type="http://schemas.openxmlformats.org/officeDocument/2006/relationships/hyperlink" Target="https://www.mercadolibre.com.ar/reporting/activity/detail?id=55658557701" TargetMode="External"/><Relationship Id="rId1311" Type="http://schemas.openxmlformats.org/officeDocument/2006/relationships/hyperlink" Target="https://www.mercadolibre.com.ar/reporting/activity/detail?id=55872631310" TargetMode="External"/><Relationship Id="rId48" Type="http://schemas.openxmlformats.org/officeDocument/2006/relationships/hyperlink" Target="https://www.mercadolibre.com.ar/reporting/activity/detail?id=54328762939" TargetMode="External"/><Relationship Id="rId113" Type="http://schemas.openxmlformats.org/officeDocument/2006/relationships/hyperlink" Target="https://www.mercadolibre.com.ar/reporting/activity/detail?id=54386947179" TargetMode="External"/><Relationship Id="rId320" Type="http://schemas.openxmlformats.org/officeDocument/2006/relationships/hyperlink" Target="https://www.mercadolibre.com.ar/reporting/activity/detail?id=54726528148" TargetMode="External"/><Relationship Id="rId558" Type="http://schemas.openxmlformats.org/officeDocument/2006/relationships/hyperlink" Target="https://www.mercadolibre.com.ar/reporting/activity/detail?id=55077863373" TargetMode="External"/><Relationship Id="rId765" Type="http://schemas.openxmlformats.org/officeDocument/2006/relationships/hyperlink" Target="https://www.mercadolibre.com.ar/reporting/activity/detail?id=55197371515" TargetMode="External"/><Relationship Id="rId972" Type="http://schemas.openxmlformats.org/officeDocument/2006/relationships/hyperlink" Target="https://www.mercadolibre.com.ar/reporting/activity/detail?id=55510923951" TargetMode="External"/><Relationship Id="rId1188" Type="http://schemas.openxmlformats.org/officeDocument/2006/relationships/hyperlink" Target="https://www.mercadolibre.com.ar/reporting/activity/detail?id=55786559691" TargetMode="External"/><Relationship Id="rId197" Type="http://schemas.openxmlformats.org/officeDocument/2006/relationships/hyperlink" Target="https://www.mercadolibre.com.ar/reporting/activity/detail?id=54605476613" TargetMode="External"/><Relationship Id="rId418" Type="http://schemas.openxmlformats.org/officeDocument/2006/relationships/hyperlink" Target="https://www.mercadolibre.com.ar/reporting/activity/detail?id=54828153025" TargetMode="External"/><Relationship Id="rId625" Type="http://schemas.openxmlformats.org/officeDocument/2006/relationships/hyperlink" Target="https://www.mercadolibre.com.ar/reporting/activity/detail?id=55080291837" TargetMode="External"/><Relationship Id="rId832" Type="http://schemas.openxmlformats.org/officeDocument/2006/relationships/hyperlink" Target="https://www.mercadolibre.com.ar/reporting/activity/detail?id=55345132125" TargetMode="External"/><Relationship Id="rId1048" Type="http://schemas.openxmlformats.org/officeDocument/2006/relationships/hyperlink" Target="https://www.mercadolibre.com.ar/reporting/activity/detail?id=55555623267" TargetMode="External"/><Relationship Id="rId1255" Type="http://schemas.openxmlformats.org/officeDocument/2006/relationships/hyperlink" Target="https://www.mercadolibre.com.ar/reporting/activity/detail?id=55832852918" TargetMode="External"/><Relationship Id="rId264" Type="http://schemas.openxmlformats.org/officeDocument/2006/relationships/hyperlink" Target="https://www.mercadolibre.com.ar/reporting/activity/detail?id=54669027332" TargetMode="External"/><Relationship Id="rId471" Type="http://schemas.openxmlformats.org/officeDocument/2006/relationships/hyperlink" Target="https://www.mercadolibre.com.ar/reporting/activity/detail?id=55072173080" TargetMode="External"/><Relationship Id="rId1115" Type="http://schemas.openxmlformats.org/officeDocument/2006/relationships/hyperlink" Target="https://www.mercadolibre.com.ar/reporting/activity/detail?id=55659039092" TargetMode="External"/><Relationship Id="rId1322" Type="http://schemas.openxmlformats.org/officeDocument/2006/relationships/hyperlink" Target="https://www.mercadolibre.com.ar/reporting/activity/detail?id=54201766843" TargetMode="External"/><Relationship Id="rId59" Type="http://schemas.openxmlformats.org/officeDocument/2006/relationships/hyperlink" Target="https://www.mercadolibre.com.ar/reporting/activity/detail?id=54374890224" TargetMode="External"/><Relationship Id="rId124" Type="http://schemas.openxmlformats.org/officeDocument/2006/relationships/hyperlink" Target="https://www.mercadolibre.com.ar/reporting/activity/detail?id=54427141911" TargetMode="External"/><Relationship Id="rId569" Type="http://schemas.openxmlformats.org/officeDocument/2006/relationships/hyperlink" Target="https://www.mercadolibre.com.ar/reporting/activity/detail?id=55078079583" TargetMode="External"/><Relationship Id="rId776" Type="http://schemas.openxmlformats.org/officeDocument/2006/relationships/hyperlink" Target="https://www.mercadolibre.com.ar/reporting/activity/detail?id=55235713335" TargetMode="External"/><Relationship Id="rId983" Type="http://schemas.openxmlformats.org/officeDocument/2006/relationships/hyperlink" Target="https://www.mercadolibre.com.ar/reporting/activity/detail?id=55513344125" TargetMode="External"/><Relationship Id="rId1199" Type="http://schemas.openxmlformats.org/officeDocument/2006/relationships/hyperlink" Target="https://www.mercadolibre.com.ar/reporting/activity/detail?id=55787793446" TargetMode="External"/><Relationship Id="rId331" Type="http://schemas.openxmlformats.org/officeDocument/2006/relationships/hyperlink" Target="https://www.mercadolibre.com.ar/reporting/activity/detail?id=54728865724" TargetMode="External"/><Relationship Id="rId429" Type="http://schemas.openxmlformats.org/officeDocument/2006/relationships/hyperlink" Target="https://www.mercadolibre.com.ar/reporting/activity/detail?id=54833308984" TargetMode="External"/><Relationship Id="rId636" Type="http://schemas.openxmlformats.org/officeDocument/2006/relationships/hyperlink" Target="https://www.mercadolibre.com.ar/reporting/activity/detail?id=55080670309" TargetMode="External"/><Relationship Id="rId1059" Type="http://schemas.openxmlformats.org/officeDocument/2006/relationships/hyperlink" Target="https://www.mercadolibre.com.ar/reporting/activity/detail?id=55649684640" TargetMode="External"/><Relationship Id="rId1266" Type="http://schemas.openxmlformats.org/officeDocument/2006/relationships/hyperlink" Target="https://www.mercadolibre.com.ar/reporting/activity/detail?id=55834039564" TargetMode="External"/><Relationship Id="rId843" Type="http://schemas.openxmlformats.org/officeDocument/2006/relationships/hyperlink" Target="https://www.mercadolibre.com.ar/reporting/activity/detail?id=55347968071" TargetMode="External"/><Relationship Id="rId1126" Type="http://schemas.openxmlformats.org/officeDocument/2006/relationships/hyperlink" Target="https://www.mercadolibre.com.ar/reporting/activity/detail?id=55659201947" TargetMode="External"/><Relationship Id="rId275" Type="http://schemas.openxmlformats.org/officeDocument/2006/relationships/hyperlink" Target="https://www.mercadolibre.com.ar/reporting/activity/detail?id=54669972476" TargetMode="External"/><Relationship Id="rId482" Type="http://schemas.openxmlformats.org/officeDocument/2006/relationships/hyperlink" Target="https://www.mercadolibre.com.ar/reporting/activity/detail?id=55073974716" TargetMode="External"/><Relationship Id="rId703" Type="http://schemas.openxmlformats.org/officeDocument/2006/relationships/hyperlink" Target="https://www.mercadolibre.com.ar/reporting/activity/detail?id=55141415598" TargetMode="External"/><Relationship Id="rId910" Type="http://schemas.openxmlformats.org/officeDocument/2006/relationships/hyperlink" Target="https://www.mercadolibre.com.ar/reporting/activity/detail?id=55461944971" TargetMode="External"/><Relationship Id="rId1333" Type="http://schemas.openxmlformats.org/officeDocument/2006/relationships/hyperlink" Target="https://www.mercadolibre.com.ar/reporting/activity/detail?id=54205129122" TargetMode="External"/><Relationship Id="rId135" Type="http://schemas.openxmlformats.org/officeDocument/2006/relationships/hyperlink" Target="https://www.mercadolibre.com.ar/reporting/activity/detail?id=54429039704" TargetMode="External"/><Relationship Id="rId342" Type="http://schemas.openxmlformats.org/officeDocument/2006/relationships/hyperlink" Target="https://www.mercadolibre.com.ar/reporting/activity/detail?id=54729745158" TargetMode="External"/><Relationship Id="rId787" Type="http://schemas.openxmlformats.org/officeDocument/2006/relationships/hyperlink" Target="https://www.mercadolibre.com.ar/reporting/activity/detail?id=55238492483" TargetMode="External"/><Relationship Id="rId994" Type="http://schemas.openxmlformats.org/officeDocument/2006/relationships/hyperlink" Target="https://www.mercadolibre.com.ar/reporting/activity/detail?id=55515391162" TargetMode="External"/><Relationship Id="rId202" Type="http://schemas.openxmlformats.org/officeDocument/2006/relationships/hyperlink" Target="https://www.mercadolibre.com.ar/reporting/activity/detail?id=54607915551" TargetMode="External"/><Relationship Id="rId647" Type="http://schemas.openxmlformats.org/officeDocument/2006/relationships/hyperlink" Target="https://www.mercadolibre.com.ar/reporting/activity/detail?id=55126936323" TargetMode="External"/><Relationship Id="rId854" Type="http://schemas.openxmlformats.org/officeDocument/2006/relationships/hyperlink" Target="https://www.mercadolibre.com.ar/reporting/activity/detail?id=55349314047" TargetMode="External"/><Relationship Id="rId1277" Type="http://schemas.openxmlformats.org/officeDocument/2006/relationships/hyperlink" Target="https://www.mercadolibre.com.ar/reporting/activity/detail?id=55834662072" TargetMode="External"/><Relationship Id="rId286" Type="http://schemas.openxmlformats.org/officeDocument/2006/relationships/hyperlink" Target="https://www.mercadolibre.com.ar/reporting/activity/detail?id=54670523640" TargetMode="External"/><Relationship Id="rId493" Type="http://schemas.openxmlformats.org/officeDocument/2006/relationships/hyperlink" Target="https://www.mercadolibre.com.ar/reporting/activity/detail?id=55074723908" TargetMode="External"/><Relationship Id="rId507" Type="http://schemas.openxmlformats.org/officeDocument/2006/relationships/hyperlink" Target="https://www.mercadolibre.com.ar/reporting/activity/detail?id=55075559752" TargetMode="External"/><Relationship Id="rId714" Type="http://schemas.openxmlformats.org/officeDocument/2006/relationships/hyperlink" Target="https://www.mercadolibre.com.ar/reporting/activity/detail?id=55190563971" TargetMode="External"/><Relationship Id="rId921" Type="http://schemas.openxmlformats.org/officeDocument/2006/relationships/hyperlink" Target="https://www.mercadolibre.com.ar/reporting/activity/detail?id=55465891946" TargetMode="External"/><Relationship Id="rId1137" Type="http://schemas.openxmlformats.org/officeDocument/2006/relationships/hyperlink" Target="https://www.mercadolibre.com.ar/reporting/activity/detail?id=55730171306" TargetMode="External"/><Relationship Id="rId1344" Type="http://schemas.openxmlformats.org/officeDocument/2006/relationships/hyperlink" Target="https://www.mercadolibre.com.ar/reporting/activity/detail?id=54206671476" TargetMode="External"/><Relationship Id="rId50" Type="http://schemas.openxmlformats.org/officeDocument/2006/relationships/hyperlink" Target="https://www.mercadolibre.com.ar/reporting/activity/detail?id=54329306613" TargetMode="External"/><Relationship Id="rId146" Type="http://schemas.openxmlformats.org/officeDocument/2006/relationships/hyperlink" Target="https://www.mercadolibre.com.ar/reporting/activity/detail?id=54430442912" TargetMode="External"/><Relationship Id="rId353" Type="http://schemas.openxmlformats.org/officeDocument/2006/relationships/hyperlink" Target="https://www.mercadolibre.com.ar/reporting/activity/detail?id=54731731747" TargetMode="External"/><Relationship Id="rId560" Type="http://schemas.openxmlformats.org/officeDocument/2006/relationships/hyperlink" Target="https://www.mercadolibre.com.ar/reporting/activity/detail?id=55077873577" TargetMode="External"/><Relationship Id="rId798" Type="http://schemas.openxmlformats.org/officeDocument/2006/relationships/hyperlink" Target="https://www.mercadolibre.com.ar/reporting/activity/detail?id=55240131635" TargetMode="External"/><Relationship Id="rId1190" Type="http://schemas.openxmlformats.org/officeDocument/2006/relationships/hyperlink" Target="https://www.mercadolibre.com.ar/reporting/activity/detail?id=55787159092" TargetMode="External"/><Relationship Id="rId1204" Type="http://schemas.openxmlformats.org/officeDocument/2006/relationships/hyperlink" Target="https://www.mercadolibre.com.ar/reporting/activity/detail?id=55788038956" TargetMode="External"/><Relationship Id="rId213" Type="http://schemas.openxmlformats.org/officeDocument/2006/relationships/hyperlink" Target="https://www.mercadolibre.com.ar/reporting/activity/detail?id=54659703759" TargetMode="External"/><Relationship Id="rId420" Type="http://schemas.openxmlformats.org/officeDocument/2006/relationships/hyperlink" Target="https://www.mercadolibre.com.ar/reporting/activity/detail?id=54828620607" TargetMode="External"/><Relationship Id="rId658" Type="http://schemas.openxmlformats.org/officeDocument/2006/relationships/hyperlink" Target="https://www.mercadolibre.com.ar/reporting/activity/detail?id=55132928567" TargetMode="External"/><Relationship Id="rId865" Type="http://schemas.openxmlformats.org/officeDocument/2006/relationships/hyperlink" Target="https://www.mercadolibre.com.ar/reporting/activity/detail?id=55350170032" TargetMode="External"/><Relationship Id="rId1050" Type="http://schemas.openxmlformats.org/officeDocument/2006/relationships/hyperlink" Target="https://www.mercadolibre.com.ar/reporting/activity/detail?id=55555770454" TargetMode="External"/><Relationship Id="rId1288" Type="http://schemas.openxmlformats.org/officeDocument/2006/relationships/hyperlink" Target="https://www.mercadolibre.com.ar/reporting/activity/detail?id=55835133559" TargetMode="External"/><Relationship Id="rId297" Type="http://schemas.openxmlformats.org/officeDocument/2006/relationships/hyperlink" Target="https://www.mercadolibre.com.ar/reporting/activity/detail?id=54671383021" TargetMode="External"/><Relationship Id="rId518" Type="http://schemas.openxmlformats.org/officeDocument/2006/relationships/hyperlink" Target="https://www.mercadolibre.com.ar/reporting/activity/detail?id=55076204168" TargetMode="External"/><Relationship Id="rId725" Type="http://schemas.openxmlformats.org/officeDocument/2006/relationships/hyperlink" Target="https://www.mercadolibre.com.ar/reporting/activity/detail?id=55193747833" TargetMode="External"/><Relationship Id="rId932" Type="http://schemas.openxmlformats.org/officeDocument/2006/relationships/hyperlink" Target="https://www.mercadolibre.com.ar/reporting/activity/detail?id=55468779483" TargetMode="External"/><Relationship Id="rId1148" Type="http://schemas.openxmlformats.org/officeDocument/2006/relationships/hyperlink" Target="https://www.mercadolibre.com.ar/reporting/activity/detail?id=55735304300" TargetMode="External"/><Relationship Id="rId1355" Type="http://schemas.openxmlformats.org/officeDocument/2006/relationships/hyperlink" Target="https://www.mercadolibre.com.ar/reporting/activity/detail?id=54255504773" TargetMode="External"/><Relationship Id="rId157" Type="http://schemas.openxmlformats.org/officeDocument/2006/relationships/hyperlink" Target="https://www.mercadolibre.com.ar/reporting/activity/detail?id=54431961895" TargetMode="External"/><Relationship Id="rId364" Type="http://schemas.openxmlformats.org/officeDocument/2006/relationships/hyperlink" Target="https://www.mercadolibre.com.ar/reporting/activity/detail?id=54778829454" TargetMode="External"/><Relationship Id="rId1008" Type="http://schemas.openxmlformats.org/officeDocument/2006/relationships/hyperlink" Target="https://www.mercadolibre.com.ar/reporting/activity/detail?id=55516601990" TargetMode="External"/><Relationship Id="rId1215" Type="http://schemas.openxmlformats.org/officeDocument/2006/relationships/hyperlink" Target="https://www.mercadolibre.com.ar/reporting/activity/detail?id=55826905375" TargetMode="External"/><Relationship Id="rId61" Type="http://schemas.openxmlformats.org/officeDocument/2006/relationships/hyperlink" Target="https://www.mercadolibre.com.ar/reporting/activity/detail?id=54377087389" TargetMode="External"/><Relationship Id="rId571" Type="http://schemas.openxmlformats.org/officeDocument/2006/relationships/hyperlink" Target="https://www.mercadolibre.com.ar/reporting/activity/detail?id=55078227312" TargetMode="External"/><Relationship Id="rId669" Type="http://schemas.openxmlformats.org/officeDocument/2006/relationships/hyperlink" Target="https://www.mercadolibre.com.ar/reporting/activity/detail?id=55135539697" TargetMode="External"/><Relationship Id="rId876" Type="http://schemas.openxmlformats.org/officeDocument/2006/relationships/hyperlink" Target="https://www.mercadolibre.com.ar/reporting/activity/detail?id=55351069688" TargetMode="External"/><Relationship Id="rId1299" Type="http://schemas.openxmlformats.org/officeDocument/2006/relationships/hyperlink" Target="https://www.mercadolibre.com.ar/reporting/activity/detail?id=55870906895" TargetMode="External"/><Relationship Id="rId19" Type="http://schemas.openxmlformats.org/officeDocument/2006/relationships/hyperlink" Target="https://www.mercadolibre.com.ar/reporting/activity/detail?id=54266927105" TargetMode="External"/><Relationship Id="rId224" Type="http://schemas.openxmlformats.org/officeDocument/2006/relationships/hyperlink" Target="https://www.mercadolibre.com.ar/reporting/activity/detail?id=54664399753" TargetMode="External"/><Relationship Id="rId431" Type="http://schemas.openxmlformats.org/officeDocument/2006/relationships/hyperlink" Target="https://www.mercadolibre.com.ar/reporting/activity/detail?id=55011432119" TargetMode="External"/><Relationship Id="rId529" Type="http://schemas.openxmlformats.org/officeDocument/2006/relationships/hyperlink" Target="https://www.mercadolibre.com.ar/reporting/activity/detail?id=55076751510" TargetMode="External"/><Relationship Id="rId736" Type="http://schemas.openxmlformats.org/officeDocument/2006/relationships/hyperlink" Target="https://www.mercadolibre.com.ar/reporting/activity/detail?id=55195249542" TargetMode="External"/><Relationship Id="rId1061" Type="http://schemas.openxmlformats.org/officeDocument/2006/relationships/hyperlink" Target="https://www.mercadolibre.com.ar/reporting/activity/detail?id=55650974479" TargetMode="External"/><Relationship Id="rId1159" Type="http://schemas.openxmlformats.org/officeDocument/2006/relationships/hyperlink" Target="https://www.mercadolibre.com.ar/reporting/activity/detail?id=55782191777" TargetMode="External"/><Relationship Id="rId1366" Type="http://schemas.openxmlformats.org/officeDocument/2006/relationships/hyperlink" Target="https://www.mercadolibre.com.ar/reporting/activity/detail?id=54260665463" TargetMode="External"/><Relationship Id="rId168" Type="http://schemas.openxmlformats.org/officeDocument/2006/relationships/hyperlink" Target="https://www.mercadolibre.com.ar/reporting/activity/detail?id=54433271908" TargetMode="External"/><Relationship Id="rId943" Type="http://schemas.openxmlformats.org/officeDocument/2006/relationships/hyperlink" Target="https://www.mercadolibre.com.ar/reporting/activity/detail?id=55470325915" TargetMode="External"/><Relationship Id="rId1019" Type="http://schemas.openxmlformats.org/officeDocument/2006/relationships/hyperlink" Target="https://www.mercadolibre.com.ar/reporting/activity/detail?id=55548823597" TargetMode="External"/><Relationship Id="rId72" Type="http://schemas.openxmlformats.org/officeDocument/2006/relationships/hyperlink" Target="https://www.mercadolibre.com.ar/reporting/activity/detail?id=54379662017" TargetMode="External"/><Relationship Id="rId375" Type="http://schemas.openxmlformats.org/officeDocument/2006/relationships/hyperlink" Target="https://www.mercadolibre.com.ar/reporting/activity/detail?id=54781969033" TargetMode="External"/><Relationship Id="rId582" Type="http://schemas.openxmlformats.org/officeDocument/2006/relationships/hyperlink" Target="https://www.mercadolibre.com.ar/reporting/activity/detail?id=55078597042" TargetMode="External"/><Relationship Id="rId803" Type="http://schemas.openxmlformats.org/officeDocument/2006/relationships/hyperlink" Target="https://www.mercadolibre.com.ar/reporting/activity/detail?id=55240853624" TargetMode="External"/><Relationship Id="rId1226" Type="http://schemas.openxmlformats.org/officeDocument/2006/relationships/hyperlink" Target="https://www.mercadolibre.com.ar/reporting/activity/detail?id=55829505112" TargetMode="External"/><Relationship Id="rId3" Type="http://schemas.openxmlformats.org/officeDocument/2006/relationships/hyperlink" Target="https://www.mercadolibre.com.ar/reporting/activity/detail?id=54263677011" TargetMode="External"/><Relationship Id="rId235" Type="http://schemas.openxmlformats.org/officeDocument/2006/relationships/hyperlink" Target="https://www.mercadolibre.com.ar/reporting/activity/detail?id=54665471962" TargetMode="External"/><Relationship Id="rId442" Type="http://schemas.openxmlformats.org/officeDocument/2006/relationships/hyperlink" Target="https://www.mercadolibre.com.ar/reporting/activity/detail?id=55015513930" TargetMode="External"/><Relationship Id="rId887" Type="http://schemas.openxmlformats.org/officeDocument/2006/relationships/hyperlink" Target="https://www.mercadolibre.com.ar/reporting/activity/detail?id=55351962419" TargetMode="External"/><Relationship Id="rId1072" Type="http://schemas.openxmlformats.org/officeDocument/2006/relationships/hyperlink" Target="https://www.mercadolibre.com.ar/reporting/activity/detail?id=55654271578" TargetMode="External"/><Relationship Id="rId302" Type="http://schemas.openxmlformats.org/officeDocument/2006/relationships/hyperlink" Target="https://www.mercadolibre.com.ar/reporting/activity/detail?id=54721164821" TargetMode="External"/><Relationship Id="rId747" Type="http://schemas.openxmlformats.org/officeDocument/2006/relationships/hyperlink" Target="https://www.mercadolibre.com.ar/reporting/activity/detail?id=55196079037" TargetMode="External"/><Relationship Id="rId954" Type="http://schemas.openxmlformats.org/officeDocument/2006/relationships/hyperlink" Target="https://www.mercadolibre.com.ar/reporting/activity/detail?id=55471586043" TargetMode="External"/><Relationship Id="rId1377" Type="http://schemas.openxmlformats.org/officeDocument/2006/relationships/hyperlink" Target="https://www.mercadolibre.com.ar/reporting/activity/detail?id=54261633376" TargetMode="External"/><Relationship Id="rId83" Type="http://schemas.openxmlformats.org/officeDocument/2006/relationships/hyperlink" Target="https://www.mercadolibre.com.ar/reporting/activity/detail?id=54382941041" TargetMode="External"/><Relationship Id="rId179" Type="http://schemas.openxmlformats.org/officeDocument/2006/relationships/hyperlink" Target="https://www.mercadolibre.com.ar/reporting/activity/detail?id=54433777434" TargetMode="External"/><Relationship Id="rId386" Type="http://schemas.openxmlformats.org/officeDocument/2006/relationships/hyperlink" Target="https://www.mercadolibre.com.ar/reporting/activity/detail?id=54784634424" TargetMode="External"/><Relationship Id="rId593" Type="http://schemas.openxmlformats.org/officeDocument/2006/relationships/hyperlink" Target="https://www.mercadolibre.com.ar/reporting/activity/detail?id=55078971256" TargetMode="External"/><Relationship Id="rId607" Type="http://schemas.openxmlformats.org/officeDocument/2006/relationships/hyperlink" Target="https://www.mercadolibre.com.ar/reporting/activity/detail?id=55079506499" TargetMode="External"/><Relationship Id="rId814" Type="http://schemas.openxmlformats.org/officeDocument/2006/relationships/hyperlink" Target="https://www.mercadolibre.com.ar/reporting/activity/detail?id=55241996183" TargetMode="External"/><Relationship Id="rId1237" Type="http://schemas.openxmlformats.org/officeDocument/2006/relationships/hyperlink" Target="https://www.mercadolibre.com.ar/reporting/activity/detail?id=55830989379" TargetMode="External"/><Relationship Id="rId246" Type="http://schemas.openxmlformats.org/officeDocument/2006/relationships/hyperlink" Target="https://www.mercadolibre.com.ar/reporting/activity/detail?id=54667184381" TargetMode="External"/><Relationship Id="rId453" Type="http://schemas.openxmlformats.org/officeDocument/2006/relationships/hyperlink" Target="https://www.mercadolibre.com.ar/reporting/activity/detail?id=55021130433" TargetMode="External"/><Relationship Id="rId660" Type="http://schemas.openxmlformats.org/officeDocument/2006/relationships/hyperlink" Target="https://www.mercadolibre.com.ar/reporting/activity/detail?id=55133344380" TargetMode="External"/><Relationship Id="rId898" Type="http://schemas.openxmlformats.org/officeDocument/2006/relationships/hyperlink" Target="https://www.mercadolibre.com.ar/reporting/activity/detail?id=55421975682" TargetMode="External"/><Relationship Id="rId1083" Type="http://schemas.openxmlformats.org/officeDocument/2006/relationships/hyperlink" Target="https://www.mercadolibre.com.ar/reporting/activity/detail?id=55656025189" TargetMode="External"/><Relationship Id="rId1290" Type="http://schemas.openxmlformats.org/officeDocument/2006/relationships/hyperlink" Target="https://www.mercadolibre.com.ar/reporting/activity/detail?id=55865311111" TargetMode="External"/><Relationship Id="rId1304" Type="http://schemas.openxmlformats.org/officeDocument/2006/relationships/hyperlink" Target="https://www.mercadolibre.com.ar/reporting/activity/detail?id=55871623728" TargetMode="External"/><Relationship Id="rId106" Type="http://schemas.openxmlformats.org/officeDocument/2006/relationships/hyperlink" Target="https://www.mercadolibre.com.ar/reporting/activity/detail?id=54385885627" TargetMode="External"/><Relationship Id="rId313" Type="http://schemas.openxmlformats.org/officeDocument/2006/relationships/hyperlink" Target="https://www.mercadolibre.com.ar/reporting/activity/detail?id=54724937798" TargetMode="External"/><Relationship Id="rId758" Type="http://schemas.openxmlformats.org/officeDocument/2006/relationships/hyperlink" Target="https://www.mercadolibre.com.ar/reporting/activity/detail?id=55196769203" TargetMode="External"/><Relationship Id="rId965" Type="http://schemas.openxmlformats.org/officeDocument/2006/relationships/hyperlink" Target="https://www.mercadolibre.com.ar/reporting/activity/detail?id=55508686267" TargetMode="External"/><Relationship Id="rId1150" Type="http://schemas.openxmlformats.org/officeDocument/2006/relationships/hyperlink" Target="https://www.mercadolibre.com.ar/reporting/activity/detail?id=55777563175" TargetMode="External"/><Relationship Id="rId10" Type="http://schemas.openxmlformats.org/officeDocument/2006/relationships/hyperlink" Target="https://www.mercadolibre.com.ar/reporting/activity/detail?id=54264338052" TargetMode="External"/><Relationship Id="rId94" Type="http://schemas.openxmlformats.org/officeDocument/2006/relationships/hyperlink" Target="https://www.mercadolibre.com.ar/reporting/activity/detail?id=54384302547" TargetMode="External"/><Relationship Id="rId397" Type="http://schemas.openxmlformats.org/officeDocument/2006/relationships/hyperlink" Target="https://www.mercadolibre.com.ar/reporting/activity/detail?id=54785753929" TargetMode="External"/><Relationship Id="rId520" Type="http://schemas.openxmlformats.org/officeDocument/2006/relationships/hyperlink" Target="https://www.mercadolibre.com.ar/reporting/activity/detail?id=55076325009" TargetMode="External"/><Relationship Id="rId618" Type="http://schemas.openxmlformats.org/officeDocument/2006/relationships/hyperlink" Target="https://www.mercadolibre.com.ar/reporting/activity/detail?id=55079952586" TargetMode="External"/><Relationship Id="rId825" Type="http://schemas.openxmlformats.org/officeDocument/2006/relationships/hyperlink" Target="https://www.mercadolibre.com.ar/reporting/activity/detail?id=55342018159" TargetMode="External"/><Relationship Id="rId1248" Type="http://schemas.openxmlformats.org/officeDocument/2006/relationships/hyperlink" Target="https://www.mercadolibre.com.ar/reporting/activity/detail?id=55832020528" TargetMode="External"/><Relationship Id="rId257" Type="http://schemas.openxmlformats.org/officeDocument/2006/relationships/hyperlink" Target="https://www.mercadolibre.com.ar/reporting/activity/detail?id=54668228870" TargetMode="External"/><Relationship Id="rId464" Type="http://schemas.openxmlformats.org/officeDocument/2006/relationships/hyperlink" Target="https://www.mercadolibre.com.ar/reporting/activity/detail?id=55071103468" TargetMode="External"/><Relationship Id="rId1010" Type="http://schemas.openxmlformats.org/officeDocument/2006/relationships/hyperlink" Target="https://www.mercadolibre.com.ar/reporting/activity/detail?id=55516918197" TargetMode="External"/><Relationship Id="rId1094" Type="http://schemas.openxmlformats.org/officeDocument/2006/relationships/hyperlink" Target="https://www.mercadolibre.com.ar/reporting/activity/detail?id=55657625487" TargetMode="External"/><Relationship Id="rId1108" Type="http://schemas.openxmlformats.org/officeDocument/2006/relationships/hyperlink" Target="https://www.mercadolibre.com.ar/reporting/activity/detail?id=55658798981" TargetMode="External"/><Relationship Id="rId1315" Type="http://schemas.openxmlformats.org/officeDocument/2006/relationships/hyperlink" Target="https://www.mercadolibre.com.ar/reporting/activity/detail?id=54262330931" TargetMode="External"/><Relationship Id="rId117" Type="http://schemas.openxmlformats.org/officeDocument/2006/relationships/hyperlink" Target="https://www.mercadolibre.com.ar/reporting/activity/detail?id=54422562262" TargetMode="External"/><Relationship Id="rId671" Type="http://schemas.openxmlformats.org/officeDocument/2006/relationships/hyperlink" Target="https://www.mercadolibre.com.ar/reporting/activity/detail?id=55135965058" TargetMode="External"/><Relationship Id="rId769" Type="http://schemas.openxmlformats.org/officeDocument/2006/relationships/hyperlink" Target="https://www.mercadolibre.com.ar/reporting/activity/detail?id=55197667455" TargetMode="External"/><Relationship Id="rId976" Type="http://schemas.openxmlformats.org/officeDocument/2006/relationships/hyperlink" Target="https://www.mercadolibre.com.ar/reporting/activity/detail?id=55512147979" TargetMode="External"/><Relationship Id="rId324" Type="http://schemas.openxmlformats.org/officeDocument/2006/relationships/hyperlink" Target="https://www.mercadolibre.com.ar/reporting/activity/detail?id=54727413912" TargetMode="External"/><Relationship Id="rId531" Type="http://schemas.openxmlformats.org/officeDocument/2006/relationships/hyperlink" Target="https://www.mercadolibre.com.ar/reporting/activity/detail?id=55076925554" TargetMode="External"/><Relationship Id="rId629" Type="http://schemas.openxmlformats.org/officeDocument/2006/relationships/hyperlink" Target="https://www.mercadolibre.com.ar/reporting/activity/detail?id=55080450709" TargetMode="External"/><Relationship Id="rId1161" Type="http://schemas.openxmlformats.org/officeDocument/2006/relationships/hyperlink" Target="https://www.mercadolibre.com.ar/reporting/activity/detail?id=55783246669" TargetMode="External"/><Relationship Id="rId1259" Type="http://schemas.openxmlformats.org/officeDocument/2006/relationships/hyperlink" Target="https://www.mercadolibre.com.ar/reporting/activity/detail?id=55833277098" TargetMode="External"/><Relationship Id="rId836" Type="http://schemas.openxmlformats.org/officeDocument/2006/relationships/hyperlink" Target="https://www.mercadolibre.com.ar/reporting/activity/detail?id=55346351596" TargetMode="External"/><Relationship Id="rId1021" Type="http://schemas.openxmlformats.org/officeDocument/2006/relationships/hyperlink" Target="https://www.mercadolibre.com.ar/reporting/activity/detail?id=55549176878" TargetMode="External"/><Relationship Id="rId1119" Type="http://schemas.openxmlformats.org/officeDocument/2006/relationships/hyperlink" Target="https://www.mercadolibre.com.ar/reporting/activity/detail?id=55659092739" TargetMode="External"/><Relationship Id="rId903" Type="http://schemas.openxmlformats.org/officeDocument/2006/relationships/hyperlink" Target="https://www.mercadolibre.com.ar/reporting/activity/detail?id=55423026516" TargetMode="External"/><Relationship Id="rId1326" Type="http://schemas.openxmlformats.org/officeDocument/2006/relationships/hyperlink" Target="https://www.mercadolibre.com.ar/reporting/activity/detail?id=54036750107" TargetMode="External"/><Relationship Id="rId32" Type="http://schemas.openxmlformats.org/officeDocument/2006/relationships/hyperlink" Target="https://www.mercadolibre.com.ar/reporting/activity/detail?id=54321926101" TargetMode="External"/><Relationship Id="rId181" Type="http://schemas.openxmlformats.org/officeDocument/2006/relationships/hyperlink" Target="https://www.mercadolibre.com.ar/reporting/activity/detail?id=54433814252" TargetMode="External"/><Relationship Id="rId279" Type="http://schemas.openxmlformats.org/officeDocument/2006/relationships/hyperlink" Target="https://www.mercadolibre.com.ar/reporting/activity/detail?id=54670208492" TargetMode="External"/><Relationship Id="rId486" Type="http://schemas.openxmlformats.org/officeDocument/2006/relationships/hyperlink" Target="https://www.mercadolibre.com.ar/reporting/activity/detail?id=55074195288" TargetMode="External"/><Relationship Id="rId693" Type="http://schemas.openxmlformats.org/officeDocument/2006/relationships/hyperlink" Target="https://www.mercadolibre.com.ar/reporting/activity/detail?id=55140118377" TargetMode="External"/><Relationship Id="rId139" Type="http://schemas.openxmlformats.org/officeDocument/2006/relationships/hyperlink" Target="https://www.mercadolibre.com.ar/reporting/activity/detail?id=54429586415" TargetMode="External"/><Relationship Id="rId346" Type="http://schemas.openxmlformats.org/officeDocument/2006/relationships/hyperlink" Target="https://www.mercadolibre.com.ar/reporting/activity/detail?id=54730304215" TargetMode="External"/><Relationship Id="rId553" Type="http://schemas.openxmlformats.org/officeDocument/2006/relationships/hyperlink" Target="https://www.mercadolibre.com.ar/reporting/activity/detail?id=55077735084" TargetMode="External"/><Relationship Id="rId760" Type="http://schemas.openxmlformats.org/officeDocument/2006/relationships/hyperlink" Target="https://www.mercadolibre.com.ar/reporting/activity/detail?id=55196820081" TargetMode="External"/><Relationship Id="rId998" Type="http://schemas.openxmlformats.org/officeDocument/2006/relationships/hyperlink" Target="https://www.mercadolibre.com.ar/reporting/activity/detail?id=55515731398" TargetMode="External"/><Relationship Id="rId1183" Type="http://schemas.openxmlformats.org/officeDocument/2006/relationships/hyperlink" Target="https://www.mercadolibre.com.ar/reporting/activity/detail?id=55786043247" TargetMode="External"/><Relationship Id="rId206" Type="http://schemas.openxmlformats.org/officeDocument/2006/relationships/hyperlink" Target="https://www.mercadolibre.com.ar/reporting/activity/detail?id=54608857305" TargetMode="External"/><Relationship Id="rId413" Type="http://schemas.openxmlformats.org/officeDocument/2006/relationships/hyperlink" Target="https://www.mercadolibre.com.ar/reporting/activity/detail?id=54827151419" TargetMode="External"/><Relationship Id="rId858" Type="http://schemas.openxmlformats.org/officeDocument/2006/relationships/hyperlink" Target="https://www.mercadolibre.com.ar/reporting/activity/detail?id=55349546061" TargetMode="External"/><Relationship Id="rId1043" Type="http://schemas.openxmlformats.org/officeDocument/2006/relationships/hyperlink" Target="https://www.mercadolibre.com.ar/reporting/activity/detail?id=55554935695" TargetMode="External"/><Relationship Id="rId620" Type="http://schemas.openxmlformats.org/officeDocument/2006/relationships/hyperlink" Target="https://www.mercadolibre.com.ar/reporting/activity/detail?id=55080043288" TargetMode="External"/><Relationship Id="rId718" Type="http://schemas.openxmlformats.org/officeDocument/2006/relationships/hyperlink" Target="https://www.mercadolibre.com.ar/reporting/activity/detail?id=55191569902" TargetMode="External"/><Relationship Id="rId925" Type="http://schemas.openxmlformats.org/officeDocument/2006/relationships/hyperlink" Target="https://www.mercadolibre.com.ar/reporting/activity/detail?id=55467056341" TargetMode="External"/><Relationship Id="rId1250" Type="http://schemas.openxmlformats.org/officeDocument/2006/relationships/hyperlink" Target="https://www.mercadolibre.com.ar/reporting/activity/detail?id=55832095447" TargetMode="External"/><Relationship Id="rId1348" Type="http://schemas.openxmlformats.org/officeDocument/2006/relationships/hyperlink" Target="https://www.mercadolibre.com.ar/reporting/activity/detail?id=54207431777" TargetMode="External"/><Relationship Id="rId1110" Type="http://schemas.openxmlformats.org/officeDocument/2006/relationships/hyperlink" Target="https://www.mercadolibre.com.ar/reporting/activity/detail?id=55658933171" TargetMode="External"/><Relationship Id="rId1208" Type="http://schemas.openxmlformats.org/officeDocument/2006/relationships/hyperlink" Target="https://www.mercadolibre.com.ar/reporting/activity/detail?id=55820073478" TargetMode="External"/><Relationship Id="rId54" Type="http://schemas.openxmlformats.org/officeDocument/2006/relationships/hyperlink" Target="https://www.mercadolibre.com.ar/reporting/activity/detail?id=54329835617" TargetMode="External"/><Relationship Id="rId270" Type="http://schemas.openxmlformats.org/officeDocument/2006/relationships/hyperlink" Target="https://www.mercadolibre.com.ar/reporting/activity/detail?id=54669749296" TargetMode="External"/><Relationship Id="rId130" Type="http://schemas.openxmlformats.org/officeDocument/2006/relationships/hyperlink" Target="https://www.mercadolibre.com.ar/reporting/activity/detail?id=54427920389" TargetMode="External"/><Relationship Id="rId368" Type="http://schemas.openxmlformats.org/officeDocument/2006/relationships/hyperlink" Target="https://www.mercadolibre.com.ar/reporting/activity/detail?id=54780288581" TargetMode="External"/><Relationship Id="rId575" Type="http://schemas.openxmlformats.org/officeDocument/2006/relationships/hyperlink" Target="https://www.mercadolibre.com.ar/reporting/activity/detail?id=55078383585" TargetMode="External"/><Relationship Id="rId782" Type="http://schemas.openxmlformats.org/officeDocument/2006/relationships/hyperlink" Target="https://www.mercadolibre.com.ar/reporting/activity/detail?id=55237137779" TargetMode="External"/><Relationship Id="rId228" Type="http://schemas.openxmlformats.org/officeDocument/2006/relationships/hyperlink" Target="https://www.mercadolibre.com.ar/reporting/activity/detail?id=54664790154" TargetMode="External"/><Relationship Id="rId435" Type="http://schemas.openxmlformats.org/officeDocument/2006/relationships/hyperlink" Target="https://www.mercadolibre.com.ar/reporting/activity/detail?id=55013566391" TargetMode="External"/><Relationship Id="rId642" Type="http://schemas.openxmlformats.org/officeDocument/2006/relationships/hyperlink" Target="https://www.mercadolibre.com.ar/reporting/activity/detail?id=55081000107" TargetMode="External"/><Relationship Id="rId1065" Type="http://schemas.openxmlformats.org/officeDocument/2006/relationships/hyperlink" Target="https://www.mercadolibre.com.ar/reporting/activity/detail?id=55651820476" TargetMode="External"/><Relationship Id="rId1272" Type="http://schemas.openxmlformats.org/officeDocument/2006/relationships/hyperlink" Target="https://www.mercadolibre.com.ar/reporting/activity/detail?id=55834306454" TargetMode="External"/><Relationship Id="rId502" Type="http://schemas.openxmlformats.org/officeDocument/2006/relationships/hyperlink" Target="https://www.mercadolibre.com.ar/reporting/activity/detail?id=55075358693" TargetMode="External"/><Relationship Id="rId947" Type="http://schemas.openxmlformats.org/officeDocument/2006/relationships/hyperlink" Target="https://www.mercadolibre.com.ar/reporting/activity/detail?id=55471129399" TargetMode="External"/><Relationship Id="rId1132" Type="http://schemas.openxmlformats.org/officeDocument/2006/relationships/hyperlink" Target="https://www.mercadolibre.com.ar/reporting/activity/detail?id=55726230707" TargetMode="External"/><Relationship Id="rId76" Type="http://schemas.openxmlformats.org/officeDocument/2006/relationships/hyperlink" Target="https://www.mercadolibre.com.ar/reporting/activity/detail?id=54381386457" TargetMode="External"/><Relationship Id="rId807" Type="http://schemas.openxmlformats.org/officeDocument/2006/relationships/hyperlink" Target="https://www.mercadolibre.com.ar/reporting/activity/detail?id=55241448158" TargetMode="External"/><Relationship Id="rId292" Type="http://schemas.openxmlformats.org/officeDocument/2006/relationships/hyperlink" Target="https://www.mercadolibre.com.ar/reporting/activity/detail?id=54671183412" TargetMode="External"/><Relationship Id="rId597" Type="http://schemas.openxmlformats.org/officeDocument/2006/relationships/hyperlink" Target="https://www.mercadolibre.com.ar/reporting/activity/detail?id=55079118244" TargetMode="External"/><Relationship Id="rId152" Type="http://schemas.openxmlformats.org/officeDocument/2006/relationships/hyperlink" Target="https://www.mercadolibre.com.ar/reporting/activity/detail?id=54431303345" TargetMode="External"/><Relationship Id="rId457" Type="http://schemas.openxmlformats.org/officeDocument/2006/relationships/hyperlink" Target="https://www.mercadolibre.com.ar/reporting/activity/detail?id=55021475515" TargetMode="External"/><Relationship Id="rId1087" Type="http://schemas.openxmlformats.org/officeDocument/2006/relationships/hyperlink" Target="https://www.mercadolibre.com.ar/reporting/activity/detail?id=55656428865" TargetMode="External"/><Relationship Id="rId1294" Type="http://schemas.openxmlformats.org/officeDocument/2006/relationships/hyperlink" Target="https://www.mercadolibre.com.ar/reporting/activity/detail?id=55868694789" TargetMode="External"/><Relationship Id="rId664" Type="http://schemas.openxmlformats.org/officeDocument/2006/relationships/hyperlink" Target="https://www.mercadolibre.com.ar/reporting/activity/detail?id=55134228419" TargetMode="External"/><Relationship Id="rId871" Type="http://schemas.openxmlformats.org/officeDocument/2006/relationships/hyperlink" Target="https://www.mercadolibre.com.ar/reporting/activity/detail?id=55350504814" TargetMode="External"/><Relationship Id="rId969" Type="http://schemas.openxmlformats.org/officeDocument/2006/relationships/hyperlink" Target="https://www.mercadolibre.com.ar/reporting/activity/detail?id=55510548070" TargetMode="External"/><Relationship Id="rId317" Type="http://schemas.openxmlformats.org/officeDocument/2006/relationships/hyperlink" Target="https://www.mercadolibre.com.ar/reporting/activity/detail?id=54726072362" TargetMode="External"/><Relationship Id="rId524" Type="http://schemas.openxmlformats.org/officeDocument/2006/relationships/hyperlink" Target="https://www.mercadolibre.com.ar/reporting/activity/detail?id=55076563338" TargetMode="External"/><Relationship Id="rId731" Type="http://schemas.openxmlformats.org/officeDocument/2006/relationships/hyperlink" Target="https://www.mercadolibre.com.ar/reporting/activity/detail?id=55194839799" TargetMode="External"/><Relationship Id="rId1154" Type="http://schemas.openxmlformats.org/officeDocument/2006/relationships/hyperlink" Target="https://www.mercadolibre.com.ar/reporting/activity/detail?id=55780565485" TargetMode="External"/><Relationship Id="rId1361" Type="http://schemas.openxmlformats.org/officeDocument/2006/relationships/hyperlink" Target="https://www.mercadolibre.com.ar/reporting/activity/detail?id=54259899294" TargetMode="External"/><Relationship Id="rId98" Type="http://schemas.openxmlformats.org/officeDocument/2006/relationships/hyperlink" Target="https://www.mercadolibre.com.ar/reporting/activity/detail?id=54385003421" TargetMode="External"/><Relationship Id="rId829" Type="http://schemas.openxmlformats.org/officeDocument/2006/relationships/hyperlink" Target="https://www.mercadolibre.com.ar/reporting/activity/detail?id=55343829531" TargetMode="External"/><Relationship Id="rId1014" Type="http://schemas.openxmlformats.org/officeDocument/2006/relationships/hyperlink" Target="https://www.mercadolibre.com.ar/reporting/activity/detail?id=55517235330" TargetMode="External"/><Relationship Id="rId1221" Type="http://schemas.openxmlformats.org/officeDocument/2006/relationships/hyperlink" Target="https://www.mercadolibre.com.ar/reporting/activity/detail?id=55827712452" TargetMode="External"/><Relationship Id="rId1319" Type="http://schemas.openxmlformats.org/officeDocument/2006/relationships/hyperlink" Target="https://www.mercadolibre.com.ar/reporting/activity/detail?id=54262696987" TargetMode="External"/><Relationship Id="rId25" Type="http://schemas.openxmlformats.org/officeDocument/2006/relationships/hyperlink" Target="https://www.mercadolibre.com.ar/reporting/activity/detail?id=54319229269" TargetMode="External"/><Relationship Id="rId174" Type="http://schemas.openxmlformats.org/officeDocument/2006/relationships/hyperlink" Target="https://www.mercadolibre.com.ar/reporting/activity/detail?id=54433491888" TargetMode="External"/><Relationship Id="rId381" Type="http://schemas.openxmlformats.org/officeDocument/2006/relationships/hyperlink" Target="https://www.mercadolibre.com.ar/reporting/activity/detail?id=54783109340" TargetMode="External"/><Relationship Id="rId241" Type="http://schemas.openxmlformats.org/officeDocument/2006/relationships/hyperlink" Target="https://www.mercadolibre.com.ar/reporting/activity/detail?id=54666384046" TargetMode="External"/><Relationship Id="rId479" Type="http://schemas.openxmlformats.org/officeDocument/2006/relationships/hyperlink" Target="https://www.mercadolibre.com.ar/reporting/activity/detail?id=55073207584" TargetMode="External"/><Relationship Id="rId686" Type="http://schemas.openxmlformats.org/officeDocument/2006/relationships/hyperlink" Target="https://www.mercadolibre.com.ar/reporting/activity/detail?id=55138769690" TargetMode="External"/><Relationship Id="rId893" Type="http://schemas.openxmlformats.org/officeDocument/2006/relationships/hyperlink" Target="https://www.mercadolibre.com.ar/reporting/activity/detail?id=55419892577" TargetMode="External"/><Relationship Id="rId339" Type="http://schemas.openxmlformats.org/officeDocument/2006/relationships/hyperlink" Target="https://www.mercadolibre.com.ar/reporting/activity/detail?id=54729281589" TargetMode="External"/><Relationship Id="rId546" Type="http://schemas.openxmlformats.org/officeDocument/2006/relationships/hyperlink" Target="https://www.mercadolibre.com.ar/reporting/activity/detail?id=55077475642" TargetMode="External"/><Relationship Id="rId753" Type="http://schemas.openxmlformats.org/officeDocument/2006/relationships/hyperlink" Target="https://www.mercadolibre.com.ar/reporting/activity/detail?id=55196562088" TargetMode="External"/><Relationship Id="rId1176" Type="http://schemas.openxmlformats.org/officeDocument/2006/relationships/hyperlink" Target="https://www.mercadolibre.com.ar/reporting/activity/detail?id=55785078095" TargetMode="External"/><Relationship Id="rId1383" Type="http://schemas.openxmlformats.org/officeDocument/2006/relationships/hyperlink" Target="https://www.mercadolibre.com.ar/reporting/activity/detail?id=54035431321" TargetMode="External"/><Relationship Id="rId101" Type="http://schemas.openxmlformats.org/officeDocument/2006/relationships/hyperlink" Target="https://www.mercadolibre.com.ar/reporting/activity/detail?id=54385169472" TargetMode="External"/><Relationship Id="rId406" Type="http://schemas.openxmlformats.org/officeDocument/2006/relationships/hyperlink" Target="https://www.mercadolibre.com.ar/reporting/activity/detail?id=54786642845" TargetMode="External"/><Relationship Id="rId960" Type="http://schemas.openxmlformats.org/officeDocument/2006/relationships/hyperlink" Target="https://www.mercadolibre.com.ar/reporting/activity/detail?id=55507263735" TargetMode="External"/><Relationship Id="rId1036" Type="http://schemas.openxmlformats.org/officeDocument/2006/relationships/hyperlink" Target="https://www.mercadolibre.com.ar/reporting/activity/detail?id=55553241363" TargetMode="External"/><Relationship Id="rId1243" Type="http://schemas.openxmlformats.org/officeDocument/2006/relationships/hyperlink" Target="https://www.mercadolibre.com.ar/reporting/activity/detail?id=55831617449" TargetMode="External"/><Relationship Id="rId613" Type="http://schemas.openxmlformats.org/officeDocument/2006/relationships/hyperlink" Target="https://www.mercadolibre.com.ar/reporting/activity/detail?id=55079814971" TargetMode="External"/><Relationship Id="rId820" Type="http://schemas.openxmlformats.org/officeDocument/2006/relationships/hyperlink" Target="https://www.mercadolibre.com.ar/reporting/activity/detail?id=55242742300" TargetMode="External"/><Relationship Id="rId918" Type="http://schemas.openxmlformats.org/officeDocument/2006/relationships/hyperlink" Target="https://www.mercadolibre.com.ar/reporting/activity/detail?id=55465321242" TargetMode="External"/><Relationship Id="rId1103" Type="http://schemas.openxmlformats.org/officeDocument/2006/relationships/hyperlink" Target="https://www.mercadolibre.com.ar/reporting/activity/detail?id=55658422102" TargetMode="External"/><Relationship Id="rId1310" Type="http://schemas.openxmlformats.org/officeDocument/2006/relationships/hyperlink" Target="https://www.mercadolibre.com.ar/reporting/activity/detail?id=55872502648" TargetMode="External"/><Relationship Id="rId47" Type="http://schemas.openxmlformats.org/officeDocument/2006/relationships/hyperlink" Target="https://www.mercadolibre.com.ar/reporting/activity/detail?id=54328650943" TargetMode="External"/><Relationship Id="rId196" Type="http://schemas.openxmlformats.org/officeDocument/2006/relationships/hyperlink" Target="https://www.mercadolibre.com.ar/reporting/activity/detail?id=54604538797" TargetMode="External"/><Relationship Id="rId263" Type="http://schemas.openxmlformats.org/officeDocument/2006/relationships/hyperlink" Target="https://www.mercadolibre.com.ar/reporting/activity/detail?id=54668864195" TargetMode="External"/><Relationship Id="rId470" Type="http://schemas.openxmlformats.org/officeDocument/2006/relationships/hyperlink" Target="https://www.mercadolibre.com.ar/reporting/activity/detail?id=55072035176" TargetMode="External"/><Relationship Id="rId123" Type="http://schemas.openxmlformats.org/officeDocument/2006/relationships/hyperlink" Target="https://www.mercadolibre.com.ar/reporting/activity/detail?id=54427103564" TargetMode="External"/><Relationship Id="rId330" Type="http://schemas.openxmlformats.org/officeDocument/2006/relationships/hyperlink" Target="https://www.mercadolibre.com.ar/reporting/activity/detail?id=54728800251" TargetMode="External"/><Relationship Id="rId568" Type="http://schemas.openxmlformats.org/officeDocument/2006/relationships/hyperlink" Target="https://www.mercadolibre.com.ar/reporting/activity/detail?id=55078066442" TargetMode="External"/><Relationship Id="rId775" Type="http://schemas.openxmlformats.org/officeDocument/2006/relationships/hyperlink" Target="https://www.mercadolibre.com.ar/reporting/activity/detail?id=55235515099" TargetMode="External"/><Relationship Id="rId982" Type="http://schemas.openxmlformats.org/officeDocument/2006/relationships/hyperlink" Target="https://www.mercadolibre.com.ar/reporting/activity/detail?id=55513270620" TargetMode="External"/><Relationship Id="rId1198" Type="http://schemas.openxmlformats.org/officeDocument/2006/relationships/hyperlink" Target="https://www.mercadolibre.com.ar/reporting/activity/detail?id=55787786015" TargetMode="External"/><Relationship Id="rId428" Type="http://schemas.openxmlformats.org/officeDocument/2006/relationships/hyperlink" Target="https://www.mercadolibre.com.ar/reporting/activity/detail?id=54831718581" TargetMode="External"/><Relationship Id="rId635" Type="http://schemas.openxmlformats.org/officeDocument/2006/relationships/hyperlink" Target="https://www.mercadolibre.com.ar/reporting/activity/detail?id=55080660279" TargetMode="External"/><Relationship Id="rId842" Type="http://schemas.openxmlformats.org/officeDocument/2006/relationships/hyperlink" Target="https://www.mercadolibre.com.ar/reporting/activity/detail?id=55347920272" TargetMode="External"/><Relationship Id="rId1058" Type="http://schemas.openxmlformats.org/officeDocument/2006/relationships/hyperlink" Target="https://www.mercadolibre.com.ar/reporting/activity/detail?id=55648985503" TargetMode="External"/><Relationship Id="rId1265" Type="http://schemas.openxmlformats.org/officeDocument/2006/relationships/hyperlink" Target="https://www.mercadolibre.com.ar/reporting/activity/detail?id=55834014400" TargetMode="External"/><Relationship Id="rId702" Type="http://schemas.openxmlformats.org/officeDocument/2006/relationships/hyperlink" Target="https://www.mercadolibre.com.ar/reporting/activity/detail?id=55141377636" TargetMode="External"/><Relationship Id="rId1125" Type="http://schemas.openxmlformats.org/officeDocument/2006/relationships/hyperlink" Target="https://www.mercadolibre.com.ar/reporting/activity/detail?id=55659173133" TargetMode="External"/><Relationship Id="rId1332" Type="http://schemas.openxmlformats.org/officeDocument/2006/relationships/hyperlink" Target="https://www.mercadolibre.com.ar/reporting/activity/detail?id=54204995808" TargetMode="External"/><Relationship Id="rId69" Type="http://schemas.openxmlformats.org/officeDocument/2006/relationships/hyperlink" Target="https://www.mercadolibre.com.ar/reporting/activity/detail?id=54379084601" TargetMode="External"/><Relationship Id="rId285" Type="http://schemas.openxmlformats.org/officeDocument/2006/relationships/hyperlink" Target="https://www.mercadolibre.com.ar/reporting/activity/detail?id=54670473077" TargetMode="External"/><Relationship Id="rId492" Type="http://schemas.openxmlformats.org/officeDocument/2006/relationships/hyperlink" Target="https://www.mercadolibre.com.ar/reporting/activity/detail?id=55074674990" TargetMode="External"/><Relationship Id="rId797" Type="http://schemas.openxmlformats.org/officeDocument/2006/relationships/hyperlink" Target="https://www.mercadolibre.com.ar/reporting/activity/detail?id=55240112085" TargetMode="External"/><Relationship Id="rId145" Type="http://schemas.openxmlformats.org/officeDocument/2006/relationships/hyperlink" Target="https://www.mercadolibre.com.ar/reporting/activity/detail?id=54430392019" TargetMode="External"/><Relationship Id="rId352" Type="http://schemas.openxmlformats.org/officeDocument/2006/relationships/hyperlink" Target="https://www.mercadolibre.com.ar/reporting/activity/detail?id=54731510990" TargetMode="External"/><Relationship Id="rId1287" Type="http://schemas.openxmlformats.org/officeDocument/2006/relationships/hyperlink" Target="https://www.mercadolibre.com.ar/reporting/activity/detail?id=55835122211" TargetMode="External"/><Relationship Id="rId212" Type="http://schemas.openxmlformats.org/officeDocument/2006/relationships/hyperlink" Target="https://www.mercadolibre.com.ar/reporting/activity/detail?id=54659599863" TargetMode="External"/><Relationship Id="rId657" Type="http://schemas.openxmlformats.org/officeDocument/2006/relationships/hyperlink" Target="https://www.mercadolibre.com.ar/reporting/activity/detail?id=55132890387" TargetMode="External"/><Relationship Id="rId864" Type="http://schemas.openxmlformats.org/officeDocument/2006/relationships/hyperlink" Target="https://www.mercadolibre.com.ar/reporting/activity/detail?id=55350105059" TargetMode="External"/><Relationship Id="rId517" Type="http://schemas.openxmlformats.org/officeDocument/2006/relationships/hyperlink" Target="https://www.mercadolibre.com.ar/reporting/activity/detail?id=55076199985" TargetMode="External"/><Relationship Id="rId724" Type="http://schemas.openxmlformats.org/officeDocument/2006/relationships/hyperlink" Target="https://www.mercadolibre.com.ar/reporting/activity/detail?id=55193512579" TargetMode="External"/><Relationship Id="rId931" Type="http://schemas.openxmlformats.org/officeDocument/2006/relationships/hyperlink" Target="https://www.mercadolibre.com.ar/reporting/activity/detail?id=55468534768" TargetMode="External"/><Relationship Id="rId1147" Type="http://schemas.openxmlformats.org/officeDocument/2006/relationships/hyperlink" Target="https://www.mercadolibre.com.ar/reporting/activity/detail?id=55735290681" TargetMode="External"/><Relationship Id="rId1354" Type="http://schemas.openxmlformats.org/officeDocument/2006/relationships/hyperlink" Target="https://www.mercadolibre.com.ar/reporting/activity/detail?id=54255011630" TargetMode="External"/><Relationship Id="rId60" Type="http://schemas.openxmlformats.org/officeDocument/2006/relationships/hyperlink" Target="https://www.mercadolibre.com.ar/reporting/activity/detail?id=54376312570" TargetMode="External"/><Relationship Id="rId1007" Type="http://schemas.openxmlformats.org/officeDocument/2006/relationships/hyperlink" Target="https://www.mercadolibre.com.ar/reporting/activity/detail?id=55516592450" TargetMode="External"/><Relationship Id="rId1214" Type="http://schemas.openxmlformats.org/officeDocument/2006/relationships/hyperlink" Target="https://www.mercadolibre.com.ar/reporting/activity/detail?id=55825738639" TargetMode="External"/><Relationship Id="rId18" Type="http://schemas.openxmlformats.org/officeDocument/2006/relationships/hyperlink" Target="https://www.mercadolibre.com.ar/reporting/activity/detail?id=54266786187" TargetMode="External"/><Relationship Id="rId167" Type="http://schemas.openxmlformats.org/officeDocument/2006/relationships/hyperlink" Target="https://www.mercadolibre.com.ar/reporting/activity/detail?id=54433199489" TargetMode="External"/><Relationship Id="rId374" Type="http://schemas.openxmlformats.org/officeDocument/2006/relationships/hyperlink" Target="https://www.mercadolibre.com.ar/reporting/activity/detail?id=54781581073" TargetMode="External"/><Relationship Id="rId581" Type="http://schemas.openxmlformats.org/officeDocument/2006/relationships/hyperlink" Target="https://www.mercadolibre.com.ar/reporting/activity/detail?id=55078587171" TargetMode="External"/><Relationship Id="rId234" Type="http://schemas.openxmlformats.org/officeDocument/2006/relationships/hyperlink" Target="https://www.mercadolibre.com.ar/reporting/activity/detail?id=54665438033" TargetMode="External"/><Relationship Id="rId679" Type="http://schemas.openxmlformats.org/officeDocument/2006/relationships/hyperlink" Target="https://www.mercadolibre.com.ar/reporting/activity/detail?id=55137287460" TargetMode="External"/><Relationship Id="rId886" Type="http://schemas.openxmlformats.org/officeDocument/2006/relationships/hyperlink" Target="https://www.mercadolibre.com.ar/reporting/activity/detail?id=55351926332" TargetMode="External"/><Relationship Id="rId2" Type="http://schemas.openxmlformats.org/officeDocument/2006/relationships/hyperlink" Target="https://www.mercadolibre.com.ar/reporting/activity/detail?id=54263626796" TargetMode="External"/><Relationship Id="rId441" Type="http://schemas.openxmlformats.org/officeDocument/2006/relationships/hyperlink" Target="https://www.mercadolibre.com.ar/reporting/activity/detail?id=55015054860" TargetMode="External"/><Relationship Id="rId539" Type="http://schemas.openxmlformats.org/officeDocument/2006/relationships/hyperlink" Target="https://www.mercadolibre.com.ar/reporting/activity/detail?id=55077219291" TargetMode="External"/><Relationship Id="rId746" Type="http://schemas.openxmlformats.org/officeDocument/2006/relationships/hyperlink" Target="https://www.mercadolibre.com.ar/reporting/activity/detail?id=55196018082" TargetMode="External"/><Relationship Id="rId1071" Type="http://schemas.openxmlformats.org/officeDocument/2006/relationships/hyperlink" Target="https://www.mercadolibre.com.ar/reporting/activity/detail?id=55654037141" TargetMode="External"/><Relationship Id="rId1169" Type="http://schemas.openxmlformats.org/officeDocument/2006/relationships/hyperlink" Target="https://www.mercadolibre.com.ar/reporting/activity/detail?id=55784202839" TargetMode="External"/><Relationship Id="rId1376" Type="http://schemas.openxmlformats.org/officeDocument/2006/relationships/hyperlink" Target="https://www.mercadolibre.com.ar/reporting/activity/detail?id=54261581815" TargetMode="External"/><Relationship Id="rId301" Type="http://schemas.openxmlformats.org/officeDocument/2006/relationships/hyperlink" Target="https://www.mercadolibre.com.ar/reporting/activity/detail?id=54721138077" TargetMode="External"/><Relationship Id="rId953" Type="http://schemas.openxmlformats.org/officeDocument/2006/relationships/hyperlink" Target="https://www.mercadolibre.com.ar/reporting/activity/detail?id=55471520125" TargetMode="External"/><Relationship Id="rId1029" Type="http://schemas.openxmlformats.org/officeDocument/2006/relationships/hyperlink" Target="https://www.mercadolibre.com.ar/reporting/activity/detail?id=55552276620" TargetMode="External"/><Relationship Id="rId1236" Type="http://schemas.openxmlformats.org/officeDocument/2006/relationships/hyperlink" Target="https://www.mercadolibre.com.ar/reporting/activity/detail?id=55830897221" TargetMode="External"/><Relationship Id="rId82" Type="http://schemas.openxmlformats.org/officeDocument/2006/relationships/hyperlink" Target="https://www.mercadolibre.com.ar/reporting/activity/detail?id=54382736556" TargetMode="External"/><Relationship Id="rId606" Type="http://schemas.openxmlformats.org/officeDocument/2006/relationships/hyperlink" Target="https://www.mercadolibre.com.ar/reporting/activity/detail?id=55079433290" TargetMode="External"/><Relationship Id="rId813" Type="http://schemas.openxmlformats.org/officeDocument/2006/relationships/hyperlink" Target="https://www.mercadolibre.com.ar/reporting/activity/detail?id=55241959860" TargetMode="External"/><Relationship Id="rId1303" Type="http://schemas.openxmlformats.org/officeDocument/2006/relationships/hyperlink" Target="https://www.mercadolibre.com.ar/reporting/activity/detail?id=55871424855" TargetMode="External"/><Relationship Id="rId189" Type="http://schemas.openxmlformats.org/officeDocument/2006/relationships/hyperlink" Target="https://www.mercadolibre.com.ar/reporting/activity/detail?id=54602455614" TargetMode="External"/><Relationship Id="rId396" Type="http://schemas.openxmlformats.org/officeDocument/2006/relationships/hyperlink" Target="https://www.mercadolibre.com.ar/reporting/activity/detail?id=54785712205" TargetMode="External"/><Relationship Id="rId256" Type="http://schemas.openxmlformats.org/officeDocument/2006/relationships/hyperlink" Target="https://www.mercadolibre.com.ar/reporting/activity/detail?id=54668082828" TargetMode="External"/><Relationship Id="rId463" Type="http://schemas.openxmlformats.org/officeDocument/2006/relationships/hyperlink" Target="https://www.mercadolibre.com.ar/reporting/activity/detail?id=55070610678" TargetMode="External"/><Relationship Id="rId670" Type="http://schemas.openxmlformats.org/officeDocument/2006/relationships/hyperlink" Target="https://www.mercadolibre.com.ar/reporting/activity/detail?id=55135773837" TargetMode="External"/><Relationship Id="rId1093" Type="http://schemas.openxmlformats.org/officeDocument/2006/relationships/hyperlink" Target="https://www.mercadolibre.com.ar/reporting/activity/detail?id=55657374868" TargetMode="External"/><Relationship Id="rId116" Type="http://schemas.openxmlformats.org/officeDocument/2006/relationships/hyperlink" Target="https://www.mercadolibre.com.ar/reporting/activity/detail?id=54422480537" TargetMode="External"/><Relationship Id="rId323" Type="http://schemas.openxmlformats.org/officeDocument/2006/relationships/hyperlink" Target="https://www.mercadolibre.com.ar/reporting/activity/detail?id=54727165601" TargetMode="External"/><Relationship Id="rId530" Type="http://schemas.openxmlformats.org/officeDocument/2006/relationships/hyperlink" Target="https://www.mercadolibre.com.ar/reporting/activity/detail?id=55076864907" TargetMode="External"/><Relationship Id="rId768" Type="http://schemas.openxmlformats.org/officeDocument/2006/relationships/hyperlink" Target="https://www.mercadolibre.com.ar/reporting/activity/detail?id=55197610230" TargetMode="External"/><Relationship Id="rId975" Type="http://schemas.openxmlformats.org/officeDocument/2006/relationships/hyperlink" Target="https://www.mercadolibre.com.ar/reporting/activity/detail?id=55511579190" TargetMode="External"/><Relationship Id="rId1160" Type="http://schemas.openxmlformats.org/officeDocument/2006/relationships/hyperlink" Target="https://www.mercadolibre.com.ar/reporting/activity/detail?id=55782353740" TargetMode="External"/><Relationship Id="rId628" Type="http://schemas.openxmlformats.org/officeDocument/2006/relationships/hyperlink" Target="https://www.mercadolibre.com.ar/reporting/activity/detail?id=55080431932" TargetMode="External"/><Relationship Id="rId835" Type="http://schemas.openxmlformats.org/officeDocument/2006/relationships/hyperlink" Target="https://www.mercadolibre.com.ar/reporting/activity/detail?id=55346288216" TargetMode="External"/><Relationship Id="rId1258" Type="http://schemas.openxmlformats.org/officeDocument/2006/relationships/hyperlink" Target="https://www.mercadolibre.com.ar/reporting/activity/detail?id=55833271441" TargetMode="External"/><Relationship Id="rId1020" Type="http://schemas.openxmlformats.org/officeDocument/2006/relationships/hyperlink" Target="https://www.mercadolibre.com.ar/reporting/activity/detail?id=55549012948" TargetMode="External"/><Relationship Id="rId1118" Type="http://schemas.openxmlformats.org/officeDocument/2006/relationships/hyperlink" Target="https://www.mercadolibre.com.ar/reporting/activity/detail?id=55659081727" TargetMode="External"/><Relationship Id="rId1325" Type="http://schemas.openxmlformats.org/officeDocument/2006/relationships/hyperlink" Target="https://www.mercadolibre.com.ar/reporting/activity/detail?id=54035372586" TargetMode="External"/><Relationship Id="rId902" Type="http://schemas.openxmlformats.org/officeDocument/2006/relationships/hyperlink" Target="https://www.mercadolibre.com.ar/reporting/activity/detail?id=55422710091" TargetMode="External"/><Relationship Id="rId31" Type="http://schemas.openxmlformats.org/officeDocument/2006/relationships/hyperlink" Target="https://www.mercadolibre.com.ar/reporting/activity/detail?id=54321753227" TargetMode="External"/><Relationship Id="rId180" Type="http://schemas.openxmlformats.org/officeDocument/2006/relationships/hyperlink" Target="https://www.mercadolibre.com.ar/reporting/activity/detail?id=54433798168" TargetMode="External"/><Relationship Id="rId278" Type="http://schemas.openxmlformats.org/officeDocument/2006/relationships/hyperlink" Target="https://www.mercadolibre.com.ar/reporting/activity/detail?id=54670147928" TargetMode="External"/><Relationship Id="rId485" Type="http://schemas.openxmlformats.org/officeDocument/2006/relationships/hyperlink" Target="https://www.mercadolibre.com.ar/reporting/activity/detail?id=55074160577" TargetMode="External"/><Relationship Id="rId692" Type="http://schemas.openxmlformats.org/officeDocument/2006/relationships/hyperlink" Target="https://www.mercadolibre.com.ar/reporting/activity/detail?id=55139816114" TargetMode="External"/><Relationship Id="rId138" Type="http://schemas.openxmlformats.org/officeDocument/2006/relationships/hyperlink" Target="https://www.mercadolibre.com.ar/reporting/activity/detail?id=54429453046" TargetMode="External"/><Relationship Id="rId345" Type="http://schemas.openxmlformats.org/officeDocument/2006/relationships/hyperlink" Target="https://www.mercadolibre.com.ar/reporting/activity/detail?id=54730284634" TargetMode="External"/><Relationship Id="rId552" Type="http://schemas.openxmlformats.org/officeDocument/2006/relationships/hyperlink" Target="https://www.mercadolibre.com.ar/reporting/activity/detail?id=55077716275" TargetMode="External"/><Relationship Id="rId997" Type="http://schemas.openxmlformats.org/officeDocument/2006/relationships/hyperlink" Target="https://www.mercadolibre.com.ar/reporting/activity/detail?id=55515669526" TargetMode="External"/><Relationship Id="rId1182" Type="http://schemas.openxmlformats.org/officeDocument/2006/relationships/hyperlink" Target="https://www.mercadolibre.com.ar/reporting/activity/detail?id=55785880034" TargetMode="External"/><Relationship Id="rId205" Type="http://schemas.openxmlformats.org/officeDocument/2006/relationships/hyperlink" Target="https://www.mercadolibre.com.ar/reporting/activity/detail?id=54608738244" TargetMode="External"/><Relationship Id="rId412" Type="http://schemas.openxmlformats.org/officeDocument/2006/relationships/hyperlink" Target="https://www.mercadolibre.com.ar/reporting/activity/detail?id=54826787396" TargetMode="External"/><Relationship Id="rId857" Type="http://schemas.openxmlformats.org/officeDocument/2006/relationships/hyperlink" Target="https://www.mercadolibre.com.ar/reporting/activity/detail?id=55349525657" TargetMode="External"/><Relationship Id="rId1042" Type="http://schemas.openxmlformats.org/officeDocument/2006/relationships/hyperlink" Target="https://www.mercadolibre.com.ar/reporting/activity/detail?id=55554908702" TargetMode="External"/><Relationship Id="rId717" Type="http://schemas.openxmlformats.org/officeDocument/2006/relationships/hyperlink" Target="https://www.mercadolibre.com.ar/reporting/activity/detail?id=55191462561" TargetMode="External"/><Relationship Id="rId924" Type="http://schemas.openxmlformats.org/officeDocument/2006/relationships/hyperlink" Target="https://www.mercadolibre.com.ar/reporting/activity/detail?id=55466771694" TargetMode="External"/><Relationship Id="rId1347" Type="http://schemas.openxmlformats.org/officeDocument/2006/relationships/hyperlink" Target="https://www.mercadolibre.com.ar/reporting/activity/detail?id=54207424212" TargetMode="External"/><Relationship Id="rId53" Type="http://schemas.openxmlformats.org/officeDocument/2006/relationships/hyperlink" Target="https://www.mercadolibre.com.ar/reporting/activity/detail?id=54329702567" TargetMode="External"/><Relationship Id="rId1207" Type="http://schemas.openxmlformats.org/officeDocument/2006/relationships/hyperlink" Target="https://www.mercadolibre.com.ar/reporting/activity/detail?id=55788120123" TargetMode="External"/><Relationship Id="rId367" Type="http://schemas.openxmlformats.org/officeDocument/2006/relationships/hyperlink" Target="https://www.mercadolibre.com.ar/reporting/activity/detail?id=54779861323" TargetMode="External"/><Relationship Id="rId574" Type="http://schemas.openxmlformats.org/officeDocument/2006/relationships/hyperlink" Target="https://www.mercadolibre.com.ar/reporting/activity/detail?id=55078346475" TargetMode="External"/><Relationship Id="rId227" Type="http://schemas.openxmlformats.org/officeDocument/2006/relationships/hyperlink" Target="https://www.mercadolibre.com.ar/reporting/activity/detail?id=54664709711" TargetMode="External"/><Relationship Id="rId781" Type="http://schemas.openxmlformats.org/officeDocument/2006/relationships/hyperlink" Target="https://www.mercadolibre.com.ar/reporting/activity/detail?id=55237053924" TargetMode="External"/><Relationship Id="rId879" Type="http://schemas.openxmlformats.org/officeDocument/2006/relationships/hyperlink" Target="https://www.mercadolibre.com.ar/reporting/activity/detail?id=55351402592" TargetMode="External"/><Relationship Id="rId434" Type="http://schemas.openxmlformats.org/officeDocument/2006/relationships/hyperlink" Target="https://www.mercadolibre.com.ar/reporting/activity/detail?id=55012455552" TargetMode="External"/><Relationship Id="rId641" Type="http://schemas.openxmlformats.org/officeDocument/2006/relationships/hyperlink" Target="https://www.mercadolibre.com.ar/reporting/activity/detail?id=55080855228" TargetMode="External"/><Relationship Id="rId739" Type="http://schemas.openxmlformats.org/officeDocument/2006/relationships/hyperlink" Target="https://www.mercadolibre.com.ar/reporting/activity/detail?id=55195393347" TargetMode="External"/><Relationship Id="rId1064" Type="http://schemas.openxmlformats.org/officeDocument/2006/relationships/hyperlink" Target="https://www.mercadolibre.com.ar/reporting/activity/detail?id=55651688978" TargetMode="External"/><Relationship Id="rId1271" Type="http://schemas.openxmlformats.org/officeDocument/2006/relationships/hyperlink" Target="https://www.mercadolibre.com.ar/reporting/activity/detail?id=55834279503" TargetMode="External"/><Relationship Id="rId1369" Type="http://schemas.openxmlformats.org/officeDocument/2006/relationships/hyperlink" Target="https://www.mercadolibre.com.ar/reporting/activity/detail?id=54261086056" TargetMode="External"/><Relationship Id="rId501" Type="http://schemas.openxmlformats.org/officeDocument/2006/relationships/hyperlink" Target="https://www.mercadolibre.com.ar/reporting/activity/detail?id=55075336722" TargetMode="External"/><Relationship Id="rId946" Type="http://schemas.openxmlformats.org/officeDocument/2006/relationships/hyperlink" Target="https://www.mercadolibre.com.ar/reporting/activity/detail?id=55470889365" TargetMode="External"/><Relationship Id="rId1131" Type="http://schemas.openxmlformats.org/officeDocument/2006/relationships/hyperlink" Target="https://www.mercadolibre.com.ar/reporting/activity/detail?id=55726053580" TargetMode="External"/><Relationship Id="rId1229" Type="http://schemas.openxmlformats.org/officeDocument/2006/relationships/hyperlink" Target="https://www.mercadolibre.com.ar/reporting/activity/detail?id=55830152101" TargetMode="External"/><Relationship Id="rId75" Type="http://schemas.openxmlformats.org/officeDocument/2006/relationships/hyperlink" Target="https://www.mercadolibre.com.ar/reporting/activity/detail?id=54381083430" TargetMode="External"/><Relationship Id="rId806" Type="http://schemas.openxmlformats.org/officeDocument/2006/relationships/hyperlink" Target="https://www.mercadolibre.com.ar/reporting/activity/detail?id=55241135120" TargetMode="External"/><Relationship Id="rId291" Type="http://schemas.openxmlformats.org/officeDocument/2006/relationships/hyperlink" Target="https://www.mercadolibre.com.ar/reporting/activity/detail?id=54671160013" TargetMode="External"/><Relationship Id="rId151" Type="http://schemas.openxmlformats.org/officeDocument/2006/relationships/hyperlink" Target="https://www.mercadolibre.com.ar/reporting/activity/detail?id=54431226200" TargetMode="External"/><Relationship Id="rId389" Type="http://schemas.openxmlformats.org/officeDocument/2006/relationships/hyperlink" Target="https://www.mercadolibre.com.ar/reporting/activity/detail?id=54784912212" TargetMode="External"/><Relationship Id="rId596" Type="http://schemas.openxmlformats.org/officeDocument/2006/relationships/hyperlink" Target="https://www.mercadolibre.com.ar/reporting/activity/detail?id=55079093537" TargetMode="External"/><Relationship Id="rId249" Type="http://schemas.openxmlformats.org/officeDocument/2006/relationships/hyperlink" Target="https://www.mercadolibre.com.ar/reporting/activity/detail?id=54667444051" TargetMode="External"/><Relationship Id="rId456" Type="http://schemas.openxmlformats.org/officeDocument/2006/relationships/hyperlink" Target="https://www.mercadolibre.com.ar/reporting/activity/detail?id=55021342146" TargetMode="External"/><Relationship Id="rId663" Type="http://schemas.openxmlformats.org/officeDocument/2006/relationships/hyperlink" Target="https://www.mercadolibre.com.ar/reporting/activity/detail?id=55134135129" TargetMode="External"/><Relationship Id="rId870" Type="http://schemas.openxmlformats.org/officeDocument/2006/relationships/hyperlink" Target="https://www.mercadolibre.com.ar/reporting/activity/detail?id=55350465902" TargetMode="External"/><Relationship Id="rId1086" Type="http://schemas.openxmlformats.org/officeDocument/2006/relationships/hyperlink" Target="https://www.mercadolibre.com.ar/reporting/activity/detail?id=55656325963" TargetMode="External"/><Relationship Id="rId1293" Type="http://schemas.openxmlformats.org/officeDocument/2006/relationships/hyperlink" Target="https://www.mercadolibre.com.ar/reporting/activity/detail?id=55868499197" TargetMode="External"/><Relationship Id="rId109" Type="http://schemas.openxmlformats.org/officeDocument/2006/relationships/hyperlink" Target="https://www.mercadolibre.com.ar/reporting/activity/detail?id=54386517287" TargetMode="External"/><Relationship Id="rId316" Type="http://schemas.openxmlformats.org/officeDocument/2006/relationships/hyperlink" Target="https://www.mercadolibre.com.ar/reporting/activity/detail?id=54725985454" TargetMode="External"/><Relationship Id="rId523" Type="http://schemas.openxmlformats.org/officeDocument/2006/relationships/hyperlink" Target="https://www.mercadolibre.com.ar/reporting/activity/detail?id=55076447102" TargetMode="External"/><Relationship Id="rId968" Type="http://schemas.openxmlformats.org/officeDocument/2006/relationships/hyperlink" Target="https://www.mercadolibre.com.ar/reporting/activity/detail?id=55510476003" TargetMode="External"/><Relationship Id="rId1153" Type="http://schemas.openxmlformats.org/officeDocument/2006/relationships/hyperlink" Target="https://www.mercadolibre.com.ar/reporting/activity/detail?id=55780377040" TargetMode="External"/><Relationship Id="rId97" Type="http://schemas.openxmlformats.org/officeDocument/2006/relationships/hyperlink" Target="https://www.mercadolibre.com.ar/reporting/activity/detail?id=54384727715" TargetMode="External"/><Relationship Id="rId730" Type="http://schemas.openxmlformats.org/officeDocument/2006/relationships/hyperlink" Target="https://www.mercadolibre.com.ar/reporting/activity/detail?id=55194291565" TargetMode="External"/><Relationship Id="rId828" Type="http://schemas.openxmlformats.org/officeDocument/2006/relationships/hyperlink" Target="https://www.mercadolibre.com.ar/reporting/activity/detail?id=55343630496" TargetMode="External"/><Relationship Id="rId1013" Type="http://schemas.openxmlformats.org/officeDocument/2006/relationships/hyperlink" Target="https://www.mercadolibre.com.ar/reporting/activity/detail?id=55517060235" TargetMode="External"/><Relationship Id="rId1360" Type="http://schemas.openxmlformats.org/officeDocument/2006/relationships/hyperlink" Target="https://www.mercadolibre.com.ar/reporting/activity/detail?id=54259885111" TargetMode="External"/><Relationship Id="rId1220" Type="http://schemas.openxmlformats.org/officeDocument/2006/relationships/hyperlink" Target="https://www.mercadolibre.com.ar/reporting/activity/detail?id=55827588011" TargetMode="External"/><Relationship Id="rId1318" Type="http://schemas.openxmlformats.org/officeDocument/2006/relationships/hyperlink" Target="https://www.mercadolibre.com.ar/reporting/activity/detail?id=54262533771" TargetMode="External"/><Relationship Id="rId24" Type="http://schemas.openxmlformats.org/officeDocument/2006/relationships/hyperlink" Target="https://www.mercadolibre.com.ar/reporting/activity/detail?id=54318304588" TargetMode="External"/><Relationship Id="rId173" Type="http://schemas.openxmlformats.org/officeDocument/2006/relationships/hyperlink" Target="https://www.mercadolibre.com.ar/reporting/activity/detail?id=54433475156" TargetMode="External"/><Relationship Id="rId380" Type="http://schemas.openxmlformats.org/officeDocument/2006/relationships/hyperlink" Target="https://www.mercadolibre.com.ar/reporting/activity/detail?id=54783049272" TargetMode="External"/><Relationship Id="rId240" Type="http://schemas.openxmlformats.org/officeDocument/2006/relationships/hyperlink" Target="https://www.mercadolibre.com.ar/reporting/activity/detail?id=54666086680" TargetMode="External"/><Relationship Id="rId478" Type="http://schemas.openxmlformats.org/officeDocument/2006/relationships/hyperlink" Target="https://www.mercadolibre.com.ar/reporting/activity/detail?id=55073138241" TargetMode="External"/><Relationship Id="rId685" Type="http://schemas.openxmlformats.org/officeDocument/2006/relationships/hyperlink" Target="https://www.mercadolibre.com.ar/reporting/activity/detail?id=55138629394" TargetMode="External"/><Relationship Id="rId892" Type="http://schemas.openxmlformats.org/officeDocument/2006/relationships/hyperlink" Target="https://www.mercadolibre.com.ar/reporting/activity/detail?id=55419659029" TargetMode="External"/><Relationship Id="rId100" Type="http://schemas.openxmlformats.org/officeDocument/2006/relationships/hyperlink" Target="https://www.mercadolibre.com.ar/reporting/activity/detail?id=54385059451" TargetMode="External"/><Relationship Id="rId338" Type="http://schemas.openxmlformats.org/officeDocument/2006/relationships/hyperlink" Target="https://www.mercadolibre.com.ar/reporting/activity/detail?id=54729253713" TargetMode="External"/><Relationship Id="rId545" Type="http://schemas.openxmlformats.org/officeDocument/2006/relationships/hyperlink" Target="https://www.mercadolibre.com.ar/reporting/activity/detail?id=55077469680" TargetMode="External"/><Relationship Id="rId752" Type="http://schemas.openxmlformats.org/officeDocument/2006/relationships/hyperlink" Target="https://www.mercadolibre.com.ar/reporting/activity/detail?id=55196443443" TargetMode="External"/><Relationship Id="rId1175" Type="http://schemas.openxmlformats.org/officeDocument/2006/relationships/hyperlink" Target="https://www.mercadolibre.com.ar/reporting/activity/detail?id=55784956757" TargetMode="External"/><Relationship Id="rId1382" Type="http://schemas.openxmlformats.org/officeDocument/2006/relationships/hyperlink" Target="https://www.mercadolibre.com.ar/reporting/activity/detail?id=54262209481" TargetMode="External"/><Relationship Id="rId405" Type="http://schemas.openxmlformats.org/officeDocument/2006/relationships/hyperlink" Target="https://www.mercadolibre.com.ar/reporting/activity/detail?id=54786606580" TargetMode="External"/><Relationship Id="rId612" Type="http://schemas.openxmlformats.org/officeDocument/2006/relationships/hyperlink" Target="https://www.mercadolibre.com.ar/reporting/activity/detail?id=55079799493" TargetMode="External"/><Relationship Id="rId1035" Type="http://schemas.openxmlformats.org/officeDocument/2006/relationships/hyperlink" Target="https://www.mercadolibre.com.ar/reporting/activity/detail?id=55553118945" TargetMode="External"/><Relationship Id="rId1242" Type="http://schemas.openxmlformats.org/officeDocument/2006/relationships/hyperlink" Target="https://www.mercadolibre.com.ar/reporting/activity/detail?id=55831356033" TargetMode="External"/><Relationship Id="rId917" Type="http://schemas.openxmlformats.org/officeDocument/2006/relationships/hyperlink" Target="https://www.mercadolibre.com.ar/reporting/activity/detail?id=55464848307" TargetMode="External"/><Relationship Id="rId1102" Type="http://schemas.openxmlformats.org/officeDocument/2006/relationships/hyperlink" Target="https://www.mercadolibre.com.ar/reporting/activity/detail?id=55658352961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rcadopago.com.ar/banking/move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R1632"/>
  <sheetViews>
    <sheetView zoomScale="160" zoomScaleNormal="160" workbookViewId="0">
      <pane xSplit="5" ySplit="4" topLeftCell="F5" activePane="bottomRight" state="frozen"/>
      <selection activeCell="A1604" sqref="A1604"/>
      <selection pane="topRight" activeCell="A1604" sqref="A1604"/>
      <selection pane="bottomLeft" activeCell="A1604" sqref="A1604"/>
      <selection pane="bottomRight" activeCell="D5" sqref="D5"/>
    </sheetView>
  </sheetViews>
  <sheetFormatPr defaultColWidth="9.1328125" defaultRowHeight="14.25"/>
  <cols>
    <col min="1" max="1" width="35" customWidth="1"/>
    <col min="2" max="2" width="27.73046875" customWidth="1"/>
    <col min="3" max="3" width="23.86328125" style="51" customWidth="1"/>
    <col min="4" max="4" width="14.73046875" customWidth="1"/>
    <col min="5" max="5" width="22.265625" hidden="1" customWidth="1"/>
    <col min="6" max="6" width="18.1328125" bestFit="1" customWidth="1"/>
    <col min="7" max="7" width="17" style="16" customWidth="1"/>
    <col min="8" max="8" width="17.1328125" style="16" bestFit="1" customWidth="1"/>
    <col min="9" max="9" width="14.1328125" style="16" bestFit="1" customWidth="1"/>
    <col min="10" max="10" width="16.59765625" style="16" bestFit="1" customWidth="1"/>
    <col min="11" max="12" width="11.59765625" style="16" bestFit="1" customWidth="1"/>
    <col min="13" max="13" width="15.265625" style="16" bestFit="1" customWidth="1"/>
    <col min="14" max="14" width="9.1328125" style="16"/>
    <col min="15" max="15" width="26.1328125" bestFit="1" customWidth="1"/>
    <col min="17" max="17" width="11.59765625" style="16" bestFit="1" customWidth="1"/>
    <col min="18" max="18" width="9.59765625" style="16" bestFit="1" customWidth="1"/>
  </cols>
  <sheetData>
    <row r="1" spans="1:18">
      <c r="A1" t="s">
        <v>0</v>
      </c>
      <c r="B1" t="s">
        <v>1</v>
      </c>
      <c r="C1" s="51" t="s">
        <v>2</v>
      </c>
      <c r="D1" t="s">
        <v>3</v>
      </c>
    </row>
    <row r="2" spans="1:18">
      <c r="A2" s="1">
        <v>20952879.02</v>
      </c>
      <c r="B2" s="1">
        <v>37229763.950000003</v>
      </c>
      <c r="C2" s="51">
        <v>-46195594.939999998</v>
      </c>
      <c r="D2" s="1">
        <v>11987048.029999999</v>
      </c>
    </row>
    <row r="3" spans="1:18">
      <c r="A3" t="s">
        <v>4</v>
      </c>
    </row>
    <row r="4" spans="1:18">
      <c r="A4" t="s">
        <v>5</v>
      </c>
      <c r="B4" t="s">
        <v>6</v>
      </c>
      <c r="C4" s="51" t="s">
        <v>7</v>
      </c>
      <c r="D4" t="s">
        <v>8</v>
      </c>
      <c r="E4" t="s">
        <v>9</v>
      </c>
      <c r="F4" s="16" t="s">
        <v>1236</v>
      </c>
      <c r="G4" s="16" t="s">
        <v>1237</v>
      </c>
      <c r="H4" s="16" t="s">
        <v>1238</v>
      </c>
      <c r="I4" s="16" t="s">
        <v>1239</v>
      </c>
      <c r="J4" s="16" t="s">
        <v>1240</v>
      </c>
      <c r="K4" s="16" t="s">
        <v>1241</v>
      </c>
      <c r="L4" s="16" t="s">
        <v>1242</v>
      </c>
      <c r="M4" s="52" t="s">
        <v>1243</v>
      </c>
      <c r="O4" s="16" t="s">
        <v>1244</v>
      </c>
    </row>
    <row r="5" spans="1:18">
      <c r="A5" t="s">
        <v>10</v>
      </c>
      <c r="B5" t="s">
        <v>11</v>
      </c>
      <c r="C5" s="51">
        <v>135329078135</v>
      </c>
      <c r="D5" s="1">
        <v>19388.57</v>
      </c>
      <c r="E5" s="1">
        <v>20972267.59</v>
      </c>
      <c r="F5" t="s">
        <v>1280</v>
      </c>
      <c r="G5"/>
      <c r="H5"/>
      <c r="I5" s="16">
        <f>-IFERROR(VLOOKUP(C5,SIRCUPA!$A$21:$H$186,8,0),0)</f>
        <v>0</v>
      </c>
      <c r="J5" s="68">
        <f>-IFERROR(VLOOKUP(C5,SIRTAC!$A$16:$H$1405,8,0),0)</f>
        <v>-199</v>
      </c>
      <c r="K5" s="68">
        <f>-IFERROR(VLOOKUP(C5,Gastos!$A$9:$J$1398,10,0),0)</f>
        <v>-193.03</v>
      </c>
      <c r="L5" s="68">
        <f>-IFERROR(VLOOKUP(C5,IDC!$A$20:$H$1596,8,0),0)</f>
        <v>-119.4</v>
      </c>
      <c r="M5" s="74">
        <f>+D5-I5-J5-K5-L5</f>
        <v>19900</v>
      </c>
      <c r="N5"/>
      <c r="Q5"/>
      <c r="R5"/>
    </row>
    <row r="6" spans="1:18">
      <c r="A6" t="s">
        <v>10</v>
      </c>
      <c r="B6" t="s">
        <v>11</v>
      </c>
      <c r="C6" s="51">
        <v>135329349869</v>
      </c>
      <c r="D6" s="1">
        <v>37599.06</v>
      </c>
      <c r="E6" s="1">
        <v>21009866.649999999</v>
      </c>
      <c r="F6" t="s">
        <v>1280</v>
      </c>
      <c r="G6"/>
      <c r="H6"/>
      <c r="I6" s="16">
        <f>-IFERROR(VLOOKUP(C6,SIRCUPA!$A$21:$H$186,8,0),0)</f>
        <v>0</v>
      </c>
      <c r="J6" s="68">
        <f>-IFERROR(VLOOKUP(C6,SIRTAC!$A$16:$H$1405,8,0),0)</f>
        <v>-398</v>
      </c>
      <c r="K6" s="68">
        <f>-IFERROR(VLOOKUP(C6,Gastos!$A$9:$J$1398,10,0),0)</f>
        <v>-1564.14</v>
      </c>
      <c r="L6" s="68">
        <f>-IFERROR(VLOOKUP(C6,IDC!$A$20:$H$1596,8,0),0)</f>
        <v>-238.8</v>
      </c>
      <c r="M6" s="74">
        <f t="shared" ref="M6:M12" si="0">+D6-I6-J6-K6-L6</f>
        <v>39800</v>
      </c>
      <c r="N6"/>
      <c r="Q6"/>
      <c r="R6"/>
    </row>
    <row r="7" spans="1:18">
      <c r="A7" t="s">
        <v>10</v>
      </c>
      <c r="B7" t="s">
        <v>11</v>
      </c>
      <c r="C7" s="51">
        <v>135945633656</v>
      </c>
      <c r="D7" s="1">
        <v>8184.12</v>
      </c>
      <c r="E7" s="1">
        <v>21018050.77</v>
      </c>
      <c r="F7" t="s">
        <v>1280</v>
      </c>
      <c r="G7"/>
      <c r="H7"/>
      <c r="I7" s="16">
        <f>-IFERROR(VLOOKUP(C7,SIRCUPA!$A$21:$H$186,8,0),0)</f>
        <v>0</v>
      </c>
      <c r="J7" s="68">
        <f>-IFERROR(VLOOKUP(C7,SIRTAC!$A$16:$H$1405,8,0),0)</f>
        <v>-84</v>
      </c>
      <c r="K7" s="68">
        <f>-IFERROR(VLOOKUP(C7,Gastos!$A$9:$J$1398,10,0),0)</f>
        <v>-81.48</v>
      </c>
      <c r="L7" s="68">
        <f>-IFERROR(VLOOKUP(C7,IDC!$A$20:$H$1596,8,0),0)</f>
        <v>-50.4</v>
      </c>
      <c r="M7" s="74">
        <f t="shared" si="0"/>
        <v>8399.9999999999982</v>
      </c>
      <c r="N7"/>
      <c r="Q7"/>
      <c r="R7"/>
    </row>
    <row r="8" spans="1:18">
      <c r="A8" t="s">
        <v>10</v>
      </c>
      <c r="B8" t="s">
        <v>11</v>
      </c>
      <c r="C8" s="51">
        <v>135945997406</v>
      </c>
      <c r="D8" s="1">
        <v>12276.18</v>
      </c>
      <c r="E8" s="1">
        <v>21030326.949999999</v>
      </c>
      <c r="F8" t="s">
        <v>1280</v>
      </c>
      <c r="G8"/>
      <c r="H8"/>
      <c r="I8" s="16">
        <f>-IFERROR(VLOOKUP(C8,SIRCUPA!$A$21:$H$186,8,0),0)</f>
        <v>0</v>
      </c>
      <c r="J8" s="68">
        <f>-IFERROR(VLOOKUP(C8,SIRTAC!$A$16:$H$1405,8,0),0)</f>
        <v>-126</v>
      </c>
      <c r="K8" s="68">
        <f>-IFERROR(VLOOKUP(C8,Gastos!$A$9:$J$1398,10,0),0)</f>
        <v>-122.22</v>
      </c>
      <c r="L8" s="68">
        <f>-IFERROR(VLOOKUP(C8,IDC!$A$20:$H$1596,8,0),0)</f>
        <v>-75.599999999999994</v>
      </c>
      <c r="M8" s="74">
        <f t="shared" si="0"/>
        <v>12600</v>
      </c>
      <c r="N8"/>
      <c r="Q8"/>
      <c r="R8"/>
    </row>
    <row r="9" spans="1:18">
      <c r="A9" t="s">
        <v>10</v>
      </c>
      <c r="B9" t="s">
        <v>11</v>
      </c>
      <c r="C9" s="51">
        <v>135330440377</v>
      </c>
      <c r="D9" s="1">
        <v>55242.81</v>
      </c>
      <c r="E9" s="1">
        <v>21085569.760000002</v>
      </c>
      <c r="F9" t="s">
        <v>1280</v>
      </c>
      <c r="G9"/>
      <c r="H9"/>
      <c r="I9" s="16">
        <f>-IFERROR(VLOOKUP(C9,SIRCUPA!$A$21:$H$186,8,0),0)</f>
        <v>0</v>
      </c>
      <c r="J9" s="68">
        <f>-IFERROR(VLOOKUP(C9,SIRTAC!$A$16:$H$1405,8,0),0)</f>
        <v>-567</v>
      </c>
      <c r="K9" s="68">
        <f>-IFERROR(VLOOKUP(C9,Gastos!$A$9:$J$1398,10,0),0)</f>
        <v>-549.99</v>
      </c>
      <c r="L9" s="68">
        <f>-IFERROR(VLOOKUP(C9,IDC!$A$20:$H$1596,8,0),0)</f>
        <v>-340.2</v>
      </c>
      <c r="M9" s="74">
        <f t="shared" si="0"/>
        <v>56699.999999999993</v>
      </c>
      <c r="N9"/>
      <c r="Q9"/>
      <c r="R9"/>
    </row>
    <row r="10" spans="1:18">
      <c r="A10" t="s">
        <v>10</v>
      </c>
      <c r="B10" t="s">
        <v>11</v>
      </c>
      <c r="C10" s="51">
        <v>135330988071</v>
      </c>
      <c r="D10" s="1">
        <v>47518.41</v>
      </c>
      <c r="E10" s="1">
        <v>21133088.170000002</v>
      </c>
      <c r="F10" t="s">
        <v>1280</v>
      </c>
      <c r="G10"/>
      <c r="H10"/>
      <c r="I10" s="16">
        <f>-IFERROR(VLOOKUP(C10,SIRCUPA!$A$21:$H$186,8,0),0)</f>
        <v>0</v>
      </c>
      <c r="J10" s="68">
        <f>-IFERROR(VLOOKUP(C10,SIRTAC!$A$16:$H$1405,8,0),0)</f>
        <v>-503</v>
      </c>
      <c r="K10" s="68">
        <f>-IFERROR(VLOOKUP(C10,Gastos!$A$9:$J$1398,10,0),0)</f>
        <v>-1976.79</v>
      </c>
      <c r="L10" s="68">
        <f>-IFERROR(VLOOKUP(C10,IDC!$A$20:$H$1596,8,0),0)</f>
        <v>-301.8</v>
      </c>
      <c r="M10" s="74">
        <f t="shared" si="0"/>
        <v>50300.000000000007</v>
      </c>
      <c r="N10"/>
      <c r="Q10"/>
      <c r="R10"/>
    </row>
    <row r="11" spans="1:18">
      <c r="A11" t="s">
        <v>10</v>
      </c>
      <c r="B11" t="s">
        <v>11</v>
      </c>
      <c r="C11" s="51">
        <v>135331302959</v>
      </c>
      <c r="D11" s="1">
        <v>16368.24</v>
      </c>
      <c r="E11" s="1">
        <v>21149456.41</v>
      </c>
      <c r="F11" t="s">
        <v>1280</v>
      </c>
      <c r="G11"/>
      <c r="H11"/>
      <c r="I11" s="16">
        <f>-IFERROR(VLOOKUP(C11,SIRCUPA!$A$21:$H$186,8,0),0)</f>
        <v>0</v>
      </c>
      <c r="J11" s="68">
        <f>-IFERROR(VLOOKUP(C11,SIRTAC!$A$16:$H$1405,8,0),0)</f>
        <v>-168</v>
      </c>
      <c r="K11" s="68">
        <f>-IFERROR(VLOOKUP(C11,Gastos!$A$9:$J$1398,10,0),0)</f>
        <v>-162.96</v>
      </c>
      <c r="L11" s="68">
        <f>-IFERROR(VLOOKUP(C11,IDC!$A$20:$H$1596,8,0),0)</f>
        <v>-100.8</v>
      </c>
      <c r="M11" s="74">
        <f t="shared" si="0"/>
        <v>16799.999999999996</v>
      </c>
      <c r="N11"/>
      <c r="Q11"/>
      <c r="R11"/>
    </row>
    <row r="12" spans="1:18">
      <c r="A12" t="s">
        <v>10</v>
      </c>
      <c r="B12" t="s">
        <v>11</v>
      </c>
      <c r="C12" s="51">
        <v>135949105672</v>
      </c>
      <c r="D12" s="1">
        <v>9840.43</v>
      </c>
      <c r="E12" s="1">
        <v>21159296.84</v>
      </c>
      <c r="F12" t="s">
        <v>1280</v>
      </c>
      <c r="G12"/>
      <c r="H12"/>
      <c r="I12" s="16">
        <f>-IFERROR(VLOOKUP(C12,SIRCUPA!$A$21:$H$186,8,0),0)</f>
        <v>0</v>
      </c>
      <c r="J12" s="68">
        <f>-IFERROR(VLOOKUP(C12,SIRTAC!$A$16:$H$1405,8,0),0)</f>
        <v>-101</v>
      </c>
      <c r="K12" s="68">
        <f>-IFERROR(VLOOKUP(C12,Gastos!$A$9:$J$1398,10,0),0)</f>
        <v>-97.97</v>
      </c>
      <c r="L12" s="68">
        <f>-IFERROR(VLOOKUP(C12,IDC!$A$20:$H$1596,8,0),0)</f>
        <v>-60.6</v>
      </c>
      <c r="M12" s="74">
        <f t="shared" si="0"/>
        <v>10100</v>
      </c>
      <c r="N12"/>
      <c r="Q12"/>
      <c r="R12"/>
    </row>
    <row r="13" spans="1:18" s="59" customFormat="1">
      <c r="A13" s="59" t="s">
        <v>10</v>
      </c>
      <c r="B13" s="59" t="s">
        <v>13</v>
      </c>
      <c r="C13" s="65">
        <v>135362543637</v>
      </c>
      <c r="D13" s="66">
        <v>-3309.17</v>
      </c>
      <c r="E13" s="1">
        <v>20202058.75</v>
      </c>
      <c r="F13" s="59" t="s">
        <v>1242</v>
      </c>
      <c r="G13" s="67">
        <f>+D13/0.006</f>
        <v>-551528.33333333337</v>
      </c>
      <c r="H13" s="67"/>
      <c r="I13" s="16">
        <f>-IFERROR(VLOOKUP(C13,SIRCUPA!$A$21:$H$186,8,0),0)</f>
        <v>0</v>
      </c>
      <c r="J13" s="68">
        <f>-IFERROR(VLOOKUP(C13,SIRTAC!$A$16:$H$1405,8,0),0)</f>
        <v>0</v>
      </c>
      <c r="K13" s="68">
        <f>-IFERROR(VLOOKUP(C13,Gastos!$A$9:$J$1398,10,0),0)</f>
        <v>0</v>
      </c>
      <c r="L13" s="68"/>
      <c r="M13" s="75">
        <f>+D13</f>
        <v>-3309.17</v>
      </c>
      <c r="N13" s="67"/>
    </row>
    <row r="14" spans="1:18" s="59" customFormat="1">
      <c r="A14" s="59" t="s">
        <v>10</v>
      </c>
      <c r="B14" s="59" t="s">
        <v>14</v>
      </c>
      <c r="C14" s="65">
        <v>135362543637</v>
      </c>
      <c r="D14" s="66">
        <v>-551528.92000000004</v>
      </c>
      <c r="E14" s="1">
        <v>20205367.920000002</v>
      </c>
      <c r="F14" s="59" t="s">
        <v>1281</v>
      </c>
      <c r="G14" s="67">
        <f>+D14/1.006</f>
        <v>-548239.4831013917</v>
      </c>
      <c r="H14" s="67"/>
      <c r="I14" s="16">
        <f>-IFERROR(VLOOKUP(C14,SIRCUPA!$A$21:$H$186,8,0),0)</f>
        <v>0</v>
      </c>
      <c r="J14" s="68">
        <f>-IFERROR(VLOOKUP(C14,SIRTAC!$A$16:$H$1405,8,0),0)</f>
        <v>0</v>
      </c>
      <c r="K14" s="68">
        <f>-IFERROR(VLOOKUP(C14,Gastos!$A$9:$J$1398,10,0),0)</f>
        <v>0</v>
      </c>
      <c r="L14" s="68">
        <f>-IFERROR(VLOOKUP(C14,IDC!$A$20:$H$1596,8,0),0)</f>
        <v>-3309.17</v>
      </c>
      <c r="M14" s="75">
        <f>+D14</f>
        <v>-551528.92000000004</v>
      </c>
      <c r="N14" s="67"/>
    </row>
    <row r="15" spans="1:18" s="59" customFormat="1">
      <c r="A15" s="59" t="s">
        <v>10</v>
      </c>
      <c r="B15" s="59" t="s">
        <v>13</v>
      </c>
      <c r="C15" s="65">
        <v>135979554276</v>
      </c>
      <c r="D15" s="66">
        <v>-2400</v>
      </c>
      <c r="E15" s="1">
        <v>20756896.84</v>
      </c>
      <c r="F15" s="59" t="s">
        <v>1242</v>
      </c>
      <c r="G15" s="67">
        <f>+D15/0.006</f>
        <v>-400000</v>
      </c>
      <c r="H15" s="67"/>
      <c r="I15" s="16">
        <f>-IFERROR(VLOOKUP(C15,SIRCUPA!$A$21:$H$186,8,0),0)</f>
        <v>0</v>
      </c>
      <c r="J15" s="68">
        <f>-IFERROR(VLOOKUP(C15,SIRTAC!$A$16:$H$1405,8,0),0)</f>
        <v>0</v>
      </c>
      <c r="K15" s="68">
        <f>-IFERROR(VLOOKUP(C15,Gastos!$A$9:$J$1398,10,0),0)</f>
        <v>0</v>
      </c>
      <c r="L15" s="68"/>
      <c r="M15" s="75">
        <f>+D15</f>
        <v>-2400</v>
      </c>
      <c r="N15" s="67"/>
    </row>
    <row r="16" spans="1:18" s="59" customFormat="1">
      <c r="A16" s="59" t="s">
        <v>10</v>
      </c>
      <c r="B16" s="59" t="s">
        <v>12</v>
      </c>
      <c r="C16" s="65">
        <v>135979554276</v>
      </c>
      <c r="D16" s="66">
        <v>-400000</v>
      </c>
      <c r="E16" s="1">
        <v>20759296.84</v>
      </c>
      <c r="F16" s="59" t="s">
        <v>1281</v>
      </c>
      <c r="G16" s="67"/>
      <c r="H16" s="67"/>
      <c r="I16" s="16">
        <f>-IFERROR(VLOOKUP(C16,SIRCUPA!$A$21:$H$186,8,0),0)</f>
        <v>0</v>
      </c>
      <c r="J16" s="68">
        <f>-IFERROR(VLOOKUP(C16,SIRTAC!$A$16:$H$1405,8,0),0)</f>
        <v>0</v>
      </c>
      <c r="K16" s="68">
        <f>-IFERROR(VLOOKUP(C16,Gastos!$A$9:$J$1398,10,0),0)</f>
        <v>0</v>
      </c>
      <c r="L16" s="68">
        <f>-IFERROR(VLOOKUP(C16,IDC!$A$20:$H$1596,8,0),0)</f>
        <v>-2400</v>
      </c>
      <c r="M16" s="75">
        <f>+D16</f>
        <v>-400000</v>
      </c>
      <c r="N16" s="67"/>
    </row>
    <row r="17" spans="1:13" customFormat="1">
      <c r="A17" t="s">
        <v>15</v>
      </c>
      <c r="B17" t="s">
        <v>11</v>
      </c>
      <c r="C17" s="51">
        <v>135734903707</v>
      </c>
      <c r="D17" s="1">
        <v>11690.63</v>
      </c>
      <c r="E17" s="1">
        <v>20213749.379999999</v>
      </c>
      <c r="F17" t="s">
        <v>1280</v>
      </c>
      <c r="I17" s="16">
        <f>-IFERROR(VLOOKUP(C17,SIRCUPA!$A$21:$H$186,8,0),0)</f>
        <v>0</v>
      </c>
      <c r="J17" s="68">
        <f>-IFERROR(VLOOKUP(C17,SIRTAC!$A$16:$H$1405,8,0),0)</f>
        <v>-119.99</v>
      </c>
      <c r="K17" s="68">
        <f>-IFERROR(VLOOKUP(C17,Gastos!$A$9:$J$1398,10,0),0)</f>
        <v>-116.39</v>
      </c>
      <c r="L17" s="68">
        <f>-IFERROR(VLOOKUP(C17,IDC!$A$20:$H$1596,8,0),0)</f>
        <v>-71.989999999999995</v>
      </c>
      <c r="M17" s="74">
        <f t="shared" ref="M17:M80" si="1">+D17-I17-J17-K17-L17</f>
        <v>11998.999999999998</v>
      </c>
    </row>
    <row r="18" spans="1:13" customFormat="1">
      <c r="A18" t="s">
        <v>15</v>
      </c>
      <c r="B18" t="s">
        <v>11</v>
      </c>
      <c r="C18" s="51">
        <v>135738371583</v>
      </c>
      <c r="D18" s="1">
        <v>24467.73</v>
      </c>
      <c r="E18" s="1">
        <v>20238217.109999999</v>
      </c>
      <c r="F18" t="s">
        <v>1280</v>
      </c>
      <c r="I18" s="16">
        <f>-IFERROR(VLOOKUP(C18,SIRCUPA!$A$21:$H$186,8,0),0)</f>
        <v>0</v>
      </c>
      <c r="J18" s="68">
        <f>-IFERROR(VLOOKUP(C18,SIRTAC!$A$16:$H$1405,8,0),0)</f>
        <v>-259</v>
      </c>
      <c r="K18" s="68">
        <f>-IFERROR(VLOOKUP(C18,Gastos!$A$9:$J$1398,10,0),0)</f>
        <v>-1017.87</v>
      </c>
      <c r="L18" s="68">
        <f>-IFERROR(VLOOKUP(C18,IDC!$A$20:$H$1596,8,0),0)</f>
        <v>-155.4</v>
      </c>
      <c r="M18" s="74">
        <f t="shared" si="1"/>
        <v>25900</v>
      </c>
    </row>
    <row r="19" spans="1:13" customFormat="1">
      <c r="A19" t="s">
        <v>15</v>
      </c>
      <c r="B19" t="s">
        <v>11</v>
      </c>
      <c r="C19" s="51">
        <v>135739132419</v>
      </c>
      <c r="D19" s="1">
        <v>15681.08</v>
      </c>
      <c r="E19" s="1">
        <v>20253898.190000001</v>
      </c>
      <c r="F19" t="s">
        <v>1280</v>
      </c>
      <c r="I19" s="16">
        <f>-IFERROR(VLOOKUP(C19,SIRCUPA!$A$21:$H$186,8,0),0)</f>
        <v>0</v>
      </c>
      <c r="J19" s="68">
        <f>-IFERROR(VLOOKUP(C19,SIRTAC!$A$16:$H$1405,8,0),0)</f>
        <v>-165.99</v>
      </c>
      <c r="K19" s="68">
        <f>-IFERROR(VLOOKUP(C19,Gastos!$A$9:$J$1398,10,0),0)</f>
        <v>-652.34</v>
      </c>
      <c r="L19" s="68">
        <f>-IFERROR(VLOOKUP(C19,IDC!$A$20:$H$1596,8,0),0)</f>
        <v>-99.59</v>
      </c>
      <c r="M19" s="74">
        <f t="shared" si="1"/>
        <v>16599</v>
      </c>
    </row>
    <row r="20" spans="1:13" customFormat="1">
      <c r="A20" t="s">
        <v>15</v>
      </c>
      <c r="B20" t="s">
        <v>11</v>
      </c>
      <c r="C20" s="51">
        <v>136364441784</v>
      </c>
      <c r="D20" s="1">
        <v>4357.92</v>
      </c>
      <c r="E20" s="1">
        <v>20258256.109999999</v>
      </c>
      <c r="F20" t="s">
        <v>1280</v>
      </c>
      <c r="I20" s="16">
        <f>-IFERROR(VLOOKUP(C20,SIRCUPA!$A$21:$H$186,8,0),0)</f>
        <v>0</v>
      </c>
      <c r="J20" s="68">
        <f>-IFERROR(VLOOKUP(C20,SIRTAC!$A$16:$H$1405,8,0),0)</f>
        <v>-48</v>
      </c>
      <c r="K20" s="68">
        <f>-IFERROR(VLOOKUP(C20,Gastos!$A$9:$J$1398,10,0),0)</f>
        <v>-365.28</v>
      </c>
      <c r="L20" s="68">
        <f>-IFERROR(VLOOKUP(C20,IDC!$A$20:$H$1596,8,0),0)</f>
        <v>-28.8</v>
      </c>
      <c r="M20" s="74">
        <f t="shared" si="1"/>
        <v>4800</v>
      </c>
    </row>
    <row r="21" spans="1:13" customFormat="1">
      <c r="A21" t="s">
        <v>15</v>
      </c>
      <c r="B21" t="s">
        <v>16</v>
      </c>
      <c r="C21" s="51">
        <v>136364596558</v>
      </c>
      <c r="D21">
        <v>234.96</v>
      </c>
      <c r="E21" s="1">
        <v>20258491.07</v>
      </c>
      <c r="F21" t="s">
        <v>1280</v>
      </c>
      <c r="I21" s="16">
        <f>-IFERROR(VLOOKUP(C21,SIRCUPA!$A$21:$H$186,8,0),0)</f>
        <v>-3.6</v>
      </c>
      <c r="J21" s="68">
        <f>-IFERROR(VLOOKUP(C21,SIRTAC!$A$16:$H$1405,8,0),0)</f>
        <v>0</v>
      </c>
      <c r="K21" s="68">
        <f>-IFERROR(VLOOKUP(C21,Gastos!$A$9:$J$1398,10,0),0)</f>
        <v>0</v>
      </c>
      <c r="L21" s="68">
        <f>-IFERROR(VLOOKUP(C21,IDC!$A$20:$H$1596,8,0),0)</f>
        <v>-1.44</v>
      </c>
      <c r="M21" s="74">
        <f t="shared" si="1"/>
        <v>240</v>
      </c>
    </row>
    <row r="22" spans="1:13" customFormat="1">
      <c r="A22" t="s">
        <v>15</v>
      </c>
      <c r="B22" t="s">
        <v>11</v>
      </c>
      <c r="C22" s="51">
        <v>136364614462</v>
      </c>
      <c r="D22" s="1">
        <v>9069.1200000000008</v>
      </c>
      <c r="E22" s="1">
        <v>20267560.190000001</v>
      </c>
      <c r="F22" t="s">
        <v>1280</v>
      </c>
      <c r="I22" s="16">
        <f>-IFERROR(VLOOKUP(C22,SIRCUPA!$A$21:$H$186,8,0),0)</f>
        <v>0</v>
      </c>
      <c r="J22" s="68">
        <f>-IFERROR(VLOOKUP(C22,SIRTAC!$A$16:$H$1405,8,0),0)</f>
        <v>-96</v>
      </c>
      <c r="K22" s="68">
        <f>-IFERROR(VLOOKUP(C22,Gastos!$A$9:$J$1398,10,0),0)</f>
        <v>-377.28</v>
      </c>
      <c r="L22" s="68">
        <f>-IFERROR(VLOOKUP(C22,IDC!$A$20:$H$1596,8,0),0)</f>
        <v>-57.6</v>
      </c>
      <c r="M22" s="74">
        <f t="shared" si="1"/>
        <v>9600.0000000000018</v>
      </c>
    </row>
    <row r="23" spans="1:13" customFormat="1">
      <c r="A23" t="s">
        <v>15</v>
      </c>
      <c r="B23" t="s">
        <v>11</v>
      </c>
      <c r="C23" s="51">
        <v>136366138324</v>
      </c>
      <c r="D23" s="1">
        <v>7989.26</v>
      </c>
      <c r="E23" s="1">
        <v>20275549.449999999</v>
      </c>
      <c r="F23" t="s">
        <v>1280</v>
      </c>
      <c r="I23" s="16">
        <f>-IFERROR(VLOOKUP(C23,SIRCUPA!$A$21:$H$186,8,0),0)</f>
        <v>0</v>
      </c>
      <c r="J23" s="68">
        <f>-IFERROR(VLOOKUP(C23,SIRTAC!$A$16:$H$1405,8,0),0)</f>
        <v>-82</v>
      </c>
      <c r="K23" s="68">
        <f>-IFERROR(VLOOKUP(C23,Gastos!$A$9:$J$1398,10,0),0)</f>
        <v>-79.540000000000006</v>
      </c>
      <c r="L23" s="68">
        <f>-IFERROR(VLOOKUP(C23,IDC!$A$20:$H$1596,8,0),0)</f>
        <v>-49.2</v>
      </c>
      <c r="M23" s="74">
        <f t="shared" si="1"/>
        <v>8200</v>
      </c>
    </row>
    <row r="24" spans="1:13" customFormat="1">
      <c r="A24" t="s">
        <v>15</v>
      </c>
      <c r="B24" t="s">
        <v>11</v>
      </c>
      <c r="C24" s="51">
        <v>135748062571</v>
      </c>
      <c r="D24" s="1">
        <v>45629.01</v>
      </c>
      <c r="E24" s="1">
        <v>20321178.460000001</v>
      </c>
      <c r="F24" t="s">
        <v>1280</v>
      </c>
      <c r="I24" s="16">
        <f>-IFERROR(VLOOKUP(C24,SIRCUPA!$A$21:$H$186,8,0),0)</f>
        <v>0</v>
      </c>
      <c r="J24" s="68">
        <f>-IFERROR(VLOOKUP(C24,SIRTAC!$A$16:$H$1405,8,0),0)</f>
        <v>-483</v>
      </c>
      <c r="K24" s="68">
        <f>-IFERROR(VLOOKUP(C24,Gastos!$A$9:$J$1398,10,0),0)</f>
        <v>-1898.19</v>
      </c>
      <c r="L24" s="68">
        <f>-IFERROR(VLOOKUP(C24,IDC!$A$20:$H$1596,8,0),0)</f>
        <v>-289.8</v>
      </c>
      <c r="M24" s="74">
        <f t="shared" si="1"/>
        <v>48300.000000000007</v>
      </c>
    </row>
    <row r="25" spans="1:13" customFormat="1">
      <c r="A25" t="s">
        <v>15</v>
      </c>
      <c r="B25" t="s">
        <v>11</v>
      </c>
      <c r="C25" s="51">
        <v>136370129344</v>
      </c>
      <c r="D25" s="1">
        <v>23675.49</v>
      </c>
      <c r="E25" s="1">
        <v>20344853.949999999</v>
      </c>
      <c r="F25" t="s">
        <v>1280</v>
      </c>
      <c r="I25" s="16">
        <f>-IFERROR(VLOOKUP(C25,SIRCUPA!$A$21:$H$186,8,0),0)</f>
        <v>0</v>
      </c>
      <c r="J25" s="68">
        <f>-IFERROR(VLOOKUP(C25,SIRTAC!$A$16:$H$1405,8,0),0)</f>
        <v>-243</v>
      </c>
      <c r="K25" s="68">
        <f>-IFERROR(VLOOKUP(C25,Gastos!$A$9:$J$1398,10,0),0)</f>
        <v>-235.71</v>
      </c>
      <c r="L25" s="68">
        <f>-IFERROR(VLOOKUP(C25,IDC!$A$20:$H$1596,8,0),0)</f>
        <v>-145.80000000000001</v>
      </c>
      <c r="M25" s="74">
        <f t="shared" si="1"/>
        <v>24300</v>
      </c>
    </row>
    <row r="26" spans="1:13" customFormat="1">
      <c r="A26" t="s">
        <v>15</v>
      </c>
      <c r="B26" t="s">
        <v>11</v>
      </c>
      <c r="C26" s="51">
        <v>135749825345</v>
      </c>
      <c r="D26" s="1">
        <v>9069.1200000000008</v>
      </c>
      <c r="E26" s="1">
        <v>20353923.07</v>
      </c>
      <c r="F26" t="s">
        <v>1280</v>
      </c>
      <c r="I26" s="16">
        <f>-IFERROR(VLOOKUP(C26,SIRCUPA!$A$21:$H$186,8,0),0)</f>
        <v>0</v>
      </c>
      <c r="J26" s="68">
        <f>-IFERROR(VLOOKUP(C26,SIRTAC!$A$16:$H$1405,8,0),0)</f>
        <v>-96</v>
      </c>
      <c r="K26" s="68">
        <f>-IFERROR(VLOOKUP(C26,Gastos!$A$9:$J$1398,10,0),0)</f>
        <v>-377.28</v>
      </c>
      <c r="L26" s="68">
        <f>-IFERROR(VLOOKUP(C26,IDC!$A$20:$H$1596,8,0),0)</f>
        <v>-57.6</v>
      </c>
      <c r="M26" s="74">
        <f t="shared" si="1"/>
        <v>9600.0000000000018</v>
      </c>
    </row>
    <row r="27" spans="1:13" customFormat="1">
      <c r="A27" t="s">
        <v>15</v>
      </c>
      <c r="B27" t="s">
        <v>11</v>
      </c>
      <c r="C27" s="51">
        <v>136373560516</v>
      </c>
      <c r="D27" s="1">
        <v>30203.3</v>
      </c>
      <c r="E27" s="1">
        <v>20384126.370000001</v>
      </c>
      <c r="F27" t="s">
        <v>1280</v>
      </c>
      <c r="I27" s="16">
        <f>-IFERROR(VLOOKUP(C27,SIRCUPA!$A$21:$H$186,8,0),0)</f>
        <v>0</v>
      </c>
      <c r="J27" s="68">
        <f>-IFERROR(VLOOKUP(C27,SIRTAC!$A$16:$H$1405,8,0),0)</f>
        <v>-310</v>
      </c>
      <c r="K27" s="68">
        <f>-IFERROR(VLOOKUP(C27,Gastos!$A$9:$J$1398,10,0),0)</f>
        <v>-300.7</v>
      </c>
      <c r="L27" s="68">
        <f>-IFERROR(VLOOKUP(C27,IDC!$A$20:$H$1596,8,0),0)</f>
        <v>-186</v>
      </c>
      <c r="M27" s="74">
        <f t="shared" si="1"/>
        <v>31000</v>
      </c>
    </row>
    <row r="28" spans="1:13" customFormat="1">
      <c r="A28" t="s">
        <v>15</v>
      </c>
      <c r="B28" t="s">
        <v>11</v>
      </c>
      <c r="C28" s="51">
        <v>136374043234</v>
      </c>
      <c r="D28" s="1">
        <v>14127.35</v>
      </c>
      <c r="E28" s="1">
        <v>20398253.719999999</v>
      </c>
      <c r="F28" t="s">
        <v>1280</v>
      </c>
      <c r="I28" s="16">
        <f>-IFERROR(VLOOKUP(C28,SIRCUPA!$A$21:$H$186,8,0),0)</f>
        <v>0</v>
      </c>
      <c r="J28" s="68">
        <f>-IFERROR(VLOOKUP(C28,SIRTAC!$A$16:$H$1405,8,0),0)</f>
        <v>-145</v>
      </c>
      <c r="K28" s="68">
        <f>-IFERROR(VLOOKUP(C28,Gastos!$A$9:$J$1398,10,0),0)</f>
        <v>-140.65</v>
      </c>
      <c r="L28" s="68">
        <f>-IFERROR(VLOOKUP(C28,IDC!$A$20:$H$1596,8,0),0)</f>
        <v>-87</v>
      </c>
      <c r="M28" s="74">
        <f t="shared" si="1"/>
        <v>14500</v>
      </c>
    </row>
    <row r="29" spans="1:13" customFormat="1">
      <c r="A29" t="s">
        <v>15</v>
      </c>
      <c r="B29" t="s">
        <v>11</v>
      </c>
      <c r="C29" s="51">
        <v>136374478166</v>
      </c>
      <c r="D29" s="1">
        <v>29034.14</v>
      </c>
      <c r="E29" s="1">
        <v>20427287.859999999</v>
      </c>
      <c r="F29" t="s">
        <v>1280</v>
      </c>
      <c r="I29" s="16">
        <f>-IFERROR(VLOOKUP(C29,SIRCUPA!$A$21:$H$186,8,0),0)</f>
        <v>0</v>
      </c>
      <c r="J29" s="68">
        <f>-IFERROR(VLOOKUP(C29,SIRTAC!$A$16:$H$1405,8,0),0)</f>
        <v>-298</v>
      </c>
      <c r="K29" s="68">
        <f>-IFERROR(VLOOKUP(C29,Gastos!$A$9:$J$1398,10,0),0)</f>
        <v>-289.06</v>
      </c>
      <c r="L29" s="68">
        <f>-IFERROR(VLOOKUP(C29,IDC!$A$20:$H$1596,8,0),0)</f>
        <v>-178.8</v>
      </c>
      <c r="M29" s="74">
        <f t="shared" si="1"/>
        <v>29800</v>
      </c>
    </row>
    <row r="30" spans="1:13" customFormat="1">
      <c r="A30" t="s">
        <v>15</v>
      </c>
      <c r="B30" t="s">
        <v>11</v>
      </c>
      <c r="C30" s="51">
        <v>135753489523</v>
      </c>
      <c r="D30" s="1">
        <v>8573.84</v>
      </c>
      <c r="E30" s="1">
        <v>20435861.699999999</v>
      </c>
      <c r="F30" t="s">
        <v>1280</v>
      </c>
      <c r="I30" s="16">
        <f>-IFERROR(VLOOKUP(C30,SIRCUPA!$A$21:$H$186,8,0),0)</f>
        <v>0</v>
      </c>
      <c r="J30" s="68">
        <f>-IFERROR(VLOOKUP(C30,SIRTAC!$A$16:$H$1405,8,0),0)</f>
        <v>-88</v>
      </c>
      <c r="K30" s="68">
        <f>-IFERROR(VLOOKUP(C30,Gastos!$A$9:$J$1398,10,0),0)</f>
        <v>-85.36</v>
      </c>
      <c r="L30" s="68">
        <f>-IFERROR(VLOOKUP(C30,IDC!$A$20:$H$1596,8,0),0)</f>
        <v>-52.8</v>
      </c>
      <c r="M30" s="74">
        <f t="shared" si="1"/>
        <v>8800</v>
      </c>
    </row>
    <row r="31" spans="1:13" customFormat="1">
      <c r="A31" t="s">
        <v>15</v>
      </c>
      <c r="B31" t="s">
        <v>11</v>
      </c>
      <c r="C31" s="51">
        <v>136374909026</v>
      </c>
      <c r="D31" s="1">
        <v>28155.32</v>
      </c>
      <c r="E31" s="1">
        <v>20464017.02</v>
      </c>
      <c r="F31" t="s">
        <v>1280</v>
      </c>
      <c r="I31" s="16">
        <f>-IFERROR(VLOOKUP(C31,SIRCUPA!$A$21:$H$186,8,0),0)</f>
        <v>0</v>
      </c>
      <c r="J31" s="68">
        <f>-IFERROR(VLOOKUP(C31,SIRTAC!$A$16:$H$1405,8,0),0)</f>
        <v>-288.98</v>
      </c>
      <c r="K31" s="68">
        <f>-IFERROR(VLOOKUP(C31,Gastos!$A$9:$J$1398,10,0),0)</f>
        <v>-280.31</v>
      </c>
      <c r="L31" s="68">
        <f>-IFERROR(VLOOKUP(C31,IDC!$A$20:$H$1596,8,0),0)</f>
        <v>-173.39</v>
      </c>
      <c r="M31" s="74">
        <f t="shared" si="1"/>
        <v>28898</v>
      </c>
    </row>
    <row r="32" spans="1:13" customFormat="1">
      <c r="A32" t="s">
        <v>15</v>
      </c>
      <c r="B32" t="s">
        <v>17</v>
      </c>
      <c r="C32" s="51">
        <v>136374922986</v>
      </c>
      <c r="D32" s="1">
        <v>2828.33</v>
      </c>
      <c r="E32" s="1">
        <v>20466845.350000001</v>
      </c>
      <c r="F32" t="s">
        <v>1280</v>
      </c>
      <c r="I32" s="16">
        <f>-IFERROR(VLOOKUP(C32,SIRCUPA!$A$21:$H$186,8,0),0)</f>
        <v>-43.34</v>
      </c>
      <c r="J32" s="68">
        <f>-IFERROR(VLOOKUP(C32,SIRTAC!$A$16:$H$1405,8,0),0)</f>
        <v>0</v>
      </c>
      <c r="K32" s="68">
        <f>-IFERROR(VLOOKUP(C32,Gastos!$A$9:$J$1398,10,0),0)</f>
        <v>0</v>
      </c>
      <c r="L32" s="68">
        <f>-IFERROR(VLOOKUP(C32,IDC!$A$20:$H$1596,8,0),0)</f>
        <v>-17.329999999999998</v>
      </c>
      <c r="M32" s="74">
        <f t="shared" si="1"/>
        <v>2889</v>
      </c>
    </row>
    <row r="33" spans="1:13" customFormat="1">
      <c r="A33" t="s">
        <v>15</v>
      </c>
      <c r="B33" t="s">
        <v>11</v>
      </c>
      <c r="C33" s="51">
        <v>135754447275</v>
      </c>
      <c r="D33" s="1">
        <v>11335.46</v>
      </c>
      <c r="E33" s="1">
        <v>20478180.809999999</v>
      </c>
      <c r="F33" t="s">
        <v>1280</v>
      </c>
      <c r="I33" s="16">
        <f>-IFERROR(VLOOKUP(C33,SIRCUPA!$A$21:$H$186,8,0),0)</f>
        <v>0</v>
      </c>
      <c r="J33" s="68">
        <f>-IFERROR(VLOOKUP(C33,SIRTAC!$A$16:$H$1405,8,0),0)</f>
        <v>-119.99</v>
      </c>
      <c r="K33" s="68">
        <f>-IFERROR(VLOOKUP(C33,Gastos!$A$9:$J$1398,10,0),0)</f>
        <v>-471.56</v>
      </c>
      <c r="L33" s="68">
        <f>-IFERROR(VLOOKUP(C33,IDC!$A$20:$H$1596,8,0),0)</f>
        <v>-71.989999999999995</v>
      </c>
      <c r="M33" s="74">
        <f t="shared" si="1"/>
        <v>11998.999999999998</v>
      </c>
    </row>
    <row r="34" spans="1:13" customFormat="1">
      <c r="A34" t="s">
        <v>15</v>
      </c>
      <c r="B34" t="s">
        <v>11</v>
      </c>
      <c r="C34" s="51">
        <v>135754874311</v>
      </c>
      <c r="D34" s="1">
        <v>45848.95</v>
      </c>
      <c r="E34" s="1">
        <v>20524029.760000002</v>
      </c>
      <c r="F34" t="s">
        <v>1280</v>
      </c>
      <c r="I34" s="16">
        <f>-IFERROR(VLOOKUP(C34,SIRCUPA!$A$21:$H$186,8,0),0)</f>
        <v>0</v>
      </c>
      <c r="J34" s="68">
        <f>-IFERROR(VLOOKUP(C34,SIRTAC!$A$16:$H$1405,8,0),0)</f>
        <v>-505</v>
      </c>
      <c r="K34" s="68">
        <f>-IFERROR(VLOOKUP(C34,Gastos!$A$9:$J$1398,10,0),0)</f>
        <v>-3843.05</v>
      </c>
      <c r="L34" s="68">
        <f>-IFERROR(VLOOKUP(C34,IDC!$A$20:$H$1596,8,0),0)</f>
        <v>-303</v>
      </c>
      <c r="M34" s="74">
        <f t="shared" si="1"/>
        <v>50500</v>
      </c>
    </row>
    <row r="35" spans="1:13" customFormat="1">
      <c r="A35" t="s">
        <v>15</v>
      </c>
      <c r="B35" t="s">
        <v>11</v>
      </c>
      <c r="C35" s="51">
        <v>136376223468</v>
      </c>
      <c r="D35" s="1">
        <v>21787.78</v>
      </c>
      <c r="E35" s="1">
        <v>20545817.539999999</v>
      </c>
      <c r="F35" t="s">
        <v>1280</v>
      </c>
      <c r="I35" s="16">
        <f>-IFERROR(VLOOKUP(C35,SIRCUPA!$A$21:$H$186,8,0),0)</f>
        <v>0</v>
      </c>
      <c r="J35" s="68">
        <f>-IFERROR(VLOOKUP(C35,SIRTAC!$A$16:$H$1405,8,0),0)</f>
        <v>-239.98</v>
      </c>
      <c r="K35" s="68">
        <f>-IFERROR(VLOOKUP(C35,Gastos!$A$9:$J$1398,10,0),0)</f>
        <v>-1826.25</v>
      </c>
      <c r="L35" s="68">
        <f>-IFERROR(VLOOKUP(C35,IDC!$A$20:$H$1596,8,0),0)</f>
        <v>-143.99</v>
      </c>
      <c r="M35" s="74">
        <f t="shared" si="1"/>
        <v>23998</v>
      </c>
    </row>
    <row r="36" spans="1:13" customFormat="1">
      <c r="A36" t="s">
        <v>15</v>
      </c>
      <c r="B36" t="s">
        <v>11</v>
      </c>
      <c r="C36" s="51">
        <v>136377026240</v>
      </c>
      <c r="D36" s="1">
        <v>32025.33</v>
      </c>
      <c r="E36" s="1">
        <v>20577842.870000001</v>
      </c>
      <c r="F36" t="s">
        <v>1280</v>
      </c>
      <c r="I36" s="16">
        <f>-IFERROR(VLOOKUP(C36,SIRCUPA!$A$21:$H$186,8,0),0)</f>
        <v>0</v>
      </c>
      <c r="J36" s="68">
        <f>-IFERROR(VLOOKUP(C36,SIRTAC!$A$16:$H$1405,8,0),0)</f>
        <v>-339</v>
      </c>
      <c r="K36" s="68">
        <f>-IFERROR(VLOOKUP(C36,Gastos!$A$9:$J$1398,10,0),0)</f>
        <v>-1332.27</v>
      </c>
      <c r="L36" s="68">
        <f>-IFERROR(VLOOKUP(C36,IDC!$A$20:$H$1596,8,0),0)</f>
        <v>-203.4</v>
      </c>
      <c r="M36" s="74">
        <f t="shared" si="1"/>
        <v>33900</v>
      </c>
    </row>
    <row r="37" spans="1:13" customFormat="1">
      <c r="A37" t="s">
        <v>15</v>
      </c>
      <c r="B37" t="s">
        <v>11</v>
      </c>
      <c r="C37" s="51">
        <v>135757136427</v>
      </c>
      <c r="D37" s="1">
        <v>4676.6400000000003</v>
      </c>
      <c r="E37" s="1">
        <v>20582519.510000002</v>
      </c>
      <c r="F37" t="s">
        <v>1280</v>
      </c>
      <c r="I37" s="16">
        <f>-IFERROR(VLOOKUP(C37,SIRCUPA!$A$21:$H$186,8,0),0)</f>
        <v>0</v>
      </c>
      <c r="J37" s="68">
        <f>-IFERROR(VLOOKUP(C37,SIRTAC!$A$16:$H$1405,8,0),0)</f>
        <v>-48</v>
      </c>
      <c r="K37" s="68">
        <f>-IFERROR(VLOOKUP(C37,Gastos!$A$9:$J$1398,10,0),0)</f>
        <v>-46.56</v>
      </c>
      <c r="L37" s="68">
        <f>-IFERROR(VLOOKUP(C37,IDC!$A$20:$H$1596,8,0),0)</f>
        <v>-28.8</v>
      </c>
      <c r="M37" s="74">
        <f t="shared" si="1"/>
        <v>4800.0000000000009</v>
      </c>
    </row>
    <row r="38" spans="1:13" customFormat="1">
      <c r="A38" t="s">
        <v>15</v>
      </c>
      <c r="B38" t="s">
        <v>11</v>
      </c>
      <c r="C38" s="51">
        <v>135757391225</v>
      </c>
      <c r="D38" s="1">
        <v>106198.7</v>
      </c>
      <c r="E38" s="1">
        <v>20688718.210000001</v>
      </c>
      <c r="F38" t="s">
        <v>1280</v>
      </c>
      <c r="I38" s="16">
        <f>-IFERROR(VLOOKUP(C38,SIRCUPA!$A$21:$H$186,8,0),0)</f>
        <v>0</v>
      </c>
      <c r="J38" s="68">
        <f>-IFERROR(VLOOKUP(C38,SIRTAC!$A$16:$H$1405,8,0),0)</f>
        <v>-1090</v>
      </c>
      <c r="K38" s="68">
        <f>-IFERROR(VLOOKUP(C38,Gastos!$A$9:$J$1398,10,0),0)</f>
        <v>-1057.3</v>
      </c>
      <c r="L38" s="68">
        <f>-IFERROR(VLOOKUP(C38,IDC!$A$20:$H$1596,8,0),0)</f>
        <v>-654</v>
      </c>
      <c r="M38" s="74">
        <f t="shared" si="1"/>
        <v>109000</v>
      </c>
    </row>
    <row r="39" spans="1:13" customFormat="1">
      <c r="A39" t="s">
        <v>15</v>
      </c>
      <c r="B39" t="s">
        <v>11</v>
      </c>
      <c r="C39" s="51">
        <v>135757364099</v>
      </c>
      <c r="D39" s="1">
        <v>14224.78</v>
      </c>
      <c r="E39" s="1">
        <v>20702942.989999998</v>
      </c>
      <c r="F39" t="s">
        <v>1280</v>
      </c>
      <c r="I39" s="16">
        <f>-IFERROR(VLOOKUP(C39,SIRCUPA!$A$21:$H$186,8,0),0)</f>
        <v>0</v>
      </c>
      <c r="J39" s="68">
        <f>-IFERROR(VLOOKUP(C39,SIRTAC!$A$16:$H$1405,8,0),0)</f>
        <v>-146</v>
      </c>
      <c r="K39" s="68">
        <f>-IFERROR(VLOOKUP(C39,Gastos!$A$9:$J$1398,10,0),0)</f>
        <v>-141.62</v>
      </c>
      <c r="L39" s="68">
        <f>-IFERROR(VLOOKUP(C39,IDC!$A$20:$H$1596,8,0),0)</f>
        <v>-87.6</v>
      </c>
      <c r="M39" s="74">
        <f t="shared" si="1"/>
        <v>14600.000000000002</v>
      </c>
    </row>
    <row r="40" spans="1:13" customFormat="1">
      <c r="A40" t="s">
        <v>15</v>
      </c>
      <c r="B40" t="s">
        <v>11</v>
      </c>
      <c r="C40" s="51">
        <v>136379529420</v>
      </c>
      <c r="D40" s="1">
        <v>69435.45</v>
      </c>
      <c r="E40" s="1">
        <v>20772378.440000001</v>
      </c>
      <c r="F40" t="s">
        <v>1280</v>
      </c>
      <c r="I40" s="16">
        <f>-IFERROR(VLOOKUP(C40,SIRCUPA!$A$21:$H$186,8,0),0)</f>
        <v>0</v>
      </c>
      <c r="J40" s="68">
        <f>-IFERROR(VLOOKUP(C40,SIRTAC!$A$16:$H$1405,8,0),0)</f>
        <v>-735</v>
      </c>
      <c r="K40" s="68">
        <f>-IFERROR(VLOOKUP(C40,Gastos!$A$9:$J$1398,10,0),0)</f>
        <v>-2888.55</v>
      </c>
      <c r="L40" s="68">
        <f>-IFERROR(VLOOKUP(C40,IDC!$A$20:$H$1596,8,0),0)</f>
        <v>-441</v>
      </c>
      <c r="M40" s="74">
        <f t="shared" si="1"/>
        <v>73500</v>
      </c>
    </row>
    <row r="41" spans="1:13" customFormat="1">
      <c r="A41" t="s">
        <v>15</v>
      </c>
      <c r="B41" t="s">
        <v>11</v>
      </c>
      <c r="C41" s="51">
        <v>136380032928</v>
      </c>
      <c r="D41" s="1">
        <v>146331.20000000001</v>
      </c>
      <c r="E41" s="1">
        <v>20918709.640000001</v>
      </c>
      <c r="F41" t="s">
        <v>1280</v>
      </c>
      <c r="I41" s="16">
        <f>-IFERROR(VLOOKUP(C41,SIRCUPA!$A$21:$H$186,8,0),0)</f>
        <v>0</v>
      </c>
      <c r="J41" s="68">
        <f>-IFERROR(VLOOKUP(C41,SIRTAC!$A$16:$H$1405,8,0),0)</f>
        <v>-1548.97</v>
      </c>
      <c r="K41" s="68">
        <f>-IFERROR(VLOOKUP(C41,Gastos!$A$9:$J$1398,10,0),0)</f>
        <v>-6087.45</v>
      </c>
      <c r="L41" s="68">
        <f>-IFERROR(VLOOKUP(C41,IDC!$A$20:$H$1596,8,0),0)</f>
        <v>-929.38</v>
      </c>
      <c r="M41" s="74">
        <f t="shared" si="1"/>
        <v>154897.00000000003</v>
      </c>
    </row>
    <row r="42" spans="1:13" customFormat="1">
      <c r="A42" t="s">
        <v>15</v>
      </c>
      <c r="B42" t="s">
        <v>11</v>
      </c>
      <c r="C42" s="51">
        <v>136380185164</v>
      </c>
      <c r="D42" s="1">
        <v>48772.08</v>
      </c>
      <c r="E42" s="1">
        <v>20967481.719999999</v>
      </c>
      <c r="F42" t="s">
        <v>1280</v>
      </c>
      <c r="I42" s="16">
        <f>-IFERROR(VLOOKUP(C42,SIRCUPA!$A$21:$H$186,8,0),0)</f>
        <v>0</v>
      </c>
      <c r="J42" s="68">
        <f>-IFERROR(VLOOKUP(C42,SIRTAC!$A$16:$H$1405,8,0),0)</f>
        <v>-504</v>
      </c>
      <c r="K42" s="68">
        <f>-IFERROR(VLOOKUP(C42,Gastos!$A$9:$J$1398,10,0),0)</f>
        <v>-821.52</v>
      </c>
      <c r="L42" s="68">
        <f>-IFERROR(VLOOKUP(C42,IDC!$A$20:$H$1596,8,0),0)</f>
        <v>-302.39999999999998</v>
      </c>
      <c r="M42" s="74">
        <f t="shared" si="1"/>
        <v>50400</v>
      </c>
    </row>
    <row r="43" spans="1:13" customFormat="1">
      <c r="A43" t="s">
        <v>15</v>
      </c>
      <c r="B43" t="s">
        <v>11</v>
      </c>
      <c r="C43" s="51">
        <v>135759480719</v>
      </c>
      <c r="D43" s="1">
        <v>23381.25</v>
      </c>
      <c r="E43" s="1">
        <v>20990862.969999999</v>
      </c>
      <c r="F43" t="s">
        <v>1280</v>
      </c>
      <c r="I43" s="16">
        <f>-IFERROR(VLOOKUP(C43,SIRCUPA!$A$21:$H$186,8,0),0)</f>
        <v>0</v>
      </c>
      <c r="J43" s="68">
        <f>-IFERROR(VLOOKUP(C43,SIRTAC!$A$16:$H$1405,8,0),0)</f>
        <v>-239.98</v>
      </c>
      <c r="K43" s="68">
        <f>-IFERROR(VLOOKUP(C43,Gastos!$A$9:$J$1398,10,0),0)</f>
        <v>-232.78</v>
      </c>
      <c r="L43" s="68">
        <f>-IFERROR(VLOOKUP(C43,IDC!$A$20:$H$1596,8,0),0)</f>
        <v>-143.99</v>
      </c>
      <c r="M43" s="74">
        <f t="shared" si="1"/>
        <v>23998</v>
      </c>
    </row>
    <row r="44" spans="1:13" customFormat="1">
      <c r="A44" t="s">
        <v>15</v>
      </c>
      <c r="B44" t="s">
        <v>18</v>
      </c>
      <c r="C44" s="51">
        <v>135759329655</v>
      </c>
      <c r="D44" s="1">
        <v>1173.82</v>
      </c>
      <c r="E44" s="1">
        <v>20992036.789999999</v>
      </c>
      <c r="F44" t="s">
        <v>1280</v>
      </c>
      <c r="I44" s="16">
        <f>-IFERROR(VLOOKUP(C44,SIRCUPA!$A$21:$H$186,8,0),0)</f>
        <v>-17.989999999999998</v>
      </c>
      <c r="J44" s="68">
        <f>-IFERROR(VLOOKUP(C44,SIRTAC!$A$16:$H$1405,8,0),0)</f>
        <v>0</v>
      </c>
      <c r="K44" s="68">
        <f>-IFERROR(VLOOKUP(C44,Gastos!$A$9:$J$1398,10,0),0)</f>
        <v>0</v>
      </c>
      <c r="L44" s="68">
        <f>-IFERROR(VLOOKUP(C44,IDC!$A$20:$H$1596,8,0),0)</f>
        <v>-7.19</v>
      </c>
      <c r="M44" s="74">
        <f t="shared" si="1"/>
        <v>1199</v>
      </c>
    </row>
    <row r="45" spans="1:13" customFormat="1">
      <c r="A45" t="s">
        <v>15</v>
      </c>
      <c r="B45" t="s">
        <v>11</v>
      </c>
      <c r="C45" s="51">
        <v>136380675948</v>
      </c>
      <c r="D45" s="1">
        <v>67615.45</v>
      </c>
      <c r="E45" s="1">
        <v>21059652.239999998</v>
      </c>
      <c r="F45" t="s">
        <v>1280</v>
      </c>
      <c r="I45" s="16">
        <f>-IFERROR(VLOOKUP(C45,SIRCUPA!$A$21:$H$186,8,0),0)</f>
        <v>0</v>
      </c>
      <c r="J45" s="68">
        <f>-IFERROR(VLOOKUP(C45,SIRTAC!$A$16:$H$1405,8,0),0)</f>
        <v>-693.99</v>
      </c>
      <c r="K45" s="68">
        <f>-IFERROR(VLOOKUP(C45,Gastos!$A$9:$J$1398,10,0),0)</f>
        <v>-673.17</v>
      </c>
      <c r="L45" s="68">
        <f>-IFERROR(VLOOKUP(C45,IDC!$A$20:$H$1596,8,0),0)</f>
        <v>-416.39</v>
      </c>
      <c r="M45" s="74">
        <f t="shared" si="1"/>
        <v>69399</v>
      </c>
    </row>
    <row r="46" spans="1:13" customFormat="1">
      <c r="A46" t="s">
        <v>15</v>
      </c>
      <c r="B46" t="s">
        <v>11</v>
      </c>
      <c r="C46" s="51">
        <v>135759894119</v>
      </c>
      <c r="D46" s="1">
        <v>35071.879999999997</v>
      </c>
      <c r="E46" s="1">
        <v>21094724.120000001</v>
      </c>
      <c r="F46" t="s">
        <v>1280</v>
      </c>
      <c r="I46" s="16">
        <f>-IFERROR(VLOOKUP(C46,SIRCUPA!$A$21:$H$186,8,0),0)</f>
        <v>0</v>
      </c>
      <c r="J46" s="68">
        <f>-IFERROR(VLOOKUP(C46,SIRTAC!$A$16:$H$1405,8,0),0)</f>
        <v>-359.97</v>
      </c>
      <c r="K46" s="68">
        <f>-IFERROR(VLOOKUP(C46,Gastos!$A$9:$J$1398,10,0),0)</f>
        <v>-349.17</v>
      </c>
      <c r="L46" s="68">
        <f>-IFERROR(VLOOKUP(C46,IDC!$A$20:$H$1596,8,0),0)</f>
        <v>-215.98</v>
      </c>
      <c r="M46" s="74">
        <f t="shared" si="1"/>
        <v>35997</v>
      </c>
    </row>
    <row r="47" spans="1:13" customFormat="1">
      <c r="A47" t="s">
        <v>19</v>
      </c>
      <c r="B47" t="s">
        <v>11</v>
      </c>
      <c r="C47" s="51">
        <v>135759931927</v>
      </c>
      <c r="D47" s="1">
        <v>8184.12</v>
      </c>
      <c r="E47" s="1">
        <v>21102908.239999998</v>
      </c>
      <c r="F47" t="s">
        <v>1280</v>
      </c>
      <c r="I47" s="16">
        <f>-IFERROR(VLOOKUP(C47,SIRCUPA!$A$21:$H$186,8,0),0)</f>
        <v>0</v>
      </c>
      <c r="J47" s="68">
        <f>-IFERROR(VLOOKUP(C47,SIRTAC!$A$16:$H$1405,8,0),0)</f>
        <v>-84</v>
      </c>
      <c r="K47" s="68">
        <f>-IFERROR(VLOOKUP(C47,Gastos!$A$9:$J$1398,10,0),0)</f>
        <v>-81.48</v>
      </c>
      <c r="L47" s="68">
        <f>-IFERROR(VLOOKUP(C47,IDC!$A$20:$H$1596,8,0),0)</f>
        <v>-50.4</v>
      </c>
      <c r="M47" s="74">
        <f t="shared" si="1"/>
        <v>8399.9999999999982</v>
      </c>
    </row>
    <row r="48" spans="1:13" customFormat="1">
      <c r="A48" t="s">
        <v>19</v>
      </c>
      <c r="B48" t="s">
        <v>11</v>
      </c>
      <c r="C48" s="51">
        <v>136381321286</v>
      </c>
      <c r="D48" s="1">
        <v>9840.43</v>
      </c>
      <c r="E48" s="1">
        <v>21112748.670000002</v>
      </c>
      <c r="F48" t="s">
        <v>1280</v>
      </c>
      <c r="I48" s="16">
        <f>-IFERROR(VLOOKUP(C48,SIRCUPA!$A$21:$H$186,8,0),0)</f>
        <v>0</v>
      </c>
      <c r="J48" s="68">
        <f>-IFERROR(VLOOKUP(C48,SIRTAC!$A$16:$H$1405,8,0),0)</f>
        <v>-101</v>
      </c>
      <c r="K48" s="68">
        <f>-IFERROR(VLOOKUP(C48,Gastos!$A$9:$J$1398,10,0),0)</f>
        <v>-97.97</v>
      </c>
      <c r="L48" s="68">
        <f>-IFERROR(VLOOKUP(C48,IDC!$A$20:$H$1596,8,0),0)</f>
        <v>-60.6</v>
      </c>
      <c r="M48" s="74">
        <f t="shared" si="1"/>
        <v>10100</v>
      </c>
    </row>
    <row r="49" spans="1:13" customFormat="1">
      <c r="A49" t="s">
        <v>19</v>
      </c>
      <c r="B49" t="s">
        <v>11</v>
      </c>
      <c r="C49" s="51">
        <v>135760346847</v>
      </c>
      <c r="D49" s="1">
        <v>11690.63</v>
      </c>
      <c r="E49" s="1">
        <v>21124439.300000001</v>
      </c>
      <c r="F49" t="s">
        <v>1280</v>
      </c>
      <c r="I49" s="16">
        <f>-IFERROR(VLOOKUP(C49,SIRCUPA!$A$21:$H$186,8,0),0)</f>
        <v>0</v>
      </c>
      <c r="J49" s="68">
        <f>-IFERROR(VLOOKUP(C49,SIRTAC!$A$16:$H$1405,8,0),0)</f>
        <v>-119.99</v>
      </c>
      <c r="K49" s="68">
        <f>-IFERROR(VLOOKUP(C49,Gastos!$A$9:$J$1398,10,0),0)</f>
        <v>-116.39</v>
      </c>
      <c r="L49" s="68">
        <f>-IFERROR(VLOOKUP(C49,IDC!$A$20:$H$1596,8,0),0)</f>
        <v>-71.989999999999995</v>
      </c>
      <c r="M49" s="74">
        <f t="shared" si="1"/>
        <v>11998.999999999998</v>
      </c>
    </row>
    <row r="50" spans="1:13" customFormat="1">
      <c r="A50" t="s">
        <v>19</v>
      </c>
      <c r="B50" t="s">
        <v>11</v>
      </c>
      <c r="C50" s="51">
        <v>135760275699</v>
      </c>
      <c r="D50" s="1">
        <v>61868.05</v>
      </c>
      <c r="E50" s="1">
        <v>21186307.350000001</v>
      </c>
      <c r="F50" t="s">
        <v>1280</v>
      </c>
      <c r="I50" s="16">
        <f>-IFERROR(VLOOKUP(C50,SIRCUPA!$A$21:$H$186,8,0),0)</f>
        <v>0</v>
      </c>
      <c r="J50" s="68">
        <f>-IFERROR(VLOOKUP(C50,SIRTAC!$A$16:$H$1405,8,0),0)</f>
        <v>-635</v>
      </c>
      <c r="K50" s="68">
        <f>-IFERROR(VLOOKUP(C50,Gastos!$A$9:$J$1398,10,0),0)</f>
        <v>-615.95000000000005</v>
      </c>
      <c r="L50" s="68">
        <f>-IFERROR(VLOOKUP(C50,IDC!$A$20:$H$1596,8,0),0)</f>
        <v>-381</v>
      </c>
      <c r="M50" s="74">
        <f t="shared" si="1"/>
        <v>63500</v>
      </c>
    </row>
    <row r="51" spans="1:13" customFormat="1">
      <c r="A51" t="s">
        <v>19</v>
      </c>
      <c r="B51" t="s">
        <v>11</v>
      </c>
      <c r="C51" s="51">
        <v>136382002426</v>
      </c>
      <c r="D51" s="1">
        <v>52319.91</v>
      </c>
      <c r="E51" s="1">
        <v>21238627.260000002</v>
      </c>
      <c r="F51" t="s">
        <v>1280</v>
      </c>
      <c r="I51" s="16">
        <f>-IFERROR(VLOOKUP(C51,SIRCUPA!$A$21:$H$186,8,0),0)</f>
        <v>0</v>
      </c>
      <c r="J51" s="68">
        <f>-IFERROR(VLOOKUP(C51,SIRTAC!$A$16:$H$1405,8,0),0)</f>
        <v>-537</v>
      </c>
      <c r="K51" s="68">
        <f>-IFERROR(VLOOKUP(C51,Gastos!$A$9:$J$1398,10,0),0)</f>
        <v>-520.89</v>
      </c>
      <c r="L51" s="68">
        <f>-IFERROR(VLOOKUP(C51,IDC!$A$20:$H$1596,8,0),0)</f>
        <v>-322.2</v>
      </c>
      <c r="M51" s="74">
        <f t="shared" si="1"/>
        <v>53700</v>
      </c>
    </row>
    <row r="52" spans="1:13" customFormat="1">
      <c r="A52" t="s">
        <v>19</v>
      </c>
      <c r="B52" t="s">
        <v>11</v>
      </c>
      <c r="C52" s="51">
        <v>135762331375</v>
      </c>
      <c r="D52" s="1">
        <v>4774.07</v>
      </c>
      <c r="E52" s="1">
        <v>21243401.329999998</v>
      </c>
      <c r="F52" t="s">
        <v>1280</v>
      </c>
      <c r="I52" s="16">
        <f>-IFERROR(VLOOKUP(C52,SIRCUPA!$A$21:$H$186,8,0),0)</f>
        <v>0</v>
      </c>
      <c r="J52" s="68">
        <f>-IFERROR(VLOOKUP(C52,SIRTAC!$A$16:$H$1405,8,0),0)</f>
        <v>-49</v>
      </c>
      <c r="K52" s="68">
        <f>-IFERROR(VLOOKUP(C52,Gastos!$A$9:$J$1398,10,0),0)</f>
        <v>-47.53</v>
      </c>
      <c r="L52" s="68">
        <f>-IFERROR(VLOOKUP(C52,IDC!$A$20:$H$1596,8,0),0)</f>
        <v>-29.4</v>
      </c>
      <c r="M52" s="74">
        <f t="shared" si="1"/>
        <v>4899.9999999999991</v>
      </c>
    </row>
    <row r="53" spans="1:13" customFormat="1">
      <c r="A53" t="s">
        <v>19</v>
      </c>
      <c r="B53" t="s">
        <v>11</v>
      </c>
      <c r="C53" s="51">
        <v>136383695972</v>
      </c>
      <c r="D53" s="1">
        <v>31320.73</v>
      </c>
      <c r="E53" s="1">
        <v>21274722.059999999</v>
      </c>
      <c r="F53" t="s">
        <v>1280</v>
      </c>
      <c r="I53" s="16">
        <f>-IFERROR(VLOOKUP(C53,SIRCUPA!$A$21:$H$186,8,0),0)</f>
        <v>0</v>
      </c>
      <c r="J53" s="68">
        <f>-IFERROR(VLOOKUP(C53,SIRTAC!$A$16:$H$1405,8,0),0)</f>
        <v>-344.98</v>
      </c>
      <c r="K53" s="68">
        <f>-IFERROR(VLOOKUP(C53,Gastos!$A$9:$J$1398,10,0),0)</f>
        <v>-2625.3</v>
      </c>
      <c r="L53" s="68">
        <f>-IFERROR(VLOOKUP(C53,IDC!$A$20:$H$1596,8,0),0)</f>
        <v>-206.99</v>
      </c>
      <c r="M53" s="74">
        <f t="shared" si="1"/>
        <v>34498</v>
      </c>
    </row>
    <row r="54" spans="1:13" customFormat="1">
      <c r="A54" t="s">
        <v>19</v>
      </c>
      <c r="B54" t="s">
        <v>11</v>
      </c>
      <c r="C54" s="51">
        <v>136383829954</v>
      </c>
      <c r="D54" s="1">
        <v>29813.58</v>
      </c>
      <c r="E54" s="1">
        <v>21304535.640000001</v>
      </c>
      <c r="F54" t="s">
        <v>1280</v>
      </c>
      <c r="I54" s="16">
        <f>-IFERROR(VLOOKUP(C54,SIRCUPA!$A$21:$H$186,8,0),0)</f>
        <v>0</v>
      </c>
      <c r="J54" s="68">
        <f>-IFERROR(VLOOKUP(C54,SIRTAC!$A$16:$H$1405,8,0),0)</f>
        <v>-306</v>
      </c>
      <c r="K54" s="68">
        <f>-IFERROR(VLOOKUP(C54,Gastos!$A$9:$J$1398,10,0),0)</f>
        <v>-296.82</v>
      </c>
      <c r="L54" s="68">
        <f>-IFERROR(VLOOKUP(C54,IDC!$A$20:$H$1596,8,0),0)</f>
        <v>-183.6</v>
      </c>
      <c r="M54" s="74">
        <f t="shared" si="1"/>
        <v>30600</v>
      </c>
    </row>
    <row r="55" spans="1:13" customFormat="1">
      <c r="A55" t="s">
        <v>19</v>
      </c>
      <c r="B55" t="s">
        <v>20</v>
      </c>
      <c r="C55" s="51">
        <v>135762846725</v>
      </c>
      <c r="D55" s="1">
        <v>1497.87</v>
      </c>
      <c r="E55" s="1">
        <v>21306033.510000002</v>
      </c>
      <c r="F55" t="s">
        <v>1280</v>
      </c>
      <c r="I55" s="16">
        <f>-IFERROR(VLOOKUP(C55,SIRCUPA!$A$21:$H$186,8,0),0)</f>
        <v>-22.95</v>
      </c>
      <c r="J55" s="68">
        <f>-IFERROR(VLOOKUP(C55,SIRTAC!$A$16:$H$1405,8,0),0)</f>
        <v>0</v>
      </c>
      <c r="K55" s="68">
        <f>-IFERROR(VLOOKUP(C55,Gastos!$A$9:$J$1398,10,0),0)</f>
        <v>0</v>
      </c>
      <c r="L55" s="68">
        <f>-IFERROR(VLOOKUP(C55,IDC!$A$20:$H$1596,8,0),0)</f>
        <v>-9.18</v>
      </c>
      <c r="M55" s="74">
        <f t="shared" si="1"/>
        <v>1530</v>
      </c>
    </row>
    <row r="56" spans="1:13" customFormat="1">
      <c r="A56" t="s">
        <v>19</v>
      </c>
      <c r="B56" t="s">
        <v>11</v>
      </c>
      <c r="C56" s="51">
        <v>136384024660</v>
      </c>
      <c r="D56" s="1">
        <v>18901.419999999998</v>
      </c>
      <c r="E56" s="1">
        <v>21324934.93</v>
      </c>
      <c r="F56" t="s">
        <v>1280</v>
      </c>
      <c r="I56" s="16">
        <f>-IFERROR(VLOOKUP(C56,SIRCUPA!$A$21:$H$186,8,0),0)</f>
        <v>0</v>
      </c>
      <c r="J56" s="68">
        <f>-IFERROR(VLOOKUP(C56,SIRTAC!$A$16:$H$1405,8,0),0)</f>
        <v>-194</v>
      </c>
      <c r="K56" s="68">
        <f>-IFERROR(VLOOKUP(C56,Gastos!$A$9:$J$1398,10,0),0)</f>
        <v>-188.18</v>
      </c>
      <c r="L56" s="68">
        <f>-IFERROR(VLOOKUP(C56,IDC!$A$20:$H$1596,8,0),0)</f>
        <v>-116.4</v>
      </c>
      <c r="M56" s="74">
        <f t="shared" si="1"/>
        <v>19400</v>
      </c>
    </row>
    <row r="57" spans="1:13" customFormat="1">
      <c r="A57" t="s">
        <v>19</v>
      </c>
      <c r="B57" t="s">
        <v>11</v>
      </c>
      <c r="C57" s="51">
        <v>136384104070</v>
      </c>
      <c r="D57" s="1">
        <v>44967.72</v>
      </c>
      <c r="E57" s="1">
        <v>21369902.649999999</v>
      </c>
      <c r="F57" t="s">
        <v>1280</v>
      </c>
      <c r="I57" s="16">
        <f>-IFERROR(VLOOKUP(C57,SIRCUPA!$A$21:$H$186,8,0),0)</f>
        <v>0</v>
      </c>
      <c r="J57" s="68">
        <f>-IFERROR(VLOOKUP(C57,SIRTAC!$A$16:$H$1405,8,0),0)</f>
        <v>-476</v>
      </c>
      <c r="K57" s="68">
        <f>-IFERROR(VLOOKUP(C57,Gastos!$A$9:$J$1398,10,0),0)</f>
        <v>-1870.68</v>
      </c>
      <c r="L57" s="68">
        <f>-IFERROR(VLOOKUP(C57,IDC!$A$20:$H$1596,8,0),0)</f>
        <v>-285.60000000000002</v>
      </c>
      <c r="M57" s="74">
        <f t="shared" si="1"/>
        <v>47600</v>
      </c>
    </row>
    <row r="58" spans="1:13" customFormat="1">
      <c r="A58" t="s">
        <v>19</v>
      </c>
      <c r="B58" t="s">
        <v>11</v>
      </c>
      <c r="C58" s="51">
        <v>135763446201</v>
      </c>
      <c r="D58" s="1">
        <v>20655.16</v>
      </c>
      <c r="E58" s="1">
        <v>21390557.809999999</v>
      </c>
      <c r="F58" t="s">
        <v>1280</v>
      </c>
      <c r="I58" s="16">
        <f>-IFERROR(VLOOKUP(C58,SIRCUPA!$A$21:$H$186,8,0),0)</f>
        <v>0</v>
      </c>
      <c r="J58" s="68">
        <f>-IFERROR(VLOOKUP(C58,SIRTAC!$A$16:$H$1405,8,0),0)</f>
        <v>-212</v>
      </c>
      <c r="K58" s="68">
        <f>-IFERROR(VLOOKUP(C58,Gastos!$A$9:$J$1398,10,0),0)</f>
        <v>-205.64</v>
      </c>
      <c r="L58" s="68">
        <f>-IFERROR(VLOOKUP(C58,IDC!$A$20:$H$1596,8,0),0)</f>
        <v>-127.2</v>
      </c>
      <c r="M58" s="74">
        <f t="shared" si="1"/>
        <v>21200</v>
      </c>
    </row>
    <row r="59" spans="1:13" customFormat="1">
      <c r="A59" t="s">
        <v>19</v>
      </c>
      <c r="B59" t="s">
        <v>11</v>
      </c>
      <c r="C59" s="51">
        <v>135877734691</v>
      </c>
      <c r="D59" s="1">
        <v>13797.42</v>
      </c>
      <c r="E59" s="1">
        <v>21404355.23</v>
      </c>
      <c r="F59" t="s">
        <v>1280</v>
      </c>
      <c r="I59" s="16">
        <f>-IFERROR(VLOOKUP(C59,SIRCUPA!$A$21:$H$186,8,0),0)</f>
        <v>0</v>
      </c>
      <c r="J59" s="68">
        <f>-IFERROR(VLOOKUP(C59,SIRTAC!$A$16:$H$1405,8,0),0)</f>
        <v>-147</v>
      </c>
      <c r="K59" s="68">
        <f>-IFERROR(VLOOKUP(C59,Gastos!$A$9:$J$1398,10,0),0)</f>
        <v>-667.38</v>
      </c>
      <c r="L59" s="68">
        <f>-IFERROR(VLOOKUP(C59,IDC!$A$20:$H$1596,8,0),0)</f>
        <v>-88.2</v>
      </c>
      <c r="M59" s="74">
        <f t="shared" si="1"/>
        <v>14700</v>
      </c>
    </row>
    <row r="60" spans="1:13" customFormat="1">
      <c r="A60" t="s">
        <v>19</v>
      </c>
      <c r="B60" t="s">
        <v>11</v>
      </c>
      <c r="C60" s="51">
        <v>136505580672</v>
      </c>
      <c r="D60" s="1">
        <v>25602.78</v>
      </c>
      <c r="E60" s="1">
        <v>21429958.010000002</v>
      </c>
      <c r="F60" t="s">
        <v>1280</v>
      </c>
      <c r="I60" s="16">
        <f>-IFERROR(VLOOKUP(C60,SIRCUPA!$A$21:$H$186,8,0),0)</f>
        <v>0</v>
      </c>
      <c r="J60" s="68">
        <f>-IFERROR(VLOOKUP(C60,SIRTAC!$A$16:$H$1405,8,0),0)</f>
        <v>-282</v>
      </c>
      <c r="K60" s="68">
        <f>-IFERROR(VLOOKUP(C60,Gastos!$A$9:$J$1398,10,0),0)</f>
        <v>-2146.02</v>
      </c>
      <c r="L60" s="68">
        <f>-IFERROR(VLOOKUP(C60,IDC!$A$20:$H$1596,8,0),0)</f>
        <v>-169.2</v>
      </c>
      <c r="M60" s="74">
        <f t="shared" si="1"/>
        <v>28200</v>
      </c>
    </row>
    <row r="61" spans="1:13" customFormat="1">
      <c r="A61" t="s">
        <v>19</v>
      </c>
      <c r="B61" t="s">
        <v>21</v>
      </c>
      <c r="C61" s="51">
        <v>136505473782</v>
      </c>
      <c r="D61" s="1">
        <v>2760.78</v>
      </c>
      <c r="E61" s="1">
        <v>21432718.789999999</v>
      </c>
      <c r="F61" t="s">
        <v>1280</v>
      </c>
      <c r="I61" s="16">
        <f>-IFERROR(VLOOKUP(C61,SIRCUPA!$A$21:$H$186,8,0),0)</f>
        <v>-42.3</v>
      </c>
      <c r="J61" s="68">
        <f>-IFERROR(VLOOKUP(C61,SIRTAC!$A$16:$H$1405,8,0),0)</f>
        <v>0</v>
      </c>
      <c r="K61" s="68">
        <f>-IFERROR(VLOOKUP(C61,Gastos!$A$9:$J$1398,10,0),0)</f>
        <v>0</v>
      </c>
      <c r="L61" s="68">
        <f>-IFERROR(VLOOKUP(C61,IDC!$A$20:$H$1596,8,0),0)</f>
        <v>-16.920000000000002</v>
      </c>
      <c r="M61" s="74">
        <f t="shared" si="1"/>
        <v>2820.0000000000005</v>
      </c>
    </row>
    <row r="62" spans="1:13" customFormat="1">
      <c r="A62" t="s">
        <v>19</v>
      </c>
      <c r="B62" t="s">
        <v>11</v>
      </c>
      <c r="C62" s="51">
        <v>135884884887</v>
      </c>
      <c r="D62" s="1">
        <v>29002.29</v>
      </c>
      <c r="E62" s="1">
        <v>21461721.079999998</v>
      </c>
      <c r="F62" t="s">
        <v>1280</v>
      </c>
      <c r="I62" s="16">
        <f>-IFERROR(VLOOKUP(C62,SIRCUPA!$A$21:$H$186,8,0),0)</f>
        <v>0</v>
      </c>
      <c r="J62" s="68">
        <f>-IFERROR(VLOOKUP(C62,SIRTAC!$A$16:$H$1405,8,0),0)</f>
        <v>-307</v>
      </c>
      <c r="K62" s="68">
        <f>-IFERROR(VLOOKUP(C62,Gastos!$A$9:$J$1398,10,0),0)</f>
        <v>-1206.51</v>
      </c>
      <c r="L62" s="68">
        <f>-IFERROR(VLOOKUP(C62,IDC!$A$20:$H$1596,8,0),0)</f>
        <v>-184.2</v>
      </c>
      <c r="M62" s="74">
        <f t="shared" si="1"/>
        <v>30700</v>
      </c>
    </row>
    <row r="63" spans="1:13" customFormat="1">
      <c r="A63" t="s">
        <v>19</v>
      </c>
      <c r="B63" t="s">
        <v>11</v>
      </c>
      <c r="C63" s="51">
        <v>136507926506</v>
      </c>
      <c r="D63" s="1">
        <v>9258.06</v>
      </c>
      <c r="E63" s="1">
        <v>21470979.140000001</v>
      </c>
      <c r="F63" t="s">
        <v>1280</v>
      </c>
      <c r="I63" s="16">
        <f>-IFERROR(VLOOKUP(C63,SIRCUPA!$A$21:$H$186,8,0),0)</f>
        <v>0</v>
      </c>
      <c r="J63" s="68">
        <f>-IFERROR(VLOOKUP(C63,SIRTAC!$A$16:$H$1405,8,0),0)</f>
        <v>-98</v>
      </c>
      <c r="K63" s="68">
        <f>-IFERROR(VLOOKUP(C63,Gastos!$A$9:$J$1398,10,0),0)</f>
        <v>-385.14</v>
      </c>
      <c r="L63" s="68">
        <f>-IFERROR(VLOOKUP(C63,IDC!$A$20:$H$1596,8,0),0)</f>
        <v>-58.8</v>
      </c>
      <c r="M63" s="74">
        <f t="shared" si="1"/>
        <v>9799.9999999999982</v>
      </c>
    </row>
    <row r="64" spans="1:13" customFormat="1">
      <c r="A64" t="s">
        <v>19</v>
      </c>
      <c r="B64" t="s">
        <v>11</v>
      </c>
      <c r="C64" s="51">
        <v>135887589531</v>
      </c>
      <c r="D64" s="1">
        <v>7935.48</v>
      </c>
      <c r="E64" s="1">
        <v>21478914.620000001</v>
      </c>
      <c r="F64" t="s">
        <v>1280</v>
      </c>
      <c r="I64" s="16">
        <f>-IFERROR(VLOOKUP(C64,SIRCUPA!$A$21:$H$186,8,0),0)</f>
        <v>0</v>
      </c>
      <c r="J64" s="68">
        <f>-IFERROR(VLOOKUP(C64,SIRTAC!$A$16:$H$1405,8,0),0)</f>
        <v>-84</v>
      </c>
      <c r="K64" s="68">
        <f>-IFERROR(VLOOKUP(C64,Gastos!$A$9:$J$1398,10,0),0)</f>
        <v>-330.12</v>
      </c>
      <c r="L64" s="68">
        <f>-IFERROR(VLOOKUP(C64,IDC!$A$20:$H$1596,8,0),0)</f>
        <v>-50.4</v>
      </c>
      <c r="M64" s="74">
        <f t="shared" si="1"/>
        <v>8400</v>
      </c>
    </row>
    <row r="65" spans="1:13" customFormat="1">
      <c r="A65" t="s">
        <v>19</v>
      </c>
      <c r="B65" t="s">
        <v>11</v>
      </c>
      <c r="C65" s="51">
        <v>135889088143</v>
      </c>
      <c r="D65" s="1">
        <v>9645.57</v>
      </c>
      <c r="E65" s="1">
        <v>21488560.190000001</v>
      </c>
      <c r="F65" t="s">
        <v>1280</v>
      </c>
      <c r="I65" s="16">
        <f>-IFERROR(VLOOKUP(C65,SIRCUPA!$A$21:$H$186,8,0),0)</f>
        <v>0</v>
      </c>
      <c r="J65" s="68">
        <f>-IFERROR(VLOOKUP(C65,SIRTAC!$A$16:$H$1405,8,0),0)</f>
        <v>-99</v>
      </c>
      <c r="K65" s="68">
        <f>-IFERROR(VLOOKUP(C65,Gastos!$A$9:$J$1398,10,0),0)</f>
        <v>-96.03</v>
      </c>
      <c r="L65" s="68">
        <f>-IFERROR(VLOOKUP(C65,IDC!$A$20:$H$1596,8,0),0)</f>
        <v>-59.4</v>
      </c>
      <c r="M65" s="74">
        <f t="shared" si="1"/>
        <v>9900</v>
      </c>
    </row>
    <row r="66" spans="1:13" customFormat="1">
      <c r="A66" t="s">
        <v>19</v>
      </c>
      <c r="B66" t="s">
        <v>22</v>
      </c>
      <c r="C66" s="51">
        <v>135888975597</v>
      </c>
      <c r="D66">
        <v>484.6</v>
      </c>
      <c r="E66" s="1">
        <v>21489044.789999999</v>
      </c>
      <c r="F66" t="s">
        <v>1280</v>
      </c>
      <c r="I66" s="16">
        <f>-IFERROR(VLOOKUP(C66,SIRCUPA!$A$21:$H$186,8,0),0)</f>
        <v>-7.43</v>
      </c>
      <c r="J66" s="68">
        <f>-IFERROR(VLOOKUP(C66,SIRTAC!$A$16:$H$1405,8,0),0)</f>
        <v>0</v>
      </c>
      <c r="K66" s="68">
        <f>-IFERROR(VLOOKUP(C66,Gastos!$A$9:$J$1398,10,0),0)</f>
        <v>0</v>
      </c>
      <c r="L66" s="68">
        <f>-IFERROR(VLOOKUP(C66,IDC!$A$20:$H$1596,8,0),0)</f>
        <v>-2.97</v>
      </c>
      <c r="M66" s="74">
        <f t="shared" si="1"/>
        <v>495.00000000000006</v>
      </c>
    </row>
    <row r="67" spans="1:13" customFormat="1">
      <c r="A67" t="s">
        <v>19</v>
      </c>
      <c r="B67" t="s">
        <v>11</v>
      </c>
      <c r="C67" s="51">
        <v>136512148984</v>
      </c>
      <c r="D67" s="1">
        <v>9548.14</v>
      </c>
      <c r="E67" s="1">
        <v>21498592.93</v>
      </c>
      <c r="F67" t="s">
        <v>1280</v>
      </c>
      <c r="I67" s="16">
        <f>-IFERROR(VLOOKUP(C67,SIRCUPA!$A$21:$H$186,8,0),0)</f>
        <v>0</v>
      </c>
      <c r="J67" s="68">
        <f>-IFERROR(VLOOKUP(C67,SIRTAC!$A$16:$H$1405,8,0),0)</f>
        <v>-98</v>
      </c>
      <c r="K67" s="68">
        <f>-IFERROR(VLOOKUP(C67,Gastos!$A$9:$J$1398,10,0),0)</f>
        <v>-95.06</v>
      </c>
      <c r="L67" s="68">
        <f>-IFERROR(VLOOKUP(C67,IDC!$A$20:$H$1596,8,0),0)</f>
        <v>-58.8</v>
      </c>
      <c r="M67" s="74">
        <f t="shared" si="1"/>
        <v>9799.9999999999982</v>
      </c>
    </row>
    <row r="68" spans="1:13" customFormat="1">
      <c r="A68" t="s">
        <v>19</v>
      </c>
      <c r="B68" t="s">
        <v>11</v>
      </c>
      <c r="C68" s="51">
        <v>135897982183</v>
      </c>
      <c r="D68" s="1">
        <v>4440.09</v>
      </c>
      <c r="E68" s="1">
        <v>21503033.02</v>
      </c>
      <c r="F68" t="s">
        <v>1280</v>
      </c>
      <c r="I68" s="16">
        <f>-IFERROR(VLOOKUP(C68,SIRCUPA!$A$21:$H$186,8,0),0)</f>
        <v>0</v>
      </c>
      <c r="J68" s="68">
        <f>-IFERROR(VLOOKUP(C68,SIRTAC!$A$16:$H$1405,8,0),0)</f>
        <v>-47</v>
      </c>
      <c r="K68" s="68">
        <f>-IFERROR(VLOOKUP(C68,Gastos!$A$9:$J$1398,10,0),0)</f>
        <v>-184.71</v>
      </c>
      <c r="L68" s="68">
        <f>-IFERROR(VLOOKUP(C68,IDC!$A$20:$H$1596,8,0),0)</f>
        <v>-28.2</v>
      </c>
      <c r="M68" s="74">
        <f t="shared" si="1"/>
        <v>4700</v>
      </c>
    </row>
    <row r="69" spans="1:13" customFormat="1">
      <c r="A69" t="s">
        <v>19</v>
      </c>
      <c r="B69" t="s">
        <v>11</v>
      </c>
      <c r="C69" s="51">
        <v>136520889392</v>
      </c>
      <c r="D69" s="1">
        <v>4676.6400000000003</v>
      </c>
      <c r="E69" s="1">
        <v>21507709.66</v>
      </c>
      <c r="F69" t="s">
        <v>1280</v>
      </c>
      <c r="I69" s="16">
        <f>-IFERROR(VLOOKUP(C69,SIRCUPA!$A$21:$H$186,8,0),0)</f>
        <v>0</v>
      </c>
      <c r="J69" s="68">
        <f>-IFERROR(VLOOKUP(C69,SIRTAC!$A$16:$H$1405,8,0),0)</f>
        <v>-48</v>
      </c>
      <c r="K69" s="68">
        <f>-IFERROR(VLOOKUP(C69,Gastos!$A$9:$J$1398,10,0),0)</f>
        <v>-46.56</v>
      </c>
      <c r="L69" s="68">
        <f>-IFERROR(VLOOKUP(C69,IDC!$A$20:$H$1596,8,0),0)</f>
        <v>-28.8</v>
      </c>
      <c r="M69" s="74">
        <f t="shared" si="1"/>
        <v>4800.0000000000009</v>
      </c>
    </row>
    <row r="70" spans="1:13" customFormat="1">
      <c r="A70" t="s">
        <v>19</v>
      </c>
      <c r="B70" t="s">
        <v>11</v>
      </c>
      <c r="C70" s="51">
        <v>135898239819</v>
      </c>
      <c r="D70" s="1">
        <v>4092.06</v>
      </c>
      <c r="E70" s="1">
        <v>21511801.719999999</v>
      </c>
      <c r="F70" t="s">
        <v>1280</v>
      </c>
      <c r="I70" s="16">
        <f>-IFERROR(VLOOKUP(C70,SIRCUPA!$A$21:$H$186,8,0),0)</f>
        <v>0</v>
      </c>
      <c r="J70" s="68">
        <f>-IFERROR(VLOOKUP(C70,SIRTAC!$A$16:$H$1405,8,0),0)</f>
        <v>-42</v>
      </c>
      <c r="K70" s="68">
        <f>-IFERROR(VLOOKUP(C70,Gastos!$A$9:$J$1398,10,0),0)</f>
        <v>-40.74</v>
      </c>
      <c r="L70" s="68">
        <f>-IFERROR(VLOOKUP(C70,IDC!$A$20:$H$1596,8,0),0)</f>
        <v>-25.2</v>
      </c>
      <c r="M70" s="74">
        <f t="shared" si="1"/>
        <v>4199.9999999999991</v>
      </c>
    </row>
    <row r="71" spans="1:13" customFormat="1">
      <c r="A71" t="s">
        <v>19</v>
      </c>
      <c r="B71" t="s">
        <v>11</v>
      </c>
      <c r="C71" s="51">
        <v>136521246224</v>
      </c>
      <c r="D71" s="1">
        <v>21306.22</v>
      </c>
      <c r="E71" s="1">
        <v>21533107.940000001</v>
      </c>
      <c r="F71" t="s">
        <v>1280</v>
      </c>
      <c r="I71" s="16">
        <f>-IFERROR(VLOOKUP(C71,SIRCUPA!$A$21:$H$186,8,0),0)</f>
        <v>0</v>
      </c>
      <c r="J71" s="68">
        <f>-IFERROR(VLOOKUP(C71,SIRTAC!$A$16:$H$1405,8,0),0)</f>
        <v>-227</v>
      </c>
      <c r="K71" s="68">
        <f>-IFERROR(VLOOKUP(C71,Gastos!$A$9:$J$1398,10,0),0)</f>
        <v>-1030.58</v>
      </c>
      <c r="L71" s="68">
        <f>-IFERROR(VLOOKUP(C71,IDC!$A$20:$H$1596,8,0),0)</f>
        <v>-136.19999999999999</v>
      </c>
      <c r="M71" s="74">
        <f t="shared" si="1"/>
        <v>22700.000000000004</v>
      </c>
    </row>
    <row r="72" spans="1:13" customFormat="1">
      <c r="A72" t="s">
        <v>19</v>
      </c>
      <c r="B72" t="s">
        <v>11</v>
      </c>
      <c r="C72" s="51">
        <v>135899858747</v>
      </c>
      <c r="D72" s="1">
        <v>12764.96</v>
      </c>
      <c r="E72" s="1">
        <v>21545872.899999999</v>
      </c>
      <c r="F72" t="s">
        <v>1280</v>
      </c>
      <c r="I72" s="16">
        <f>-IFERROR(VLOOKUP(C72,SIRCUPA!$A$21:$H$186,8,0),0)</f>
        <v>0</v>
      </c>
      <c r="J72" s="68">
        <f>-IFERROR(VLOOKUP(C72,SIRTAC!$A$16:$H$1405,8,0),0)</f>
        <v>-136</v>
      </c>
      <c r="K72" s="68">
        <f>-IFERROR(VLOOKUP(C72,Gastos!$A$9:$J$1398,10,0),0)</f>
        <v>-617.44000000000005</v>
      </c>
      <c r="L72" s="68">
        <f>-IFERROR(VLOOKUP(C72,IDC!$A$20:$H$1596,8,0),0)</f>
        <v>-81.599999999999994</v>
      </c>
      <c r="M72" s="74">
        <f t="shared" si="1"/>
        <v>13600</v>
      </c>
    </row>
    <row r="73" spans="1:13" customFormat="1">
      <c r="A73" t="s">
        <v>19</v>
      </c>
      <c r="B73" t="s">
        <v>11</v>
      </c>
      <c r="C73" s="51">
        <v>136522852030</v>
      </c>
      <c r="D73" s="1">
        <v>26988.11</v>
      </c>
      <c r="E73" s="1">
        <v>21572861.010000002</v>
      </c>
      <c r="F73" t="s">
        <v>1280</v>
      </c>
      <c r="I73" s="16">
        <f>-IFERROR(VLOOKUP(C73,SIRCUPA!$A$21:$H$186,8,0),0)</f>
        <v>0</v>
      </c>
      <c r="J73" s="68">
        <f>-IFERROR(VLOOKUP(C73,SIRTAC!$A$16:$H$1405,8,0),0)</f>
        <v>-277</v>
      </c>
      <c r="K73" s="68">
        <f>-IFERROR(VLOOKUP(C73,Gastos!$A$9:$J$1398,10,0),0)</f>
        <v>-268.69</v>
      </c>
      <c r="L73" s="68">
        <f>-IFERROR(VLOOKUP(C73,IDC!$A$20:$H$1596,8,0),0)</f>
        <v>-166.2</v>
      </c>
      <c r="M73" s="74">
        <f t="shared" si="1"/>
        <v>27700</v>
      </c>
    </row>
    <row r="74" spans="1:13" customFormat="1">
      <c r="A74" t="s">
        <v>19</v>
      </c>
      <c r="B74" t="s">
        <v>11</v>
      </c>
      <c r="C74" s="51">
        <v>135900371775</v>
      </c>
      <c r="D74" s="1">
        <v>14926.26</v>
      </c>
      <c r="E74" s="1">
        <v>21587787.27</v>
      </c>
      <c r="F74" t="s">
        <v>1280</v>
      </c>
      <c r="I74" s="16">
        <f>-IFERROR(VLOOKUP(C74,SIRCUPA!$A$21:$H$186,8,0),0)</f>
        <v>0</v>
      </c>
      <c r="J74" s="68">
        <f>-IFERROR(VLOOKUP(C74,SIRTAC!$A$16:$H$1405,8,0),0)</f>
        <v>-158</v>
      </c>
      <c r="K74" s="68">
        <f>-IFERROR(VLOOKUP(C74,Gastos!$A$9:$J$1398,10,0),0)</f>
        <v>-620.94000000000005</v>
      </c>
      <c r="L74" s="68">
        <f>-IFERROR(VLOOKUP(C74,IDC!$A$20:$H$1596,8,0),0)</f>
        <v>-94.8</v>
      </c>
      <c r="M74" s="74">
        <f t="shared" si="1"/>
        <v>15800</v>
      </c>
    </row>
    <row r="75" spans="1:13" customFormat="1">
      <c r="A75" t="s">
        <v>19</v>
      </c>
      <c r="B75" t="s">
        <v>11</v>
      </c>
      <c r="C75" s="51">
        <v>135900611305</v>
      </c>
      <c r="D75" s="1">
        <v>4092.06</v>
      </c>
      <c r="E75" s="1">
        <v>21591879.329999998</v>
      </c>
      <c r="F75" t="s">
        <v>1280</v>
      </c>
      <c r="I75" s="16">
        <f>-IFERROR(VLOOKUP(C75,SIRCUPA!$A$21:$H$186,8,0),0)</f>
        <v>0</v>
      </c>
      <c r="J75" s="68">
        <f>-IFERROR(VLOOKUP(C75,SIRTAC!$A$16:$H$1405,8,0),0)</f>
        <v>-42</v>
      </c>
      <c r="K75" s="68">
        <f>-IFERROR(VLOOKUP(C75,Gastos!$A$9:$J$1398,10,0),0)</f>
        <v>-40.74</v>
      </c>
      <c r="L75" s="68">
        <f>-IFERROR(VLOOKUP(C75,IDC!$A$20:$H$1596,8,0),0)</f>
        <v>-25.2</v>
      </c>
      <c r="M75" s="74">
        <f t="shared" si="1"/>
        <v>4199.9999999999991</v>
      </c>
    </row>
    <row r="76" spans="1:13" customFormat="1">
      <c r="A76" t="s">
        <v>19</v>
      </c>
      <c r="B76" t="s">
        <v>23</v>
      </c>
      <c r="C76" s="51">
        <v>135900601361</v>
      </c>
      <c r="D76">
        <v>205.59</v>
      </c>
      <c r="E76" s="1">
        <v>21592084.920000002</v>
      </c>
      <c r="F76" t="s">
        <v>1280</v>
      </c>
      <c r="I76" s="16">
        <f>-IFERROR(VLOOKUP(C76,SIRCUPA!$A$21:$H$186,8,0),0)</f>
        <v>-3.15</v>
      </c>
      <c r="J76" s="68">
        <f>-IFERROR(VLOOKUP(C76,SIRTAC!$A$16:$H$1405,8,0),0)</f>
        <v>0</v>
      </c>
      <c r="K76" s="68">
        <f>-IFERROR(VLOOKUP(C76,Gastos!$A$9:$J$1398,10,0),0)</f>
        <v>0</v>
      </c>
      <c r="L76" s="68">
        <f>-IFERROR(VLOOKUP(C76,IDC!$A$20:$H$1596,8,0),0)</f>
        <v>-1.26</v>
      </c>
      <c r="M76" s="74">
        <f t="shared" si="1"/>
        <v>210</v>
      </c>
    </row>
    <row r="77" spans="1:13" customFormat="1">
      <c r="A77" t="s">
        <v>19</v>
      </c>
      <c r="B77" t="s">
        <v>11</v>
      </c>
      <c r="C77" s="51">
        <v>136523721252</v>
      </c>
      <c r="D77" s="1">
        <v>5358.65</v>
      </c>
      <c r="E77" s="1">
        <v>21597443.57</v>
      </c>
      <c r="F77" t="s">
        <v>1280</v>
      </c>
      <c r="I77" s="16">
        <f>-IFERROR(VLOOKUP(C77,SIRCUPA!$A$21:$H$186,8,0),0)</f>
        <v>0</v>
      </c>
      <c r="J77" s="68">
        <f>-IFERROR(VLOOKUP(C77,SIRTAC!$A$16:$H$1405,8,0),0)</f>
        <v>-55</v>
      </c>
      <c r="K77" s="68">
        <f>-IFERROR(VLOOKUP(C77,Gastos!$A$9:$J$1398,10,0),0)</f>
        <v>-53.35</v>
      </c>
      <c r="L77" s="68">
        <f>-IFERROR(VLOOKUP(C77,IDC!$A$20:$H$1596,8,0),0)</f>
        <v>-33</v>
      </c>
      <c r="M77" s="74">
        <f t="shared" si="1"/>
        <v>5500</v>
      </c>
    </row>
    <row r="78" spans="1:13" customFormat="1">
      <c r="A78" t="s">
        <v>19</v>
      </c>
      <c r="B78" t="s">
        <v>11</v>
      </c>
      <c r="C78" s="51">
        <v>136523955074</v>
      </c>
      <c r="D78" s="1">
        <v>3994.63</v>
      </c>
      <c r="E78" s="1">
        <v>21601438.199999999</v>
      </c>
      <c r="F78" t="s">
        <v>1280</v>
      </c>
      <c r="I78" s="16">
        <f>-IFERROR(VLOOKUP(C78,SIRCUPA!$A$21:$H$186,8,0),0)</f>
        <v>0</v>
      </c>
      <c r="J78" s="68">
        <f>-IFERROR(VLOOKUP(C78,SIRTAC!$A$16:$H$1405,8,0),0)</f>
        <v>-41</v>
      </c>
      <c r="K78" s="68">
        <f>-IFERROR(VLOOKUP(C78,Gastos!$A$9:$J$1398,10,0),0)</f>
        <v>-39.770000000000003</v>
      </c>
      <c r="L78" s="68">
        <f>-IFERROR(VLOOKUP(C78,IDC!$A$20:$H$1596,8,0),0)</f>
        <v>-24.6</v>
      </c>
      <c r="M78" s="74">
        <f t="shared" si="1"/>
        <v>4100</v>
      </c>
    </row>
    <row r="79" spans="1:13" customFormat="1">
      <c r="A79" t="s">
        <v>19</v>
      </c>
      <c r="B79" t="s">
        <v>11</v>
      </c>
      <c r="C79" s="51">
        <v>136524590174</v>
      </c>
      <c r="D79" s="1">
        <v>31175.1</v>
      </c>
      <c r="E79" s="1">
        <v>21632613.300000001</v>
      </c>
      <c r="F79" t="s">
        <v>1280</v>
      </c>
      <c r="I79" s="16">
        <f>-IFERROR(VLOOKUP(C79,SIRCUPA!$A$21:$H$186,8,0),0)</f>
        <v>0</v>
      </c>
      <c r="J79" s="68">
        <f>-IFERROR(VLOOKUP(C79,SIRTAC!$A$16:$H$1405,8,0),0)</f>
        <v>-330</v>
      </c>
      <c r="K79" s="68">
        <f>-IFERROR(VLOOKUP(C79,Gastos!$A$9:$J$1398,10,0),0)</f>
        <v>-1296.9000000000001</v>
      </c>
      <c r="L79" s="68">
        <f>-IFERROR(VLOOKUP(C79,IDC!$A$20:$H$1596,8,0),0)</f>
        <v>-198</v>
      </c>
      <c r="M79" s="74">
        <f t="shared" si="1"/>
        <v>33000</v>
      </c>
    </row>
    <row r="80" spans="1:13" customFormat="1">
      <c r="A80" t="s">
        <v>19</v>
      </c>
      <c r="B80" t="s">
        <v>11</v>
      </c>
      <c r="C80" s="51">
        <v>135902300611</v>
      </c>
      <c r="D80" s="1">
        <v>10985.59</v>
      </c>
      <c r="E80" s="1">
        <v>21643598.890000001</v>
      </c>
      <c r="F80" t="s">
        <v>1280</v>
      </c>
      <c r="I80" s="16">
        <f>-IFERROR(VLOOKUP(C80,SIRCUPA!$A$21:$H$186,8,0),0)</f>
        <v>0</v>
      </c>
      <c r="J80" s="68">
        <f>-IFERROR(VLOOKUP(C80,SIRTAC!$A$16:$H$1405,8,0),0)</f>
        <v>-121</v>
      </c>
      <c r="K80" s="68">
        <f>-IFERROR(VLOOKUP(C80,Gastos!$A$9:$J$1398,10,0),0)</f>
        <v>-920.81</v>
      </c>
      <c r="L80" s="68">
        <f>-IFERROR(VLOOKUP(C80,IDC!$A$20:$H$1596,8,0),0)</f>
        <v>-72.599999999999994</v>
      </c>
      <c r="M80" s="74">
        <f t="shared" si="1"/>
        <v>12100</v>
      </c>
    </row>
    <row r="81" spans="1:13" customFormat="1">
      <c r="A81" t="s">
        <v>19</v>
      </c>
      <c r="B81" t="s">
        <v>11</v>
      </c>
      <c r="C81" s="51">
        <v>135902991043</v>
      </c>
      <c r="D81" s="1">
        <v>13934.88</v>
      </c>
      <c r="E81" s="1">
        <v>21657533.77</v>
      </c>
      <c r="F81" t="s">
        <v>1280</v>
      </c>
      <c r="I81" s="16">
        <f>-IFERROR(VLOOKUP(C81,SIRCUPA!$A$21:$H$186,8,0),0)</f>
        <v>0</v>
      </c>
      <c r="J81" s="68">
        <f>-IFERROR(VLOOKUP(C81,SIRTAC!$A$16:$H$1405,8,0),0)</f>
        <v>-144</v>
      </c>
      <c r="K81" s="68">
        <f>-IFERROR(VLOOKUP(C81,Gastos!$A$9:$J$1398,10,0),0)</f>
        <v>-234.72</v>
      </c>
      <c r="L81" s="68">
        <f>-IFERROR(VLOOKUP(C81,IDC!$A$20:$H$1596,8,0),0)</f>
        <v>-86.4</v>
      </c>
      <c r="M81" s="74">
        <f t="shared" ref="M81:M144" si="2">+D81-I81-J81-K81-L81</f>
        <v>14399.999999999998</v>
      </c>
    </row>
    <row r="82" spans="1:13" customFormat="1">
      <c r="A82" t="s">
        <v>19</v>
      </c>
      <c r="B82" t="s">
        <v>11</v>
      </c>
      <c r="C82" s="51">
        <v>135903079939</v>
      </c>
      <c r="D82" s="1">
        <v>41212.89</v>
      </c>
      <c r="E82" s="1">
        <v>21698746.66</v>
      </c>
      <c r="F82" t="s">
        <v>1280</v>
      </c>
      <c r="I82" s="16">
        <f>-IFERROR(VLOOKUP(C82,SIRCUPA!$A$21:$H$186,8,0),0)</f>
        <v>0</v>
      </c>
      <c r="J82" s="68">
        <f>-IFERROR(VLOOKUP(C82,SIRTAC!$A$16:$H$1405,8,0),0)</f>
        <v>-423</v>
      </c>
      <c r="K82" s="68">
        <f>-IFERROR(VLOOKUP(C82,Gastos!$A$9:$J$1398,10,0),0)</f>
        <v>-410.31</v>
      </c>
      <c r="L82" s="68">
        <f>-IFERROR(VLOOKUP(C82,IDC!$A$20:$H$1596,8,0),0)</f>
        <v>-253.8</v>
      </c>
      <c r="M82" s="74">
        <f t="shared" si="2"/>
        <v>42300</v>
      </c>
    </row>
    <row r="83" spans="1:13" customFormat="1">
      <c r="A83" t="s">
        <v>19</v>
      </c>
      <c r="B83" t="s">
        <v>11</v>
      </c>
      <c r="C83" s="51">
        <v>135903488753</v>
      </c>
      <c r="D83" s="1">
        <v>4676.6400000000003</v>
      </c>
      <c r="E83" s="1">
        <v>21703423.300000001</v>
      </c>
      <c r="F83" t="s">
        <v>1280</v>
      </c>
      <c r="I83" s="16">
        <f>-IFERROR(VLOOKUP(C83,SIRCUPA!$A$21:$H$186,8,0),0)</f>
        <v>0</v>
      </c>
      <c r="J83" s="68">
        <f>-IFERROR(VLOOKUP(C83,SIRTAC!$A$16:$H$1405,8,0),0)</f>
        <v>-48</v>
      </c>
      <c r="K83" s="68">
        <f>-IFERROR(VLOOKUP(C83,Gastos!$A$9:$J$1398,10,0),0)</f>
        <v>-46.56</v>
      </c>
      <c r="L83" s="68">
        <f>-IFERROR(VLOOKUP(C83,IDC!$A$20:$H$1596,8,0),0)</f>
        <v>-28.8</v>
      </c>
      <c r="M83" s="74">
        <f t="shared" si="2"/>
        <v>4800.0000000000009</v>
      </c>
    </row>
    <row r="84" spans="1:13" customFormat="1">
      <c r="A84" t="s">
        <v>19</v>
      </c>
      <c r="B84" t="s">
        <v>11</v>
      </c>
      <c r="C84" s="51">
        <v>136525966018</v>
      </c>
      <c r="D84" s="1">
        <v>5358.65</v>
      </c>
      <c r="E84" s="1">
        <v>21708781.949999999</v>
      </c>
      <c r="F84" t="s">
        <v>1280</v>
      </c>
      <c r="I84" s="16">
        <f>-IFERROR(VLOOKUP(C84,SIRCUPA!$A$21:$H$186,8,0),0)</f>
        <v>0</v>
      </c>
      <c r="J84" s="68">
        <f>-IFERROR(VLOOKUP(C84,SIRTAC!$A$16:$H$1405,8,0),0)</f>
        <v>-55</v>
      </c>
      <c r="K84" s="68">
        <f>-IFERROR(VLOOKUP(C84,Gastos!$A$9:$J$1398,10,0),0)</f>
        <v>-53.35</v>
      </c>
      <c r="L84" s="68">
        <f>-IFERROR(VLOOKUP(C84,IDC!$A$20:$H$1596,8,0),0)</f>
        <v>-33</v>
      </c>
      <c r="M84" s="74">
        <f t="shared" si="2"/>
        <v>5500</v>
      </c>
    </row>
    <row r="85" spans="1:13" customFormat="1">
      <c r="A85" t="s">
        <v>19</v>
      </c>
      <c r="B85" t="s">
        <v>11</v>
      </c>
      <c r="C85" s="51">
        <v>135903704321</v>
      </c>
      <c r="D85" s="1">
        <v>4384.3500000000004</v>
      </c>
      <c r="E85" s="1">
        <v>21713166.300000001</v>
      </c>
      <c r="F85" t="s">
        <v>1280</v>
      </c>
      <c r="I85" s="16">
        <f>-IFERROR(VLOOKUP(C85,SIRCUPA!$A$21:$H$186,8,0),0)</f>
        <v>0</v>
      </c>
      <c r="J85" s="68">
        <f>-IFERROR(VLOOKUP(C85,SIRTAC!$A$16:$H$1405,8,0),0)</f>
        <v>-45</v>
      </c>
      <c r="K85" s="68">
        <f>-IFERROR(VLOOKUP(C85,Gastos!$A$9:$J$1398,10,0),0)</f>
        <v>-43.65</v>
      </c>
      <c r="L85" s="68">
        <f>-IFERROR(VLOOKUP(C85,IDC!$A$20:$H$1596,8,0),0)</f>
        <v>-27</v>
      </c>
      <c r="M85" s="74">
        <f t="shared" si="2"/>
        <v>4500</v>
      </c>
    </row>
    <row r="86" spans="1:13" customFormat="1">
      <c r="A86" t="s">
        <v>19</v>
      </c>
      <c r="B86" t="s">
        <v>11</v>
      </c>
      <c r="C86" s="51">
        <v>135903824609</v>
      </c>
      <c r="D86" s="1">
        <v>31177.599999999999</v>
      </c>
      <c r="E86" s="1">
        <v>21744343.899999999</v>
      </c>
      <c r="F86" t="s">
        <v>1280</v>
      </c>
      <c r="I86" s="16">
        <f>-IFERROR(VLOOKUP(C86,SIRCUPA!$A$21:$H$186,8,0),0)</f>
        <v>0</v>
      </c>
      <c r="J86" s="68">
        <f>-IFERROR(VLOOKUP(C86,SIRTAC!$A$16:$H$1405,8,0),0)</f>
        <v>-320</v>
      </c>
      <c r="K86" s="68">
        <f>-IFERROR(VLOOKUP(C86,Gastos!$A$9:$J$1398,10,0),0)</f>
        <v>-310.39999999999998</v>
      </c>
      <c r="L86" s="68">
        <f>-IFERROR(VLOOKUP(C86,IDC!$A$20:$H$1596,8,0),0)</f>
        <v>-192</v>
      </c>
      <c r="M86" s="74">
        <f t="shared" si="2"/>
        <v>32000</v>
      </c>
    </row>
    <row r="87" spans="1:13" customFormat="1">
      <c r="A87" t="s">
        <v>19</v>
      </c>
      <c r="B87" t="s">
        <v>11</v>
      </c>
      <c r="C87" s="51">
        <v>135903962267</v>
      </c>
      <c r="D87" s="1">
        <v>3897.2</v>
      </c>
      <c r="E87" s="1">
        <v>21748241.100000001</v>
      </c>
      <c r="F87" t="s">
        <v>1280</v>
      </c>
      <c r="I87" s="16">
        <f>-IFERROR(VLOOKUP(C87,SIRCUPA!$A$21:$H$186,8,0),0)</f>
        <v>0</v>
      </c>
      <c r="J87" s="68">
        <f>-IFERROR(VLOOKUP(C87,SIRTAC!$A$16:$H$1405,8,0),0)</f>
        <v>-40</v>
      </c>
      <c r="K87" s="68">
        <f>-IFERROR(VLOOKUP(C87,Gastos!$A$9:$J$1398,10,0),0)</f>
        <v>-38.799999999999997</v>
      </c>
      <c r="L87" s="68">
        <f>-IFERROR(VLOOKUP(C87,IDC!$A$20:$H$1596,8,0),0)</f>
        <v>-24</v>
      </c>
      <c r="M87" s="74">
        <f t="shared" si="2"/>
        <v>4000</v>
      </c>
    </row>
    <row r="88" spans="1:13" customFormat="1">
      <c r="A88" t="s">
        <v>19</v>
      </c>
      <c r="B88" t="s">
        <v>24</v>
      </c>
      <c r="C88" s="51">
        <v>135903889629</v>
      </c>
      <c r="D88">
        <v>195.8</v>
      </c>
      <c r="E88" s="1">
        <v>21748436.899999999</v>
      </c>
      <c r="F88" t="s">
        <v>1280</v>
      </c>
      <c r="I88" s="16">
        <f>-IFERROR(VLOOKUP(C88,SIRCUPA!$A$21:$H$186,8,0),0)</f>
        <v>-3</v>
      </c>
      <c r="J88" s="68">
        <f>-IFERROR(VLOOKUP(C88,SIRTAC!$A$16:$H$1405,8,0),0)</f>
        <v>0</v>
      </c>
      <c r="K88" s="68">
        <f>-IFERROR(VLOOKUP(C88,Gastos!$A$9:$J$1398,10,0),0)</f>
        <v>0</v>
      </c>
      <c r="L88" s="68">
        <f>-IFERROR(VLOOKUP(C88,IDC!$A$20:$H$1596,8,0),0)</f>
        <v>-1.2</v>
      </c>
      <c r="M88" s="74">
        <f t="shared" si="2"/>
        <v>200</v>
      </c>
    </row>
    <row r="89" spans="1:13" customFormat="1">
      <c r="A89" t="s">
        <v>19</v>
      </c>
      <c r="B89" t="s">
        <v>11</v>
      </c>
      <c r="C89" s="51">
        <v>135903977575</v>
      </c>
      <c r="D89" s="1">
        <v>10717.3</v>
      </c>
      <c r="E89" s="1">
        <v>21759154.199999999</v>
      </c>
      <c r="F89" t="s">
        <v>1280</v>
      </c>
      <c r="I89" s="16">
        <f>-IFERROR(VLOOKUP(C89,SIRCUPA!$A$21:$H$186,8,0),0)</f>
        <v>0</v>
      </c>
      <c r="J89" s="68">
        <f>-IFERROR(VLOOKUP(C89,SIRTAC!$A$16:$H$1405,8,0),0)</f>
        <v>-110</v>
      </c>
      <c r="K89" s="68">
        <f>-IFERROR(VLOOKUP(C89,Gastos!$A$9:$J$1398,10,0),0)</f>
        <v>-106.7</v>
      </c>
      <c r="L89" s="68">
        <f>-IFERROR(VLOOKUP(C89,IDC!$A$20:$H$1596,8,0),0)</f>
        <v>-66</v>
      </c>
      <c r="M89" s="74">
        <f t="shared" si="2"/>
        <v>11000</v>
      </c>
    </row>
    <row r="90" spans="1:13" customFormat="1">
      <c r="A90" t="s">
        <v>19</v>
      </c>
      <c r="B90" t="s">
        <v>11</v>
      </c>
      <c r="C90" s="51">
        <v>135904176073</v>
      </c>
      <c r="D90" s="1">
        <v>4644.96</v>
      </c>
      <c r="E90" s="1">
        <v>21763799.16</v>
      </c>
      <c r="F90" t="s">
        <v>1280</v>
      </c>
      <c r="I90" s="16">
        <f>-IFERROR(VLOOKUP(C90,SIRCUPA!$A$21:$H$186,8,0),0)</f>
        <v>0</v>
      </c>
      <c r="J90" s="68">
        <f>-IFERROR(VLOOKUP(C90,SIRTAC!$A$16:$H$1405,8,0),0)</f>
        <v>-48</v>
      </c>
      <c r="K90" s="68">
        <f>-IFERROR(VLOOKUP(C90,Gastos!$A$9:$J$1398,10,0),0)</f>
        <v>-78.239999999999995</v>
      </c>
      <c r="L90" s="68">
        <f>-IFERROR(VLOOKUP(C90,IDC!$A$20:$H$1596,8,0),0)</f>
        <v>-28.8</v>
      </c>
      <c r="M90" s="74">
        <f t="shared" si="2"/>
        <v>4800</v>
      </c>
    </row>
    <row r="91" spans="1:13" customFormat="1">
      <c r="A91" t="s">
        <v>19</v>
      </c>
      <c r="B91" t="s">
        <v>11</v>
      </c>
      <c r="C91" s="51">
        <v>136526927868</v>
      </c>
      <c r="D91" s="1">
        <v>4676.6400000000003</v>
      </c>
      <c r="E91" s="1">
        <v>21768475.800000001</v>
      </c>
      <c r="F91" t="s">
        <v>1280</v>
      </c>
      <c r="I91" s="16">
        <f>-IFERROR(VLOOKUP(C91,SIRCUPA!$A$21:$H$186,8,0),0)</f>
        <v>0</v>
      </c>
      <c r="J91" s="68">
        <f>-IFERROR(VLOOKUP(C91,SIRTAC!$A$16:$H$1405,8,0),0)</f>
        <v>-48</v>
      </c>
      <c r="K91" s="68">
        <f>-IFERROR(VLOOKUP(C91,Gastos!$A$9:$J$1398,10,0),0)</f>
        <v>-46.56</v>
      </c>
      <c r="L91" s="68">
        <f>-IFERROR(VLOOKUP(C91,IDC!$A$20:$H$1596,8,0),0)</f>
        <v>-28.8</v>
      </c>
      <c r="M91" s="74">
        <f t="shared" si="2"/>
        <v>4800.0000000000009</v>
      </c>
    </row>
    <row r="92" spans="1:13" customFormat="1">
      <c r="A92" t="s">
        <v>19</v>
      </c>
      <c r="B92" t="s">
        <v>25</v>
      </c>
      <c r="C92" s="51">
        <v>135904259461</v>
      </c>
      <c r="D92">
        <v>234.96</v>
      </c>
      <c r="E92" s="1">
        <v>21768710.760000002</v>
      </c>
      <c r="F92" t="s">
        <v>1280</v>
      </c>
      <c r="I92" s="16">
        <f>-IFERROR(VLOOKUP(C92,SIRCUPA!$A$21:$H$186,8,0),0)</f>
        <v>-3.6</v>
      </c>
      <c r="J92" s="68">
        <f>-IFERROR(VLOOKUP(C92,SIRTAC!$A$16:$H$1405,8,0),0)</f>
        <v>0</v>
      </c>
      <c r="K92" s="68">
        <f>-IFERROR(VLOOKUP(C92,Gastos!$A$9:$J$1398,10,0),0)</f>
        <v>0</v>
      </c>
      <c r="L92" s="68">
        <f>-IFERROR(VLOOKUP(C92,IDC!$A$20:$H$1596,8,0),0)</f>
        <v>-1.44</v>
      </c>
      <c r="M92" s="74">
        <f t="shared" si="2"/>
        <v>240</v>
      </c>
    </row>
    <row r="93" spans="1:13" customFormat="1">
      <c r="A93" t="s">
        <v>19</v>
      </c>
      <c r="B93" t="s">
        <v>11</v>
      </c>
      <c r="C93" s="51">
        <v>136527051650</v>
      </c>
      <c r="D93" s="1">
        <v>9353.2800000000007</v>
      </c>
      <c r="E93" s="1">
        <v>21778064.039999999</v>
      </c>
      <c r="F93" t="s">
        <v>1280</v>
      </c>
      <c r="I93" s="16">
        <f>-IFERROR(VLOOKUP(C93,SIRCUPA!$A$21:$H$186,8,0),0)</f>
        <v>0</v>
      </c>
      <c r="J93" s="68">
        <f>-IFERROR(VLOOKUP(C93,SIRTAC!$A$16:$H$1405,8,0),0)</f>
        <v>-96</v>
      </c>
      <c r="K93" s="68">
        <f>-IFERROR(VLOOKUP(C93,Gastos!$A$9:$J$1398,10,0),0)</f>
        <v>-93.12</v>
      </c>
      <c r="L93" s="68">
        <f>-IFERROR(VLOOKUP(C93,IDC!$A$20:$H$1596,8,0),0)</f>
        <v>-57.6</v>
      </c>
      <c r="M93" s="74">
        <f t="shared" si="2"/>
        <v>9600.0000000000018</v>
      </c>
    </row>
    <row r="94" spans="1:13" customFormat="1">
      <c r="A94" t="s">
        <v>19</v>
      </c>
      <c r="B94" t="s">
        <v>11</v>
      </c>
      <c r="C94" s="51">
        <v>136527375236</v>
      </c>
      <c r="D94" s="1">
        <v>9353.2800000000007</v>
      </c>
      <c r="E94" s="1">
        <v>21787417.32</v>
      </c>
      <c r="F94" t="s">
        <v>1280</v>
      </c>
      <c r="I94" s="16">
        <f>-IFERROR(VLOOKUP(C94,SIRCUPA!$A$21:$H$186,8,0),0)</f>
        <v>0</v>
      </c>
      <c r="J94" s="68">
        <f>-IFERROR(VLOOKUP(C94,SIRTAC!$A$16:$H$1405,8,0),0)</f>
        <v>-96</v>
      </c>
      <c r="K94" s="68">
        <f>-IFERROR(VLOOKUP(C94,Gastos!$A$9:$J$1398,10,0),0)</f>
        <v>-93.12</v>
      </c>
      <c r="L94" s="68">
        <f>-IFERROR(VLOOKUP(C94,IDC!$A$20:$H$1596,8,0),0)</f>
        <v>-57.6</v>
      </c>
      <c r="M94" s="74">
        <f t="shared" si="2"/>
        <v>9600.0000000000018</v>
      </c>
    </row>
    <row r="95" spans="1:13" customFormat="1">
      <c r="A95" t="s">
        <v>19</v>
      </c>
      <c r="B95" t="s">
        <v>11</v>
      </c>
      <c r="C95" s="51">
        <v>135904784987</v>
      </c>
      <c r="D95" s="1">
        <v>5322.35</v>
      </c>
      <c r="E95" s="1">
        <v>21792739.670000002</v>
      </c>
      <c r="F95" t="s">
        <v>1280</v>
      </c>
      <c r="I95" s="16">
        <f>-IFERROR(VLOOKUP(C95,SIRCUPA!$A$21:$H$186,8,0),0)</f>
        <v>0</v>
      </c>
      <c r="J95" s="68">
        <f>-IFERROR(VLOOKUP(C95,SIRTAC!$A$16:$H$1405,8,0),0)</f>
        <v>-55</v>
      </c>
      <c r="K95" s="68">
        <f>-IFERROR(VLOOKUP(C95,Gastos!$A$9:$J$1398,10,0),0)</f>
        <v>-89.65</v>
      </c>
      <c r="L95" s="68">
        <f>-IFERROR(VLOOKUP(C95,IDC!$A$20:$H$1596,8,0),0)</f>
        <v>-33</v>
      </c>
      <c r="M95" s="74">
        <f t="shared" si="2"/>
        <v>5500</v>
      </c>
    </row>
    <row r="96" spans="1:13" customFormat="1">
      <c r="A96" t="s">
        <v>19</v>
      </c>
      <c r="B96" t="s">
        <v>11</v>
      </c>
      <c r="C96" s="51">
        <v>136527796466</v>
      </c>
      <c r="D96" s="1">
        <v>3994.63</v>
      </c>
      <c r="E96" s="1">
        <v>21796734.300000001</v>
      </c>
      <c r="F96" t="s">
        <v>1280</v>
      </c>
      <c r="I96" s="16">
        <f>-IFERROR(VLOOKUP(C96,SIRCUPA!$A$21:$H$186,8,0),0)</f>
        <v>0</v>
      </c>
      <c r="J96" s="68">
        <f>-IFERROR(VLOOKUP(C96,SIRTAC!$A$16:$H$1405,8,0),0)</f>
        <v>-41</v>
      </c>
      <c r="K96" s="68">
        <f>-IFERROR(VLOOKUP(C96,Gastos!$A$9:$J$1398,10,0),0)</f>
        <v>-39.770000000000003</v>
      </c>
      <c r="L96" s="68">
        <f>-IFERROR(VLOOKUP(C96,IDC!$A$20:$H$1596,8,0),0)</f>
        <v>-24.6</v>
      </c>
      <c r="M96" s="74">
        <f t="shared" si="2"/>
        <v>4100</v>
      </c>
    </row>
    <row r="97" spans="1:13" customFormat="1">
      <c r="A97" t="s">
        <v>19</v>
      </c>
      <c r="B97" t="s">
        <v>11</v>
      </c>
      <c r="C97" s="51">
        <v>136527826814</v>
      </c>
      <c r="D97" s="1">
        <v>4286.92</v>
      </c>
      <c r="E97" s="1">
        <v>21801021.219999999</v>
      </c>
      <c r="F97" t="s">
        <v>1280</v>
      </c>
      <c r="I97" s="16">
        <f>-IFERROR(VLOOKUP(C97,SIRCUPA!$A$21:$H$186,8,0),0)</f>
        <v>0</v>
      </c>
      <c r="J97" s="68">
        <f>-IFERROR(VLOOKUP(C97,SIRTAC!$A$16:$H$1405,8,0),0)</f>
        <v>-44</v>
      </c>
      <c r="K97" s="68">
        <f>-IFERROR(VLOOKUP(C97,Gastos!$A$9:$J$1398,10,0),0)</f>
        <v>-42.68</v>
      </c>
      <c r="L97" s="68">
        <f>-IFERROR(VLOOKUP(C97,IDC!$A$20:$H$1596,8,0),0)</f>
        <v>-26.4</v>
      </c>
      <c r="M97" s="74">
        <f t="shared" si="2"/>
        <v>4400</v>
      </c>
    </row>
    <row r="98" spans="1:13" customFormat="1">
      <c r="A98" t="s">
        <v>19</v>
      </c>
      <c r="B98" t="s">
        <v>11</v>
      </c>
      <c r="C98" s="51">
        <v>136528092580</v>
      </c>
      <c r="D98" s="1">
        <v>22408.9</v>
      </c>
      <c r="E98" s="1">
        <v>21823430.120000001</v>
      </c>
      <c r="F98" t="s">
        <v>1280</v>
      </c>
      <c r="I98" s="16">
        <f>-IFERROR(VLOOKUP(C98,SIRCUPA!$A$21:$H$186,8,0),0)</f>
        <v>0</v>
      </c>
      <c r="J98" s="68">
        <f>-IFERROR(VLOOKUP(C98,SIRTAC!$A$16:$H$1405,8,0),0)</f>
        <v>-230</v>
      </c>
      <c r="K98" s="68">
        <f>-IFERROR(VLOOKUP(C98,Gastos!$A$9:$J$1398,10,0),0)</f>
        <v>-223.1</v>
      </c>
      <c r="L98" s="68">
        <f>-IFERROR(VLOOKUP(C98,IDC!$A$20:$H$1596,8,0),0)</f>
        <v>-138</v>
      </c>
      <c r="M98" s="74">
        <f t="shared" si="2"/>
        <v>23000</v>
      </c>
    </row>
    <row r="99" spans="1:13" customFormat="1">
      <c r="A99" t="s">
        <v>19</v>
      </c>
      <c r="B99" t="s">
        <v>11</v>
      </c>
      <c r="C99" s="51">
        <v>136528512600</v>
      </c>
      <c r="D99" s="1">
        <v>5358.65</v>
      </c>
      <c r="E99" s="1">
        <v>21828788.77</v>
      </c>
      <c r="F99" t="s">
        <v>1280</v>
      </c>
      <c r="I99" s="16">
        <f>-IFERROR(VLOOKUP(C99,SIRCUPA!$A$21:$H$186,8,0),0)</f>
        <v>0</v>
      </c>
      <c r="J99" s="68">
        <f>-IFERROR(VLOOKUP(C99,SIRTAC!$A$16:$H$1405,8,0),0)</f>
        <v>-55</v>
      </c>
      <c r="K99" s="68">
        <f>-IFERROR(VLOOKUP(C99,Gastos!$A$9:$J$1398,10,0),0)</f>
        <v>-53.35</v>
      </c>
      <c r="L99" s="68">
        <f>-IFERROR(VLOOKUP(C99,IDC!$A$20:$H$1596,8,0),0)</f>
        <v>-33</v>
      </c>
      <c r="M99" s="74">
        <f t="shared" si="2"/>
        <v>5500</v>
      </c>
    </row>
    <row r="100" spans="1:13" customFormat="1">
      <c r="A100" t="s">
        <v>19</v>
      </c>
      <c r="B100" t="s">
        <v>11</v>
      </c>
      <c r="C100" s="51">
        <v>136528767468</v>
      </c>
      <c r="D100" s="1">
        <v>4286.92</v>
      </c>
      <c r="E100" s="1">
        <v>21833075.690000001</v>
      </c>
      <c r="F100" t="s">
        <v>1280</v>
      </c>
      <c r="I100" s="16">
        <f>-IFERROR(VLOOKUP(C100,SIRCUPA!$A$21:$H$186,8,0),0)</f>
        <v>0</v>
      </c>
      <c r="J100" s="68">
        <f>-IFERROR(VLOOKUP(C100,SIRTAC!$A$16:$H$1405,8,0),0)</f>
        <v>-44</v>
      </c>
      <c r="K100" s="68">
        <f>-IFERROR(VLOOKUP(C100,Gastos!$A$9:$J$1398,10,0),0)</f>
        <v>-42.68</v>
      </c>
      <c r="L100" s="68">
        <f>-IFERROR(VLOOKUP(C100,IDC!$A$20:$H$1596,8,0),0)</f>
        <v>-26.4</v>
      </c>
      <c r="M100" s="74">
        <f t="shared" si="2"/>
        <v>4400</v>
      </c>
    </row>
    <row r="101" spans="1:13" customFormat="1">
      <c r="A101" t="s">
        <v>19</v>
      </c>
      <c r="B101" t="s">
        <v>11</v>
      </c>
      <c r="C101" s="51">
        <v>136528753792</v>
      </c>
      <c r="D101" s="1">
        <v>14418.73</v>
      </c>
      <c r="E101" s="1">
        <v>21847494.420000002</v>
      </c>
      <c r="F101" t="s">
        <v>1280</v>
      </c>
      <c r="I101" s="16">
        <f>-IFERROR(VLOOKUP(C101,SIRCUPA!$A$21:$H$186,8,0),0)</f>
        <v>0</v>
      </c>
      <c r="J101" s="68">
        <f>-IFERROR(VLOOKUP(C101,SIRTAC!$A$16:$H$1405,8,0),0)</f>
        <v>-149</v>
      </c>
      <c r="K101" s="68">
        <f>-IFERROR(VLOOKUP(C101,Gastos!$A$9:$J$1398,10,0),0)</f>
        <v>-242.87</v>
      </c>
      <c r="L101" s="68">
        <f>-IFERROR(VLOOKUP(C101,IDC!$A$20:$H$1596,8,0),0)</f>
        <v>-89.4</v>
      </c>
      <c r="M101" s="74">
        <f t="shared" si="2"/>
        <v>14900</v>
      </c>
    </row>
    <row r="102" spans="1:13" customFormat="1">
      <c r="A102" t="s">
        <v>19</v>
      </c>
      <c r="B102" t="s">
        <v>11</v>
      </c>
      <c r="C102" s="51">
        <v>135906555589</v>
      </c>
      <c r="D102" s="1">
        <v>14029.92</v>
      </c>
      <c r="E102" s="1">
        <v>21861524.34</v>
      </c>
      <c r="F102" t="s">
        <v>1280</v>
      </c>
      <c r="I102" s="16">
        <f>-IFERROR(VLOOKUP(C102,SIRCUPA!$A$21:$H$186,8,0),0)</f>
        <v>0</v>
      </c>
      <c r="J102" s="68">
        <f>-IFERROR(VLOOKUP(C102,SIRTAC!$A$16:$H$1405,8,0),0)</f>
        <v>-144</v>
      </c>
      <c r="K102" s="68">
        <f>-IFERROR(VLOOKUP(C102,Gastos!$A$9:$J$1398,10,0),0)</f>
        <v>-139.68</v>
      </c>
      <c r="L102" s="68">
        <f>-IFERROR(VLOOKUP(C102,IDC!$A$20:$H$1596,8,0),0)</f>
        <v>-86.4</v>
      </c>
      <c r="M102" s="74">
        <f t="shared" si="2"/>
        <v>14400</v>
      </c>
    </row>
    <row r="103" spans="1:13" customFormat="1">
      <c r="A103" t="s">
        <v>19</v>
      </c>
      <c r="B103" t="s">
        <v>11</v>
      </c>
      <c r="C103" s="51">
        <v>136529368322</v>
      </c>
      <c r="D103" s="1">
        <v>16075.95</v>
      </c>
      <c r="E103" s="1">
        <v>21877600.289999999</v>
      </c>
      <c r="F103" t="s">
        <v>1280</v>
      </c>
      <c r="I103" s="16">
        <f>-IFERROR(VLOOKUP(C103,SIRCUPA!$A$21:$H$186,8,0),0)</f>
        <v>0</v>
      </c>
      <c r="J103" s="68">
        <f>-IFERROR(VLOOKUP(C103,SIRTAC!$A$16:$H$1405,8,0),0)</f>
        <v>-165</v>
      </c>
      <c r="K103" s="68">
        <f>-IFERROR(VLOOKUP(C103,Gastos!$A$9:$J$1398,10,0),0)</f>
        <v>-160.05000000000001</v>
      </c>
      <c r="L103" s="68">
        <f>-IFERROR(VLOOKUP(C103,IDC!$A$20:$H$1596,8,0),0)</f>
        <v>-99</v>
      </c>
      <c r="M103" s="74">
        <f t="shared" si="2"/>
        <v>16500</v>
      </c>
    </row>
    <row r="104" spans="1:13" customFormat="1">
      <c r="A104" t="s">
        <v>19</v>
      </c>
      <c r="B104" t="s">
        <v>11</v>
      </c>
      <c r="C104" s="51">
        <v>136529601672</v>
      </c>
      <c r="D104" s="1">
        <v>4676.6400000000003</v>
      </c>
      <c r="E104" s="1">
        <v>21882276.93</v>
      </c>
      <c r="F104" t="s">
        <v>1280</v>
      </c>
      <c r="I104" s="16">
        <f>-IFERROR(VLOOKUP(C104,SIRCUPA!$A$21:$H$186,8,0),0)</f>
        <v>0</v>
      </c>
      <c r="J104" s="68">
        <f>-IFERROR(VLOOKUP(C104,SIRTAC!$A$16:$H$1405,8,0),0)</f>
        <v>-48</v>
      </c>
      <c r="K104" s="68">
        <f>-IFERROR(VLOOKUP(C104,Gastos!$A$9:$J$1398,10,0),0)</f>
        <v>-46.56</v>
      </c>
      <c r="L104" s="68">
        <f>-IFERROR(VLOOKUP(C104,IDC!$A$20:$H$1596,8,0),0)</f>
        <v>-28.8</v>
      </c>
      <c r="M104" s="74">
        <f t="shared" si="2"/>
        <v>4800.0000000000009</v>
      </c>
    </row>
    <row r="105" spans="1:13" customFormat="1">
      <c r="A105" t="s">
        <v>19</v>
      </c>
      <c r="B105" t="s">
        <v>11</v>
      </c>
      <c r="C105" s="51">
        <v>136529790482</v>
      </c>
      <c r="D105" s="1">
        <v>3897.2</v>
      </c>
      <c r="E105" s="1">
        <v>21886174.129999999</v>
      </c>
      <c r="F105" t="s">
        <v>1280</v>
      </c>
      <c r="I105" s="16">
        <f>-IFERROR(VLOOKUP(C105,SIRCUPA!$A$21:$H$186,8,0),0)</f>
        <v>0</v>
      </c>
      <c r="J105" s="68">
        <f>-IFERROR(VLOOKUP(C105,SIRTAC!$A$16:$H$1405,8,0),0)</f>
        <v>-40</v>
      </c>
      <c r="K105" s="68">
        <f>-IFERROR(VLOOKUP(C105,Gastos!$A$9:$J$1398,10,0),0)</f>
        <v>-38.799999999999997</v>
      </c>
      <c r="L105" s="68">
        <f>-IFERROR(VLOOKUP(C105,IDC!$A$20:$H$1596,8,0),0)</f>
        <v>-24</v>
      </c>
      <c r="M105" s="74">
        <f t="shared" si="2"/>
        <v>4000</v>
      </c>
    </row>
    <row r="106" spans="1:13" customFormat="1">
      <c r="A106" t="s">
        <v>19</v>
      </c>
      <c r="B106" t="s">
        <v>11</v>
      </c>
      <c r="C106" s="51">
        <v>136530047680</v>
      </c>
      <c r="D106" s="1">
        <v>54239.58</v>
      </c>
      <c r="E106" s="1">
        <v>21940413.710000001</v>
      </c>
      <c r="F106" t="s">
        <v>1280</v>
      </c>
      <c r="I106" s="16">
        <f>-IFERROR(VLOOKUP(C106,SIRCUPA!$A$21:$H$186,8,0),0)</f>
        <v>0</v>
      </c>
      <c r="J106" s="68">
        <f>-IFERROR(VLOOKUP(C106,SIRTAC!$A$16:$H$1405,8,0),0)</f>
        <v>-560.5</v>
      </c>
      <c r="K106" s="68">
        <f>-IFERROR(VLOOKUP(C106,Gastos!$A$9:$J$1398,10,0),0)</f>
        <v>-913.62</v>
      </c>
      <c r="L106" s="68">
        <f>-IFERROR(VLOOKUP(C106,IDC!$A$20:$H$1596,8,0),0)</f>
        <v>-336.3</v>
      </c>
      <c r="M106" s="74">
        <f t="shared" si="2"/>
        <v>56050.000000000007</v>
      </c>
    </row>
    <row r="107" spans="1:13" customFormat="1">
      <c r="A107" t="s">
        <v>26</v>
      </c>
      <c r="B107" t="s">
        <v>11</v>
      </c>
      <c r="C107" s="51">
        <v>135908897041</v>
      </c>
      <c r="D107" s="1">
        <v>45792.1</v>
      </c>
      <c r="E107" s="1">
        <v>21986205.809999999</v>
      </c>
      <c r="F107" t="s">
        <v>1280</v>
      </c>
      <c r="I107" s="16">
        <f>-IFERROR(VLOOKUP(C107,SIRCUPA!$A$21:$H$186,8,0),0)</f>
        <v>0</v>
      </c>
      <c r="J107" s="68">
        <f>-IFERROR(VLOOKUP(C107,SIRTAC!$A$16:$H$1405,8,0),0)</f>
        <v>-470</v>
      </c>
      <c r="K107" s="68">
        <f>-IFERROR(VLOOKUP(C107,Gastos!$A$9:$J$1398,10,0),0)</f>
        <v>-455.9</v>
      </c>
      <c r="L107" s="68">
        <f>-IFERROR(VLOOKUP(C107,IDC!$A$20:$H$1596,8,0),0)</f>
        <v>-282</v>
      </c>
      <c r="M107" s="74">
        <f t="shared" si="2"/>
        <v>47000</v>
      </c>
    </row>
    <row r="108" spans="1:13" customFormat="1">
      <c r="A108" t="s">
        <v>26</v>
      </c>
      <c r="B108" t="s">
        <v>27</v>
      </c>
      <c r="C108" s="51">
        <v>136531346928</v>
      </c>
      <c r="D108" s="1">
        <v>2300.65</v>
      </c>
      <c r="E108" s="1">
        <v>21988506.460000001</v>
      </c>
      <c r="F108" t="s">
        <v>1280</v>
      </c>
      <c r="I108" s="16">
        <f>-IFERROR(VLOOKUP(C108,SIRCUPA!$A$21:$H$186,8,0),0)</f>
        <v>-35.25</v>
      </c>
      <c r="J108" s="68">
        <f>-IFERROR(VLOOKUP(C108,SIRTAC!$A$16:$H$1405,8,0),0)</f>
        <v>0</v>
      </c>
      <c r="K108" s="68">
        <f>-IFERROR(VLOOKUP(C108,Gastos!$A$9:$J$1398,10,0),0)</f>
        <v>0</v>
      </c>
      <c r="L108" s="68">
        <f>-IFERROR(VLOOKUP(C108,IDC!$A$20:$H$1596,8,0),0)</f>
        <v>-14.1</v>
      </c>
      <c r="M108" s="74">
        <f t="shared" si="2"/>
        <v>2350</v>
      </c>
    </row>
    <row r="109" spans="1:13" customFormat="1">
      <c r="A109" t="s">
        <v>26</v>
      </c>
      <c r="B109" t="s">
        <v>11</v>
      </c>
      <c r="C109" s="51">
        <v>135909210549</v>
      </c>
      <c r="D109" s="1">
        <v>41700.04</v>
      </c>
      <c r="E109" s="1">
        <v>22030206.5</v>
      </c>
      <c r="F109" t="s">
        <v>1280</v>
      </c>
      <c r="I109" s="16">
        <f>-IFERROR(VLOOKUP(C109,SIRCUPA!$A$21:$H$186,8,0),0)</f>
        <v>0</v>
      </c>
      <c r="J109" s="68">
        <f>-IFERROR(VLOOKUP(C109,SIRTAC!$A$16:$H$1405,8,0),0)</f>
        <v>-428</v>
      </c>
      <c r="K109" s="68">
        <f>-IFERROR(VLOOKUP(C109,Gastos!$A$9:$J$1398,10,0),0)</f>
        <v>-415.16</v>
      </c>
      <c r="L109" s="68">
        <f>-IFERROR(VLOOKUP(C109,IDC!$A$20:$H$1596,8,0),0)</f>
        <v>-256.8</v>
      </c>
      <c r="M109" s="74">
        <f t="shared" si="2"/>
        <v>42800.000000000007</v>
      </c>
    </row>
    <row r="110" spans="1:13" customFormat="1">
      <c r="A110" t="s">
        <v>26</v>
      </c>
      <c r="B110" t="s">
        <v>11</v>
      </c>
      <c r="C110" s="51">
        <v>135909548389</v>
      </c>
      <c r="D110" s="1">
        <v>18803.990000000002</v>
      </c>
      <c r="E110" s="1">
        <v>22049010.489999998</v>
      </c>
      <c r="F110" t="s">
        <v>1280</v>
      </c>
      <c r="I110" s="16">
        <f>-IFERROR(VLOOKUP(C110,SIRCUPA!$A$21:$H$186,8,0),0)</f>
        <v>0</v>
      </c>
      <c r="J110" s="68">
        <f>-IFERROR(VLOOKUP(C110,SIRTAC!$A$16:$H$1405,8,0),0)</f>
        <v>-193</v>
      </c>
      <c r="K110" s="68">
        <f>-IFERROR(VLOOKUP(C110,Gastos!$A$9:$J$1398,10,0),0)</f>
        <v>-187.21</v>
      </c>
      <c r="L110" s="68">
        <f>-IFERROR(VLOOKUP(C110,IDC!$A$20:$H$1596,8,0),0)</f>
        <v>-115.8</v>
      </c>
      <c r="M110" s="74">
        <f t="shared" si="2"/>
        <v>19300</v>
      </c>
    </row>
    <row r="111" spans="1:13" customFormat="1">
      <c r="A111" t="s">
        <v>26</v>
      </c>
      <c r="B111" t="s">
        <v>11</v>
      </c>
      <c r="C111" s="51">
        <v>136532314330</v>
      </c>
      <c r="D111" s="1">
        <v>19744.23</v>
      </c>
      <c r="E111" s="1">
        <v>22068754.719999999</v>
      </c>
      <c r="F111" t="s">
        <v>1280</v>
      </c>
      <c r="I111" s="16">
        <f>-IFERROR(VLOOKUP(C111,SIRCUPA!$A$21:$H$186,8,0),0)</f>
        <v>0</v>
      </c>
      <c r="J111" s="68">
        <f>-IFERROR(VLOOKUP(C111,SIRTAC!$A$16:$H$1405,8,0),0)</f>
        <v>-209</v>
      </c>
      <c r="K111" s="68">
        <f>-IFERROR(VLOOKUP(C111,Gastos!$A$9:$J$1398,10,0),0)</f>
        <v>-821.37</v>
      </c>
      <c r="L111" s="68">
        <f>-IFERROR(VLOOKUP(C111,IDC!$A$20:$H$1596,8,0),0)</f>
        <v>-125.4</v>
      </c>
      <c r="M111" s="74">
        <f t="shared" si="2"/>
        <v>20900</v>
      </c>
    </row>
    <row r="112" spans="1:13" customFormat="1">
      <c r="A112" t="s">
        <v>26</v>
      </c>
      <c r="B112" t="s">
        <v>11</v>
      </c>
      <c r="C112" s="51">
        <v>136532271696</v>
      </c>
      <c r="D112" s="1">
        <v>26829.48</v>
      </c>
      <c r="E112" s="1">
        <v>22095584.199999999</v>
      </c>
      <c r="F112" t="s">
        <v>1280</v>
      </c>
      <c r="I112" s="16">
        <f>-IFERROR(VLOOKUP(C112,SIRCUPA!$A$21:$H$186,8,0),0)</f>
        <v>0</v>
      </c>
      <c r="J112" s="68">
        <f>-IFERROR(VLOOKUP(C112,SIRTAC!$A$16:$H$1405,8,0),0)</f>
        <v>-284</v>
      </c>
      <c r="K112" s="68">
        <f>-IFERROR(VLOOKUP(C112,Gastos!$A$9:$J$1398,10,0),0)</f>
        <v>-1116.1199999999999</v>
      </c>
      <c r="L112" s="68">
        <f>-IFERROR(VLOOKUP(C112,IDC!$A$20:$H$1596,8,0),0)</f>
        <v>-170.4</v>
      </c>
      <c r="M112" s="74">
        <f t="shared" si="2"/>
        <v>28400</v>
      </c>
    </row>
    <row r="113" spans="1:13" customFormat="1">
      <c r="A113" t="s">
        <v>26</v>
      </c>
      <c r="B113" t="s">
        <v>11</v>
      </c>
      <c r="C113" s="51">
        <v>135909801847</v>
      </c>
      <c r="D113" s="1">
        <v>23772.92</v>
      </c>
      <c r="E113" s="1">
        <v>22119357.120000001</v>
      </c>
      <c r="F113" t="s">
        <v>1280</v>
      </c>
      <c r="I113" s="16">
        <f>-IFERROR(VLOOKUP(C113,SIRCUPA!$A$21:$H$186,8,0),0)</f>
        <v>0</v>
      </c>
      <c r="J113" s="68">
        <f>-IFERROR(VLOOKUP(C113,SIRTAC!$A$16:$H$1405,8,0),0)</f>
        <v>-244</v>
      </c>
      <c r="K113" s="68">
        <f>-IFERROR(VLOOKUP(C113,Gastos!$A$9:$J$1398,10,0),0)</f>
        <v>-236.68</v>
      </c>
      <c r="L113" s="68">
        <f>-IFERROR(VLOOKUP(C113,IDC!$A$20:$H$1596,8,0),0)</f>
        <v>-146.4</v>
      </c>
      <c r="M113" s="74">
        <f t="shared" si="2"/>
        <v>24400</v>
      </c>
    </row>
    <row r="114" spans="1:13" customFormat="1">
      <c r="A114" t="s">
        <v>26</v>
      </c>
      <c r="B114" t="s">
        <v>11</v>
      </c>
      <c r="C114" s="51">
        <v>135910347159</v>
      </c>
      <c r="D114" s="1">
        <v>44525.51</v>
      </c>
      <c r="E114" s="1">
        <v>22163882.629999999</v>
      </c>
      <c r="F114" t="s">
        <v>1280</v>
      </c>
      <c r="I114" s="16">
        <f>-IFERROR(VLOOKUP(C114,SIRCUPA!$A$21:$H$186,8,0),0)</f>
        <v>0</v>
      </c>
      <c r="J114" s="68">
        <f>-IFERROR(VLOOKUP(C114,SIRTAC!$A$16:$H$1405,8,0),0)</f>
        <v>-457</v>
      </c>
      <c r="K114" s="68">
        <f>-IFERROR(VLOOKUP(C114,Gastos!$A$9:$J$1398,10,0),0)</f>
        <v>-443.29</v>
      </c>
      <c r="L114" s="68">
        <f>-IFERROR(VLOOKUP(C114,IDC!$A$20:$H$1596,8,0),0)</f>
        <v>-274.2</v>
      </c>
      <c r="M114" s="74">
        <f t="shared" si="2"/>
        <v>45700</v>
      </c>
    </row>
    <row r="115" spans="1:13" customFormat="1">
      <c r="A115" t="s">
        <v>26</v>
      </c>
      <c r="B115" t="s">
        <v>11</v>
      </c>
      <c r="C115" s="51">
        <v>136532968476</v>
      </c>
      <c r="D115" s="1">
        <v>175383.55</v>
      </c>
      <c r="E115" s="1">
        <v>22339266.18</v>
      </c>
      <c r="F115" t="s">
        <v>1280</v>
      </c>
      <c r="I115" s="16">
        <f>-IFERROR(VLOOKUP(C115,SIRCUPA!$A$21:$H$186,8,0),0)</f>
        <v>0</v>
      </c>
      <c r="J115" s="68">
        <f>-IFERROR(VLOOKUP(C115,SIRTAC!$A$16:$H$1405,8,0),0)</f>
        <v>-1856.5</v>
      </c>
      <c r="K115" s="68">
        <f>-IFERROR(VLOOKUP(C115,Gastos!$A$9:$J$1398,10,0),0)</f>
        <v>-7296.05</v>
      </c>
      <c r="L115" s="68">
        <f>-IFERROR(VLOOKUP(C115,IDC!$A$20:$H$1596,8,0),0)</f>
        <v>-1113.9000000000001</v>
      </c>
      <c r="M115" s="74">
        <f t="shared" si="2"/>
        <v>185649.99999999997</v>
      </c>
    </row>
    <row r="116" spans="1:13" customFormat="1">
      <c r="A116" t="s">
        <v>26</v>
      </c>
      <c r="B116" t="s">
        <v>11</v>
      </c>
      <c r="C116" s="51">
        <v>135910717417</v>
      </c>
      <c r="D116" s="1">
        <v>83511.48</v>
      </c>
      <c r="E116" s="1">
        <v>22422777.66</v>
      </c>
      <c r="F116" t="s">
        <v>1280</v>
      </c>
      <c r="I116" s="16">
        <f>-IFERROR(VLOOKUP(C116,SIRCUPA!$A$21:$H$186,8,0),0)</f>
        <v>0</v>
      </c>
      <c r="J116" s="68">
        <f>-IFERROR(VLOOKUP(C116,SIRTAC!$A$16:$H$1405,8,0),0)</f>
        <v>-884</v>
      </c>
      <c r="K116" s="68">
        <f>-IFERROR(VLOOKUP(C116,Gastos!$A$9:$J$1398,10,0),0)</f>
        <v>-3474.12</v>
      </c>
      <c r="L116" s="68">
        <f>-IFERROR(VLOOKUP(C116,IDC!$A$20:$H$1596,8,0),0)</f>
        <v>-530.4</v>
      </c>
      <c r="M116" s="74">
        <f t="shared" si="2"/>
        <v>88399.999999999985</v>
      </c>
    </row>
    <row r="117" spans="1:13" customFormat="1">
      <c r="A117" t="s">
        <v>26</v>
      </c>
      <c r="B117" t="s">
        <v>11</v>
      </c>
      <c r="C117" s="51">
        <v>135910779181</v>
      </c>
      <c r="D117" s="1">
        <v>5725.46</v>
      </c>
      <c r="E117" s="1">
        <v>22428503.120000001</v>
      </c>
      <c r="F117" t="s">
        <v>1280</v>
      </c>
      <c r="I117" s="16">
        <f>-IFERROR(VLOOKUP(C117,SIRCUPA!$A$21:$H$186,8,0),0)</f>
        <v>0</v>
      </c>
      <c r="J117" s="68">
        <f>-IFERROR(VLOOKUP(C117,SIRTAC!$A$16:$H$1405,8,0),0)</f>
        <v>-61</v>
      </c>
      <c r="K117" s="68">
        <f>-IFERROR(VLOOKUP(C117,Gastos!$A$9:$J$1398,10,0),0)</f>
        <v>-276.94</v>
      </c>
      <c r="L117" s="68">
        <f>-IFERROR(VLOOKUP(C117,IDC!$A$20:$H$1596,8,0),0)</f>
        <v>-36.6</v>
      </c>
      <c r="M117" s="74">
        <f t="shared" si="2"/>
        <v>6100</v>
      </c>
    </row>
    <row r="118" spans="1:13" customFormat="1">
      <c r="A118" t="s">
        <v>26</v>
      </c>
      <c r="B118" t="s">
        <v>11</v>
      </c>
      <c r="C118" s="51">
        <v>135910838031</v>
      </c>
      <c r="D118" s="1">
        <v>4384.3500000000004</v>
      </c>
      <c r="E118" s="1">
        <v>22432887.469999999</v>
      </c>
      <c r="F118" t="s">
        <v>1280</v>
      </c>
      <c r="I118" s="16">
        <f>-IFERROR(VLOOKUP(C118,SIRCUPA!$A$21:$H$186,8,0),0)</f>
        <v>0</v>
      </c>
      <c r="J118" s="68">
        <f>-IFERROR(VLOOKUP(C118,SIRTAC!$A$16:$H$1405,8,0),0)</f>
        <v>-45</v>
      </c>
      <c r="K118" s="68">
        <f>-IFERROR(VLOOKUP(C118,Gastos!$A$9:$J$1398,10,0),0)</f>
        <v>-43.65</v>
      </c>
      <c r="L118" s="68">
        <f>-IFERROR(VLOOKUP(C118,IDC!$A$20:$H$1596,8,0),0)</f>
        <v>-27</v>
      </c>
      <c r="M118" s="74">
        <f t="shared" si="2"/>
        <v>4500</v>
      </c>
    </row>
    <row r="119" spans="1:13" customFormat="1">
      <c r="A119" t="s">
        <v>26</v>
      </c>
      <c r="B119" t="s">
        <v>11</v>
      </c>
      <c r="C119" s="51">
        <v>135910964657</v>
      </c>
      <c r="D119" s="1">
        <v>85933.26</v>
      </c>
      <c r="E119" s="1">
        <v>22518820.73</v>
      </c>
      <c r="F119" t="s">
        <v>1280</v>
      </c>
      <c r="I119" s="16">
        <f>-IFERROR(VLOOKUP(C119,SIRCUPA!$A$21:$H$186,8,0),0)</f>
        <v>0</v>
      </c>
      <c r="J119" s="68">
        <f>-IFERROR(VLOOKUP(C119,SIRTAC!$A$16:$H$1405,8,0),0)</f>
        <v>-882</v>
      </c>
      <c r="K119" s="68">
        <f>-IFERROR(VLOOKUP(C119,Gastos!$A$9:$J$1398,10,0),0)</f>
        <v>-855.54</v>
      </c>
      <c r="L119" s="68">
        <f>-IFERROR(VLOOKUP(C119,IDC!$A$20:$H$1596,8,0),0)</f>
        <v>-529.20000000000005</v>
      </c>
      <c r="M119" s="74">
        <f t="shared" si="2"/>
        <v>88199.999999999985</v>
      </c>
    </row>
    <row r="120" spans="1:13" customFormat="1">
      <c r="A120" t="s">
        <v>26</v>
      </c>
      <c r="B120" t="s">
        <v>11</v>
      </c>
      <c r="C120" s="51">
        <v>135911102295</v>
      </c>
      <c r="D120" s="1">
        <v>67546.05</v>
      </c>
      <c r="E120" s="1">
        <v>22586366.780000001</v>
      </c>
      <c r="F120" t="s">
        <v>1280</v>
      </c>
      <c r="I120" s="16">
        <f>-IFERROR(VLOOKUP(C120,SIRCUPA!$A$21:$H$186,8,0),0)</f>
        <v>0</v>
      </c>
      <c r="J120" s="68">
        <f>-IFERROR(VLOOKUP(C120,SIRTAC!$A$16:$H$1405,8,0),0)</f>
        <v>-715</v>
      </c>
      <c r="K120" s="68">
        <f>-IFERROR(VLOOKUP(C120,Gastos!$A$9:$J$1398,10,0),0)</f>
        <v>-2809.95</v>
      </c>
      <c r="L120" s="68">
        <f>-IFERROR(VLOOKUP(C120,IDC!$A$20:$H$1596,8,0),0)</f>
        <v>-429</v>
      </c>
      <c r="M120" s="74">
        <f t="shared" si="2"/>
        <v>71500</v>
      </c>
    </row>
    <row r="121" spans="1:13" customFormat="1">
      <c r="A121" t="s">
        <v>26</v>
      </c>
      <c r="B121" t="s">
        <v>11</v>
      </c>
      <c r="C121" s="51">
        <v>135911230541</v>
      </c>
      <c r="D121" s="1">
        <v>47140.53</v>
      </c>
      <c r="E121" s="1">
        <v>22633507.309999999</v>
      </c>
      <c r="F121" t="s">
        <v>1280</v>
      </c>
      <c r="I121" s="16">
        <f>-IFERROR(VLOOKUP(C121,SIRCUPA!$A$21:$H$186,8,0),0)</f>
        <v>0</v>
      </c>
      <c r="J121" s="68">
        <f>-IFERROR(VLOOKUP(C121,SIRTAC!$A$16:$H$1405,8,0),0)</f>
        <v>-499</v>
      </c>
      <c r="K121" s="68">
        <f>-IFERROR(VLOOKUP(C121,Gastos!$A$9:$J$1398,10,0),0)</f>
        <v>-1961.07</v>
      </c>
      <c r="L121" s="68">
        <f>-IFERROR(VLOOKUP(C121,IDC!$A$20:$H$1596,8,0),0)</f>
        <v>-299.39999999999998</v>
      </c>
      <c r="M121" s="74">
        <f t="shared" si="2"/>
        <v>49900</v>
      </c>
    </row>
    <row r="122" spans="1:13" customFormat="1">
      <c r="A122" t="s">
        <v>26</v>
      </c>
      <c r="B122" t="s">
        <v>11</v>
      </c>
      <c r="C122" s="51">
        <v>136534523898</v>
      </c>
      <c r="D122" s="1">
        <v>15393.94</v>
      </c>
      <c r="E122" s="1">
        <v>22648901.25</v>
      </c>
      <c r="F122" t="s">
        <v>1280</v>
      </c>
      <c r="I122" s="16">
        <f>-IFERROR(VLOOKUP(C122,SIRCUPA!$A$21:$H$186,8,0),0)</f>
        <v>0</v>
      </c>
      <c r="J122" s="68">
        <f>-IFERROR(VLOOKUP(C122,SIRTAC!$A$16:$H$1405,8,0),0)</f>
        <v>-158</v>
      </c>
      <c r="K122" s="68">
        <f>-IFERROR(VLOOKUP(C122,Gastos!$A$9:$J$1398,10,0),0)</f>
        <v>-153.26</v>
      </c>
      <c r="L122" s="68">
        <f>-IFERROR(VLOOKUP(C122,IDC!$A$20:$H$1596,8,0),0)</f>
        <v>-94.8</v>
      </c>
      <c r="M122" s="74">
        <f t="shared" si="2"/>
        <v>15800</v>
      </c>
    </row>
    <row r="123" spans="1:13" customFormat="1">
      <c r="A123" t="s">
        <v>26</v>
      </c>
      <c r="B123" t="s">
        <v>11</v>
      </c>
      <c r="C123" s="51">
        <v>136535032914</v>
      </c>
      <c r="D123" s="1">
        <v>4774.07</v>
      </c>
      <c r="E123" s="1">
        <v>22653675.32</v>
      </c>
      <c r="F123" t="s">
        <v>1280</v>
      </c>
      <c r="I123" s="16">
        <f>-IFERROR(VLOOKUP(C123,SIRCUPA!$A$21:$H$186,8,0),0)</f>
        <v>0</v>
      </c>
      <c r="J123" s="68">
        <f>-IFERROR(VLOOKUP(C123,SIRTAC!$A$16:$H$1405,8,0),0)</f>
        <v>-49</v>
      </c>
      <c r="K123" s="68">
        <f>-IFERROR(VLOOKUP(C123,Gastos!$A$9:$J$1398,10,0),0)</f>
        <v>-47.53</v>
      </c>
      <c r="L123" s="68">
        <f>-IFERROR(VLOOKUP(C123,IDC!$A$20:$H$1596,8,0),0)</f>
        <v>-29.4</v>
      </c>
      <c r="M123" s="74">
        <f t="shared" si="2"/>
        <v>4899.9999999999991</v>
      </c>
    </row>
    <row r="124" spans="1:13" customFormat="1">
      <c r="A124" t="s">
        <v>26</v>
      </c>
      <c r="B124" t="s">
        <v>11</v>
      </c>
      <c r="C124" s="51">
        <v>136535221070</v>
      </c>
      <c r="D124" s="1">
        <v>62160.34</v>
      </c>
      <c r="E124" s="1">
        <v>22715835.66</v>
      </c>
      <c r="F124" t="s">
        <v>1280</v>
      </c>
      <c r="I124" s="16">
        <f>-IFERROR(VLOOKUP(C124,SIRCUPA!$A$21:$H$186,8,0),0)</f>
        <v>0</v>
      </c>
      <c r="J124" s="68">
        <f>-IFERROR(VLOOKUP(C124,SIRTAC!$A$16:$H$1405,8,0),0)</f>
        <v>-638</v>
      </c>
      <c r="K124" s="68">
        <f>-IFERROR(VLOOKUP(C124,Gastos!$A$9:$J$1398,10,0),0)</f>
        <v>-618.86</v>
      </c>
      <c r="L124" s="68">
        <f>-IFERROR(VLOOKUP(C124,IDC!$A$20:$H$1596,8,0),0)</f>
        <v>-382.8</v>
      </c>
      <c r="M124" s="74">
        <f t="shared" si="2"/>
        <v>63800</v>
      </c>
    </row>
    <row r="125" spans="1:13" customFormat="1">
      <c r="A125" t="s">
        <v>26</v>
      </c>
      <c r="B125" t="s">
        <v>11</v>
      </c>
      <c r="C125" s="51">
        <v>136535378680</v>
      </c>
      <c r="D125" s="1">
        <v>43940.93</v>
      </c>
      <c r="E125" s="1">
        <v>22759776.59</v>
      </c>
      <c r="F125" t="s">
        <v>1280</v>
      </c>
      <c r="I125" s="16">
        <f>-IFERROR(VLOOKUP(C125,SIRCUPA!$A$21:$H$186,8,0),0)</f>
        <v>0</v>
      </c>
      <c r="J125" s="68">
        <f>-IFERROR(VLOOKUP(C125,SIRTAC!$A$16:$H$1405,8,0),0)</f>
        <v>-451</v>
      </c>
      <c r="K125" s="68">
        <f>-IFERROR(VLOOKUP(C125,Gastos!$A$9:$J$1398,10,0),0)</f>
        <v>-437.47</v>
      </c>
      <c r="L125" s="68">
        <f>-IFERROR(VLOOKUP(C125,IDC!$A$20:$H$1596,8,0),0)</f>
        <v>-270.60000000000002</v>
      </c>
      <c r="M125" s="74">
        <f t="shared" si="2"/>
        <v>45100</v>
      </c>
    </row>
    <row r="126" spans="1:13" customFormat="1">
      <c r="A126" t="s">
        <v>26</v>
      </c>
      <c r="B126" t="s">
        <v>11</v>
      </c>
      <c r="C126" s="51">
        <v>136537920028</v>
      </c>
      <c r="D126" s="1">
        <v>19096.28</v>
      </c>
      <c r="E126" s="1">
        <v>22778872.870000001</v>
      </c>
      <c r="F126" t="s">
        <v>1280</v>
      </c>
      <c r="I126" s="16">
        <f>-IFERROR(VLOOKUP(C126,SIRCUPA!$A$21:$H$186,8,0),0)</f>
        <v>0</v>
      </c>
      <c r="J126" s="68">
        <f>-IFERROR(VLOOKUP(C126,SIRTAC!$A$16:$H$1405,8,0),0)</f>
        <v>-196</v>
      </c>
      <c r="K126" s="68">
        <f>-IFERROR(VLOOKUP(C126,Gastos!$A$9:$J$1398,10,0),0)</f>
        <v>-190.12</v>
      </c>
      <c r="L126" s="68">
        <f>-IFERROR(VLOOKUP(C126,IDC!$A$20:$H$1596,8,0),0)</f>
        <v>-117.6</v>
      </c>
      <c r="M126" s="74">
        <f t="shared" si="2"/>
        <v>19599.999999999996</v>
      </c>
    </row>
    <row r="127" spans="1:13" customFormat="1">
      <c r="A127" t="s">
        <v>26</v>
      </c>
      <c r="B127" t="s">
        <v>11</v>
      </c>
      <c r="C127" s="51">
        <v>135915566345</v>
      </c>
      <c r="D127" s="1">
        <v>23480.63</v>
      </c>
      <c r="E127" s="1">
        <v>22802353.5</v>
      </c>
      <c r="F127" t="s">
        <v>1280</v>
      </c>
      <c r="I127" s="16">
        <f>-IFERROR(VLOOKUP(C127,SIRCUPA!$A$21:$H$186,8,0),0)</f>
        <v>0</v>
      </c>
      <c r="J127" s="68">
        <f>-IFERROR(VLOOKUP(C127,SIRTAC!$A$16:$H$1405,8,0),0)</f>
        <v>-241</v>
      </c>
      <c r="K127" s="68">
        <f>-IFERROR(VLOOKUP(C127,Gastos!$A$9:$J$1398,10,0),0)</f>
        <v>-233.77</v>
      </c>
      <c r="L127" s="68">
        <f>-IFERROR(VLOOKUP(C127,IDC!$A$20:$H$1596,8,0),0)</f>
        <v>-144.6</v>
      </c>
      <c r="M127" s="74">
        <f t="shared" si="2"/>
        <v>24100</v>
      </c>
    </row>
    <row r="128" spans="1:13" customFormat="1">
      <c r="A128" t="s">
        <v>26</v>
      </c>
      <c r="B128" t="s">
        <v>11</v>
      </c>
      <c r="C128" s="51">
        <v>135916127391</v>
      </c>
      <c r="D128" s="1">
        <v>39946.300000000003</v>
      </c>
      <c r="E128" s="1">
        <v>22842299.800000001</v>
      </c>
      <c r="F128" t="s">
        <v>1280</v>
      </c>
      <c r="I128" s="16">
        <f>-IFERROR(VLOOKUP(C128,SIRCUPA!$A$21:$H$186,8,0),0)</f>
        <v>0</v>
      </c>
      <c r="J128" s="68">
        <f>-IFERROR(VLOOKUP(C128,SIRTAC!$A$16:$H$1405,8,0),0)</f>
        <v>-410</v>
      </c>
      <c r="K128" s="68">
        <f>-IFERROR(VLOOKUP(C128,Gastos!$A$9:$J$1398,10,0),0)</f>
        <v>-397.7</v>
      </c>
      <c r="L128" s="68">
        <f>-IFERROR(VLOOKUP(C128,IDC!$A$20:$H$1596,8,0),0)</f>
        <v>-246</v>
      </c>
      <c r="M128" s="74">
        <f t="shared" si="2"/>
        <v>41000</v>
      </c>
    </row>
    <row r="129" spans="1:18">
      <c r="A129" t="s">
        <v>26</v>
      </c>
      <c r="B129" t="s">
        <v>11</v>
      </c>
      <c r="C129" s="51">
        <v>136539211002</v>
      </c>
      <c r="D129" s="1">
        <v>8525.1200000000008</v>
      </c>
      <c r="E129" s="1">
        <v>22850824.920000002</v>
      </c>
      <c r="F129" t="s">
        <v>1280</v>
      </c>
      <c r="G129"/>
      <c r="H129"/>
      <c r="I129" s="16">
        <f>-IFERROR(VLOOKUP(C129,SIRCUPA!$A$21:$H$186,8,0),0)</f>
        <v>0</v>
      </c>
      <c r="J129" s="68">
        <f>-IFERROR(VLOOKUP(C129,SIRTAC!$A$16:$H$1405,8,0),0)</f>
        <v>-87.5</v>
      </c>
      <c r="K129" s="68">
        <f>-IFERROR(VLOOKUP(C129,Gastos!$A$9:$J$1398,10,0),0)</f>
        <v>-84.88</v>
      </c>
      <c r="L129" s="68">
        <f>-IFERROR(VLOOKUP(C129,IDC!$A$20:$H$1596,8,0),0)</f>
        <v>-52.5</v>
      </c>
      <c r="M129" s="74">
        <f t="shared" si="2"/>
        <v>8750</v>
      </c>
      <c r="N129"/>
      <c r="Q129"/>
      <c r="R129"/>
    </row>
    <row r="130" spans="1:18">
      <c r="A130" t="s">
        <v>26</v>
      </c>
      <c r="B130" t="s">
        <v>28</v>
      </c>
      <c r="C130" s="51">
        <v>136582518616</v>
      </c>
      <c r="D130" s="1">
        <v>63145.5</v>
      </c>
      <c r="E130" s="1">
        <v>22913970.420000002</v>
      </c>
      <c r="F130" t="s">
        <v>1280</v>
      </c>
      <c r="G130"/>
      <c r="H130"/>
      <c r="I130" s="16">
        <f>-IFERROR(VLOOKUP(C130,SIRCUPA!$A$21:$H$186,8,0),0)</f>
        <v>-967.5</v>
      </c>
      <c r="J130" s="68">
        <f>-IFERROR(VLOOKUP(C130,SIRTAC!$A$16:$H$1405,8,0),0)</f>
        <v>0</v>
      </c>
      <c r="K130" s="68">
        <f>-IFERROR(VLOOKUP(C130,Gastos!$A$9:$J$1398,10,0),0)</f>
        <v>0</v>
      </c>
      <c r="L130" s="68">
        <v>-387</v>
      </c>
      <c r="M130" s="74">
        <f t="shared" si="2"/>
        <v>64500</v>
      </c>
      <c r="N130"/>
      <c r="Q130" s="16">
        <f>+I130/0.015</f>
        <v>-64500</v>
      </c>
      <c r="R130" s="16">
        <f>+Q130*0.006</f>
        <v>-387</v>
      </c>
    </row>
    <row r="131" spans="1:18">
      <c r="A131" t="s">
        <v>26</v>
      </c>
      <c r="B131" t="s">
        <v>11</v>
      </c>
      <c r="C131" s="51">
        <v>136675013138</v>
      </c>
      <c r="D131" s="1">
        <v>4092.06</v>
      </c>
      <c r="E131" s="1">
        <v>22918062.48</v>
      </c>
      <c r="F131" t="s">
        <v>1280</v>
      </c>
      <c r="G131"/>
      <c r="H131"/>
      <c r="I131" s="16">
        <f>-IFERROR(VLOOKUP(C131,SIRCUPA!$A$21:$H$186,8,0),0)</f>
        <v>0</v>
      </c>
      <c r="J131" s="68">
        <f>-IFERROR(VLOOKUP(C131,SIRTAC!$A$16:$H$1405,8,0),0)</f>
        <v>-42</v>
      </c>
      <c r="K131" s="68">
        <f>-IFERROR(VLOOKUP(C131,Gastos!$A$9:$J$1398,10,0),0)</f>
        <v>-40.74</v>
      </c>
      <c r="L131" s="68">
        <f>-IFERROR(VLOOKUP(C131,IDC!$A$20:$H$1596,8,0),0)</f>
        <v>-25.2</v>
      </c>
      <c r="M131" s="74">
        <f t="shared" si="2"/>
        <v>4199.9999999999991</v>
      </c>
      <c r="N131"/>
      <c r="Q131"/>
      <c r="R131"/>
    </row>
    <row r="132" spans="1:18">
      <c r="A132" t="s">
        <v>26</v>
      </c>
      <c r="B132" t="s">
        <v>29</v>
      </c>
      <c r="C132" s="51">
        <v>136051543027</v>
      </c>
      <c r="D132">
        <v>205.59</v>
      </c>
      <c r="E132" s="1">
        <v>22918268.07</v>
      </c>
      <c r="F132" t="s">
        <v>1280</v>
      </c>
      <c r="G132"/>
      <c r="H132"/>
      <c r="I132" s="16">
        <f>-IFERROR(VLOOKUP(C132,SIRCUPA!$A$21:$H$186,8,0),0)</f>
        <v>-3.15</v>
      </c>
      <c r="J132" s="68">
        <f>-IFERROR(VLOOKUP(C132,SIRTAC!$A$16:$H$1405,8,0),0)</f>
        <v>0</v>
      </c>
      <c r="K132" s="68">
        <f>-IFERROR(VLOOKUP(C132,Gastos!$A$9:$J$1398,10,0),0)</f>
        <v>0</v>
      </c>
      <c r="L132" s="68">
        <f>-IFERROR(VLOOKUP(C132,IDC!$A$20:$H$1596,8,0),0)</f>
        <v>-1.26</v>
      </c>
      <c r="M132" s="74">
        <f t="shared" si="2"/>
        <v>210</v>
      </c>
      <c r="N132"/>
      <c r="Q132"/>
      <c r="R132"/>
    </row>
    <row r="133" spans="1:18">
      <c r="A133" t="s">
        <v>26</v>
      </c>
      <c r="B133" t="s">
        <v>11</v>
      </c>
      <c r="C133" s="51">
        <v>136052254573</v>
      </c>
      <c r="D133" s="1">
        <v>4534.5600000000004</v>
      </c>
      <c r="E133" s="1">
        <v>22922802.629999999</v>
      </c>
      <c r="F133" t="s">
        <v>1280</v>
      </c>
      <c r="G133"/>
      <c r="H133"/>
      <c r="I133" s="16">
        <f>-IFERROR(VLOOKUP(C133,SIRCUPA!$A$21:$H$186,8,0),0)</f>
        <v>0</v>
      </c>
      <c r="J133" s="68">
        <f>-IFERROR(VLOOKUP(C133,SIRTAC!$A$16:$H$1405,8,0),0)</f>
        <v>-48</v>
      </c>
      <c r="K133" s="68">
        <f>-IFERROR(VLOOKUP(C133,Gastos!$A$9:$J$1398,10,0),0)</f>
        <v>-188.64</v>
      </c>
      <c r="L133" s="68">
        <f>-IFERROR(VLOOKUP(C133,IDC!$A$20:$H$1596,8,0),0)</f>
        <v>-28.8</v>
      </c>
      <c r="M133" s="74">
        <f t="shared" si="2"/>
        <v>4800.0000000000009</v>
      </c>
      <c r="N133"/>
      <c r="Q133"/>
      <c r="R133"/>
    </row>
    <row r="134" spans="1:18">
      <c r="A134" t="s">
        <v>26</v>
      </c>
      <c r="B134" t="s">
        <v>11</v>
      </c>
      <c r="C134" s="51">
        <v>136676483834</v>
      </c>
      <c r="D134" s="1">
        <v>23969</v>
      </c>
      <c r="E134" s="1">
        <v>22946771.629999999</v>
      </c>
      <c r="F134" t="s">
        <v>1280</v>
      </c>
      <c r="G134"/>
      <c r="H134"/>
      <c r="I134" s="16">
        <f>-IFERROR(VLOOKUP(C134,SIRCUPA!$A$21:$H$186,8,0),0)</f>
        <v>0</v>
      </c>
      <c r="J134" s="68">
        <f>-IFERROR(VLOOKUP(C134,SIRTAC!$A$16:$H$1405,8,0),0)</f>
        <v>-275</v>
      </c>
      <c r="K134" s="68">
        <f>-IFERROR(VLOOKUP(C134,Gastos!$A$9:$J$1398,10,0),0)</f>
        <v>-3091</v>
      </c>
      <c r="L134" s="68">
        <f>-IFERROR(VLOOKUP(C134,IDC!$A$20:$H$1596,8,0),0)</f>
        <v>-165</v>
      </c>
      <c r="M134" s="74">
        <f t="shared" si="2"/>
        <v>27500</v>
      </c>
      <c r="N134"/>
      <c r="Q134"/>
      <c r="R134"/>
    </row>
    <row r="135" spans="1:18">
      <c r="A135" t="s">
        <v>26</v>
      </c>
      <c r="B135" t="s">
        <v>11</v>
      </c>
      <c r="C135" s="51">
        <v>136676932768</v>
      </c>
      <c r="D135" s="1">
        <v>15870.96</v>
      </c>
      <c r="E135" s="1">
        <v>22962642.59</v>
      </c>
      <c r="F135" t="s">
        <v>1280</v>
      </c>
      <c r="G135"/>
      <c r="H135"/>
      <c r="I135" s="16">
        <f>-IFERROR(VLOOKUP(C135,SIRCUPA!$A$21:$H$186,8,0),0)</f>
        <v>0</v>
      </c>
      <c r="J135" s="68">
        <f>-IFERROR(VLOOKUP(C135,SIRTAC!$A$16:$H$1405,8,0),0)</f>
        <v>-168</v>
      </c>
      <c r="K135" s="68">
        <f>-IFERROR(VLOOKUP(C135,Gastos!$A$9:$J$1398,10,0),0)</f>
        <v>-660.24</v>
      </c>
      <c r="L135" s="68">
        <f>-IFERROR(VLOOKUP(C135,IDC!$A$20:$H$1596,8,0),0)</f>
        <v>-100.8</v>
      </c>
      <c r="M135" s="74">
        <f t="shared" si="2"/>
        <v>16800</v>
      </c>
      <c r="N135"/>
      <c r="Q135"/>
      <c r="R135"/>
    </row>
    <row r="136" spans="1:18">
      <c r="A136" t="s">
        <v>26</v>
      </c>
      <c r="B136" t="s">
        <v>11</v>
      </c>
      <c r="C136" s="51">
        <v>136677967596</v>
      </c>
      <c r="D136" s="1">
        <v>15296.51</v>
      </c>
      <c r="E136" s="1">
        <v>22977939.100000001</v>
      </c>
      <c r="F136" t="s">
        <v>1280</v>
      </c>
      <c r="G136"/>
      <c r="H136"/>
      <c r="I136" s="16">
        <f>-IFERROR(VLOOKUP(C136,SIRCUPA!$A$21:$H$186,8,0),0)</f>
        <v>0</v>
      </c>
      <c r="J136" s="68">
        <f>-IFERROR(VLOOKUP(C136,SIRTAC!$A$16:$H$1405,8,0),0)</f>
        <v>-157</v>
      </c>
      <c r="K136" s="68">
        <f>-IFERROR(VLOOKUP(C136,Gastos!$A$9:$J$1398,10,0),0)</f>
        <v>-152.29</v>
      </c>
      <c r="L136" s="68">
        <f>-IFERROR(VLOOKUP(C136,IDC!$A$20:$H$1596,8,0),0)</f>
        <v>-94.2</v>
      </c>
      <c r="M136" s="74">
        <f t="shared" si="2"/>
        <v>15700.000000000002</v>
      </c>
      <c r="N136"/>
      <c r="Q136"/>
      <c r="R136"/>
    </row>
    <row r="137" spans="1:18">
      <c r="A137" t="s">
        <v>26</v>
      </c>
      <c r="B137" t="s">
        <v>11</v>
      </c>
      <c r="C137" s="51">
        <v>136058124483</v>
      </c>
      <c r="D137" s="1">
        <v>8715.84</v>
      </c>
      <c r="E137" s="1">
        <v>22986654.940000001</v>
      </c>
      <c r="F137" t="s">
        <v>1280</v>
      </c>
      <c r="G137"/>
      <c r="H137"/>
      <c r="I137" s="16">
        <f>-IFERROR(VLOOKUP(C137,SIRCUPA!$A$21:$H$186,8,0),0)</f>
        <v>0</v>
      </c>
      <c r="J137" s="68">
        <f>-IFERROR(VLOOKUP(C137,SIRTAC!$A$16:$H$1405,8,0),0)</f>
        <v>-96</v>
      </c>
      <c r="K137" s="68">
        <f>-IFERROR(VLOOKUP(C137,Gastos!$A$9:$J$1398,10,0),0)</f>
        <v>-730.56</v>
      </c>
      <c r="L137" s="68">
        <f>-IFERROR(VLOOKUP(C137,IDC!$A$20:$H$1596,8,0),0)</f>
        <v>-57.6</v>
      </c>
      <c r="M137" s="74">
        <f t="shared" si="2"/>
        <v>9600</v>
      </c>
      <c r="N137"/>
      <c r="Q137"/>
      <c r="R137"/>
    </row>
    <row r="138" spans="1:18">
      <c r="A138" t="s">
        <v>26</v>
      </c>
      <c r="B138" t="s">
        <v>11</v>
      </c>
      <c r="C138" s="51">
        <v>136684362466</v>
      </c>
      <c r="D138" s="1">
        <v>26793.25</v>
      </c>
      <c r="E138" s="1">
        <v>23013448.190000001</v>
      </c>
      <c r="F138" t="s">
        <v>1280</v>
      </c>
      <c r="G138"/>
      <c r="H138"/>
      <c r="I138" s="16">
        <f>-IFERROR(VLOOKUP(C138,SIRCUPA!$A$21:$H$186,8,0),0)</f>
        <v>0</v>
      </c>
      <c r="J138" s="68">
        <f>-IFERROR(VLOOKUP(C138,SIRTAC!$A$16:$H$1405,8,0),0)</f>
        <v>-275</v>
      </c>
      <c r="K138" s="68">
        <f>-IFERROR(VLOOKUP(C138,Gastos!$A$9:$J$1398,10,0),0)</f>
        <v>-266.75</v>
      </c>
      <c r="L138" s="68">
        <f>-IFERROR(VLOOKUP(C138,IDC!$A$20:$H$1596,8,0),0)</f>
        <v>-165</v>
      </c>
      <c r="M138" s="74">
        <f t="shared" si="2"/>
        <v>27500</v>
      </c>
      <c r="N138"/>
      <c r="Q138"/>
      <c r="R138"/>
    </row>
    <row r="139" spans="1:18">
      <c r="A139" t="s">
        <v>26</v>
      </c>
      <c r="B139" t="s">
        <v>30</v>
      </c>
      <c r="C139" s="51">
        <v>136684356570</v>
      </c>
      <c r="D139" s="1">
        <v>1346.12</v>
      </c>
      <c r="E139" s="1">
        <v>23014794.309999999</v>
      </c>
      <c r="F139" t="s">
        <v>1280</v>
      </c>
      <c r="G139"/>
      <c r="H139"/>
      <c r="I139" s="16">
        <f>-IFERROR(VLOOKUP(C139,SIRCUPA!$A$21:$H$186,8,0),0)</f>
        <v>-20.63</v>
      </c>
      <c r="J139" s="68">
        <f>-IFERROR(VLOOKUP(C139,SIRTAC!$A$16:$H$1405,8,0),0)</f>
        <v>0</v>
      </c>
      <c r="K139" s="68">
        <f>-IFERROR(VLOOKUP(C139,Gastos!$A$9:$J$1398,10,0),0)</f>
        <v>0</v>
      </c>
      <c r="L139" s="68">
        <f>-IFERROR(VLOOKUP(C139,IDC!$A$20:$H$1596,8,0),0)</f>
        <v>-8.25</v>
      </c>
      <c r="M139" s="74">
        <f t="shared" si="2"/>
        <v>1375</v>
      </c>
      <c r="N139"/>
      <c r="Q139"/>
      <c r="R139"/>
    </row>
    <row r="140" spans="1:18">
      <c r="A140" t="s">
        <v>26</v>
      </c>
      <c r="B140" t="s">
        <v>11</v>
      </c>
      <c r="C140" s="51">
        <v>136684524618</v>
      </c>
      <c r="D140" s="1">
        <v>4629.03</v>
      </c>
      <c r="E140" s="1">
        <v>23019423.34</v>
      </c>
      <c r="F140" t="s">
        <v>1280</v>
      </c>
      <c r="G140"/>
      <c r="H140"/>
      <c r="I140" s="16">
        <f>-IFERROR(VLOOKUP(C140,SIRCUPA!$A$21:$H$186,8,0),0)</f>
        <v>0</v>
      </c>
      <c r="J140" s="68">
        <f>-IFERROR(VLOOKUP(C140,SIRTAC!$A$16:$H$1405,8,0),0)</f>
        <v>-49</v>
      </c>
      <c r="K140" s="68">
        <f>-IFERROR(VLOOKUP(C140,Gastos!$A$9:$J$1398,10,0),0)</f>
        <v>-192.57</v>
      </c>
      <c r="L140" s="68">
        <f>-IFERROR(VLOOKUP(C140,IDC!$A$20:$H$1596,8,0),0)</f>
        <v>-29.4</v>
      </c>
      <c r="M140" s="74">
        <f t="shared" si="2"/>
        <v>4899.9999999999991</v>
      </c>
      <c r="N140"/>
      <c r="Q140"/>
      <c r="R140"/>
    </row>
    <row r="141" spans="1:18">
      <c r="A141" t="s">
        <v>26</v>
      </c>
      <c r="B141" t="s">
        <v>11</v>
      </c>
      <c r="C141" s="51">
        <v>136686063362</v>
      </c>
      <c r="D141" s="1">
        <v>9548.14</v>
      </c>
      <c r="E141" s="1">
        <v>23028971.48</v>
      </c>
      <c r="F141" t="s">
        <v>1280</v>
      </c>
      <c r="G141"/>
      <c r="H141"/>
      <c r="I141" s="16">
        <f>-IFERROR(VLOOKUP(C141,SIRCUPA!$A$21:$H$186,8,0),0)</f>
        <v>0</v>
      </c>
      <c r="J141" s="68">
        <f>-IFERROR(VLOOKUP(C141,SIRTAC!$A$16:$H$1405,8,0),0)</f>
        <v>-98</v>
      </c>
      <c r="K141" s="68">
        <f>-IFERROR(VLOOKUP(C141,Gastos!$A$9:$J$1398,10,0),0)</f>
        <v>-95.06</v>
      </c>
      <c r="L141" s="68">
        <f>-IFERROR(VLOOKUP(C141,IDC!$A$20:$H$1596,8,0),0)</f>
        <v>-58.8</v>
      </c>
      <c r="M141" s="74">
        <f t="shared" si="2"/>
        <v>9799.9999999999982</v>
      </c>
      <c r="N141"/>
      <c r="Q141"/>
      <c r="R141"/>
    </row>
    <row r="142" spans="1:18">
      <c r="A142" t="s">
        <v>26</v>
      </c>
      <c r="B142" t="s">
        <v>11</v>
      </c>
      <c r="C142" s="51">
        <v>136689125144</v>
      </c>
      <c r="D142" s="1">
        <v>8768.7000000000007</v>
      </c>
      <c r="E142" s="1">
        <v>23037740.18</v>
      </c>
      <c r="F142" t="s">
        <v>1280</v>
      </c>
      <c r="G142"/>
      <c r="H142"/>
      <c r="I142" s="16">
        <f>-IFERROR(VLOOKUP(C142,SIRCUPA!$A$21:$H$186,8,0),0)</f>
        <v>0</v>
      </c>
      <c r="J142" s="68">
        <f>-IFERROR(VLOOKUP(C142,SIRTAC!$A$16:$H$1405,8,0),0)</f>
        <v>-90</v>
      </c>
      <c r="K142" s="68">
        <f>-IFERROR(VLOOKUP(C142,Gastos!$A$9:$J$1398,10,0),0)</f>
        <v>-87.3</v>
      </c>
      <c r="L142" s="68">
        <f>-IFERROR(VLOOKUP(C142,IDC!$A$20:$H$1596,8,0),0)</f>
        <v>-54</v>
      </c>
      <c r="M142" s="74">
        <f t="shared" si="2"/>
        <v>9000</v>
      </c>
      <c r="N142"/>
      <c r="Q142"/>
      <c r="R142"/>
    </row>
    <row r="143" spans="1:18">
      <c r="A143" t="s">
        <v>26</v>
      </c>
      <c r="B143" t="s">
        <v>11</v>
      </c>
      <c r="C143" s="51">
        <v>136689207772</v>
      </c>
      <c r="D143" s="1">
        <v>42889.38</v>
      </c>
      <c r="E143" s="1">
        <v>23080629.559999999</v>
      </c>
      <c r="F143" t="s">
        <v>1280</v>
      </c>
      <c r="G143"/>
      <c r="H143"/>
      <c r="I143" s="16">
        <f>-IFERROR(VLOOKUP(C143,SIRCUPA!$A$21:$H$186,8,0),0)</f>
        <v>0</v>
      </c>
      <c r="J143" s="68">
        <f>-IFERROR(VLOOKUP(C143,SIRTAC!$A$16:$H$1405,8,0),0)</f>
        <v>-454</v>
      </c>
      <c r="K143" s="68">
        <f>-IFERROR(VLOOKUP(C143,Gastos!$A$9:$J$1398,10,0),0)</f>
        <v>-1784.22</v>
      </c>
      <c r="L143" s="68">
        <f>-IFERROR(VLOOKUP(C143,IDC!$A$20:$H$1596,8,0),0)</f>
        <v>-272.39999999999998</v>
      </c>
      <c r="M143" s="74">
        <f t="shared" si="2"/>
        <v>45400</v>
      </c>
      <c r="N143"/>
      <c r="Q143"/>
      <c r="R143"/>
    </row>
    <row r="144" spans="1:18">
      <c r="A144" t="s">
        <v>26</v>
      </c>
      <c r="B144" t="s">
        <v>11</v>
      </c>
      <c r="C144" s="51">
        <v>136690556608</v>
      </c>
      <c r="D144" s="1">
        <v>16012.66</v>
      </c>
      <c r="E144" s="1">
        <v>23096642.219999999</v>
      </c>
      <c r="F144" t="s">
        <v>1280</v>
      </c>
      <c r="G144"/>
      <c r="H144"/>
      <c r="I144" s="16">
        <f>-IFERROR(VLOOKUP(C144,SIRCUPA!$A$21:$H$186,8,0),0)</f>
        <v>0</v>
      </c>
      <c r="J144" s="68">
        <f>-IFERROR(VLOOKUP(C144,SIRTAC!$A$16:$H$1405,8,0),0)</f>
        <v>-169.5</v>
      </c>
      <c r="K144" s="68">
        <f>-IFERROR(VLOOKUP(C144,Gastos!$A$9:$J$1398,10,0),0)</f>
        <v>-666.14</v>
      </c>
      <c r="L144" s="68">
        <f>-IFERROR(VLOOKUP(C144,IDC!$A$20:$H$1596,8,0),0)</f>
        <v>-101.7</v>
      </c>
      <c r="M144" s="74">
        <f t="shared" si="2"/>
        <v>16950</v>
      </c>
      <c r="N144"/>
      <c r="Q144"/>
      <c r="R144"/>
    </row>
    <row r="145" spans="1:13" customFormat="1">
      <c r="A145" t="s">
        <v>26</v>
      </c>
      <c r="B145" t="s">
        <v>11</v>
      </c>
      <c r="C145" s="51">
        <v>136067110391</v>
      </c>
      <c r="D145" s="1">
        <v>18657.82</v>
      </c>
      <c r="E145" s="1">
        <v>23115300.039999999</v>
      </c>
      <c r="F145" t="s">
        <v>1280</v>
      </c>
      <c r="I145" s="16">
        <f>-IFERROR(VLOOKUP(C145,SIRCUPA!$A$21:$H$186,8,0),0)</f>
        <v>0</v>
      </c>
      <c r="J145" s="68">
        <f>-IFERROR(VLOOKUP(C145,SIRTAC!$A$16:$H$1405,8,0),0)</f>
        <v>-197.5</v>
      </c>
      <c r="K145" s="68">
        <f>-IFERROR(VLOOKUP(C145,Gastos!$A$9:$J$1398,10,0),0)</f>
        <v>-776.18</v>
      </c>
      <c r="L145" s="68">
        <f>-IFERROR(VLOOKUP(C145,IDC!$A$20:$H$1596,8,0),0)</f>
        <v>-118.5</v>
      </c>
      <c r="M145" s="74">
        <f t="shared" ref="M145:M181" si="3">+D145-I145-J145-K145-L145</f>
        <v>19750</v>
      </c>
    </row>
    <row r="146" spans="1:13" customFormat="1">
      <c r="A146" t="s">
        <v>26</v>
      </c>
      <c r="B146" t="s">
        <v>11</v>
      </c>
      <c r="C146" s="51">
        <v>136691246728</v>
      </c>
      <c r="D146" s="1">
        <v>50176.45</v>
      </c>
      <c r="E146" s="1">
        <v>23165476.489999998</v>
      </c>
      <c r="F146" t="s">
        <v>1280</v>
      </c>
      <c r="I146" s="16">
        <f>-IFERROR(VLOOKUP(C146,SIRCUPA!$A$21:$H$186,8,0),0)</f>
        <v>0</v>
      </c>
      <c r="J146" s="68">
        <f>-IFERROR(VLOOKUP(C146,SIRTAC!$A$16:$H$1405,8,0),0)</f>
        <v>-515</v>
      </c>
      <c r="K146" s="68">
        <f>-IFERROR(VLOOKUP(C146,Gastos!$A$9:$J$1398,10,0),0)</f>
        <v>-499.55</v>
      </c>
      <c r="L146" s="68">
        <f>-IFERROR(VLOOKUP(C146,IDC!$A$20:$H$1596,8,0),0)</f>
        <v>-309</v>
      </c>
      <c r="M146" s="74">
        <f t="shared" si="3"/>
        <v>51500</v>
      </c>
    </row>
    <row r="147" spans="1:13" customFormat="1">
      <c r="A147" t="s">
        <v>26</v>
      </c>
      <c r="B147" t="s">
        <v>11</v>
      </c>
      <c r="C147" s="51">
        <v>136067944241</v>
      </c>
      <c r="D147" s="1">
        <v>13164.55</v>
      </c>
      <c r="E147" s="1">
        <v>23178641.039999999</v>
      </c>
      <c r="F147" t="s">
        <v>1280</v>
      </c>
      <c r="I147" s="16">
        <f>-IFERROR(VLOOKUP(C147,SIRCUPA!$A$21:$H$186,8,0),0)</f>
        <v>0</v>
      </c>
      <c r="J147" s="68">
        <f>-IFERROR(VLOOKUP(C147,SIRTAC!$A$16:$H$1405,8,0),0)</f>
        <v>-145</v>
      </c>
      <c r="K147" s="68">
        <f>-IFERROR(VLOOKUP(C147,Gastos!$A$9:$J$1398,10,0),0)</f>
        <v>-1103.45</v>
      </c>
      <c r="L147" s="68">
        <f>-IFERROR(VLOOKUP(C147,IDC!$A$20:$H$1596,8,0),0)</f>
        <v>-87</v>
      </c>
      <c r="M147" s="74">
        <f t="shared" si="3"/>
        <v>14500</v>
      </c>
    </row>
    <row r="148" spans="1:13" customFormat="1">
      <c r="A148" t="s">
        <v>26</v>
      </c>
      <c r="B148" t="s">
        <v>11</v>
      </c>
      <c r="C148" s="51">
        <v>136693286622</v>
      </c>
      <c r="D148" s="1">
        <v>4774.07</v>
      </c>
      <c r="E148" s="1">
        <v>23183415.109999999</v>
      </c>
      <c r="F148" t="s">
        <v>1280</v>
      </c>
      <c r="I148" s="16">
        <f>-IFERROR(VLOOKUP(C148,SIRCUPA!$A$21:$H$186,8,0),0)</f>
        <v>0</v>
      </c>
      <c r="J148" s="68">
        <f>-IFERROR(VLOOKUP(C148,SIRTAC!$A$16:$H$1405,8,0),0)</f>
        <v>-49</v>
      </c>
      <c r="K148" s="68">
        <f>-IFERROR(VLOOKUP(C148,Gastos!$A$9:$J$1398,10,0),0)</f>
        <v>-47.53</v>
      </c>
      <c r="L148" s="68">
        <f>-IFERROR(VLOOKUP(C148,IDC!$A$20:$H$1596,8,0),0)</f>
        <v>-29.4</v>
      </c>
      <c r="M148" s="74">
        <f t="shared" si="3"/>
        <v>4899.9999999999991</v>
      </c>
    </row>
    <row r="149" spans="1:13" customFormat="1">
      <c r="A149" t="s">
        <v>26</v>
      </c>
      <c r="B149" t="s">
        <v>11</v>
      </c>
      <c r="C149" s="51">
        <v>136072576761</v>
      </c>
      <c r="D149" s="1">
        <v>25136.94</v>
      </c>
      <c r="E149" s="1">
        <v>23208552.050000001</v>
      </c>
      <c r="F149" t="s">
        <v>1280</v>
      </c>
      <c r="I149" s="16">
        <f>-IFERROR(VLOOKUP(C149,SIRCUPA!$A$21:$H$186,8,0),0)</f>
        <v>0</v>
      </c>
      <c r="J149" s="68">
        <f>-IFERROR(VLOOKUP(C149,SIRTAC!$A$16:$H$1405,8,0),0)</f>
        <v>-258</v>
      </c>
      <c r="K149" s="68">
        <f>-IFERROR(VLOOKUP(C149,Gastos!$A$9:$J$1398,10,0),0)</f>
        <v>-250.26</v>
      </c>
      <c r="L149" s="68">
        <f>-IFERROR(VLOOKUP(C149,IDC!$A$20:$H$1596,8,0),0)</f>
        <v>-154.80000000000001</v>
      </c>
      <c r="M149" s="74">
        <f t="shared" si="3"/>
        <v>25799.999999999996</v>
      </c>
    </row>
    <row r="150" spans="1:13" customFormat="1">
      <c r="A150" t="s">
        <v>26</v>
      </c>
      <c r="B150" t="s">
        <v>11</v>
      </c>
      <c r="C150" s="51">
        <v>136697737900</v>
      </c>
      <c r="D150" s="1">
        <v>29716.15</v>
      </c>
      <c r="E150" s="1">
        <v>23238268.199999999</v>
      </c>
      <c r="F150" t="s">
        <v>1280</v>
      </c>
      <c r="I150" s="16">
        <f>-IFERROR(VLOOKUP(C150,SIRCUPA!$A$21:$H$186,8,0),0)</f>
        <v>0</v>
      </c>
      <c r="J150" s="68">
        <f>-IFERROR(VLOOKUP(C150,SIRTAC!$A$16:$H$1405,8,0),0)</f>
        <v>-305</v>
      </c>
      <c r="K150" s="68">
        <f>-IFERROR(VLOOKUP(C150,Gastos!$A$9:$J$1398,10,0),0)</f>
        <v>-295.85000000000002</v>
      </c>
      <c r="L150" s="68">
        <f>-IFERROR(VLOOKUP(C150,IDC!$A$20:$H$1596,8,0),0)</f>
        <v>-183</v>
      </c>
      <c r="M150" s="74">
        <f t="shared" si="3"/>
        <v>30500</v>
      </c>
    </row>
    <row r="151" spans="1:13" customFormat="1">
      <c r="A151" t="s">
        <v>26</v>
      </c>
      <c r="B151" t="s">
        <v>11</v>
      </c>
      <c r="C151" s="51">
        <v>136075632673</v>
      </c>
      <c r="D151" s="1">
        <v>63621.79</v>
      </c>
      <c r="E151" s="1">
        <v>23301889.989999998</v>
      </c>
      <c r="F151" t="s">
        <v>1280</v>
      </c>
      <c r="I151" s="16">
        <f>-IFERROR(VLOOKUP(C151,SIRCUPA!$A$21:$H$186,8,0),0)</f>
        <v>0</v>
      </c>
      <c r="J151" s="68">
        <f>-IFERROR(VLOOKUP(C151,SIRTAC!$A$16:$H$1405,8,0),0)</f>
        <v>-653</v>
      </c>
      <c r="K151" s="68">
        <f>-IFERROR(VLOOKUP(C151,Gastos!$A$9:$J$1398,10,0),0)</f>
        <v>-633.41</v>
      </c>
      <c r="L151" s="68">
        <f>-IFERROR(VLOOKUP(C151,IDC!$A$20:$H$1596,8,0),0)</f>
        <v>-391.8</v>
      </c>
      <c r="M151" s="74">
        <f t="shared" si="3"/>
        <v>65300.000000000007</v>
      </c>
    </row>
    <row r="152" spans="1:13" customFormat="1">
      <c r="A152" t="s">
        <v>26</v>
      </c>
      <c r="B152" t="s">
        <v>11</v>
      </c>
      <c r="C152" s="51">
        <v>136699638344</v>
      </c>
      <c r="D152" s="1">
        <v>57386.27</v>
      </c>
      <c r="E152" s="1">
        <v>23359276.260000002</v>
      </c>
      <c r="F152" t="s">
        <v>1280</v>
      </c>
      <c r="I152" s="16">
        <f>-IFERROR(VLOOKUP(C152,SIRCUPA!$A$21:$H$186,8,0),0)</f>
        <v>0</v>
      </c>
      <c r="J152" s="68">
        <f>-IFERROR(VLOOKUP(C152,SIRTAC!$A$16:$H$1405,8,0),0)</f>
        <v>-589</v>
      </c>
      <c r="K152" s="68">
        <f>-IFERROR(VLOOKUP(C152,Gastos!$A$9:$J$1398,10,0),0)</f>
        <v>-571.33000000000004</v>
      </c>
      <c r="L152" s="68">
        <f>-IFERROR(VLOOKUP(C152,IDC!$A$20:$H$1596,8,0),0)</f>
        <v>-353.4</v>
      </c>
      <c r="M152" s="74">
        <f t="shared" si="3"/>
        <v>58900</v>
      </c>
    </row>
    <row r="153" spans="1:13" customFormat="1">
      <c r="A153" t="s">
        <v>26</v>
      </c>
      <c r="B153" t="s">
        <v>11</v>
      </c>
      <c r="C153" s="51">
        <v>136076832363</v>
      </c>
      <c r="D153" s="1">
        <v>31762.18</v>
      </c>
      <c r="E153" s="1">
        <v>23391038.440000001</v>
      </c>
      <c r="F153" t="s">
        <v>1280</v>
      </c>
      <c r="I153" s="16">
        <f>-IFERROR(VLOOKUP(C153,SIRCUPA!$A$21:$H$186,8,0),0)</f>
        <v>0</v>
      </c>
      <c r="J153" s="68">
        <f>-IFERROR(VLOOKUP(C153,SIRTAC!$A$16:$H$1405,8,0),0)</f>
        <v>-326</v>
      </c>
      <c r="K153" s="68">
        <f>-IFERROR(VLOOKUP(C153,Gastos!$A$9:$J$1398,10,0),0)</f>
        <v>-316.22000000000003</v>
      </c>
      <c r="L153" s="68">
        <f>-IFERROR(VLOOKUP(C153,IDC!$A$20:$H$1596,8,0),0)</f>
        <v>-195.6</v>
      </c>
      <c r="M153" s="74">
        <f t="shared" si="3"/>
        <v>32600</v>
      </c>
    </row>
    <row r="154" spans="1:13" customFormat="1">
      <c r="A154" t="s">
        <v>31</v>
      </c>
      <c r="B154" t="s">
        <v>11</v>
      </c>
      <c r="C154" s="51">
        <v>136078016419</v>
      </c>
      <c r="D154" s="1">
        <v>39361.72</v>
      </c>
      <c r="E154" s="1">
        <v>23430400.16</v>
      </c>
      <c r="F154" t="s">
        <v>1280</v>
      </c>
      <c r="I154" s="16">
        <f>-IFERROR(VLOOKUP(C154,SIRCUPA!$A$21:$H$186,8,0),0)</f>
        <v>0</v>
      </c>
      <c r="J154" s="68">
        <f>-IFERROR(VLOOKUP(C154,SIRTAC!$A$16:$H$1405,8,0),0)</f>
        <v>-404</v>
      </c>
      <c r="K154" s="68">
        <f>-IFERROR(VLOOKUP(C154,Gastos!$A$9:$J$1398,10,0),0)</f>
        <v>-391.88</v>
      </c>
      <c r="L154" s="68">
        <f>-IFERROR(VLOOKUP(C154,IDC!$A$20:$H$1596,8,0),0)</f>
        <v>-242.4</v>
      </c>
      <c r="M154" s="74">
        <f t="shared" si="3"/>
        <v>40400</v>
      </c>
    </row>
    <row r="155" spans="1:13" customFormat="1">
      <c r="A155" t="s">
        <v>31</v>
      </c>
      <c r="B155" t="s">
        <v>11</v>
      </c>
      <c r="C155" s="51">
        <v>136078826713</v>
      </c>
      <c r="D155" s="1">
        <v>37315.69</v>
      </c>
      <c r="E155" s="1">
        <v>23467715.850000001</v>
      </c>
      <c r="F155" t="s">
        <v>1280</v>
      </c>
      <c r="I155" s="16">
        <f>-IFERROR(VLOOKUP(C155,SIRCUPA!$A$21:$H$186,8,0),0)</f>
        <v>0</v>
      </c>
      <c r="J155" s="68">
        <f>-IFERROR(VLOOKUP(C155,SIRTAC!$A$16:$H$1405,8,0),0)</f>
        <v>-383</v>
      </c>
      <c r="K155" s="68">
        <f>-IFERROR(VLOOKUP(C155,Gastos!$A$9:$J$1398,10,0),0)</f>
        <v>-371.51</v>
      </c>
      <c r="L155" s="68">
        <f>-IFERROR(VLOOKUP(C155,IDC!$A$20:$H$1596,8,0),0)</f>
        <v>-229.8</v>
      </c>
      <c r="M155" s="74">
        <f t="shared" si="3"/>
        <v>38300.000000000007</v>
      </c>
    </row>
    <row r="156" spans="1:13" customFormat="1">
      <c r="A156" t="s">
        <v>31</v>
      </c>
      <c r="B156" t="s">
        <v>11</v>
      </c>
      <c r="C156" s="51">
        <v>136703140262</v>
      </c>
      <c r="D156" s="1">
        <v>57191.41</v>
      </c>
      <c r="E156" s="1">
        <v>23524907.260000002</v>
      </c>
      <c r="F156" t="s">
        <v>1280</v>
      </c>
      <c r="I156" s="16">
        <f>-IFERROR(VLOOKUP(C156,SIRCUPA!$A$21:$H$186,8,0),0)</f>
        <v>0</v>
      </c>
      <c r="J156" s="68">
        <f>-IFERROR(VLOOKUP(C156,SIRTAC!$A$16:$H$1405,8,0),0)</f>
        <v>-587</v>
      </c>
      <c r="K156" s="68">
        <f>-IFERROR(VLOOKUP(C156,Gastos!$A$9:$J$1398,10,0),0)</f>
        <v>-569.39</v>
      </c>
      <c r="L156" s="68">
        <f>-IFERROR(VLOOKUP(C156,IDC!$A$20:$H$1596,8,0),0)</f>
        <v>-352.2</v>
      </c>
      <c r="M156" s="74">
        <f t="shared" si="3"/>
        <v>58700</v>
      </c>
    </row>
    <row r="157" spans="1:13" customFormat="1">
      <c r="A157" t="s">
        <v>31</v>
      </c>
      <c r="B157" t="s">
        <v>32</v>
      </c>
      <c r="C157" s="51">
        <v>136079648859</v>
      </c>
      <c r="D157" s="1">
        <v>2873.36</v>
      </c>
      <c r="E157" s="1">
        <v>23527780.620000001</v>
      </c>
      <c r="F157" t="s">
        <v>1280</v>
      </c>
      <c r="I157" s="16">
        <f>-IFERROR(VLOOKUP(C157,SIRCUPA!$A$21:$H$186,8,0),0)</f>
        <v>-44.03</v>
      </c>
      <c r="J157" s="68">
        <f>-IFERROR(VLOOKUP(C157,SIRTAC!$A$16:$H$1405,8,0),0)</f>
        <v>0</v>
      </c>
      <c r="K157" s="68">
        <f>-IFERROR(VLOOKUP(C157,Gastos!$A$9:$J$1398,10,0),0)</f>
        <v>0</v>
      </c>
      <c r="L157" s="68">
        <f>-IFERROR(VLOOKUP(C157,IDC!$A$20:$H$1596,8,0),0)</f>
        <v>-17.61</v>
      </c>
      <c r="M157" s="74">
        <f t="shared" si="3"/>
        <v>2935.0000000000005</v>
      </c>
    </row>
    <row r="158" spans="1:13" customFormat="1">
      <c r="A158" t="s">
        <v>31</v>
      </c>
      <c r="B158" t="s">
        <v>11</v>
      </c>
      <c r="C158" s="51">
        <v>136703920262</v>
      </c>
      <c r="D158" s="1">
        <v>42576.91</v>
      </c>
      <c r="E158" s="1">
        <v>23570357.530000001</v>
      </c>
      <c r="F158" t="s">
        <v>1280</v>
      </c>
      <c r="I158" s="16">
        <f>-IFERROR(VLOOKUP(C158,SIRCUPA!$A$21:$H$186,8,0),0)</f>
        <v>0</v>
      </c>
      <c r="J158" s="68">
        <f>-IFERROR(VLOOKUP(C158,SIRTAC!$A$16:$H$1405,8,0),0)</f>
        <v>-437</v>
      </c>
      <c r="K158" s="68">
        <f>-IFERROR(VLOOKUP(C158,Gastos!$A$9:$J$1398,10,0),0)</f>
        <v>-423.89</v>
      </c>
      <c r="L158" s="68">
        <f>-IFERROR(VLOOKUP(C158,IDC!$A$20:$H$1596,8,0),0)</f>
        <v>-262.2</v>
      </c>
      <c r="M158" s="74">
        <f t="shared" si="3"/>
        <v>43700</v>
      </c>
    </row>
    <row r="159" spans="1:13" customFormat="1">
      <c r="A159" t="s">
        <v>31</v>
      </c>
      <c r="B159" t="s">
        <v>11</v>
      </c>
      <c r="C159" s="51">
        <v>136704187344</v>
      </c>
      <c r="D159" s="1">
        <v>21546</v>
      </c>
      <c r="E159" s="1">
        <v>23591903.530000001</v>
      </c>
      <c r="F159" t="s">
        <v>1280</v>
      </c>
      <c r="I159" s="16">
        <f>-IFERROR(VLOOKUP(C159,SIRCUPA!$A$21:$H$186,8,0),0)</f>
        <v>0</v>
      </c>
      <c r="J159" s="68">
        <f>-IFERROR(VLOOKUP(C159,SIRTAC!$A$16:$H$1405,8,0),0)</f>
        <v>-225</v>
      </c>
      <c r="K159" s="68">
        <f>-IFERROR(VLOOKUP(C159,Gastos!$A$9:$J$1398,10,0),0)</f>
        <v>-1712.25</v>
      </c>
      <c r="L159" s="68">
        <f>-IFERROR(VLOOKUP(C159,IDC!$A$20:$H$1596,8,0),0)</f>
        <v>-141.75</v>
      </c>
      <c r="M159" s="74">
        <f t="shared" si="3"/>
        <v>23625</v>
      </c>
    </row>
    <row r="160" spans="1:13" customFormat="1">
      <c r="A160" t="s">
        <v>31</v>
      </c>
      <c r="B160" t="s">
        <v>11</v>
      </c>
      <c r="C160" s="51">
        <v>136080717447</v>
      </c>
      <c r="D160" s="1">
        <v>13445.34</v>
      </c>
      <c r="E160" s="1">
        <v>23605348.870000001</v>
      </c>
      <c r="F160" t="s">
        <v>1280</v>
      </c>
      <c r="I160" s="16">
        <f>-IFERROR(VLOOKUP(C160,SIRCUPA!$A$21:$H$186,8,0),0)</f>
        <v>0</v>
      </c>
      <c r="J160" s="68">
        <f>-IFERROR(VLOOKUP(C160,SIRTAC!$A$16:$H$1405,8,0),0)</f>
        <v>-138</v>
      </c>
      <c r="K160" s="68">
        <f>-IFERROR(VLOOKUP(C160,Gastos!$A$9:$J$1398,10,0),0)</f>
        <v>-133.86000000000001</v>
      </c>
      <c r="L160" s="68">
        <f>-IFERROR(VLOOKUP(C160,IDC!$A$20:$H$1596,8,0),0)</f>
        <v>-82.8</v>
      </c>
      <c r="M160" s="74">
        <f t="shared" si="3"/>
        <v>13800</v>
      </c>
    </row>
    <row r="161" spans="1:13" customFormat="1">
      <c r="A161" t="s">
        <v>31</v>
      </c>
      <c r="B161" t="s">
        <v>11</v>
      </c>
      <c r="C161" s="51">
        <v>136082008275</v>
      </c>
      <c r="D161" s="1">
        <v>25234.37</v>
      </c>
      <c r="E161" s="1">
        <v>23630583.239999998</v>
      </c>
      <c r="F161" t="s">
        <v>1280</v>
      </c>
      <c r="I161" s="16">
        <f>-IFERROR(VLOOKUP(C161,SIRCUPA!$A$21:$H$186,8,0),0)</f>
        <v>0</v>
      </c>
      <c r="J161" s="68">
        <f>-IFERROR(VLOOKUP(C161,SIRTAC!$A$16:$H$1405,8,0),0)</f>
        <v>-259</v>
      </c>
      <c r="K161" s="68">
        <f>-IFERROR(VLOOKUP(C161,Gastos!$A$9:$J$1398,10,0),0)</f>
        <v>-251.23</v>
      </c>
      <c r="L161" s="68">
        <f>-IFERROR(VLOOKUP(C161,IDC!$A$20:$H$1596,8,0),0)</f>
        <v>-155.4</v>
      </c>
      <c r="M161" s="74">
        <f t="shared" si="3"/>
        <v>25900</v>
      </c>
    </row>
    <row r="162" spans="1:13" customFormat="1">
      <c r="A162" t="s">
        <v>31</v>
      </c>
      <c r="B162" t="s">
        <v>11</v>
      </c>
      <c r="C162" s="51">
        <v>136082556343</v>
      </c>
      <c r="D162" s="1">
        <v>13131.33</v>
      </c>
      <c r="E162" s="1">
        <v>23643714.57</v>
      </c>
      <c r="F162" t="s">
        <v>1280</v>
      </c>
      <c r="I162" s="16">
        <f>-IFERROR(VLOOKUP(C162,SIRCUPA!$A$21:$H$186,8,0),0)</f>
        <v>0</v>
      </c>
      <c r="J162" s="68">
        <f>-IFERROR(VLOOKUP(C162,SIRTAC!$A$16:$H$1405,8,0),0)</f>
        <v>-139</v>
      </c>
      <c r="K162" s="68">
        <f>-IFERROR(VLOOKUP(C162,Gastos!$A$9:$J$1398,10,0),0)</f>
        <v>-546.27</v>
      </c>
      <c r="L162" s="68">
        <f>-IFERROR(VLOOKUP(C162,IDC!$A$20:$H$1596,8,0),0)</f>
        <v>-83.4</v>
      </c>
      <c r="M162" s="74">
        <f t="shared" si="3"/>
        <v>13900</v>
      </c>
    </row>
    <row r="163" spans="1:13" customFormat="1">
      <c r="A163" t="s">
        <v>31</v>
      </c>
      <c r="B163" t="s">
        <v>11</v>
      </c>
      <c r="C163" s="51">
        <v>136706179074</v>
      </c>
      <c r="D163" s="1">
        <v>93825.09</v>
      </c>
      <c r="E163" s="1">
        <v>23737539.66</v>
      </c>
      <c r="F163" t="s">
        <v>1280</v>
      </c>
      <c r="I163" s="16">
        <f>-IFERROR(VLOOKUP(C163,SIRCUPA!$A$21:$H$186,8,0),0)</f>
        <v>0</v>
      </c>
      <c r="J163" s="68">
        <f>-IFERROR(VLOOKUP(C163,SIRTAC!$A$16:$H$1405,8,0),0)</f>
        <v>-963</v>
      </c>
      <c r="K163" s="68">
        <f>-IFERROR(VLOOKUP(C163,Gastos!$A$9:$J$1398,10,0),0)</f>
        <v>-934.11</v>
      </c>
      <c r="L163" s="68">
        <f>-IFERROR(VLOOKUP(C163,IDC!$A$20:$H$1596,8,0),0)</f>
        <v>-577.79999999999995</v>
      </c>
      <c r="M163" s="74">
        <f t="shared" si="3"/>
        <v>96300</v>
      </c>
    </row>
    <row r="164" spans="1:13" customFormat="1">
      <c r="A164" t="s">
        <v>31</v>
      </c>
      <c r="B164" t="s">
        <v>11</v>
      </c>
      <c r="C164" s="51">
        <v>136706567546</v>
      </c>
      <c r="D164" s="1">
        <v>18998.849999999999</v>
      </c>
      <c r="E164" s="1">
        <v>23756538.510000002</v>
      </c>
      <c r="F164" t="s">
        <v>1280</v>
      </c>
      <c r="I164" s="16">
        <f>-IFERROR(VLOOKUP(C164,SIRCUPA!$A$21:$H$186,8,0),0)</f>
        <v>0</v>
      </c>
      <c r="J164" s="68">
        <f>-IFERROR(VLOOKUP(C164,SIRTAC!$A$16:$H$1405,8,0),0)</f>
        <v>-195</v>
      </c>
      <c r="K164" s="68">
        <f>-IFERROR(VLOOKUP(C164,Gastos!$A$9:$J$1398,10,0),0)</f>
        <v>-189.15</v>
      </c>
      <c r="L164" s="68">
        <f>-IFERROR(VLOOKUP(C164,IDC!$A$20:$H$1596,8,0),0)</f>
        <v>-117</v>
      </c>
      <c r="M164" s="74">
        <f t="shared" si="3"/>
        <v>19500</v>
      </c>
    </row>
    <row r="165" spans="1:13" customFormat="1">
      <c r="A165" t="s">
        <v>31</v>
      </c>
      <c r="B165" t="s">
        <v>11</v>
      </c>
      <c r="C165" s="51">
        <v>136706595996</v>
      </c>
      <c r="D165" s="1">
        <v>83497.509999999995</v>
      </c>
      <c r="E165" s="1">
        <v>23840036.02</v>
      </c>
      <c r="F165" t="s">
        <v>1280</v>
      </c>
      <c r="I165" s="16">
        <f>-IFERROR(VLOOKUP(C165,SIRCUPA!$A$21:$H$186,8,0),0)</f>
        <v>0</v>
      </c>
      <c r="J165" s="68">
        <f>-IFERROR(VLOOKUP(C165,SIRTAC!$A$16:$H$1405,8,0),0)</f>
        <v>-857</v>
      </c>
      <c r="K165" s="68">
        <f>-IFERROR(VLOOKUP(C165,Gastos!$A$9:$J$1398,10,0),0)</f>
        <v>-831.29</v>
      </c>
      <c r="L165" s="68">
        <f>-IFERROR(VLOOKUP(C165,IDC!$A$20:$H$1596,8,0),0)</f>
        <v>-514.20000000000005</v>
      </c>
      <c r="M165" s="74">
        <f t="shared" si="3"/>
        <v>85699.999999999985</v>
      </c>
    </row>
    <row r="166" spans="1:13" customFormat="1">
      <c r="A166" t="s">
        <v>31</v>
      </c>
      <c r="B166" t="s">
        <v>11</v>
      </c>
      <c r="C166" s="51">
        <v>136083238703</v>
      </c>
      <c r="D166" s="1">
        <v>45304.95</v>
      </c>
      <c r="E166" s="1">
        <v>23885340.969999999</v>
      </c>
      <c r="F166" t="s">
        <v>1280</v>
      </c>
      <c r="I166" s="16">
        <f>-IFERROR(VLOOKUP(C166,SIRCUPA!$A$21:$H$186,8,0),0)</f>
        <v>0</v>
      </c>
      <c r="J166" s="68">
        <f>-IFERROR(VLOOKUP(C166,SIRTAC!$A$16:$H$1405,8,0),0)</f>
        <v>-465</v>
      </c>
      <c r="K166" s="68">
        <f>-IFERROR(VLOOKUP(C166,Gastos!$A$9:$J$1398,10,0),0)</f>
        <v>-451.05</v>
      </c>
      <c r="L166" s="68">
        <f>-IFERROR(VLOOKUP(C166,IDC!$A$20:$H$1596,8,0),0)</f>
        <v>-279</v>
      </c>
      <c r="M166" s="74">
        <f t="shared" si="3"/>
        <v>46500</v>
      </c>
    </row>
    <row r="167" spans="1:13" customFormat="1">
      <c r="A167" t="s">
        <v>31</v>
      </c>
      <c r="B167" t="s">
        <v>11</v>
      </c>
      <c r="C167" s="51">
        <v>136707102110</v>
      </c>
      <c r="D167" s="1">
        <v>19778.29</v>
      </c>
      <c r="E167" s="1">
        <v>23905119.260000002</v>
      </c>
      <c r="F167" t="s">
        <v>1280</v>
      </c>
      <c r="I167" s="16">
        <f>-IFERROR(VLOOKUP(C167,SIRCUPA!$A$21:$H$186,8,0),0)</f>
        <v>0</v>
      </c>
      <c r="J167" s="68">
        <f>-IFERROR(VLOOKUP(C167,SIRTAC!$A$16:$H$1405,8,0),0)</f>
        <v>-203</v>
      </c>
      <c r="K167" s="68">
        <f>-IFERROR(VLOOKUP(C167,Gastos!$A$9:$J$1398,10,0),0)</f>
        <v>-196.91</v>
      </c>
      <c r="L167" s="68">
        <f>-IFERROR(VLOOKUP(C167,IDC!$A$20:$H$1596,8,0),0)</f>
        <v>-121.8</v>
      </c>
      <c r="M167" s="74">
        <f t="shared" si="3"/>
        <v>20300</v>
      </c>
    </row>
    <row r="168" spans="1:13" customFormat="1">
      <c r="A168" t="s">
        <v>31</v>
      </c>
      <c r="B168" t="s">
        <v>11</v>
      </c>
      <c r="C168" s="51">
        <v>136707233790</v>
      </c>
      <c r="D168" s="1">
        <v>47740.7</v>
      </c>
      <c r="E168" s="1">
        <v>23952859.960000001</v>
      </c>
      <c r="F168" t="s">
        <v>1280</v>
      </c>
      <c r="I168" s="16">
        <f>-IFERROR(VLOOKUP(C168,SIRCUPA!$A$21:$H$186,8,0),0)</f>
        <v>0</v>
      </c>
      <c r="J168" s="68">
        <f>-IFERROR(VLOOKUP(C168,SIRTAC!$A$16:$H$1405,8,0),0)</f>
        <v>-490</v>
      </c>
      <c r="K168" s="68">
        <f>-IFERROR(VLOOKUP(C168,Gastos!$A$9:$J$1398,10,0),0)</f>
        <v>-475.3</v>
      </c>
      <c r="L168" s="68">
        <f>-IFERROR(VLOOKUP(C168,IDC!$A$20:$H$1596,8,0),0)</f>
        <v>-294</v>
      </c>
      <c r="M168" s="74">
        <f t="shared" si="3"/>
        <v>49000</v>
      </c>
    </row>
    <row r="169" spans="1:13" customFormat="1">
      <c r="A169" t="s">
        <v>31</v>
      </c>
      <c r="B169" t="s">
        <v>23</v>
      </c>
      <c r="C169" s="51">
        <v>136083759929</v>
      </c>
      <c r="D169" s="1">
        <v>4797.1000000000004</v>
      </c>
      <c r="E169" s="1">
        <v>23957657.059999999</v>
      </c>
      <c r="F169" t="s">
        <v>1280</v>
      </c>
      <c r="I169" s="16">
        <f>-IFERROR(VLOOKUP(C169,SIRCUPA!$A$21:$H$186,8,0),0)</f>
        <v>-73.5</v>
      </c>
      <c r="J169" s="68">
        <f>-IFERROR(VLOOKUP(C169,SIRTAC!$A$16:$H$1405,8,0),0)</f>
        <v>0</v>
      </c>
      <c r="K169" s="68">
        <f>-IFERROR(VLOOKUP(C169,Gastos!$A$9:$J$1398,10,0),0)</f>
        <v>0</v>
      </c>
      <c r="L169" s="68">
        <f>-IFERROR(VLOOKUP(C169,IDC!$A$20:$H$1596,8,0),0)</f>
        <v>-29.4</v>
      </c>
      <c r="M169" s="74">
        <f t="shared" si="3"/>
        <v>4900</v>
      </c>
    </row>
    <row r="170" spans="1:13" customFormat="1">
      <c r="A170" t="s">
        <v>31</v>
      </c>
      <c r="B170" t="s">
        <v>11</v>
      </c>
      <c r="C170" s="51">
        <v>136707892144</v>
      </c>
      <c r="D170" s="1">
        <v>53001.919999999998</v>
      </c>
      <c r="E170" s="1">
        <v>24010658.98</v>
      </c>
      <c r="F170" t="s">
        <v>1280</v>
      </c>
      <c r="I170" s="16">
        <f>-IFERROR(VLOOKUP(C170,SIRCUPA!$A$21:$H$186,8,0),0)</f>
        <v>0</v>
      </c>
      <c r="J170" s="68">
        <f>-IFERROR(VLOOKUP(C170,SIRTAC!$A$16:$H$1405,8,0),0)</f>
        <v>-544</v>
      </c>
      <c r="K170" s="68">
        <f>-IFERROR(VLOOKUP(C170,Gastos!$A$9:$J$1398,10,0),0)</f>
        <v>-527.67999999999995</v>
      </c>
      <c r="L170" s="68">
        <f>-IFERROR(VLOOKUP(C170,IDC!$A$20:$H$1596,8,0),0)</f>
        <v>-326.39999999999998</v>
      </c>
      <c r="M170" s="74">
        <f t="shared" si="3"/>
        <v>54400</v>
      </c>
    </row>
    <row r="171" spans="1:13" customFormat="1">
      <c r="A171" t="s">
        <v>31</v>
      </c>
      <c r="B171" t="s">
        <v>11</v>
      </c>
      <c r="C171" s="51">
        <v>136708150316</v>
      </c>
      <c r="D171" s="1">
        <v>16075.95</v>
      </c>
      <c r="E171" s="1">
        <v>24026734.93</v>
      </c>
      <c r="F171" t="s">
        <v>1280</v>
      </c>
      <c r="I171" s="16">
        <f>-IFERROR(VLOOKUP(C171,SIRCUPA!$A$21:$H$186,8,0),0)</f>
        <v>0</v>
      </c>
      <c r="J171" s="68">
        <f>-IFERROR(VLOOKUP(C171,SIRTAC!$A$16:$H$1405,8,0),0)</f>
        <v>-165</v>
      </c>
      <c r="K171" s="68">
        <f>-IFERROR(VLOOKUP(C171,Gastos!$A$9:$J$1398,10,0),0)</f>
        <v>-160.05000000000001</v>
      </c>
      <c r="L171" s="68">
        <f>-IFERROR(VLOOKUP(C171,IDC!$A$20:$H$1596,8,0),0)</f>
        <v>-99</v>
      </c>
      <c r="M171" s="74">
        <f t="shared" si="3"/>
        <v>16500</v>
      </c>
    </row>
    <row r="172" spans="1:13" customFormat="1">
      <c r="A172" t="s">
        <v>31</v>
      </c>
      <c r="B172" t="s">
        <v>11</v>
      </c>
      <c r="C172" s="51">
        <v>136708166040</v>
      </c>
      <c r="D172" s="1">
        <v>13547.8</v>
      </c>
      <c r="E172" s="1">
        <v>24040282.73</v>
      </c>
      <c r="F172" t="s">
        <v>1280</v>
      </c>
      <c r="I172" s="16">
        <f>-IFERROR(VLOOKUP(C172,SIRCUPA!$A$21:$H$186,8,0),0)</f>
        <v>0</v>
      </c>
      <c r="J172" s="68">
        <f>-IFERROR(VLOOKUP(C172,SIRTAC!$A$16:$H$1405,8,0),0)</f>
        <v>-140</v>
      </c>
      <c r="K172" s="68">
        <f>-IFERROR(VLOOKUP(C172,Gastos!$A$9:$J$1398,10,0),0)</f>
        <v>-228.2</v>
      </c>
      <c r="L172" s="68">
        <f>-IFERROR(VLOOKUP(C172,IDC!$A$20:$H$1596,8,0),0)</f>
        <v>-84</v>
      </c>
      <c r="M172" s="74">
        <f t="shared" si="3"/>
        <v>14000</v>
      </c>
    </row>
    <row r="173" spans="1:13" customFormat="1">
      <c r="A173" t="s">
        <v>31</v>
      </c>
      <c r="B173" t="s">
        <v>11</v>
      </c>
      <c r="C173" s="51">
        <v>136085098461</v>
      </c>
      <c r="D173" s="1">
        <v>58068.28</v>
      </c>
      <c r="E173" s="1">
        <v>24098351.010000002</v>
      </c>
      <c r="F173" t="s">
        <v>1280</v>
      </c>
      <c r="I173" s="16">
        <f>-IFERROR(VLOOKUP(C173,SIRCUPA!$A$21:$H$186,8,0),0)</f>
        <v>0</v>
      </c>
      <c r="J173" s="68">
        <f>-IFERROR(VLOOKUP(C173,SIRTAC!$A$16:$H$1405,8,0),0)</f>
        <v>-596</v>
      </c>
      <c r="K173" s="68">
        <f>-IFERROR(VLOOKUP(C173,Gastos!$A$9:$J$1398,10,0),0)</f>
        <v>-578.12</v>
      </c>
      <c r="L173" s="68">
        <f>-IFERROR(VLOOKUP(C173,IDC!$A$20:$H$1596,8,0),0)</f>
        <v>-357.6</v>
      </c>
      <c r="M173" s="74">
        <f t="shared" si="3"/>
        <v>59600</v>
      </c>
    </row>
    <row r="174" spans="1:13" customFormat="1">
      <c r="A174" t="s">
        <v>31</v>
      </c>
      <c r="B174" t="s">
        <v>11</v>
      </c>
      <c r="C174" s="51">
        <v>136085255891</v>
      </c>
      <c r="D174" s="1">
        <v>8313.36</v>
      </c>
      <c r="E174" s="1">
        <v>24106664.370000001</v>
      </c>
      <c r="F174" t="s">
        <v>1280</v>
      </c>
      <c r="I174" s="16">
        <f>-IFERROR(VLOOKUP(C174,SIRCUPA!$A$21:$H$186,8,0),0)</f>
        <v>0</v>
      </c>
      <c r="J174" s="68">
        <f>-IFERROR(VLOOKUP(C174,SIRTAC!$A$16:$H$1405,8,0),0)</f>
        <v>-88</v>
      </c>
      <c r="K174" s="68">
        <f>-IFERROR(VLOOKUP(C174,Gastos!$A$9:$J$1398,10,0),0)</f>
        <v>-345.84</v>
      </c>
      <c r="L174" s="68">
        <f>-IFERROR(VLOOKUP(C174,IDC!$A$20:$H$1596,8,0),0)</f>
        <v>-52.8</v>
      </c>
      <c r="M174" s="74">
        <f t="shared" si="3"/>
        <v>8800</v>
      </c>
    </row>
    <row r="175" spans="1:13" customFormat="1">
      <c r="A175" t="s">
        <v>31</v>
      </c>
      <c r="B175" t="s">
        <v>11</v>
      </c>
      <c r="C175" s="51">
        <v>136709093234</v>
      </c>
      <c r="D175" s="1">
        <v>30398.16</v>
      </c>
      <c r="E175" s="1">
        <v>24137062.530000001</v>
      </c>
      <c r="F175" t="s">
        <v>1280</v>
      </c>
      <c r="I175" s="16">
        <f>-IFERROR(VLOOKUP(C175,SIRCUPA!$A$21:$H$186,8,0),0)</f>
        <v>0</v>
      </c>
      <c r="J175" s="68">
        <f>-IFERROR(VLOOKUP(C175,SIRTAC!$A$16:$H$1405,8,0),0)</f>
        <v>-312</v>
      </c>
      <c r="K175" s="68">
        <f>-IFERROR(VLOOKUP(C175,Gastos!$A$9:$J$1398,10,0),0)</f>
        <v>-302.64</v>
      </c>
      <c r="L175" s="68">
        <f>-IFERROR(VLOOKUP(C175,IDC!$A$20:$H$1596,8,0),0)</f>
        <v>-187.2</v>
      </c>
      <c r="M175" s="74">
        <f t="shared" si="3"/>
        <v>31200</v>
      </c>
    </row>
    <row r="176" spans="1:13" customFormat="1">
      <c r="A176" t="s">
        <v>31</v>
      </c>
      <c r="B176" t="s">
        <v>33</v>
      </c>
      <c r="C176" s="51">
        <v>136085501779</v>
      </c>
      <c r="D176" s="1">
        <v>1527.24</v>
      </c>
      <c r="E176" s="1">
        <v>24138589.77</v>
      </c>
      <c r="F176" t="s">
        <v>1280</v>
      </c>
      <c r="I176" s="16">
        <f>-IFERROR(VLOOKUP(C176,SIRCUPA!$A$21:$H$186,8,0),0)</f>
        <v>-23.4</v>
      </c>
      <c r="J176" s="68">
        <f>-IFERROR(VLOOKUP(C176,SIRTAC!$A$16:$H$1405,8,0),0)</f>
        <v>0</v>
      </c>
      <c r="K176" s="68">
        <f>-IFERROR(VLOOKUP(C176,Gastos!$A$9:$J$1398,10,0),0)</f>
        <v>0</v>
      </c>
      <c r="L176" s="68">
        <f>-IFERROR(VLOOKUP(C176,IDC!$A$20:$H$1596,8,0),0)</f>
        <v>-9.36</v>
      </c>
      <c r="M176" s="74">
        <f t="shared" si="3"/>
        <v>1560</v>
      </c>
    </row>
    <row r="177" spans="1:18">
      <c r="A177" t="s">
        <v>31</v>
      </c>
      <c r="B177" t="s">
        <v>11</v>
      </c>
      <c r="C177" s="51">
        <v>136709325646</v>
      </c>
      <c r="D177" s="1">
        <v>17537.400000000001</v>
      </c>
      <c r="E177" s="1">
        <v>24156127.170000002</v>
      </c>
      <c r="F177" t="s">
        <v>1280</v>
      </c>
      <c r="G177"/>
      <c r="H177"/>
      <c r="I177" s="16">
        <f>-IFERROR(VLOOKUP(C177,SIRCUPA!$A$21:$H$186,8,0),0)</f>
        <v>0</v>
      </c>
      <c r="J177" s="68">
        <f>-IFERROR(VLOOKUP(C177,SIRTAC!$A$16:$H$1405,8,0),0)</f>
        <v>-180</v>
      </c>
      <c r="K177" s="68">
        <f>-IFERROR(VLOOKUP(C177,Gastos!$A$9:$J$1398,10,0),0)</f>
        <v>-174.6</v>
      </c>
      <c r="L177" s="68">
        <f>-IFERROR(VLOOKUP(C177,IDC!$A$20:$H$1596,8,0),0)</f>
        <v>-108</v>
      </c>
      <c r="M177" s="74">
        <f t="shared" si="3"/>
        <v>18000</v>
      </c>
      <c r="N177"/>
      <c r="Q177"/>
      <c r="R177"/>
    </row>
    <row r="178" spans="1:18">
      <c r="A178" t="s">
        <v>31</v>
      </c>
      <c r="B178" t="s">
        <v>11</v>
      </c>
      <c r="C178" s="51">
        <v>136709365352</v>
      </c>
      <c r="D178" s="1">
        <v>59237.440000000002</v>
      </c>
      <c r="E178" s="1">
        <v>24215364.609999999</v>
      </c>
      <c r="F178" t="s">
        <v>1280</v>
      </c>
      <c r="G178"/>
      <c r="H178"/>
      <c r="I178" s="16">
        <f>-IFERROR(VLOOKUP(C178,SIRCUPA!$A$21:$H$186,8,0),0)</f>
        <v>0</v>
      </c>
      <c r="J178" s="68">
        <f>-IFERROR(VLOOKUP(C178,SIRTAC!$A$16:$H$1405,8,0),0)</f>
        <v>-608</v>
      </c>
      <c r="K178" s="68">
        <f>-IFERROR(VLOOKUP(C178,Gastos!$A$9:$J$1398,10,0),0)</f>
        <v>-589.76</v>
      </c>
      <c r="L178" s="68">
        <f>-IFERROR(VLOOKUP(C178,IDC!$A$20:$H$1596,8,0),0)</f>
        <v>-364.8</v>
      </c>
      <c r="M178" s="74">
        <f t="shared" si="3"/>
        <v>60800.000000000007</v>
      </c>
      <c r="N178"/>
      <c r="Q178"/>
      <c r="R178"/>
    </row>
    <row r="179" spans="1:18">
      <c r="A179" t="s">
        <v>31</v>
      </c>
      <c r="B179" t="s">
        <v>34</v>
      </c>
      <c r="C179" s="51">
        <v>136709402958</v>
      </c>
      <c r="D179" s="1">
        <v>2976.16</v>
      </c>
      <c r="E179" s="1">
        <v>24218340.77</v>
      </c>
      <c r="F179" t="s">
        <v>1280</v>
      </c>
      <c r="G179"/>
      <c r="H179"/>
      <c r="I179" s="16">
        <f>-IFERROR(VLOOKUP(C179,SIRCUPA!$A$21:$H$186,8,0),0)</f>
        <v>-45.6</v>
      </c>
      <c r="J179" s="68">
        <f>-IFERROR(VLOOKUP(C179,SIRTAC!$A$16:$H$1405,8,0),0)</f>
        <v>0</v>
      </c>
      <c r="K179" s="68">
        <f>-IFERROR(VLOOKUP(C179,Gastos!$A$9:$J$1398,10,0),0)</f>
        <v>0</v>
      </c>
      <c r="L179" s="68">
        <f>-IFERROR(VLOOKUP(C179,IDC!$A$20:$H$1596,8,0),0)</f>
        <v>-18.239999999999998</v>
      </c>
      <c r="M179" s="74">
        <f t="shared" si="3"/>
        <v>3039.9999999999995</v>
      </c>
      <c r="N179"/>
      <c r="Q179"/>
      <c r="R179"/>
    </row>
    <row r="180" spans="1:18">
      <c r="A180" t="s">
        <v>31</v>
      </c>
      <c r="B180" t="s">
        <v>11</v>
      </c>
      <c r="C180" s="51">
        <v>136086050167</v>
      </c>
      <c r="D180" s="1">
        <v>10619.87</v>
      </c>
      <c r="E180" s="1">
        <v>24228960.640000001</v>
      </c>
      <c r="F180" t="s">
        <v>1280</v>
      </c>
      <c r="G180"/>
      <c r="H180"/>
      <c r="I180" s="16">
        <f>-IFERROR(VLOOKUP(C180,SIRCUPA!$A$21:$H$186,8,0),0)</f>
        <v>0</v>
      </c>
      <c r="J180" s="68">
        <f>-IFERROR(VLOOKUP(C180,SIRTAC!$A$16:$H$1405,8,0),0)</f>
        <v>-109</v>
      </c>
      <c r="K180" s="68">
        <f>-IFERROR(VLOOKUP(C180,Gastos!$A$9:$J$1398,10,0),0)</f>
        <v>-105.73</v>
      </c>
      <c r="L180" s="68">
        <f>-IFERROR(VLOOKUP(C180,IDC!$A$20:$H$1596,8,0),0)</f>
        <v>-65.400000000000006</v>
      </c>
      <c r="M180" s="74">
        <f t="shared" si="3"/>
        <v>10900</v>
      </c>
      <c r="N180"/>
      <c r="Q180"/>
      <c r="R180"/>
    </row>
    <row r="181" spans="1:18">
      <c r="A181" t="s">
        <v>31</v>
      </c>
      <c r="B181" t="s">
        <v>11</v>
      </c>
      <c r="C181" s="51">
        <v>136086178973</v>
      </c>
      <c r="D181" s="1">
        <v>22896.05</v>
      </c>
      <c r="E181" s="1">
        <v>24251856.690000001</v>
      </c>
      <c r="F181" t="s">
        <v>1280</v>
      </c>
      <c r="G181"/>
      <c r="H181"/>
      <c r="I181" s="16">
        <f>-IFERROR(VLOOKUP(C181,SIRCUPA!$A$21:$H$186,8,0),0)</f>
        <v>0</v>
      </c>
      <c r="J181" s="68">
        <f>-IFERROR(VLOOKUP(C181,SIRTAC!$A$16:$H$1405,8,0),0)</f>
        <v>-235</v>
      </c>
      <c r="K181" s="68">
        <f>-IFERROR(VLOOKUP(C181,Gastos!$A$9:$J$1398,10,0),0)</f>
        <v>-227.95</v>
      </c>
      <c r="L181" s="68">
        <f>-IFERROR(VLOOKUP(C181,IDC!$A$20:$H$1596,8,0),0)</f>
        <v>-141</v>
      </c>
      <c r="M181" s="74">
        <f t="shared" si="3"/>
        <v>23500</v>
      </c>
      <c r="N181"/>
      <c r="Q181"/>
      <c r="R181"/>
    </row>
    <row r="182" spans="1:18" s="59" customFormat="1">
      <c r="A182" t="s">
        <v>31</v>
      </c>
      <c r="B182" t="s">
        <v>35</v>
      </c>
      <c r="C182" s="51">
        <v>136154630259</v>
      </c>
      <c r="D182" s="1">
        <v>-30763.360000000001</v>
      </c>
      <c r="E182" s="1">
        <v>24221093.329999998</v>
      </c>
      <c r="F182" s="27" t="s">
        <v>1281</v>
      </c>
      <c r="G182" s="16">
        <f>+D182/1.006</f>
        <v>-30579.880715705767</v>
      </c>
      <c r="H182" s="16"/>
      <c r="I182" s="16">
        <f>-IFERROR(VLOOKUP(C182,SIRCUPA!$A$21:$H$186,8,0),0)</f>
        <v>0</v>
      </c>
      <c r="J182" s="68">
        <f>-IFERROR(VLOOKUP(C182,SIRTAC!$A$16:$H$1405,8,0),0)</f>
        <v>0</v>
      </c>
      <c r="K182" s="68">
        <f>-IFERROR(VLOOKUP(C182,Gastos!$A$9:$J$1398,10,0),0)</f>
        <v>0</v>
      </c>
      <c r="L182" s="68">
        <f>+D182-G182</f>
        <v>-183.47928429423337</v>
      </c>
      <c r="M182" s="52">
        <f>+D182-I182-J182-K182-L182</f>
        <v>-30579.880715705767</v>
      </c>
      <c r="N182" s="16"/>
      <c r="O182"/>
      <c r="Q182" s="67"/>
      <c r="R182" s="67"/>
    </row>
    <row r="183" spans="1:18">
      <c r="A183" t="s">
        <v>31</v>
      </c>
      <c r="B183" t="s">
        <v>11</v>
      </c>
      <c r="C183" s="51">
        <v>136182589345</v>
      </c>
      <c r="D183">
        <v>14.17</v>
      </c>
      <c r="E183" s="1">
        <v>24221107.5</v>
      </c>
      <c r="F183" t="s">
        <v>1280</v>
      </c>
      <c r="G183"/>
      <c r="H183"/>
      <c r="I183" s="16">
        <f>-IFERROR(VLOOKUP(C183,SIRCUPA!$A$21:$H$186,8,0),0)</f>
        <v>0</v>
      </c>
      <c r="J183" s="68">
        <f>-IFERROR(VLOOKUP(C183,SIRTAC!$A$16:$H$1405,8,0),0)</f>
        <v>-0.15</v>
      </c>
      <c r="K183" s="68">
        <f>-IFERROR(VLOOKUP(C183,Gastos!$A$9:$J$1398,10,0),0)</f>
        <v>-0.59</v>
      </c>
      <c r="L183" s="68">
        <f>-IFERROR(VLOOKUP(C183,IDC!$A$20:$H$1596,8,0),0)</f>
        <v>-0.09</v>
      </c>
      <c r="M183" s="74">
        <f t="shared" ref="M183:M246" si="4">+D183-I183-J183-K183-L183</f>
        <v>15</v>
      </c>
      <c r="N183"/>
      <c r="Q183"/>
      <c r="R183"/>
    </row>
    <row r="184" spans="1:18">
      <c r="A184" t="s">
        <v>31</v>
      </c>
      <c r="B184" t="s">
        <v>36</v>
      </c>
      <c r="C184" s="51">
        <v>136182589345</v>
      </c>
      <c r="D184">
        <v>-14.17</v>
      </c>
      <c r="E184" s="1">
        <v>24221093.329999998</v>
      </c>
      <c r="F184" t="s">
        <v>1280</v>
      </c>
      <c r="G184"/>
      <c r="H184"/>
      <c r="I184" s="16">
        <f>-IFERROR(VLOOKUP(C184,SIRCUPA!$A$21:$H$186,8,0),0)</f>
        <v>0</v>
      </c>
      <c r="J184" s="68">
        <v>0.14000000000000001</v>
      </c>
      <c r="K184" s="68">
        <v>0.59</v>
      </c>
      <c r="L184" s="68">
        <v>0.09</v>
      </c>
      <c r="M184" s="74">
        <f t="shared" si="4"/>
        <v>-14.99</v>
      </c>
      <c r="N184"/>
      <c r="Q184"/>
      <c r="R184"/>
    </row>
    <row r="185" spans="1:18">
      <c r="A185" t="s">
        <v>31</v>
      </c>
      <c r="B185" t="s">
        <v>11</v>
      </c>
      <c r="C185" s="51">
        <v>136818536256</v>
      </c>
      <c r="D185" s="1">
        <v>7935.48</v>
      </c>
      <c r="E185" s="1">
        <v>24229028.809999999</v>
      </c>
      <c r="F185" t="s">
        <v>1280</v>
      </c>
      <c r="G185"/>
      <c r="H185"/>
      <c r="I185" s="16">
        <f>-IFERROR(VLOOKUP(C185,SIRCUPA!$A$21:$H$186,8,0),0)</f>
        <v>0</v>
      </c>
      <c r="J185" s="68">
        <f>-IFERROR(VLOOKUP(C185,SIRTAC!$A$16:$H$1405,8,0),0)</f>
        <v>-84</v>
      </c>
      <c r="K185" s="68">
        <f>-IFERROR(VLOOKUP(C185,Gastos!$A$9:$J$1398,10,0),0)</f>
        <v>-330.12</v>
      </c>
      <c r="L185" s="68">
        <f>-IFERROR(VLOOKUP(C185,IDC!$A$20:$H$1596,8,0),0)</f>
        <v>-50.4</v>
      </c>
      <c r="M185" s="74">
        <f t="shared" si="4"/>
        <v>8400</v>
      </c>
      <c r="N185"/>
      <c r="Q185"/>
      <c r="R185"/>
    </row>
    <row r="186" spans="1:18">
      <c r="A186" t="s">
        <v>31</v>
      </c>
      <c r="B186" t="s">
        <v>11</v>
      </c>
      <c r="C186" s="51">
        <v>136197610809</v>
      </c>
      <c r="D186" s="1">
        <v>9353.2800000000007</v>
      </c>
      <c r="E186" s="1">
        <v>24238382.09</v>
      </c>
      <c r="F186" t="s">
        <v>1280</v>
      </c>
      <c r="G186"/>
      <c r="H186"/>
      <c r="I186" s="16">
        <f>-IFERROR(VLOOKUP(C186,SIRCUPA!$A$21:$H$186,8,0),0)</f>
        <v>0</v>
      </c>
      <c r="J186" s="68">
        <f>-IFERROR(VLOOKUP(C186,SIRTAC!$A$16:$H$1405,8,0),0)</f>
        <v>-96</v>
      </c>
      <c r="K186" s="68">
        <f>-IFERROR(VLOOKUP(C186,Gastos!$A$9:$J$1398,10,0),0)</f>
        <v>-93.12</v>
      </c>
      <c r="L186" s="68">
        <f>-IFERROR(VLOOKUP(C186,IDC!$A$20:$H$1596,8,0),0)</f>
        <v>-57.6</v>
      </c>
      <c r="M186" s="74">
        <f t="shared" si="4"/>
        <v>9600.0000000000018</v>
      </c>
      <c r="N186"/>
      <c r="Q186"/>
      <c r="R186"/>
    </row>
    <row r="187" spans="1:18">
      <c r="A187" t="s">
        <v>31</v>
      </c>
      <c r="B187" t="s">
        <v>11</v>
      </c>
      <c r="C187" s="51">
        <v>136199301371</v>
      </c>
      <c r="D187" s="1">
        <v>12081.32</v>
      </c>
      <c r="E187" s="1">
        <v>24250463.41</v>
      </c>
      <c r="F187" t="s">
        <v>1280</v>
      </c>
      <c r="G187"/>
      <c r="H187"/>
      <c r="I187" s="16">
        <f>-IFERROR(VLOOKUP(C187,SIRCUPA!$A$21:$H$186,8,0),0)</f>
        <v>0</v>
      </c>
      <c r="J187" s="68">
        <f>-IFERROR(VLOOKUP(C187,SIRTAC!$A$16:$H$1405,8,0),0)</f>
        <v>-124</v>
      </c>
      <c r="K187" s="68">
        <f>-IFERROR(VLOOKUP(C187,Gastos!$A$9:$J$1398,10,0),0)</f>
        <v>-120.28</v>
      </c>
      <c r="L187" s="68">
        <f>-IFERROR(VLOOKUP(C187,IDC!$A$20:$H$1596,8,0),0)</f>
        <v>-74.400000000000006</v>
      </c>
      <c r="M187" s="74">
        <f t="shared" si="4"/>
        <v>12400</v>
      </c>
      <c r="N187"/>
      <c r="Q187"/>
      <c r="R187"/>
    </row>
    <row r="188" spans="1:18">
      <c r="A188" t="s">
        <v>31</v>
      </c>
      <c r="B188" t="s">
        <v>11</v>
      </c>
      <c r="C188" s="51">
        <v>136825810056</v>
      </c>
      <c r="D188" s="1">
        <v>13225.8</v>
      </c>
      <c r="E188" s="1">
        <v>24263689.210000001</v>
      </c>
      <c r="F188" t="s">
        <v>1280</v>
      </c>
      <c r="G188"/>
      <c r="H188"/>
      <c r="I188" s="16">
        <f>-IFERROR(VLOOKUP(C188,SIRCUPA!$A$21:$H$186,8,0),0)</f>
        <v>0</v>
      </c>
      <c r="J188" s="68">
        <f>-IFERROR(VLOOKUP(C188,SIRTAC!$A$16:$H$1405,8,0),0)</f>
        <v>-140</v>
      </c>
      <c r="K188" s="68">
        <f>-IFERROR(VLOOKUP(C188,Gastos!$A$9:$J$1398,10,0),0)</f>
        <v>-550.20000000000005</v>
      </c>
      <c r="L188" s="68">
        <f>-IFERROR(VLOOKUP(C188,IDC!$A$20:$H$1596,8,0),0)</f>
        <v>-84</v>
      </c>
      <c r="M188" s="74">
        <f t="shared" si="4"/>
        <v>14000</v>
      </c>
      <c r="N188"/>
      <c r="Q188"/>
      <c r="R188"/>
    </row>
    <row r="189" spans="1:18">
      <c r="A189" t="s">
        <v>31</v>
      </c>
      <c r="B189" t="s">
        <v>11</v>
      </c>
      <c r="C189" s="51">
        <v>136203880503</v>
      </c>
      <c r="D189" s="1">
        <v>22483.86</v>
      </c>
      <c r="E189" s="1">
        <v>24286173.07</v>
      </c>
      <c r="F189" t="s">
        <v>1280</v>
      </c>
      <c r="G189"/>
      <c r="H189"/>
      <c r="I189" s="16">
        <f>-IFERROR(VLOOKUP(C189,SIRCUPA!$A$21:$H$186,8,0),0)</f>
        <v>0</v>
      </c>
      <c r="J189" s="68">
        <f>-IFERROR(VLOOKUP(C189,SIRTAC!$A$16:$H$1405,8,0),0)</f>
        <v>-238</v>
      </c>
      <c r="K189" s="68">
        <f>-IFERROR(VLOOKUP(C189,Gastos!$A$9:$J$1398,10,0),0)</f>
        <v>-935.34</v>
      </c>
      <c r="L189" s="68">
        <f>-IFERROR(VLOOKUP(C189,IDC!$A$20:$H$1596,8,0),0)</f>
        <v>-142.80000000000001</v>
      </c>
      <c r="M189" s="74">
        <f t="shared" si="4"/>
        <v>23800</v>
      </c>
      <c r="N189"/>
      <c r="Q189"/>
      <c r="R189"/>
    </row>
    <row r="190" spans="1:18">
      <c r="A190" t="s">
        <v>31</v>
      </c>
      <c r="B190" t="s">
        <v>11</v>
      </c>
      <c r="C190" s="51">
        <v>136204861051</v>
      </c>
      <c r="D190" s="1">
        <v>19778.29</v>
      </c>
      <c r="E190" s="1">
        <v>24305951.359999999</v>
      </c>
      <c r="F190" t="s">
        <v>1280</v>
      </c>
      <c r="G190"/>
      <c r="H190"/>
      <c r="I190" s="16">
        <f>-IFERROR(VLOOKUP(C190,SIRCUPA!$A$21:$H$186,8,0),0)</f>
        <v>0</v>
      </c>
      <c r="J190" s="68">
        <f>-IFERROR(VLOOKUP(C190,SIRTAC!$A$16:$H$1405,8,0),0)</f>
        <v>-203</v>
      </c>
      <c r="K190" s="68">
        <f>-IFERROR(VLOOKUP(C190,Gastos!$A$9:$J$1398,10,0),0)</f>
        <v>-196.91</v>
      </c>
      <c r="L190" s="68">
        <f>-IFERROR(VLOOKUP(C190,IDC!$A$20:$H$1596,8,0),0)</f>
        <v>-121.8</v>
      </c>
      <c r="M190" s="74">
        <f t="shared" si="4"/>
        <v>20300</v>
      </c>
      <c r="N190"/>
      <c r="Q190"/>
      <c r="R190"/>
    </row>
    <row r="191" spans="1:18">
      <c r="A191" t="s">
        <v>31</v>
      </c>
      <c r="B191" t="s">
        <v>37</v>
      </c>
      <c r="C191" s="51">
        <v>136829205946</v>
      </c>
      <c r="D191">
        <v>993.68</v>
      </c>
      <c r="E191" s="1">
        <v>24306945.039999999</v>
      </c>
      <c r="F191" t="s">
        <v>1280</v>
      </c>
      <c r="G191"/>
      <c r="H191"/>
      <c r="I191" s="16">
        <f>-IFERROR(VLOOKUP(C191,SIRCUPA!$A$21:$H$186,8,0),0)</f>
        <v>-15.23</v>
      </c>
      <c r="J191" s="68">
        <f>-IFERROR(VLOOKUP(C191,SIRTAC!$A$16:$H$1405,8,0),0)</f>
        <v>0</v>
      </c>
      <c r="K191" s="68">
        <f>-IFERROR(VLOOKUP(C191,Gastos!$A$9:$J$1398,10,0),0)</f>
        <v>0</v>
      </c>
      <c r="L191" s="68">
        <f>-IFERROR(VLOOKUP(C191,IDC!$A$20:$H$1596,8,0),0)</f>
        <v>-6.09</v>
      </c>
      <c r="M191" s="74">
        <f t="shared" si="4"/>
        <v>1015</v>
      </c>
      <c r="N191"/>
      <c r="Q191"/>
      <c r="R191"/>
    </row>
    <row r="192" spans="1:18">
      <c r="A192" t="s">
        <v>31</v>
      </c>
      <c r="B192" t="s">
        <v>11</v>
      </c>
      <c r="C192" s="51">
        <v>136206758325</v>
      </c>
      <c r="D192" s="1">
        <v>71905.679999999993</v>
      </c>
      <c r="E192" s="1">
        <v>24378850.719999999</v>
      </c>
      <c r="F192" t="s">
        <v>1280</v>
      </c>
      <c r="G192"/>
      <c r="H192"/>
      <c r="I192" s="16">
        <f>-IFERROR(VLOOKUP(C192,SIRCUPA!$A$21:$H$186,8,0),0)</f>
        <v>0</v>
      </c>
      <c r="J192" s="68">
        <f>-IFERROR(VLOOKUP(C192,SIRTAC!$A$16:$H$1405,8,0),0)</f>
        <v>-792</v>
      </c>
      <c r="K192" s="68">
        <f>-IFERROR(VLOOKUP(C192,Gastos!$A$9:$J$1398,10,0),0)</f>
        <v>-6027.12</v>
      </c>
      <c r="L192" s="68">
        <f>-IFERROR(VLOOKUP(C192,IDC!$A$20:$H$1596,8,0),0)</f>
        <v>-475.2</v>
      </c>
      <c r="M192" s="74">
        <f t="shared" si="4"/>
        <v>79199.999999999985</v>
      </c>
      <c r="N192"/>
      <c r="Q192"/>
      <c r="R192"/>
    </row>
    <row r="193" spans="1:13" customFormat="1">
      <c r="A193" t="s">
        <v>31</v>
      </c>
      <c r="B193" t="s">
        <v>11</v>
      </c>
      <c r="C193" s="51">
        <v>136206659707</v>
      </c>
      <c r="D193" s="1">
        <v>34879.94</v>
      </c>
      <c r="E193" s="1">
        <v>24413730.66</v>
      </c>
      <c r="F193" t="s">
        <v>1280</v>
      </c>
      <c r="I193" s="16">
        <f>-IFERROR(VLOOKUP(C193,SIRCUPA!$A$21:$H$186,8,0),0)</f>
        <v>0</v>
      </c>
      <c r="J193" s="68">
        <f>-IFERROR(VLOOKUP(C193,SIRTAC!$A$16:$H$1405,8,0),0)</f>
        <v>-358</v>
      </c>
      <c r="K193" s="68">
        <f>-IFERROR(VLOOKUP(C193,Gastos!$A$9:$J$1398,10,0),0)</f>
        <v>-347.26</v>
      </c>
      <c r="L193" s="68">
        <f>-IFERROR(VLOOKUP(C193,IDC!$A$20:$H$1596,8,0),0)</f>
        <v>-214.8</v>
      </c>
      <c r="M193" s="74">
        <f t="shared" si="4"/>
        <v>35800.000000000007</v>
      </c>
    </row>
    <row r="194" spans="1:13" customFormat="1">
      <c r="A194" t="s">
        <v>31</v>
      </c>
      <c r="B194" t="s">
        <v>11</v>
      </c>
      <c r="C194" s="51">
        <v>136830857486</v>
      </c>
      <c r="D194" s="1">
        <v>9548.14</v>
      </c>
      <c r="E194" s="1">
        <v>24423278.800000001</v>
      </c>
      <c r="F194" t="s">
        <v>1280</v>
      </c>
      <c r="I194" s="16">
        <f>-IFERROR(VLOOKUP(C194,SIRCUPA!$A$21:$H$186,8,0),0)</f>
        <v>0</v>
      </c>
      <c r="J194" s="68">
        <f>-IFERROR(VLOOKUP(C194,SIRTAC!$A$16:$H$1405,8,0),0)</f>
        <v>-98</v>
      </c>
      <c r="K194" s="68">
        <f>-IFERROR(VLOOKUP(C194,Gastos!$A$9:$J$1398,10,0),0)</f>
        <v>-95.06</v>
      </c>
      <c r="L194" s="68">
        <f>-IFERROR(VLOOKUP(C194,IDC!$A$20:$H$1596,8,0),0)</f>
        <v>-58.8</v>
      </c>
      <c r="M194" s="74">
        <f t="shared" si="4"/>
        <v>9799.9999999999982</v>
      </c>
    </row>
    <row r="195" spans="1:13" customFormat="1">
      <c r="A195" t="s">
        <v>31</v>
      </c>
      <c r="B195" t="s">
        <v>11</v>
      </c>
      <c r="C195" s="51">
        <v>136831622152</v>
      </c>
      <c r="D195" s="1">
        <v>31536.959999999999</v>
      </c>
      <c r="E195" s="1">
        <v>24454815.760000002</v>
      </c>
      <c r="F195" t="s">
        <v>1280</v>
      </c>
      <c r="I195" s="16">
        <f>-IFERROR(VLOOKUP(C195,SIRCUPA!$A$21:$H$186,8,0),0)</f>
        <v>0</v>
      </c>
      <c r="J195" s="68">
        <f>-IFERROR(VLOOKUP(C195,SIRTAC!$A$16:$H$1405,8,0),0)</f>
        <v>-336</v>
      </c>
      <c r="K195" s="68">
        <f>-IFERROR(VLOOKUP(C195,Gastos!$A$9:$J$1398,10,0),0)</f>
        <v>-1525.44</v>
      </c>
      <c r="L195" s="68">
        <f>-IFERROR(VLOOKUP(C195,IDC!$A$20:$H$1596,8,0),0)</f>
        <v>-201.6</v>
      </c>
      <c r="M195" s="74">
        <f t="shared" si="4"/>
        <v>33600</v>
      </c>
    </row>
    <row r="196" spans="1:13" customFormat="1">
      <c r="A196" t="s">
        <v>31</v>
      </c>
      <c r="B196" t="s">
        <v>11</v>
      </c>
      <c r="C196" s="51">
        <v>136832417604</v>
      </c>
      <c r="D196" s="1">
        <v>9258.06</v>
      </c>
      <c r="E196" s="1">
        <v>24464073.82</v>
      </c>
      <c r="F196" t="s">
        <v>1280</v>
      </c>
      <c r="I196" s="16">
        <f>-IFERROR(VLOOKUP(C196,SIRCUPA!$A$21:$H$186,8,0),0)</f>
        <v>0</v>
      </c>
      <c r="J196" s="68">
        <f>-IFERROR(VLOOKUP(C196,SIRTAC!$A$16:$H$1405,8,0),0)</f>
        <v>-98</v>
      </c>
      <c r="K196" s="68">
        <f>-IFERROR(VLOOKUP(C196,Gastos!$A$9:$J$1398,10,0),0)</f>
        <v>-385.14</v>
      </c>
      <c r="L196" s="68">
        <f>-IFERROR(VLOOKUP(C196,IDC!$A$20:$H$1596,8,0),0)</f>
        <v>-58.8</v>
      </c>
      <c r="M196" s="74">
        <f t="shared" si="4"/>
        <v>9799.9999999999982</v>
      </c>
    </row>
    <row r="197" spans="1:13" customFormat="1">
      <c r="A197" t="s">
        <v>31</v>
      </c>
      <c r="B197" t="s">
        <v>11</v>
      </c>
      <c r="C197" s="51">
        <v>136832854604</v>
      </c>
      <c r="D197" s="1">
        <v>41672.61</v>
      </c>
      <c r="E197" s="1">
        <v>24505746.43</v>
      </c>
      <c r="F197" t="s">
        <v>1280</v>
      </c>
      <c r="I197" s="16">
        <f>-IFERROR(VLOOKUP(C197,SIRCUPA!$A$21:$H$186,8,0),0)</f>
        <v>0</v>
      </c>
      <c r="J197" s="68">
        <f>-IFERROR(VLOOKUP(C197,SIRTAC!$A$16:$H$1405,8,0),0)</f>
        <v>-459</v>
      </c>
      <c r="K197" s="68">
        <f>-IFERROR(VLOOKUP(C197,Gastos!$A$9:$J$1398,10,0),0)</f>
        <v>-3492.99</v>
      </c>
      <c r="L197" s="68">
        <f>-IFERROR(VLOOKUP(C197,IDC!$A$20:$H$1596,8,0),0)</f>
        <v>-275.39999999999998</v>
      </c>
      <c r="M197" s="74">
        <f t="shared" si="4"/>
        <v>45900</v>
      </c>
    </row>
    <row r="198" spans="1:13" customFormat="1">
      <c r="A198" t="s">
        <v>31</v>
      </c>
      <c r="B198" t="s">
        <v>11</v>
      </c>
      <c r="C198" s="51">
        <v>136833574628</v>
      </c>
      <c r="D198" s="1">
        <v>15776.49</v>
      </c>
      <c r="E198" s="1">
        <v>24521522.920000002</v>
      </c>
      <c r="F198" t="s">
        <v>1280</v>
      </c>
      <c r="I198" s="16">
        <f>-IFERROR(VLOOKUP(C198,SIRCUPA!$A$21:$H$186,8,0),0)</f>
        <v>0</v>
      </c>
      <c r="J198" s="68">
        <f>-IFERROR(VLOOKUP(C198,SIRTAC!$A$16:$H$1405,8,0),0)</f>
        <v>-167</v>
      </c>
      <c r="K198" s="68">
        <f>-IFERROR(VLOOKUP(C198,Gastos!$A$9:$J$1398,10,0),0)</f>
        <v>-656.31</v>
      </c>
      <c r="L198" s="68">
        <f>-IFERROR(VLOOKUP(C198,IDC!$A$20:$H$1596,8,0),0)</f>
        <v>-100.2</v>
      </c>
      <c r="M198" s="74">
        <f t="shared" si="4"/>
        <v>16700</v>
      </c>
    </row>
    <row r="199" spans="1:13" customFormat="1">
      <c r="A199" t="s">
        <v>31</v>
      </c>
      <c r="B199" t="s">
        <v>11</v>
      </c>
      <c r="C199" s="51">
        <v>136834634474</v>
      </c>
      <c r="D199" s="1">
        <v>55242.81</v>
      </c>
      <c r="E199" s="1">
        <v>24576765.73</v>
      </c>
      <c r="F199" t="s">
        <v>1280</v>
      </c>
      <c r="I199" s="16">
        <f>-IFERROR(VLOOKUP(C199,SIRCUPA!$A$21:$H$186,8,0),0)</f>
        <v>0</v>
      </c>
      <c r="J199" s="68">
        <f>-IFERROR(VLOOKUP(C199,SIRTAC!$A$16:$H$1405,8,0),0)</f>
        <v>-567</v>
      </c>
      <c r="K199" s="68">
        <f>-IFERROR(VLOOKUP(C199,Gastos!$A$9:$J$1398,10,0),0)</f>
        <v>-549.99</v>
      </c>
      <c r="L199" s="68">
        <f>-IFERROR(VLOOKUP(C199,IDC!$A$20:$H$1596,8,0),0)</f>
        <v>-340.2</v>
      </c>
      <c r="M199" s="74">
        <f t="shared" si="4"/>
        <v>56699.999999999993</v>
      </c>
    </row>
    <row r="200" spans="1:13" customFormat="1">
      <c r="A200" t="s">
        <v>31</v>
      </c>
      <c r="B200" t="s">
        <v>38</v>
      </c>
      <c r="C200" s="51">
        <v>136210105119</v>
      </c>
      <c r="D200" s="1">
        <v>5550.93</v>
      </c>
      <c r="E200" s="1">
        <v>24582316.66</v>
      </c>
      <c r="F200" t="s">
        <v>1280</v>
      </c>
      <c r="I200" s="16">
        <f>-IFERROR(VLOOKUP(C200,SIRCUPA!$A$21:$H$186,8,0),0)</f>
        <v>-85.05</v>
      </c>
      <c r="J200" s="68">
        <f>-IFERROR(VLOOKUP(C200,SIRTAC!$A$16:$H$1405,8,0),0)</f>
        <v>0</v>
      </c>
      <c r="K200" s="68">
        <f>-IFERROR(VLOOKUP(C200,Gastos!$A$9:$J$1398,10,0),0)</f>
        <v>0</v>
      </c>
      <c r="L200" s="68">
        <f>-IFERROR(VLOOKUP(C200,IDC!$A$20:$H$1596,8,0),0)</f>
        <v>-34.020000000000003</v>
      </c>
      <c r="M200" s="74">
        <f t="shared" si="4"/>
        <v>5670.0000000000009</v>
      </c>
    </row>
    <row r="201" spans="1:13" customFormat="1">
      <c r="A201" t="s">
        <v>31</v>
      </c>
      <c r="B201" t="s">
        <v>11</v>
      </c>
      <c r="C201" s="51">
        <v>136210130003</v>
      </c>
      <c r="D201" s="1">
        <v>9010.56</v>
      </c>
      <c r="E201" s="1">
        <v>24591327.219999999</v>
      </c>
      <c r="F201" t="s">
        <v>1280</v>
      </c>
      <c r="I201" s="16">
        <f>-IFERROR(VLOOKUP(C201,SIRCUPA!$A$21:$H$186,8,0),0)</f>
        <v>0</v>
      </c>
      <c r="J201" s="68">
        <f>-IFERROR(VLOOKUP(C201,SIRTAC!$A$16:$H$1405,8,0),0)</f>
        <v>-96</v>
      </c>
      <c r="K201" s="68">
        <f>-IFERROR(VLOOKUP(C201,Gastos!$A$9:$J$1398,10,0),0)</f>
        <v>-435.84</v>
      </c>
      <c r="L201" s="68">
        <f>-IFERROR(VLOOKUP(C201,IDC!$A$20:$H$1596,8,0),0)</f>
        <v>-57.6</v>
      </c>
      <c r="M201" s="74">
        <f t="shared" si="4"/>
        <v>9600</v>
      </c>
    </row>
    <row r="202" spans="1:13" customFormat="1">
      <c r="A202" t="s">
        <v>31</v>
      </c>
      <c r="B202" t="s">
        <v>11</v>
      </c>
      <c r="C202" s="51">
        <v>136834993162</v>
      </c>
      <c r="D202" s="1">
        <v>28059.84</v>
      </c>
      <c r="E202" s="1">
        <v>24619387.059999999</v>
      </c>
      <c r="F202" t="s">
        <v>1280</v>
      </c>
      <c r="I202" s="16">
        <f>-IFERROR(VLOOKUP(C202,SIRCUPA!$A$21:$H$186,8,0),0)</f>
        <v>0</v>
      </c>
      <c r="J202" s="68">
        <f>-IFERROR(VLOOKUP(C202,SIRTAC!$A$16:$H$1405,8,0),0)</f>
        <v>-288</v>
      </c>
      <c r="K202" s="68">
        <f>-IFERROR(VLOOKUP(C202,Gastos!$A$9:$J$1398,10,0),0)</f>
        <v>-279.36</v>
      </c>
      <c r="L202" s="68">
        <f>-IFERROR(VLOOKUP(C202,IDC!$A$20:$H$1596,8,0),0)</f>
        <v>-172.8</v>
      </c>
      <c r="M202" s="74">
        <f t="shared" si="4"/>
        <v>28800</v>
      </c>
    </row>
    <row r="203" spans="1:13" customFormat="1">
      <c r="A203" t="s">
        <v>31</v>
      </c>
      <c r="B203" t="s">
        <v>11</v>
      </c>
      <c r="C203" s="51">
        <v>136211684499</v>
      </c>
      <c r="D203" s="1">
        <v>7935.48</v>
      </c>
      <c r="E203" s="1">
        <v>24627322.539999999</v>
      </c>
      <c r="F203" t="s">
        <v>1280</v>
      </c>
      <c r="I203" s="16">
        <f>-IFERROR(VLOOKUP(C203,SIRCUPA!$A$21:$H$186,8,0),0)</f>
        <v>0</v>
      </c>
      <c r="J203" s="68">
        <f>-IFERROR(VLOOKUP(C203,SIRTAC!$A$16:$H$1405,8,0),0)</f>
        <v>-84</v>
      </c>
      <c r="K203" s="68">
        <f>-IFERROR(VLOOKUP(C203,Gastos!$A$9:$J$1398,10,0),0)</f>
        <v>-330.12</v>
      </c>
      <c r="L203" s="68">
        <f>-IFERROR(VLOOKUP(C203,IDC!$A$20:$H$1596,8,0),0)</f>
        <v>-50.4</v>
      </c>
      <c r="M203" s="74">
        <f t="shared" si="4"/>
        <v>8400</v>
      </c>
    </row>
    <row r="204" spans="1:13" customFormat="1">
      <c r="A204" t="s">
        <v>31</v>
      </c>
      <c r="B204" t="s">
        <v>11</v>
      </c>
      <c r="C204" s="51">
        <v>136213897005</v>
      </c>
      <c r="D204" s="1">
        <v>27864.98</v>
      </c>
      <c r="E204" s="1">
        <v>24655187.52</v>
      </c>
      <c r="F204" t="s">
        <v>1280</v>
      </c>
      <c r="I204" s="16">
        <f>-IFERROR(VLOOKUP(C204,SIRCUPA!$A$21:$H$186,8,0),0)</f>
        <v>0</v>
      </c>
      <c r="J204" s="68">
        <f>-IFERROR(VLOOKUP(C204,SIRTAC!$A$16:$H$1405,8,0),0)</f>
        <v>-286</v>
      </c>
      <c r="K204" s="68">
        <f>-IFERROR(VLOOKUP(C204,Gastos!$A$9:$J$1398,10,0),0)</f>
        <v>-277.42</v>
      </c>
      <c r="L204" s="68">
        <f>-IFERROR(VLOOKUP(C204,IDC!$A$20:$H$1596,8,0),0)</f>
        <v>-171.6</v>
      </c>
      <c r="M204" s="74">
        <f t="shared" si="4"/>
        <v>28599.999999999996</v>
      </c>
    </row>
    <row r="205" spans="1:13" customFormat="1">
      <c r="A205" t="s">
        <v>31</v>
      </c>
      <c r="B205" t="s">
        <v>11</v>
      </c>
      <c r="C205" s="51">
        <v>136838943248</v>
      </c>
      <c r="D205" s="1">
        <v>53781.36</v>
      </c>
      <c r="E205" s="1">
        <v>24708968.879999999</v>
      </c>
      <c r="F205" t="s">
        <v>1280</v>
      </c>
      <c r="I205" s="16">
        <f>-IFERROR(VLOOKUP(C205,SIRCUPA!$A$21:$H$186,8,0),0)</f>
        <v>0</v>
      </c>
      <c r="J205" s="68">
        <f>-IFERROR(VLOOKUP(C205,SIRTAC!$A$16:$H$1405,8,0),0)</f>
        <v>-552</v>
      </c>
      <c r="K205" s="68">
        <f>-IFERROR(VLOOKUP(C205,Gastos!$A$9:$J$1398,10,0),0)</f>
        <v>-535.44000000000005</v>
      </c>
      <c r="L205" s="68">
        <f>-IFERROR(VLOOKUP(C205,IDC!$A$20:$H$1596,8,0),0)</f>
        <v>-331.2</v>
      </c>
      <c r="M205" s="74">
        <f t="shared" si="4"/>
        <v>55200</v>
      </c>
    </row>
    <row r="206" spans="1:13" customFormat="1">
      <c r="A206" t="s">
        <v>31</v>
      </c>
      <c r="B206" t="s">
        <v>11</v>
      </c>
      <c r="C206" s="51">
        <v>136215527717</v>
      </c>
      <c r="D206" s="1">
        <v>9548.14</v>
      </c>
      <c r="E206" s="1">
        <v>24718517.02</v>
      </c>
      <c r="F206" t="s">
        <v>1280</v>
      </c>
      <c r="I206" s="16">
        <f>-IFERROR(VLOOKUP(C206,SIRCUPA!$A$21:$H$186,8,0),0)</f>
        <v>0</v>
      </c>
      <c r="J206" s="68">
        <f>-IFERROR(VLOOKUP(C206,SIRTAC!$A$16:$H$1405,8,0),0)</f>
        <v>-98</v>
      </c>
      <c r="K206" s="68">
        <f>-IFERROR(VLOOKUP(C206,Gastos!$A$9:$J$1398,10,0),0)</f>
        <v>-95.06</v>
      </c>
      <c r="L206" s="68">
        <f>-IFERROR(VLOOKUP(C206,IDC!$A$20:$H$1596,8,0),0)</f>
        <v>-58.8</v>
      </c>
      <c r="M206" s="74">
        <f t="shared" si="4"/>
        <v>9799.9999999999982</v>
      </c>
    </row>
    <row r="207" spans="1:13" customFormat="1">
      <c r="A207" t="s">
        <v>31</v>
      </c>
      <c r="B207" t="s">
        <v>11</v>
      </c>
      <c r="C207" s="51">
        <v>136216655895</v>
      </c>
      <c r="D207" s="1">
        <v>72975.070000000007</v>
      </c>
      <c r="E207" s="1">
        <v>24791492.09</v>
      </c>
      <c r="F207" t="s">
        <v>1280</v>
      </c>
      <c r="I207" s="16">
        <f>-IFERROR(VLOOKUP(C207,SIRCUPA!$A$21:$H$186,8,0),0)</f>
        <v>0</v>
      </c>
      <c r="J207" s="68">
        <f>-IFERROR(VLOOKUP(C207,SIRTAC!$A$16:$H$1405,8,0),0)</f>
        <v>-749</v>
      </c>
      <c r="K207" s="68">
        <f>-IFERROR(VLOOKUP(C207,Gastos!$A$9:$J$1398,10,0),0)</f>
        <v>-726.53</v>
      </c>
      <c r="L207" s="68">
        <f>-IFERROR(VLOOKUP(C207,IDC!$A$20:$H$1596,8,0),0)</f>
        <v>-449.4</v>
      </c>
      <c r="M207" s="74">
        <f t="shared" si="4"/>
        <v>74900</v>
      </c>
    </row>
    <row r="208" spans="1:13" customFormat="1">
      <c r="A208" t="s">
        <v>31</v>
      </c>
      <c r="B208" t="s">
        <v>11</v>
      </c>
      <c r="C208" s="51">
        <v>136841338408</v>
      </c>
      <c r="D208" s="1">
        <v>27600.16</v>
      </c>
      <c r="E208" s="1">
        <v>24819092.25</v>
      </c>
      <c r="F208" t="s">
        <v>1280</v>
      </c>
      <c r="I208" s="16">
        <f>-IFERROR(VLOOKUP(C208,SIRCUPA!$A$21:$H$186,8,0),0)</f>
        <v>0</v>
      </c>
      <c r="J208" s="68">
        <f>-IFERROR(VLOOKUP(C208,SIRTAC!$A$16:$H$1405,8,0),0)</f>
        <v>-304</v>
      </c>
      <c r="K208" s="68">
        <f>-IFERROR(VLOOKUP(C208,Gastos!$A$9:$J$1398,10,0),0)</f>
        <v>-2313.44</v>
      </c>
      <c r="L208" s="68">
        <f>-IFERROR(VLOOKUP(C208,IDC!$A$20:$H$1596,8,0),0)</f>
        <v>-182.4</v>
      </c>
      <c r="M208" s="74">
        <f t="shared" si="4"/>
        <v>30400</v>
      </c>
    </row>
    <row r="209" spans="1:13" customFormat="1">
      <c r="A209" t="s">
        <v>31</v>
      </c>
      <c r="B209" t="s">
        <v>11</v>
      </c>
      <c r="C209" s="51">
        <v>136842377166</v>
      </c>
      <c r="D209" s="1">
        <v>44720.37</v>
      </c>
      <c r="E209" s="1">
        <v>24863812.620000001</v>
      </c>
      <c r="F209" t="s">
        <v>1280</v>
      </c>
      <c r="I209" s="16">
        <f>-IFERROR(VLOOKUP(C209,SIRCUPA!$A$21:$H$186,8,0),0)</f>
        <v>0</v>
      </c>
      <c r="J209" s="68">
        <f>-IFERROR(VLOOKUP(C209,SIRTAC!$A$16:$H$1405,8,0),0)</f>
        <v>-459</v>
      </c>
      <c r="K209" s="68">
        <f>-IFERROR(VLOOKUP(C209,Gastos!$A$9:$J$1398,10,0),0)</f>
        <v>-445.23</v>
      </c>
      <c r="L209" s="68">
        <f>-IFERROR(VLOOKUP(C209,IDC!$A$20:$H$1596,8,0),0)</f>
        <v>-275.39999999999998</v>
      </c>
      <c r="M209" s="74">
        <f t="shared" si="4"/>
        <v>45900.000000000007</v>
      </c>
    </row>
    <row r="210" spans="1:13" customFormat="1">
      <c r="A210" t="s">
        <v>31</v>
      </c>
      <c r="B210" t="s">
        <v>11</v>
      </c>
      <c r="C210" s="51">
        <v>136218123829</v>
      </c>
      <c r="D210" s="1">
        <v>32139.66</v>
      </c>
      <c r="E210" s="1">
        <v>24895952.280000001</v>
      </c>
      <c r="F210" t="s">
        <v>1280</v>
      </c>
      <c r="I210" s="16">
        <f>-IFERROR(VLOOKUP(C210,SIRCUPA!$A$21:$H$186,8,0),0)</f>
        <v>0</v>
      </c>
      <c r="J210" s="68">
        <f>-IFERROR(VLOOKUP(C210,SIRTAC!$A$16:$H$1405,8,0),0)</f>
        <v>-354</v>
      </c>
      <c r="K210" s="68">
        <f>-IFERROR(VLOOKUP(C210,Gastos!$A$9:$J$1398,10,0),0)</f>
        <v>-2693.94</v>
      </c>
      <c r="L210" s="68">
        <f>-IFERROR(VLOOKUP(C210,IDC!$A$20:$H$1596,8,0),0)</f>
        <v>-212.4</v>
      </c>
      <c r="M210" s="74">
        <f t="shared" si="4"/>
        <v>35400</v>
      </c>
    </row>
    <row r="211" spans="1:13" customFormat="1">
      <c r="A211" t="s">
        <v>31</v>
      </c>
      <c r="B211" t="s">
        <v>11</v>
      </c>
      <c r="C211" s="51">
        <v>136218385685</v>
      </c>
      <c r="D211" s="1">
        <v>11169.34</v>
      </c>
      <c r="E211" s="1">
        <v>24907121.620000001</v>
      </c>
      <c r="F211" t="s">
        <v>1280</v>
      </c>
      <c r="I211" s="16">
        <f>-IFERROR(VLOOKUP(C211,SIRCUPA!$A$21:$H$186,8,0),0)</f>
        <v>0</v>
      </c>
      <c r="J211" s="68">
        <f>-IFERROR(VLOOKUP(C211,SIRTAC!$A$16:$H$1405,8,0),0)</f>
        <v>-119</v>
      </c>
      <c r="K211" s="68">
        <f>-IFERROR(VLOOKUP(C211,Gastos!$A$9:$J$1398,10,0),0)</f>
        <v>-540.26</v>
      </c>
      <c r="L211" s="68">
        <f>-IFERROR(VLOOKUP(C211,IDC!$A$20:$H$1596,8,0),0)</f>
        <v>-71.400000000000006</v>
      </c>
      <c r="M211" s="74">
        <f t="shared" si="4"/>
        <v>11900</v>
      </c>
    </row>
    <row r="212" spans="1:13" customFormat="1">
      <c r="A212" t="s">
        <v>31</v>
      </c>
      <c r="B212" t="s">
        <v>11</v>
      </c>
      <c r="C212" s="51">
        <v>136219156717</v>
      </c>
      <c r="D212" s="1">
        <v>30105.87</v>
      </c>
      <c r="E212" s="1">
        <v>24937227.489999998</v>
      </c>
      <c r="F212" t="s">
        <v>1280</v>
      </c>
      <c r="I212" s="16">
        <f>-IFERROR(VLOOKUP(C212,SIRCUPA!$A$21:$H$186,8,0),0)</f>
        <v>0</v>
      </c>
      <c r="J212" s="68">
        <f>-IFERROR(VLOOKUP(C212,SIRTAC!$A$16:$H$1405,8,0),0)</f>
        <v>-309</v>
      </c>
      <c r="K212" s="68">
        <f>-IFERROR(VLOOKUP(C212,Gastos!$A$9:$J$1398,10,0),0)</f>
        <v>-299.73</v>
      </c>
      <c r="L212" s="68">
        <f>-IFERROR(VLOOKUP(C212,IDC!$A$20:$H$1596,8,0),0)</f>
        <v>-185.4</v>
      </c>
      <c r="M212" s="74">
        <f t="shared" si="4"/>
        <v>30900</v>
      </c>
    </row>
    <row r="213" spans="1:13" customFormat="1">
      <c r="A213" t="s">
        <v>31</v>
      </c>
      <c r="B213" t="s">
        <v>39</v>
      </c>
      <c r="C213" s="51">
        <v>136843283090</v>
      </c>
      <c r="D213" s="1">
        <v>3025.11</v>
      </c>
      <c r="E213" s="1">
        <v>24940252.600000001</v>
      </c>
      <c r="F213" t="s">
        <v>1280</v>
      </c>
      <c r="I213" s="16">
        <f>-IFERROR(VLOOKUP(C213,SIRCUPA!$A$21:$H$186,8,0),0)</f>
        <v>-46.35</v>
      </c>
      <c r="J213" s="68">
        <f>-IFERROR(VLOOKUP(C213,SIRTAC!$A$16:$H$1405,8,0),0)</f>
        <v>0</v>
      </c>
      <c r="K213" s="68">
        <f>-IFERROR(VLOOKUP(C213,Gastos!$A$9:$J$1398,10,0),0)</f>
        <v>0</v>
      </c>
      <c r="L213" s="68">
        <f>-IFERROR(VLOOKUP(C213,IDC!$A$20:$H$1596,8,0),0)</f>
        <v>-18.54</v>
      </c>
      <c r="M213" s="74">
        <f t="shared" si="4"/>
        <v>3090</v>
      </c>
    </row>
    <row r="214" spans="1:13" customFormat="1">
      <c r="A214" t="s">
        <v>31</v>
      </c>
      <c r="B214" t="s">
        <v>11</v>
      </c>
      <c r="C214" s="51">
        <v>136219694583</v>
      </c>
      <c r="D214" s="1">
        <v>13445.34</v>
      </c>
      <c r="E214" s="1">
        <v>24953697.940000001</v>
      </c>
      <c r="F214" t="s">
        <v>1280</v>
      </c>
      <c r="I214" s="16">
        <f>-IFERROR(VLOOKUP(C214,SIRCUPA!$A$21:$H$186,8,0),0)</f>
        <v>0</v>
      </c>
      <c r="J214" s="68">
        <f>-IFERROR(VLOOKUP(C214,SIRTAC!$A$16:$H$1405,8,0),0)</f>
        <v>-138</v>
      </c>
      <c r="K214" s="68">
        <f>-IFERROR(VLOOKUP(C214,Gastos!$A$9:$J$1398,10,0),0)</f>
        <v>-133.86000000000001</v>
      </c>
      <c r="L214" s="68">
        <f>-IFERROR(VLOOKUP(C214,IDC!$A$20:$H$1596,8,0),0)</f>
        <v>-82.8</v>
      </c>
      <c r="M214" s="74">
        <f t="shared" si="4"/>
        <v>13800</v>
      </c>
    </row>
    <row r="215" spans="1:13" customFormat="1">
      <c r="A215" t="s">
        <v>31</v>
      </c>
      <c r="B215" t="s">
        <v>11</v>
      </c>
      <c r="C215" s="51">
        <v>136219721357</v>
      </c>
      <c r="D215" s="1">
        <v>46181.82</v>
      </c>
      <c r="E215" s="1">
        <v>24999879.760000002</v>
      </c>
      <c r="F215" t="s">
        <v>1280</v>
      </c>
      <c r="I215" s="16">
        <f>-IFERROR(VLOOKUP(C215,SIRCUPA!$A$21:$H$186,8,0),0)</f>
        <v>0</v>
      </c>
      <c r="J215" s="68">
        <f>-IFERROR(VLOOKUP(C215,SIRTAC!$A$16:$H$1405,8,0),0)</f>
        <v>-474</v>
      </c>
      <c r="K215" s="68">
        <f>-IFERROR(VLOOKUP(C215,Gastos!$A$9:$J$1398,10,0),0)</f>
        <v>-459.78</v>
      </c>
      <c r="L215" s="68">
        <f>-IFERROR(VLOOKUP(C215,IDC!$A$20:$H$1596,8,0),0)</f>
        <v>-284.39999999999998</v>
      </c>
      <c r="M215" s="74">
        <f t="shared" si="4"/>
        <v>47400</v>
      </c>
    </row>
    <row r="216" spans="1:13" customFormat="1">
      <c r="A216" t="s">
        <v>40</v>
      </c>
      <c r="B216" t="s">
        <v>11</v>
      </c>
      <c r="C216" s="51">
        <v>136220079091</v>
      </c>
      <c r="D216" s="1">
        <v>39459.15</v>
      </c>
      <c r="E216" s="1">
        <v>25039338.91</v>
      </c>
      <c r="F216" t="s">
        <v>1280</v>
      </c>
      <c r="I216" s="16">
        <f>-IFERROR(VLOOKUP(C216,SIRCUPA!$A$21:$H$186,8,0),0)</f>
        <v>0</v>
      </c>
      <c r="J216" s="68">
        <f>-IFERROR(VLOOKUP(C216,SIRTAC!$A$16:$H$1405,8,0),0)</f>
        <v>-405</v>
      </c>
      <c r="K216" s="68">
        <f>-IFERROR(VLOOKUP(C216,Gastos!$A$9:$J$1398,10,0),0)</f>
        <v>-392.85</v>
      </c>
      <c r="L216" s="68">
        <f>-IFERROR(VLOOKUP(C216,IDC!$A$20:$H$1596,8,0),0)</f>
        <v>-243</v>
      </c>
      <c r="M216" s="74">
        <f t="shared" si="4"/>
        <v>40500</v>
      </c>
    </row>
    <row r="217" spans="1:13" customFormat="1">
      <c r="A217" t="s">
        <v>40</v>
      </c>
      <c r="B217" t="s">
        <v>11</v>
      </c>
      <c r="C217" s="51">
        <v>136220272599</v>
      </c>
      <c r="D217" s="1">
        <v>74158.95</v>
      </c>
      <c r="E217" s="1">
        <v>25113497.859999999</v>
      </c>
      <c r="F217" t="s">
        <v>1280</v>
      </c>
      <c r="I217" s="16">
        <f>-IFERROR(VLOOKUP(C217,SIRCUPA!$A$21:$H$186,8,0),0)</f>
        <v>0</v>
      </c>
      <c r="J217" s="68">
        <f>-IFERROR(VLOOKUP(C217,SIRTAC!$A$16:$H$1405,8,0),0)</f>
        <v>-785</v>
      </c>
      <c r="K217" s="68">
        <f>-IFERROR(VLOOKUP(C217,Gastos!$A$9:$J$1398,10,0),0)</f>
        <v>-3085.05</v>
      </c>
      <c r="L217" s="68">
        <f>-IFERROR(VLOOKUP(C217,IDC!$A$20:$H$1596,8,0),0)</f>
        <v>-471</v>
      </c>
      <c r="M217" s="74">
        <f t="shared" si="4"/>
        <v>78500</v>
      </c>
    </row>
    <row r="218" spans="1:13" customFormat="1">
      <c r="A218" t="s">
        <v>40</v>
      </c>
      <c r="B218" t="s">
        <v>11</v>
      </c>
      <c r="C218" s="51">
        <v>136220557227</v>
      </c>
      <c r="D218" s="1">
        <v>39556.58</v>
      </c>
      <c r="E218" s="1">
        <v>25153054.440000001</v>
      </c>
      <c r="F218" t="s">
        <v>1280</v>
      </c>
      <c r="I218" s="16">
        <f>-IFERROR(VLOOKUP(C218,SIRCUPA!$A$21:$H$186,8,0),0)</f>
        <v>0</v>
      </c>
      <c r="J218" s="68">
        <f>-IFERROR(VLOOKUP(C218,SIRTAC!$A$16:$H$1405,8,0),0)</f>
        <v>-406</v>
      </c>
      <c r="K218" s="68">
        <f>-IFERROR(VLOOKUP(C218,Gastos!$A$9:$J$1398,10,0),0)</f>
        <v>-393.82</v>
      </c>
      <c r="L218" s="68">
        <f>-IFERROR(VLOOKUP(C218,IDC!$A$20:$H$1596,8,0),0)</f>
        <v>-243.6</v>
      </c>
      <c r="M218" s="74">
        <f t="shared" si="4"/>
        <v>40600</v>
      </c>
    </row>
    <row r="219" spans="1:13" customFormat="1">
      <c r="A219" t="s">
        <v>40</v>
      </c>
      <c r="B219" t="s">
        <v>11</v>
      </c>
      <c r="C219" s="51">
        <v>136220730559</v>
      </c>
      <c r="D219" s="1">
        <v>65667.820000000007</v>
      </c>
      <c r="E219" s="1">
        <v>25218722.260000002</v>
      </c>
      <c r="F219" t="s">
        <v>1280</v>
      </c>
      <c r="I219" s="16">
        <f>-IFERROR(VLOOKUP(C219,SIRCUPA!$A$21:$H$186,8,0),0)</f>
        <v>0</v>
      </c>
      <c r="J219" s="68">
        <f>-IFERROR(VLOOKUP(C219,SIRTAC!$A$16:$H$1405,8,0),0)</f>
        <v>-674</v>
      </c>
      <c r="K219" s="68">
        <f>-IFERROR(VLOOKUP(C219,Gastos!$A$9:$J$1398,10,0),0)</f>
        <v>-653.78</v>
      </c>
      <c r="L219" s="68">
        <f>-IFERROR(VLOOKUP(C219,IDC!$A$20:$H$1596,8,0),0)</f>
        <v>-404.4</v>
      </c>
      <c r="M219" s="74">
        <f t="shared" si="4"/>
        <v>67400</v>
      </c>
    </row>
    <row r="220" spans="1:13" customFormat="1">
      <c r="A220" t="s">
        <v>40</v>
      </c>
      <c r="B220" t="s">
        <v>41</v>
      </c>
      <c r="C220" s="51">
        <v>136220625165</v>
      </c>
      <c r="D220" s="1">
        <v>3299.23</v>
      </c>
      <c r="E220" s="1">
        <v>25222021.489999998</v>
      </c>
      <c r="F220" t="s">
        <v>1280</v>
      </c>
      <c r="I220" s="16">
        <f>-IFERROR(VLOOKUP(C220,SIRCUPA!$A$21:$H$186,8,0),0)</f>
        <v>-50.55</v>
      </c>
      <c r="J220" s="68">
        <f>-IFERROR(VLOOKUP(C220,SIRTAC!$A$16:$H$1405,8,0),0)</f>
        <v>0</v>
      </c>
      <c r="K220" s="68">
        <f>-IFERROR(VLOOKUP(C220,Gastos!$A$9:$J$1398,10,0),0)</f>
        <v>0</v>
      </c>
      <c r="L220" s="68">
        <f>-IFERROR(VLOOKUP(C220,IDC!$A$20:$H$1596,8,0),0)</f>
        <v>-20.22</v>
      </c>
      <c r="M220" s="74">
        <f t="shared" si="4"/>
        <v>3370</v>
      </c>
    </row>
    <row r="221" spans="1:13" customFormat="1">
      <c r="A221" t="s">
        <v>40</v>
      </c>
      <c r="B221" t="s">
        <v>11</v>
      </c>
      <c r="C221" s="51">
        <v>136220865009</v>
      </c>
      <c r="D221" s="1">
        <v>104995.45</v>
      </c>
      <c r="E221" s="1">
        <v>25327016.940000001</v>
      </c>
      <c r="F221" t="s">
        <v>1280</v>
      </c>
      <c r="I221" s="16">
        <f>-IFERROR(VLOOKUP(C221,SIRCUPA!$A$21:$H$186,8,0),0)</f>
        <v>0</v>
      </c>
      <c r="J221" s="68">
        <f>-IFERROR(VLOOKUP(C221,SIRTAC!$A$16:$H$1405,8,0),0)</f>
        <v>-1085</v>
      </c>
      <c r="K221" s="68">
        <f>-IFERROR(VLOOKUP(C221,Gastos!$A$9:$J$1398,10,0),0)</f>
        <v>-1768.55</v>
      </c>
      <c r="L221" s="68">
        <f>-IFERROR(VLOOKUP(C221,IDC!$A$20:$H$1596,8,0),0)</f>
        <v>-651</v>
      </c>
      <c r="M221" s="74">
        <f t="shared" si="4"/>
        <v>108500</v>
      </c>
    </row>
    <row r="222" spans="1:13" customFormat="1">
      <c r="A222" t="s">
        <v>40</v>
      </c>
      <c r="B222" t="s">
        <v>11</v>
      </c>
      <c r="C222" s="51">
        <v>136220881265</v>
      </c>
      <c r="D222" s="1">
        <v>4774.07</v>
      </c>
      <c r="E222" s="1">
        <v>25331791.010000002</v>
      </c>
      <c r="F222" t="s">
        <v>1280</v>
      </c>
      <c r="I222" s="16">
        <f>-IFERROR(VLOOKUP(C222,SIRCUPA!$A$21:$H$186,8,0),0)</f>
        <v>0</v>
      </c>
      <c r="J222" s="68">
        <f>-IFERROR(VLOOKUP(C222,SIRTAC!$A$16:$H$1405,8,0),0)</f>
        <v>-49</v>
      </c>
      <c r="K222" s="68">
        <f>-IFERROR(VLOOKUP(C222,Gastos!$A$9:$J$1398,10,0),0)</f>
        <v>-47.53</v>
      </c>
      <c r="L222" s="68">
        <f>-IFERROR(VLOOKUP(C222,IDC!$A$20:$H$1596,8,0),0)</f>
        <v>-29.4</v>
      </c>
      <c r="M222" s="74">
        <f t="shared" si="4"/>
        <v>4899.9999999999991</v>
      </c>
    </row>
    <row r="223" spans="1:13" customFormat="1">
      <c r="A223" t="s">
        <v>40</v>
      </c>
      <c r="B223" t="s">
        <v>42</v>
      </c>
      <c r="C223" s="51">
        <v>136845098224</v>
      </c>
      <c r="D223">
        <v>479.71</v>
      </c>
      <c r="E223" s="1">
        <v>25332270.719999999</v>
      </c>
      <c r="F223" t="s">
        <v>1280</v>
      </c>
      <c r="I223" s="16">
        <f>-IFERROR(VLOOKUP(C223,SIRCUPA!$A$21:$H$186,8,0),0)</f>
        <v>-7.35</v>
      </c>
      <c r="J223" s="68">
        <f>-IFERROR(VLOOKUP(C223,SIRTAC!$A$16:$H$1405,8,0),0)</f>
        <v>0</v>
      </c>
      <c r="K223" s="68">
        <f>-IFERROR(VLOOKUP(C223,Gastos!$A$9:$J$1398,10,0),0)</f>
        <v>0</v>
      </c>
      <c r="L223" s="68">
        <f>-IFERROR(VLOOKUP(C223,IDC!$A$20:$H$1596,8,0),0)</f>
        <v>-2.94</v>
      </c>
      <c r="M223" s="74">
        <f t="shared" si="4"/>
        <v>490</v>
      </c>
    </row>
    <row r="224" spans="1:13" customFormat="1">
      <c r="A224" t="s">
        <v>40</v>
      </c>
      <c r="B224" t="s">
        <v>11</v>
      </c>
      <c r="C224" s="51">
        <v>136221145509</v>
      </c>
      <c r="D224" s="1">
        <v>38192.559999999998</v>
      </c>
      <c r="E224" s="1">
        <v>25370463.280000001</v>
      </c>
      <c r="F224" t="s">
        <v>1280</v>
      </c>
      <c r="I224" s="16">
        <f>-IFERROR(VLOOKUP(C224,SIRCUPA!$A$21:$H$186,8,0),0)</f>
        <v>0</v>
      </c>
      <c r="J224" s="68">
        <f>-IFERROR(VLOOKUP(C224,SIRTAC!$A$16:$H$1405,8,0),0)</f>
        <v>-392</v>
      </c>
      <c r="K224" s="68">
        <f>-IFERROR(VLOOKUP(C224,Gastos!$A$9:$J$1398,10,0),0)</f>
        <v>-380.24</v>
      </c>
      <c r="L224" s="68">
        <f>-IFERROR(VLOOKUP(C224,IDC!$A$20:$H$1596,8,0),0)</f>
        <v>-235.2</v>
      </c>
      <c r="M224" s="74">
        <f t="shared" si="4"/>
        <v>39199.999999999993</v>
      </c>
    </row>
    <row r="225" spans="1:13" customFormat="1">
      <c r="A225" t="s">
        <v>40</v>
      </c>
      <c r="B225" t="s">
        <v>11</v>
      </c>
      <c r="C225" s="51">
        <v>136845876898</v>
      </c>
      <c r="D225" s="1">
        <v>9743</v>
      </c>
      <c r="E225" s="1">
        <v>25380206.280000001</v>
      </c>
      <c r="F225" t="s">
        <v>1280</v>
      </c>
      <c r="I225" s="16">
        <f>-IFERROR(VLOOKUP(C225,SIRCUPA!$A$21:$H$186,8,0),0)</f>
        <v>0</v>
      </c>
      <c r="J225" s="68">
        <f>-IFERROR(VLOOKUP(C225,SIRTAC!$A$16:$H$1405,8,0),0)</f>
        <v>-100</v>
      </c>
      <c r="K225" s="68">
        <f>-IFERROR(VLOOKUP(C225,Gastos!$A$9:$J$1398,10,0),0)</f>
        <v>-97</v>
      </c>
      <c r="L225" s="68">
        <f>-IFERROR(VLOOKUP(C225,IDC!$A$20:$H$1596,8,0),0)</f>
        <v>-60</v>
      </c>
      <c r="M225" s="74">
        <f t="shared" si="4"/>
        <v>10000</v>
      </c>
    </row>
    <row r="226" spans="1:13" customFormat="1">
      <c r="A226" t="s">
        <v>40</v>
      </c>
      <c r="B226" t="s">
        <v>43</v>
      </c>
      <c r="C226" s="51">
        <v>136845900762</v>
      </c>
      <c r="D226">
        <v>979</v>
      </c>
      <c r="E226" s="1">
        <v>25381185.280000001</v>
      </c>
      <c r="F226" t="s">
        <v>1280</v>
      </c>
      <c r="I226" s="16">
        <f>-IFERROR(VLOOKUP(C226,SIRCUPA!$A$21:$H$186,8,0),0)</f>
        <v>-15</v>
      </c>
      <c r="J226" s="68">
        <f>-IFERROR(VLOOKUP(C226,SIRTAC!$A$16:$H$1405,8,0),0)</f>
        <v>0</v>
      </c>
      <c r="K226" s="68">
        <f>-IFERROR(VLOOKUP(C226,Gastos!$A$9:$J$1398,10,0),0)</f>
        <v>0</v>
      </c>
      <c r="L226" s="68">
        <f>-IFERROR(VLOOKUP(C226,IDC!$A$20:$H$1596,8,0),0)</f>
        <v>-6</v>
      </c>
      <c r="M226" s="74">
        <f t="shared" si="4"/>
        <v>1000</v>
      </c>
    </row>
    <row r="227" spans="1:13" customFormat="1">
      <c r="A227" t="s">
        <v>40</v>
      </c>
      <c r="B227" t="s">
        <v>11</v>
      </c>
      <c r="C227" s="51">
        <v>136221829339</v>
      </c>
      <c r="D227" s="1">
        <v>64835.9</v>
      </c>
      <c r="E227" s="1">
        <v>25446021.18</v>
      </c>
      <c r="F227" t="s">
        <v>1280</v>
      </c>
      <c r="I227" s="16">
        <f>-IFERROR(VLOOKUP(C227,SIRCUPA!$A$21:$H$186,8,0),0)</f>
        <v>0</v>
      </c>
      <c r="J227" s="68">
        <f>-IFERROR(VLOOKUP(C227,SIRTAC!$A$16:$H$1405,8,0),0)</f>
        <v>-670</v>
      </c>
      <c r="K227" s="68">
        <f>-IFERROR(VLOOKUP(C227,Gastos!$A$9:$J$1398,10,0),0)</f>
        <v>-1092.0999999999999</v>
      </c>
      <c r="L227" s="68">
        <f>-IFERROR(VLOOKUP(C227,IDC!$A$20:$H$1596,8,0),0)</f>
        <v>-402</v>
      </c>
      <c r="M227" s="74">
        <f t="shared" si="4"/>
        <v>67000</v>
      </c>
    </row>
    <row r="228" spans="1:13" customFormat="1">
      <c r="A228" t="s">
        <v>40</v>
      </c>
      <c r="B228" t="s">
        <v>11</v>
      </c>
      <c r="C228" s="51">
        <v>136222531101</v>
      </c>
      <c r="D228" s="1">
        <v>65940.06</v>
      </c>
      <c r="E228" s="1">
        <v>25511961.239999998</v>
      </c>
      <c r="F228" t="s">
        <v>1280</v>
      </c>
      <c r="I228" s="16">
        <f>-IFERROR(VLOOKUP(C228,SIRCUPA!$A$21:$H$186,8,0),0)</f>
        <v>0</v>
      </c>
      <c r="J228" s="68">
        <f>-IFERROR(VLOOKUP(C228,SIRTAC!$A$16:$H$1405,8,0),0)</f>
        <v>-698</v>
      </c>
      <c r="K228" s="68">
        <f>-IFERROR(VLOOKUP(C228,Gastos!$A$9:$J$1398,10,0),0)</f>
        <v>-2743.14</v>
      </c>
      <c r="L228" s="68">
        <f>-IFERROR(VLOOKUP(C228,IDC!$A$20:$H$1596,8,0),0)</f>
        <v>-418.8</v>
      </c>
      <c r="M228" s="74">
        <f t="shared" si="4"/>
        <v>69800</v>
      </c>
    </row>
    <row r="229" spans="1:13" customFormat="1">
      <c r="A229" t="s">
        <v>40</v>
      </c>
      <c r="B229" t="s">
        <v>11</v>
      </c>
      <c r="C229" s="51">
        <v>136847009092</v>
      </c>
      <c r="D229" s="1">
        <v>47707.61</v>
      </c>
      <c r="E229" s="1">
        <v>25559668.850000001</v>
      </c>
      <c r="F229" t="s">
        <v>1280</v>
      </c>
      <c r="I229" s="16">
        <f>-IFERROR(VLOOKUP(C229,SIRCUPA!$A$21:$H$186,8,0),0)</f>
        <v>0</v>
      </c>
      <c r="J229" s="68">
        <f>-IFERROR(VLOOKUP(C229,SIRTAC!$A$16:$H$1405,8,0),0)</f>
        <v>-493</v>
      </c>
      <c r="K229" s="68">
        <f>-IFERROR(VLOOKUP(C229,Gastos!$A$9:$J$1398,10,0),0)</f>
        <v>-803.59</v>
      </c>
      <c r="L229" s="68">
        <f>-IFERROR(VLOOKUP(C229,IDC!$A$20:$H$1596,8,0),0)</f>
        <v>-295.8</v>
      </c>
      <c r="M229" s="74">
        <f t="shared" si="4"/>
        <v>49300</v>
      </c>
    </row>
    <row r="230" spans="1:13" customFormat="1">
      <c r="A230" t="s">
        <v>40</v>
      </c>
      <c r="B230" t="s">
        <v>11</v>
      </c>
      <c r="C230" s="51">
        <v>136847414214</v>
      </c>
      <c r="D230" s="1">
        <v>118937.73</v>
      </c>
      <c r="E230" s="1">
        <v>25678606.579999998</v>
      </c>
      <c r="F230" t="s">
        <v>1280</v>
      </c>
      <c r="I230" s="16">
        <f>-IFERROR(VLOOKUP(C230,SIRCUPA!$A$21:$H$186,8,0),0)</f>
        <v>0</v>
      </c>
      <c r="J230" s="68">
        <f>-IFERROR(VLOOKUP(C230,SIRTAC!$A$16:$H$1405,8,0),0)</f>
        <v>-1259</v>
      </c>
      <c r="K230" s="68">
        <f>-IFERROR(VLOOKUP(C230,Gastos!$A$9:$J$1398,10,0),0)</f>
        <v>-4947.87</v>
      </c>
      <c r="L230" s="68">
        <f>-IFERROR(VLOOKUP(C230,IDC!$A$20:$H$1596,8,0),0)</f>
        <v>-755.4</v>
      </c>
      <c r="M230" s="74">
        <f t="shared" si="4"/>
        <v>125899.99999999999</v>
      </c>
    </row>
    <row r="231" spans="1:13" customFormat="1">
      <c r="A231" t="s">
        <v>40</v>
      </c>
      <c r="B231" t="s">
        <v>11</v>
      </c>
      <c r="C231" s="51">
        <v>136223253361</v>
      </c>
      <c r="D231" s="1">
        <v>39069.43</v>
      </c>
      <c r="E231" s="1">
        <v>25717676.010000002</v>
      </c>
      <c r="F231" t="s">
        <v>1280</v>
      </c>
      <c r="I231" s="16">
        <f>-IFERROR(VLOOKUP(C231,SIRCUPA!$A$21:$H$186,8,0),0)</f>
        <v>0</v>
      </c>
      <c r="J231" s="68">
        <f>-IFERROR(VLOOKUP(C231,SIRTAC!$A$16:$H$1405,8,0),0)</f>
        <v>-401</v>
      </c>
      <c r="K231" s="68">
        <f>-IFERROR(VLOOKUP(C231,Gastos!$A$9:$J$1398,10,0),0)</f>
        <v>-388.97</v>
      </c>
      <c r="L231" s="68">
        <f>-IFERROR(VLOOKUP(C231,IDC!$A$20:$H$1596,8,0),0)</f>
        <v>-240.6</v>
      </c>
      <c r="M231" s="74">
        <f t="shared" si="4"/>
        <v>40100</v>
      </c>
    </row>
    <row r="232" spans="1:13" customFormat="1">
      <c r="A232" t="s">
        <v>40</v>
      </c>
      <c r="B232" t="s">
        <v>44</v>
      </c>
      <c r="C232" s="51">
        <v>136223263413</v>
      </c>
      <c r="D232" s="1">
        <v>1962.89</v>
      </c>
      <c r="E232" s="1">
        <v>25719638.899999999</v>
      </c>
      <c r="F232" t="s">
        <v>1280</v>
      </c>
      <c r="I232" s="16">
        <f>-IFERROR(VLOOKUP(C232,SIRCUPA!$A$21:$H$186,8,0),0)</f>
        <v>-30.08</v>
      </c>
      <c r="J232" s="68">
        <f>-IFERROR(VLOOKUP(C232,SIRTAC!$A$16:$H$1405,8,0),0)</f>
        <v>0</v>
      </c>
      <c r="K232" s="68">
        <f>-IFERROR(VLOOKUP(C232,Gastos!$A$9:$J$1398,10,0),0)</f>
        <v>0</v>
      </c>
      <c r="L232" s="68">
        <f>-IFERROR(VLOOKUP(C232,IDC!$A$20:$H$1596,8,0),0)</f>
        <v>-12.03</v>
      </c>
      <c r="M232" s="74">
        <f t="shared" si="4"/>
        <v>2005</v>
      </c>
    </row>
    <row r="233" spans="1:13" customFormat="1">
      <c r="A233" t="s">
        <v>40</v>
      </c>
      <c r="B233" t="s">
        <v>11</v>
      </c>
      <c r="C233" s="51">
        <v>136223962251</v>
      </c>
      <c r="D233" s="1">
        <v>4676.6400000000003</v>
      </c>
      <c r="E233" s="1">
        <v>25724315.539999999</v>
      </c>
      <c r="F233" t="s">
        <v>1280</v>
      </c>
      <c r="I233" s="16">
        <f>-IFERROR(VLOOKUP(C233,SIRCUPA!$A$21:$H$186,8,0),0)</f>
        <v>0</v>
      </c>
      <c r="J233" s="68">
        <f>-IFERROR(VLOOKUP(C233,SIRTAC!$A$16:$H$1405,8,0),0)</f>
        <v>-48</v>
      </c>
      <c r="K233" s="68">
        <f>-IFERROR(VLOOKUP(C233,Gastos!$A$9:$J$1398,10,0),0)</f>
        <v>-46.56</v>
      </c>
      <c r="L233" s="68">
        <f>-IFERROR(VLOOKUP(C233,IDC!$A$20:$H$1596,8,0),0)</f>
        <v>-28.8</v>
      </c>
      <c r="M233" s="74">
        <f t="shared" si="4"/>
        <v>4800.0000000000009</v>
      </c>
    </row>
    <row r="234" spans="1:13" customFormat="1">
      <c r="A234" t="s">
        <v>40</v>
      </c>
      <c r="B234" t="s">
        <v>45</v>
      </c>
      <c r="C234" s="51">
        <v>136847779382</v>
      </c>
      <c r="D234">
        <v>234.96</v>
      </c>
      <c r="E234" s="1">
        <v>25724550.5</v>
      </c>
      <c r="F234" t="s">
        <v>1280</v>
      </c>
      <c r="I234" s="16">
        <f>-IFERROR(VLOOKUP(C234,SIRCUPA!$A$21:$H$186,8,0),0)</f>
        <v>-3.6</v>
      </c>
      <c r="J234" s="68">
        <f>-IFERROR(VLOOKUP(C234,SIRTAC!$A$16:$H$1405,8,0),0)</f>
        <v>0</v>
      </c>
      <c r="K234" s="68">
        <f>-IFERROR(VLOOKUP(C234,Gastos!$A$9:$J$1398,10,0),0)</f>
        <v>0</v>
      </c>
      <c r="L234" s="68">
        <f>-IFERROR(VLOOKUP(C234,IDC!$A$20:$H$1596,8,0),0)</f>
        <v>-1.44</v>
      </c>
      <c r="M234" s="74">
        <f t="shared" si="4"/>
        <v>240</v>
      </c>
    </row>
    <row r="235" spans="1:13" customFormat="1">
      <c r="A235" t="s">
        <v>40</v>
      </c>
      <c r="B235" t="s">
        <v>11</v>
      </c>
      <c r="C235" s="51">
        <v>136847902518</v>
      </c>
      <c r="D235" s="1">
        <v>34100.5</v>
      </c>
      <c r="E235" s="1">
        <v>25758651</v>
      </c>
      <c r="F235" t="s">
        <v>1280</v>
      </c>
      <c r="I235" s="16">
        <f>-IFERROR(VLOOKUP(C235,SIRCUPA!$A$21:$H$186,8,0),0)</f>
        <v>0</v>
      </c>
      <c r="J235" s="68">
        <f>-IFERROR(VLOOKUP(C235,SIRTAC!$A$16:$H$1405,8,0),0)</f>
        <v>-350</v>
      </c>
      <c r="K235" s="68">
        <f>-IFERROR(VLOOKUP(C235,Gastos!$A$9:$J$1398,10,0),0)</f>
        <v>-339.5</v>
      </c>
      <c r="L235" s="68">
        <f>-IFERROR(VLOOKUP(C235,IDC!$A$20:$H$1596,8,0),0)</f>
        <v>-210</v>
      </c>
      <c r="M235" s="74">
        <f t="shared" si="4"/>
        <v>35000</v>
      </c>
    </row>
    <row r="236" spans="1:13" customFormat="1">
      <c r="A236" t="s">
        <v>40</v>
      </c>
      <c r="B236" t="s">
        <v>11</v>
      </c>
      <c r="C236" s="51">
        <v>136848149164</v>
      </c>
      <c r="D236" s="1">
        <v>7508.8</v>
      </c>
      <c r="E236" s="1">
        <v>25766159.800000001</v>
      </c>
      <c r="F236" t="s">
        <v>1280</v>
      </c>
      <c r="I236" s="16">
        <f>-IFERROR(VLOOKUP(C236,SIRCUPA!$A$21:$H$186,8,0),0)</f>
        <v>0</v>
      </c>
      <c r="J236" s="68">
        <f>-IFERROR(VLOOKUP(C236,SIRTAC!$A$16:$H$1405,8,0),0)</f>
        <v>-80</v>
      </c>
      <c r="K236" s="68">
        <f>-IFERROR(VLOOKUP(C236,Gastos!$A$9:$J$1398,10,0),0)</f>
        <v>-363.2</v>
      </c>
      <c r="L236" s="68">
        <f>-IFERROR(VLOOKUP(C236,IDC!$A$20:$H$1596,8,0),0)</f>
        <v>-48</v>
      </c>
      <c r="M236" s="74">
        <f t="shared" si="4"/>
        <v>8000</v>
      </c>
    </row>
    <row r="237" spans="1:13" customFormat="1">
      <c r="A237" t="s">
        <v>40</v>
      </c>
      <c r="B237" t="s">
        <v>11</v>
      </c>
      <c r="C237" s="51">
        <v>136224880879</v>
      </c>
      <c r="D237" s="1">
        <v>28624.41</v>
      </c>
      <c r="E237" s="1">
        <v>25794784.210000001</v>
      </c>
      <c r="F237" t="s">
        <v>1280</v>
      </c>
      <c r="I237" s="16">
        <f>-IFERROR(VLOOKUP(C237,SIRCUPA!$A$21:$H$186,8,0),0)</f>
        <v>0</v>
      </c>
      <c r="J237" s="68">
        <f>-IFERROR(VLOOKUP(C237,SIRTAC!$A$16:$H$1405,8,0),0)</f>
        <v>-303</v>
      </c>
      <c r="K237" s="68">
        <f>-IFERROR(VLOOKUP(C237,Gastos!$A$9:$J$1398,10,0),0)</f>
        <v>-1190.79</v>
      </c>
      <c r="L237" s="68">
        <f>-IFERROR(VLOOKUP(C237,IDC!$A$20:$H$1596,8,0),0)</f>
        <v>-181.8</v>
      </c>
      <c r="M237" s="74">
        <f t="shared" si="4"/>
        <v>30300</v>
      </c>
    </row>
    <row r="238" spans="1:13" customFormat="1">
      <c r="A238" t="s">
        <v>40</v>
      </c>
      <c r="B238" t="s">
        <v>11</v>
      </c>
      <c r="C238" s="51">
        <v>136224867297</v>
      </c>
      <c r="D238" s="1">
        <v>14829.88</v>
      </c>
      <c r="E238" s="1">
        <v>25809614.09</v>
      </c>
      <c r="F238" t="s">
        <v>1280</v>
      </c>
      <c r="I238" s="16">
        <f>-IFERROR(VLOOKUP(C238,SIRCUPA!$A$21:$H$186,8,0),0)</f>
        <v>0</v>
      </c>
      <c r="J238" s="68">
        <f>-IFERROR(VLOOKUP(C238,SIRTAC!$A$16:$H$1405,8,0),0)</f>
        <v>-158</v>
      </c>
      <c r="K238" s="68">
        <f>-IFERROR(VLOOKUP(C238,Gastos!$A$9:$J$1398,10,0),0)</f>
        <v>-717.32</v>
      </c>
      <c r="L238" s="68">
        <f>-IFERROR(VLOOKUP(C238,IDC!$A$20:$H$1596,8,0),0)</f>
        <v>-94.8</v>
      </c>
      <c r="M238" s="74">
        <f t="shared" si="4"/>
        <v>15799.999999999998</v>
      </c>
    </row>
    <row r="239" spans="1:13" customFormat="1">
      <c r="A239" t="s">
        <v>40</v>
      </c>
      <c r="B239" t="s">
        <v>11</v>
      </c>
      <c r="C239" s="51">
        <v>136849120260</v>
      </c>
      <c r="D239" s="1">
        <v>125100.12</v>
      </c>
      <c r="E239" s="1">
        <v>25934714.210000001</v>
      </c>
      <c r="F239" t="s">
        <v>1280</v>
      </c>
      <c r="I239" s="16">
        <f>-IFERROR(VLOOKUP(C239,SIRCUPA!$A$21:$H$186,8,0),0)</f>
        <v>0</v>
      </c>
      <c r="J239" s="68">
        <f>-IFERROR(VLOOKUP(C239,SIRTAC!$A$16:$H$1405,8,0),0)</f>
        <v>-1284</v>
      </c>
      <c r="K239" s="68">
        <f>-IFERROR(VLOOKUP(C239,Gastos!$A$9:$J$1398,10,0),0)</f>
        <v>-1245.48</v>
      </c>
      <c r="L239" s="68">
        <f>-IFERROR(VLOOKUP(C239,IDC!$A$20:$H$1596,8,0),0)</f>
        <v>-770.4</v>
      </c>
      <c r="M239" s="74">
        <f t="shared" si="4"/>
        <v>128399.99999999999</v>
      </c>
    </row>
    <row r="240" spans="1:13" customFormat="1">
      <c r="A240" t="s">
        <v>40</v>
      </c>
      <c r="B240" t="s">
        <v>11</v>
      </c>
      <c r="C240" s="51">
        <v>136849253616</v>
      </c>
      <c r="D240" s="1">
        <v>26306.1</v>
      </c>
      <c r="E240" s="1">
        <v>25961020.309999999</v>
      </c>
      <c r="F240" t="s">
        <v>1280</v>
      </c>
      <c r="I240" s="16">
        <f>-IFERROR(VLOOKUP(C240,SIRCUPA!$A$21:$H$186,8,0),0)</f>
        <v>0</v>
      </c>
      <c r="J240" s="68">
        <f>-IFERROR(VLOOKUP(C240,SIRTAC!$A$16:$H$1405,8,0),0)</f>
        <v>-270</v>
      </c>
      <c r="K240" s="68">
        <f>-IFERROR(VLOOKUP(C240,Gastos!$A$9:$J$1398,10,0),0)</f>
        <v>-261.89999999999998</v>
      </c>
      <c r="L240" s="68">
        <f>-IFERROR(VLOOKUP(C240,IDC!$A$20:$H$1596,8,0),0)</f>
        <v>-162</v>
      </c>
      <c r="M240" s="74">
        <f t="shared" si="4"/>
        <v>27000</v>
      </c>
    </row>
    <row r="241" spans="1:13" customFormat="1">
      <c r="A241" t="s">
        <v>40</v>
      </c>
      <c r="B241" t="s">
        <v>46</v>
      </c>
      <c r="C241" s="51">
        <v>136849195784</v>
      </c>
      <c r="D241" s="1">
        <v>2643.3</v>
      </c>
      <c r="E241" s="1">
        <v>25963663.609999999</v>
      </c>
      <c r="F241" t="s">
        <v>1280</v>
      </c>
      <c r="I241" s="16">
        <f>-IFERROR(VLOOKUP(C241,SIRCUPA!$A$21:$H$186,8,0),0)</f>
        <v>-40.5</v>
      </c>
      <c r="J241" s="68">
        <f>-IFERROR(VLOOKUP(C241,SIRTAC!$A$16:$H$1405,8,0),0)</f>
        <v>0</v>
      </c>
      <c r="K241" s="68">
        <f>-IFERROR(VLOOKUP(C241,Gastos!$A$9:$J$1398,10,0),0)</f>
        <v>0</v>
      </c>
      <c r="L241" s="68">
        <f>-IFERROR(VLOOKUP(C241,IDC!$A$20:$H$1596,8,0),0)</f>
        <v>-16.2</v>
      </c>
      <c r="M241" s="74">
        <f t="shared" si="4"/>
        <v>2700</v>
      </c>
    </row>
    <row r="242" spans="1:13" customFormat="1">
      <c r="A242" t="s">
        <v>40</v>
      </c>
      <c r="B242" t="s">
        <v>11</v>
      </c>
      <c r="C242" s="51">
        <v>136225228919</v>
      </c>
      <c r="D242" s="1">
        <v>17571.419999999998</v>
      </c>
      <c r="E242" s="1">
        <v>25981235.030000001</v>
      </c>
      <c r="F242" t="s">
        <v>1280</v>
      </c>
      <c r="I242" s="16">
        <f>-IFERROR(VLOOKUP(C242,SIRCUPA!$A$21:$H$186,8,0),0)</f>
        <v>0</v>
      </c>
      <c r="J242" s="68">
        <f>-IFERROR(VLOOKUP(C242,SIRTAC!$A$16:$H$1405,8,0),0)</f>
        <v>-186</v>
      </c>
      <c r="K242" s="68">
        <f>-IFERROR(VLOOKUP(C242,Gastos!$A$9:$J$1398,10,0),0)</f>
        <v>-730.98</v>
      </c>
      <c r="L242" s="68">
        <f>-IFERROR(VLOOKUP(C242,IDC!$A$20:$H$1596,8,0),0)</f>
        <v>-111.6</v>
      </c>
      <c r="M242" s="74">
        <f t="shared" si="4"/>
        <v>18599.999999999996</v>
      </c>
    </row>
    <row r="243" spans="1:13" customFormat="1">
      <c r="A243" t="s">
        <v>40</v>
      </c>
      <c r="B243" t="s">
        <v>11</v>
      </c>
      <c r="C243" s="51">
        <v>136225395513</v>
      </c>
      <c r="D243" s="1">
        <v>53391.64</v>
      </c>
      <c r="E243" s="1">
        <v>26034626.670000002</v>
      </c>
      <c r="F243" t="s">
        <v>1280</v>
      </c>
      <c r="I243" s="16">
        <f>-IFERROR(VLOOKUP(C243,SIRCUPA!$A$21:$H$186,8,0),0)</f>
        <v>0</v>
      </c>
      <c r="J243" s="68">
        <f>-IFERROR(VLOOKUP(C243,SIRTAC!$A$16:$H$1405,8,0),0)</f>
        <v>-548</v>
      </c>
      <c r="K243" s="68">
        <f>-IFERROR(VLOOKUP(C243,Gastos!$A$9:$J$1398,10,0),0)</f>
        <v>-531.55999999999995</v>
      </c>
      <c r="L243" s="68">
        <f>-IFERROR(VLOOKUP(C243,IDC!$A$20:$H$1596,8,0),0)</f>
        <v>-328.8</v>
      </c>
      <c r="M243" s="74">
        <f t="shared" si="4"/>
        <v>54800</v>
      </c>
    </row>
    <row r="244" spans="1:13" customFormat="1">
      <c r="A244" t="s">
        <v>40</v>
      </c>
      <c r="B244" t="s">
        <v>11</v>
      </c>
      <c r="C244" s="51">
        <v>136850043496</v>
      </c>
      <c r="D244" s="1">
        <v>7989.26</v>
      </c>
      <c r="E244" s="1">
        <v>26042615.93</v>
      </c>
      <c r="F244" t="s">
        <v>1280</v>
      </c>
      <c r="I244" s="16">
        <f>-IFERROR(VLOOKUP(C244,SIRCUPA!$A$21:$H$186,8,0),0)</f>
        <v>0</v>
      </c>
      <c r="J244" s="68">
        <f>-IFERROR(VLOOKUP(C244,SIRTAC!$A$16:$H$1405,8,0),0)</f>
        <v>-82</v>
      </c>
      <c r="K244" s="68">
        <f>-IFERROR(VLOOKUP(C244,Gastos!$A$9:$J$1398,10,0),0)</f>
        <v>-79.540000000000006</v>
      </c>
      <c r="L244" s="68">
        <f>-IFERROR(VLOOKUP(C244,IDC!$A$20:$H$1596,8,0),0)</f>
        <v>-49.2</v>
      </c>
      <c r="M244" s="74">
        <f t="shared" si="4"/>
        <v>8200</v>
      </c>
    </row>
    <row r="245" spans="1:13" customFormat="1">
      <c r="A245" t="s">
        <v>40</v>
      </c>
      <c r="B245" t="s">
        <v>11</v>
      </c>
      <c r="C245" s="51">
        <v>136225810367</v>
      </c>
      <c r="D245" s="1">
        <v>13250.48</v>
      </c>
      <c r="E245" s="1">
        <v>26055866.41</v>
      </c>
      <c r="F245" t="s">
        <v>1280</v>
      </c>
      <c r="I245" s="16">
        <f>-IFERROR(VLOOKUP(C245,SIRCUPA!$A$21:$H$186,8,0),0)</f>
        <v>0</v>
      </c>
      <c r="J245" s="68">
        <f>-IFERROR(VLOOKUP(C245,SIRTAC!$A$16:$H$1405,8,0),0)</f>
        <v>-136</v>
      </c>
      <c r="K245" s="68">
        <f>-IFERROR(VLOOKUP(C245,Gastos!$A$9:$J$1398,10,0),0)</f>
        <v>-131.91999999999999</v>
      </c>
      <c r="L245" s="68">
        <f>-IFERROR(VLOOKUP(C245,IDC!$A$20:$H$1596,8,0),0)</f>
        <v>-81.599999999999994</v>
      </c>
      <c r="M245" s="74">
        <f t="shared" si="4"/>
        <v>13600</v>
      </c>
    </row>
    <row r="246" spans="1:13" customFormat="1">
      <c r="A246" t="s">
        <v>40</v>
      </c>
      <c r="B246" t="s">
        <v>11</v>
      </c>
      <c r="C246" s="51">
        <v>136226252295</v>
      </c>
      <c r="D246" s="1">
        <v>38874.57</v>
      </c>
      <c r="E246" s="1">
        <v>26094740.98</v>
      </c>
      <c r="F246" t="s">
        <v>1280</v>
      </c>
      <c r="I246" s="16">
        <f>-IFERROR(VLOOKUP(C246,SIRCUPA!$A$21:$H$186,8,0),0)</f>
        <v>0</v>
      </c>
      <c r="J246" s="68">
        <f>-IFERROR(VLOOKUP(C246,SIRTAC!$A$16:$H$1405,8,0),0)</f>
        <v>-399</v>
      </c>
      <c r="K246" s="68">
        <f>-IFERROR(VLOOKUP(C246,Gastos!$A$9:$J$1398,10,0),0)</f>
        <v>-387.03</v>
      </c>
      <c r="L246" s="68">
        <f>-IFERROR(VLOOKUP(C246,IDC!$A$20:$H$1596,8,0),0)</f>
        <v>-239.4</v>
      </c>
      <c r="M246" s="74">
        <f t="shared" si="4"/>
        <v>39900</v>
      </c>
    </row>
    <row r="247" spans="1:13" customFormat="1">
      <c r="A247" t="s">
        <v>40</v>
      </c>
      <c r="B247" t="s">
        <v>47</v>
      </c>
      <c r="C247" s="51">
        <v>136850580072</v>
      </c>
      <c r="D247" s="1">
        <v>1953.1</v>
      </c>
      <c r="E247" s="1">
        <v>26096694.079999998</v>
      </c>
      <c r="F247" t="s">
        <v>1280</v>
      </c>
      <c r="I247" s="16">
        <f>-IFERROR(VLOOKUP(C247,SIRCUPA!$A$21:$H$186,8,0),0)</f>
        <v>-29.93</v>
      </c>
      <c r="J247" s="68">
        <f>-IFERROR(VLOOKUP(C247,SIRTAC!$A$16:$H$1405,8,0),0)</f>
        <v>0</v>
      </c>
      <c r="K247" s="68">
        <f>-IFERROR(VLOOKUP(C247,Gastos!$A$9:$J$1398,10,0),0)</f>
        <v>0</v>
      </c>
      <c r="L247" s="68">
        <f>-IFERROR(VLOOKUP(C247,IDC!$A$20:$H$1596,8,0),0)</f>
        <v>-11.97</v>
      </c>
      <c r="M247" s="74">
        <f t="shared" ref="M247:M310" si="5">+D247-I247-J247-K247-L247</f>
        <v>1995</v>
      </c>
    </row>
    <row r="248" spans="1:13" customFormat="1">
      <c r="A248" t="s">
        <v>40</v>
      </c>
      <c r="B248" t="s">
        <v>11</v>
      </c>
      <c r="C248" s="51">
        <v>136851154852</v>
      </c>
      <c r="D248" s="1">
        <v>14980.35</v>
      </c>
      <c r="E248" s="1">
        <v>26111674.43</v>
      </c>
      <c r="F248" t="s">
        <v>1280</v>
      </c>
      <c r="I248" s="16">
        <f>-IFERROR(VLOOKUP(C248,SIRCUPA!$A$21:$H$186,8,0),0)</f>
        <v>0</v>
      </c>
      <c r="J248" s="68">
        <f>-IFERROR(VLOOKUP(C248,SIRTAC!$A$16:$H$1405,8,0),0)</f>
        <v>-165</v>
      </c>
      <c r="K248" s="68">
        <f>-IFERROR(VLOOKUP(C248,Gastos!$A$9:$J$1398,10,0),0)</f>
        <v>-1255.6500000000001</v>
      </c>
      <c r="L248" s="68">
        <f>-IFERROR(VLOOKUP(C248,IDC!$A$20:$H$1596,8,0),0)</f>
        <v>-99</v>
      </c>
      <c r="M248" s="74">
        <f t="shared" si="5"/>
        <v>16500</v>
      </c>
    </row>
    <row r="249" spans="1:13" customFormat="1">
      <c r="A249" t="s">
        <v>40</v>
      </c>
      <c r="B249" t="s">
        <v>11</v>
      </c>
      <c r="C249" s="51">
        <v>136851820766</v>
      </c>
      <c r="D249" s="1">
        <v>10717.3</v>
      </c>
      <c r="E249" s="1">
        <v>26122391.73</v>
      </c>
      <c r="F249" t="s">
        <v>1280</v>
      </c>
      <c r="I249" s="16">
        <f>-IFERROR(VLOOKUP(C249,SIRCUPA!$A$21:$H$186,8,0),0)</f>
        <v>0</v>
      </c>
      <c r="J249" s="68">
        <f>-IFERROR(VLOOKUP(C249,SIRTAC!$A$16:$H$1405,8,0),0)</f>
        <v>-110</v>
      </c>
      <c r="K249" s="68">
        <f>-IFERROR(VLOOKUP(C249,Gastos!$A$9:$J$1398,10,0),0)</f>
        <v>-106.7</v>
      </c>
      <c r="L249" s="68">
        <f>-IFERROR(VLOOKUP(C249,IDC!$A$20:$H$1596,8,0),0)</f>
        <v>-66</v>
      </c>
      <c r="M249" s="74">
        <f t="shared" si="5"/>
        <v>11000</v>
      </c>
    </row>
    <row r="250" spans="1:13" customFormat="1">
      <c r="A250" t="s">
        <v>40</v>
      </c>
      <c r="B250" t="s">
        <v>11</v>
      </c>
      <c r="C250" s="51">
        <v>136228392459</v>
      </c>
      <c r="D250" s="1">
        <v>9069.1200000000008</v>
      </c>
      <c r="E250" s="1">
        <v>26131460.850000001</v>
      </c>
      <c r="F250" t="s">
        <v>1280</v>
      </c>
      <c r="I250" s="16">
        <f>-IFERROR(VLOOKUP(C250,SIRCUPA!$A$21:$H$186,8,0),0)</f>
        <v>0</v>
      </c>
      <c r="J250" s="68">
        <f>-IFERROR(VLOOKUP(C250,SIRTAC!$A$16:$H$1405,8,0),0)</f>
        <v>-96</v>
      </c>
      <c r="K250" s="68">
        <f>-IFERROR(VLOOKUP(C250,Gastos!$A$9:$J$1398,10,0),0)</f>
        <v>-377.28</v>
      </c>
      <c r="L250" s="68">
        <f>-IFERROR(VLOOKUP(C250,IDC!$A$20:$H$1596,8,0),0)</f>
        <v>-57.6</v>
      </c>
      <c r="M250" s="74">
        <f t="shared" si="5"/>
        <v>9600.0000000000018</v>
      </c>
    </row>
    <row r="251" spans="1:13" customFormat="1">
      <c r="A251" t="s">
        <v>40</v>
      </c>
      <c r="B251" t="s">
        <v>11</v>
      </c>
      <c r="C251" s="51">
        <v>136852498300</v>
      </c>
      <c r="D251" s="1">
        <v>49591.87</v>
      </c>
      <c r="E251" s="1">
        <v>26181052.719999999</v>
      </c>
      <c r="F251" t="s">
        <v>1280</v>
      </c>
      <c r="I251" s="16">
        <f>-IFERROR(VLOOKUP(C251,SIRCUPA!$A$21:$H$186,8,0),0)</f>
        <v>0</v>
      </c>
      <c r="J251" s="68">
        <f>-IFERROR(VLOOKUP(C251,SIRTAC!$A$16:$H$1405,8,0),0)</f>
        <v>-509</v>
      </c>
      <c r="K251" s="68">
        <f>-IFERROR(VLOOKUP(C251,Gastos!$A$9:$J$1398,10,0),0)</f>
        <v>-493.73</v>
      </c>
      <c r="L251" s="68">
        <f>-IFERROR(VLOOKUP(C251,IDC!$A$20:$H$1596,8,0),0)</f>
        <v>-305.39999999999998</v>
      </c>
      <c r="M251" s="74">
        <f t="shared" si="5"/>
        <v>50900.000000000007</v>
      </c>
    </row>
    <row r="252" spans="1:13" customFormat="1">
      <c r="A252" t="s">
        <v>40</v>
      </c>
      <c r="B252" t="s">
        <v>11</v>
      </c>
      <c r="C252" s="51">
        <v>136852538278</v>
      </c>
      <c r="D252" s="1">
        <v>38972</v>
      </c>
      <c r="E252" s="1">
        <v>26220024.719999999</v>
      </c>
      <c r="F252" t="s">
        <v>1280</v>
      </c>
      <c r="I252" s="16">
        <f>-IFERROR(VLOOKUP(C252,SIRCUPA!$A$21:$H$186,8,0),0)</f>
        <v>0</v>
      </c>
      <c r="J252" s="68">
        <f>-IFERROR(VLOOKUP(C252,SIRTAC!$A$16:$H$1405,8,0),0)</f>
        <v>-400</v>
      </c>
      <c r="K252" s="68">
        <f>-IFERROR(VLOOKUP(C252,Gastos!$A$9:$J$1398,10,0),0)</f>
        <v>-388</v>
      </c>
      <c r="L252" s="68">
        <f>-IFERROR(VLOOKUP(C252,IDC!$A$20:$H$1596,8,0),0)</f>
        <v>-240</v>
      </c>
      <c r="M252" s="74">
        <f t="shared" si="5"/>
        <v>40000</v>
      </c>
    </row>
    <row r="253" spans="1:13" customFormat="1">
      <c r="A253" t="s">
        <v>40</v>
      </c>
      <c r="B253" t="s">
        <v>11</v>
      </c>
      <c r="C253" s="51">
        <v>136852576368</v>
      </c>
      <c r="D253" s="1">
        <v>22896.05</v>
      </c>
      <c r="E253" s="1">
        <v>26242920.77</v>
      </c>
      <c r="F253" t="s">
        <v>1280</v>
      </c>
      <c r="I253" s="16">
        <f>-IFERROR(VLOOKUP(C253,SIRCUPA!$A$21:$H$186,8,0),0)</f>
        <v>0</v>
      </c>
      <c r="J253" s="68">
        <f>-IFERROR(VLOOKUP(C253,SIRTAC!$A$16:$H$1405,8,0),0)</f>
        <v>-235</v>
      </c>
      <c r="K253" s="68">
        <f>-IFERROR(VLOOKUP(C253,Gastos!$A$9:$J$1398,10,0),0)</f>
        <v>-227.95</v>
      </c>
      <c r="L253" s="68">
        <f>-IFERROR(VLOOKUP(C253,IDC!$A$20:$H$1596,8,0),0)</f>
        <v>-141</v>
      </c>
      <c r="M253" s="74">
        <f t="shared" si="5"/>
        <v>23500</v>
      </c>
    </row>
    <row r="254" spans="1:13" customFormat="1">
      <c r="A254" t="s">
        <v>40</v>
      </c>
      <c r="B254" t="s">
        <v>48</v>
      </c>
      <c r="C254" s="51">
        <v>136852399824</v>
      </c>
      <c r="D254" s="1">
        <v>1150.32</v>
      </c>
      <c r="E254" s="1">
        <v>26244071.09</v>
      </c>
      <c r="F254" t="s">
        <v>1280</v>
      </c>
      <c r="I254" s="16">
        <f>-IFERROR(VLOOKUP(C254,SIRCUPA!$A$21:$H$186,8,0),0)</f>
        <v>-17.63</v>
      </c>
      <c r="J254" s="68">
        <f>-IFERROR(VLOOKUP(C254,SIRTAC!$A$16:$H$1405,8,0),0)</f>
        <v>0</v>
      </c>
      <c r="K254" s="68">
        <f>-IFERROR(VLOOKUP(C254,Gastos!$A$9:$J$1398,10,0),0)</f>
        <v>0</v>
      </c>
      <c r="L254" s="68">
        <f>-IFERROR(VLOOKUP(C254,IDC!$A$20:$H$1596,8,0),0)</f>
        <v>-7.05</v>
      </c>
      <c r="M254" s="74">
        <f t="shared" si="5"/>
        <v>1175</v>
      </c>
    </row>
    <row r="255" spans="1:13" customFormat="1">
      <c r="A255" t="s">
        <v>40</v>
      </c>
      <c r="B255" t="s">
        <v>11</v>
      </c>
      <c r="C255" s="51">
        <v>136228863049</v>
      </c>
      <c r="D255" s="1">
        <v>22798.62</v>
      </c>
      <c r="E255" s="1">
        <v>26266869.710000001</v>
      </c>
      <c r="F255" t="s">
        <v>1280</v>
      </c>
      <c r="I255" s="16">
        <f>-IFERROR(VLOOKUP(C255,SIRCUPA!$A$21:$H$186,8,0),0)</f>
        <v>0</v>
      </c>
      <c r="J255" s="68">
        <f>-IFERROR(VLOOKUP(C255,SIRTAC!$A$16:$H$1405,8,0),0)</f>
        <v>-234</v>
      </c>
      <c r="K255" s="68">
        <f>-IFERROR(VLOOKUP(C255,Gastos!$A$9:$J$1398,10,0),0)</f>
        <v>-226.98</v>
      </c>
      <c r="L255" s="68">
        <f>-IFERROR(VLOOKUP(C255,IDC!$A$20:$H$1596,8,0),0)</f>
        <v>-140.4</v>
      </c>
      <c r="M255" s="74">
        <f t="shared" si="5"/>
        <v>23400</v>
      </c>
    </row>
    <row r="256" spans="1:13" customFormat="1">
      <c r="A256" t="s">
        <v>40</v>
      </c>
      <c r="B256" t="s">
        <v>11</v>
      </c>
      <c r="C256" s="51">
        <v>136853004650</v>
      </c>
      <c r="D256" s="1">
        <v>12092.16</v>
      </c>
      <c r="E256" s="1">
        <v>26278961.870000001</v>
      </c>
      <c r="F256" t="s">
        <v>1280</v>
      </c>
      <c r="I256" s="16">
        <f>-IFERROR(VLOOKUP(C256,SIRCUPA!$A$21:$H$186,8,0),0)</f>
        <v>0</v>
      </c>
      <c r="J256" s="68">
        <f>-IFERROR(VLOOKUP(C256,SIRTAC!$A$16:$H$1405,8,0),0)</f>
        <v>-128</v>
      </c>
      <c r="K256" s="68">
        <f>-IFERROR(VLOOKUP(C256,Gastos!$A$9:$J$1398,10,0),0)</f>
        <v>-503.04</v>
      </c>
      <c r="L256" s="68">
        <f>-IFERROR(VLOOKUP(C256,IDC!$A$20:$H$1596,8,0),0)</f>
        <v>-76.8</v>
      </c>
      <c r="M256" s="74">
        <f t="shared" si="5"/>
        <v>12800</v>
      </c>
    </row>
    <row r="257" spans="1:13" customFormat="1">
      <c r="A257" t="s">
        <v>40</v>
      </c>
      <c r="B257" t="s">
        <v>11</v>
      </c>
      <c r="C257" s="51">
        <v>136229026095</v>
      </c>
      <c r="D257" s="1">
        <v>10717.3</v>
      </c>
      <c r="E257" s="1">
        <v>26289679.170000002</v>
      </c>
      <c r="F257" t="s">
        <v>1280</v>
      </c>
      <c r="I257" s="16">
        <f>-IFERROR(VLOOKUP(C257,SIRCUPA!$A$21:$H$186,8,0),0)</f>
        <v>0</v>
      </c>
      <c r="J257" s="68">
        <f>-IFERROR(VLOOKUP(C257,SIRTAC!$A$16:$H$1405,8,0),0)</f>
        <v>-110</v>
      </c>
      <c r="K257" s="68">
        <f>-IFERROR(VLOOKUP(C257,Gastos!$A$9:$J$1398,10,0),0)</f>
        <v>-106.7</v>
      </c>
      <c r="L257" s="68">
        <f>-IFERROR(VLOOKUP(C257,IDC!$A$20:$H$1596,8,0),0)</f>
        <v>-66</v>
      </c>
      <c r="M257" s="74">
        <f t="shared" si="5"/>
        <v>11000</v>
      </c>
    </row>
    <row r="258" spans="1:13" customFormat="1">
      <c r="A258" t="s">
        <v>40</v>
      </c>
      <c r="B258" t="s">
        <v>11</v>
      </c>
      <c r="C258" s="51">
        <v>136853257216</v>
      </c>
      <c r="D258" s="1">
        <v>9069.1200000000008</v>
      </c>
      <c r="E258" s="1">
        <v>26298748.289999999</v>
      </c>
      <c r="F258" t="s">
        <v>1280</v>
      </c>
      <c r="I258" s="16">
        <f>-IFERROR(VLOOKUP(C258,SIRCUPA!$A$21:$H$186,8,0),0)</f>
        <v>0</v>
      </c>
      <c r="J258" s="68">
        <f>-IFERROR(VLOOKUP(C258,SIRTAC!$A$16:$H$1405,8,0),0)</f>
        <v>-96</v>
      </c>
      <c r="K258" s="68">
        <f>-IFERROR(VLOOKUP(C258,Gastos!$A$9:$J$1398,10,0),0)</f>
        <v>-377.28</v>
      </c>
      <c r="L258" s="68">
        <f>-IFERROR(VLOOKUP(C258,IDC!$A$20:$H$1596,8,0),0)</f>
        <v>-57.6</v>
      </c>
      <c r="M258" s="74">
        <f t="shared" si="5"/>
        <v>9600.0000000000018</v>
      </c>
    </row>
    <row r="259" spans="1:13" customFormat="1">
      <c r="A259" t="s">
        <v>40</v>
      </c>
      <c r="B259" t="s">
        <v>11</v>
      </c>
      <c r="C259" s="51">
        <v>136853330906</v>
      </c>
      <c r="D259" s="1">
        <v>21880.39</v>
      </c>
      <c r="E259" s="1">
        <v>26320628.68</v>
      </c>
      <c r="F259" t="s">
        <v>1280</v>
      </c>
      <c r="I259" s="16">
        <f>-IFERROR(VLOOKUP(C259,SIRCUPA!$A$21:$H$186,8,0),0)</f>
        <v>0</v>
      </c>
      <c r="J259" s="68">
        <f>-IFERROR(VLOOKUP(C259,SIRTAC!$A$16:$H$1405,8,0),0)</f>
        <v>-241</v>
      </c>
      <c r="K259" s="68">
        <f>-IFERROR(VLOOKUP(C259,Gastos!$A$9:$J$1398,10,0),0)</f>
        <v>-1834.01</v>
      </c>
      <c r="L259" s="68">
        <f>-IFERROR(VLOOKUP(C259,IDC!$A$20:$H$1596,8,0),0)</f>
        <v>-144.6</v>
      </c>
      <c r="M259" s="74">
        <f t="shared" si="5"/>
        <v>24099.999999999996</v>
      </c>
    </row>
    <row r="260" spans="1:13" customFormat="1">
      <c r="A260" t="s">
        <v>40</v>
      </c>
      <c r="B260" t="s">
        <v>11</v>
      </c>
      <c r="C260" s="51">
        <v>136853412720</v>
      </c>
      <c r="D260" s="1">
        <v>8671.27</v>
      </c>
      <c r="E260" s="1">
        <v>26329299.949999999</v>
      </c>
      <c r="F260" t="s">
        <v>1280</v>
      </c>
      <c r="I260" s="16">
        <f>-IFERROR(VLOOKUP(C260,SIRCUPA!$A$21:$H$186,8,0),0)</f>
        <v>0</v>
      </c>
      <c r="J260" s="68">
        <f>-IFERROR(VLOOKUP(C260,SIRTAC!$A$16:$H$1405,8,0),0)</f>
        <v>-89</v>
      </c>
      <c r="K260" s="68">
        <f>-IFERROR(VLOOKUP(C260,Gastos!$A$9:$J$1398,10,0),0)</f>
        <v>-86.33</v>
      </c>
      <c r="L260" s="68">
        <f>-IFERROR(VLOOKUP(C260,IDC!$A$20:$H$1596,8,0),0)</f>
        <v>-53.4</v>
      </c>
      <c r="M260" s="74">
        <f t="shared" si="5"/>
        <v>8900</v>
      </c>
    </row>
    <row r="261" spans="1:13" customFormat="1">
      <c r="A261" t="s">
        <v>40</v>
      </c>
      <c r="B261" t="s">
        <v>11</v>
      </c>
      <c r="C261" s="51">
        <v>136853256074</v>
      </c>
      <c r="D261" s="1">
        <v>4481.78</v>
      </c>
      <c r="E261" s="1">
        <v>26333781.73</v>
      </c>
      <c r="F261" t="s">
        <v>1280</v>
      </c>
      <c r="I261" s="16">
        <f>-IFERROR(VLOOKUP(C261,SIRCUPA!$A$21:$H$186,8,0),0)</f>
        <v>0</v>
      </c>
      <c r="J261" s="68">
        <f>-IFERROR(VLOOKUP(C261,SIRTAC!$A$16:$H$1405,8,0),0)</f>
        <v>-46</v>
      </c>
      <c r="K261" s="68">
        <f>-IFERROR(VLOOKUP(C261,Gastos!$A$9:$J$1398,10,0),0)</f>
        <v>-44.62</v>
      </c>
      <c r="L261" s="68">
        <f>-IFERROR(VLOOKUP(C261,IDC!$A$20:$H$1596,8,0),0)</f>
        <v>-27.6</v>
      </c>
      <c r="M261" s="74">
        <f t="shared" si="5"/>
        <v>4600</v>
      </c>
    </row>
    <row r="262" spans="1:13" customFormat="1">
      <c r="A262" t="s">
        <v>40</v>
      </c>
      <c r="B262" t="s">
        <v>11</v>
      </c>
      <c r="C262" s="51">
        <v>136853572472</v>
      </c>
      <c r="D262" s="1">
        <v>23188.34</v>
      </c>
      <c r="E262" s="1">
        <v>26356970.07</v>
      </c>
      <c r="F262" t="s">
        <v>1280</v>
      </c>
      <c r="I262" s="16">
        <f>-IFERROR(VLOOKUP(C262,SIRCUPA!$A$21:$H$186,8,0),0)</f>
        <v>0</v>
      </c>
      <c r="J262" s="68">
        <f>-IFERROR(VLOOKUP(C262,SIRTAC!$A$16:$H$1405,8,0),0)</f>
        <v>-238</v>
      </c>
      <c r="K262" s="68">
        <f>-IFERROR(VLOOKUP(C262,Gastos!$A$9:$J$1398,10,0),0)</f>
        <v>-230.86</v>
      </c>
      <c r="L262" s="68">
        <f>-IFERROR(VLOOKUP(C262,IDC!$A$20:$H$1596,8,0),0)</f>
        <v>-142.80000000000001</v>
      </c>
      <c r="M262" s="74">
        <f t="shared" si="5"/>
        <v>23800</v>
      </c>
    </row>
    <row r="263" spans="1:13" customFormat="1">
      <c r="A263" t="s">
        <v>40</v>
      </c>
      <c r="B263" t="s">
        <v>11</v>
      </c>
      <c r="C263" s="51">
        <v>136229366917</v>
      </c>
      <c r="D263" s="1">
        <v>18327.18</v>
      </c>
      <c r="E263" s="1">
        <v>26375297.25</v>
      </c>
      <c r="F263" t="s">
        <v>1280</v>
      </c>
      <c r="I263" s="16">
        <f>-IFERROR(VLOOKUP(C263,SIRCUPA!$A$21:$H$186,8,0),0)</f>
        <v>0</v>
      </c>
      <c r="J263" s="68">
        <f>-IFERROR(VLOOKUP(C263,SIRTAC!$A$16:$H$1405,8,0),0)</f>
        <v>-194</v>
      </c>
      <c r="K263" s="68">
        <f>-IFERROR(VLOOKUP(C263,Gastos!$A$9:$J$1398,10,0),0)</f>
        <v>-762.42</v>
      </c>
      <c r="L263" s="68">
        <f>-IFERROR(VLOOKUP(C263,IDC!$A$20:$H$1596,8,0),0)</f>
        <v>-116.4</v>
      </c>
      <c r="M263" s="74">
        <f t="shared" si="5"/>
        <v>19400</v>
      </c>
    </row>
    <row r="264" spans="1:13" customFormat="1">
      <c r="A264" t="s">
        <v>40</v>
      </c>
      <c r="B264" t="s">
        <v>11</v>
      </c>
      <c r="C264" s="51">
        <v>136307742213</v>
      </c>
      <c r="D264" s="1">
        <v>13835.06</v>
      </c>
      <c r="E264" s="1">
        <v>26389132.309999999</v>
      </c>
      <c r="F264" t="s">
        <v>1280</v>
      </c>
      <c r="I264" s="16">
        <f>-IFERROR(VLOOKUP(C264,SIRCUPA!$A$21:$H$186,8,0),0)</f>
        <v>0</v>
      </c>
      <c r="J264" s="68">
        <f>-IFERROR(VLOOKUP(C264,SIRTAC!$A$16:$H$1405,8,0),0)</f>
        <v>-142</v>
      </c>
      <c r="K264" s="68">
        <f>-IFERROR(VLOOKUP(C264,Gastos!$A$9:$J$1398,10,0),0)</f>
        <v>-137.74</v>
      </c>
      <c r="L264" s="68">
        <f>-IFERROR(VLOOKUP(C264,IDC!$A$20:$H$1596,8,0),0)</f>
        <v>-85.2</v>
      </c>
      <c r="M264" s="74">
        <f t="shared" si="5"/>
        <v>14200</v>
      </c>
    </row>
    <row r="265" spans="1:13" customFormat="1">
      <c r="A265" t="s">
        <v>40</v>
      </c>
      <c r="B265" t="s">
        <v>11</v>
      </c>
      <c r="C265" s="51">
        <v>136932804102</v>
      </c>
      <c r="D265" s="1">
        <v>19096.28</v>
      </c>
      <c r="E265" s="1">
        <v>26408228.59</v>
      </c>
      <c r="F265" t="s">
        <v>1280</v>
      </c>
      <c r="I265" s="16">
        <f>-IFERROR(VLOOKUP(C265,SIRCUPA!$A$21:$H$186,8,0),0)</f>
        <v>0</v>
      </c>
      <c r="J265" s="68">
        <f>-IFERROR(VLOOKUP(C265,SIRTAC!$A$16:$H$1405,8,0),0)</f>
        <v>-196</v>
      </c>
      <c r="K265" s="68">
        <f>-IFERROR(VLOOKUP(C265,Gastos!$A$9:$J$1398,10,0),0)</f>
        <v>-190.12</v>
      </c>
      <c r="L265" s="68">
        <f>-IFERROR(VLOOKUP(C265,IDC!$A$20:$H$1596,8,0),0)</f>
        <v>-117.6</v>
      </c>
      <c r="M265" s="74">
        <f t="shared" si="5"/>
        <v>19599.999999999996</v>
      </c>
    </row>
    <row r="266" spans="1:13" customFormat="1">
      <c r="A266" t="s">
        <v>40</v>
      </c>
      <c r="B266" t="s">
        <v>11</v>
      </c>
      <c r="C266" s="51">
        <v>136308302633</v>
      </c>
      <c r="D266" s="1">
        <v>14127.35</v>
      </c>
      <c r="E266" s="1">
        <v>26422355.940000001</v>
      </c>
      <c r="F266" t="s">
        <v>1280</v>
      </c>
      <c r="I266" s="16">
        <f>-IFERROR(VLOOKUP(C266,SIRCUPA!$A$21:$H$186,8,0),0)</f>
        <v>0</v>
      </c>
      <c r="J266" s="68">
        <f>-IFERROR(VLOOKUP(C266,SIRTAC!$A$16:$H$1405,8,0),0)</f>
        <v>-145</v>
      </c>
      <c r="K266" s="68">
        <f>-IFERROR(VLOOKUP(C266,Gastos!$A$9:$J$1398,10,0),0)</f>
        <v>-140.65</v>
      </c>
      <c r="L266" s="68">
        <f>-IFERROR(VLOOKUP(C266,IDC!$A$20:$H$1596,8,0),0)</f>
        <v>-87</v>
      </c>
      <c r="M266" s="74">
        <f t="shared" si="5"/>
        <v>14500</v>
      </c>
    </row>
    <row r="267" spans="1:13" customFormat="1">
      <c r="A267" t="s">
        <v>40</v>
      </c>
      <c r="B267" t="s">
        <v>49</v>
      </c>
      <c r="C267" s="51">
        <v>136308330289</v>
      </c>
      <c r="D267">
        <v>709.77</v>
      </c>
      <c r="E267" s="1">
        <v>26423065.710000001</v>
      </c>
      <c r="F267" t="s">
        <v>1280</v>
      </c>
      <c r="I267" s="16">
        <f>-IFERROR(VLOOKUP(C267,SIRCUPA!$A$21:$H$186,8,0),0)</f>
        <v>-10.88</v>
      </c>
      <c r="J267" s="68">
        <f>-IFERROR(VLOOKUP(C267,SIRTAC!$A$16:$H$1405,8,0),0)</f>
        <v>0</v>
      </c>
      <c r="K267" s="68">
        <f>-IFERROR(VLOOKUP(C267,Gastos!$A$9:$J$1398,10,0),0)</f>
        <v>0</v>
      </c>
      <c r="L267" s="68">
        <f>-IFERROR(VLOOKUP(C267,IDC!$A$20:$H$1596,8,0),0)</f>
        <v>-4.3499999999999996</v>
      </c>
      <c r="M267" s="74">
        <f t="shared" si="5"/>
        <v>725</v>
      </c>
    </row>
    <row r="268" spans="1:13" customFormat="1">
      <c r="A268" t="s">
        <v>40</v>
      </c>
      <c r="B268" t="s">
        <v>11</v>
      </c>
      <c r="C268" s="51">
        <v>136310829977</v>
      </c>
      <c r="D268" s="1">
        <v>11301.88</v>
      </c>
      <c r="E268" s="1">
        <v>26434367.59</v>
      </c>
      <c r="F268" t="s">
        <v>1280</v>
      </c>
      <c r="I268" s="16">
        <f>-IFERROR(VLOOKUP(C268,SIRCUPA!$A$21:$H$186,8,0),0)</f>
        <v>0</v>
      </c>
      <c r="J268" s="68">
        <f>-IFERROR(VLOOKUP(C268,SIRTAC!$A$16:$H$1405,8,0),0)</f>
        <v>-116</v>
      </c>
      <c r="K268" s="68">
        <f>-IFERROR(VLOOKUP(C268,Gastos!$A$9:$J$1398,10,0),0)</f>
        <v>-112.52</v>
      </c>
      <c r="L268" s="68">
        <f>-IFERROR(VLOOKUP(C268,IDC!$A$20:$H$1596,8,0),0)</f>
        <v>-69.599999999999994</v>
      </c>
      <c r="M268" s="74">
        <f t="shared" si="5"/>
        <v>11600</v>
      </c>
    </row>
    <row r="269" spans="1:13" customFormat="1">
      <c r="A269" t="s">
        <v>40</v>
      </c>
      <c r="B269" t="s">
        <v>11</v>
      </c>
      <c r="C269" s="51">
        <v>136311573047</v>
      </c>
      <c r="D269" s="1">
        <v>28352.13</v>
      </c>
      <c r="E269" s="1">
        <v>26462719.719999999</v>
      </c>
      <c r="F269" t="s">
        <v>1280</v>
      </c>
      <c r="I269" s="16">
        <f>-IFERROR(VLOOKUP(C269,SIRCUPA!$A$21:$H$186,8,0),0)</f>
        <v>0</v>
      </c>
      <c r="J269" s="68">
        <f>-IFERROR(VLOOKUP(C269,SIRTAC!$A$16:$H$1405,8,0),0)</f>
        <v>-291</v>
      </c>
      <c r="K269" s="68">
        <f>-IFERROR(VLOOKUP(C269,Gastos!$A$9:$J$1398,10,0),0)</f>
        <v>-282.27</v>
      </c>
      <c r="L269" s="68">
        <f>-IFERROR(VLOOKUP(C269,IDC!$A$20:$H$1596,8,0),0)</f>
        <v>-174.6</v>
      </c>
      <c r="M269" s="74">
        <f t="shared" si="5"/>
        <v>29100</v>
      </c>
    </row>
    <row r="270" spans="1:13" customFormat="1">
      <c r="A270" t="s">
        <v>40</v>
      </c>
      <c r="B270" t="s">
        <v>50</v>
      </c>
      <c r="C270" s="51">
        <v>136936109502</v>
      </c>
      <c r="D270" s="1">
        <v>1424.44</v>
      </c>
      <c r="E270" s="1">
        <v>26464144.16</v>
      </c>
      <c r="F270" t="s">
        <v>1280</v>
      </c>
      <c r="I270" s="16">
        <f>-IFERROR(VLOOKUP(C270,SIRCUPA!$A$21:$H$186,8,0),0)</f>
        <v>-21.83</v>
      </c>
      <c r="J270" s="68">
        <f>-IFERROR(VLOOKUP(C270,SIRTAC!$A$16:$H$1405,8,0),0)</f>
        <v>0</v>
      </c>
      <c r="K270" s="68">
        <f>-IFERROR(VLOOKUP(C270,Gastos!$A$9:$J$1398,10,0),0)</f>
        <v>0</v>
      </c>
      <c r="L270" s="68">
        <f>-IFERROR(VLOOKUP(C270,IDC!$A$20:$H$1596,8,0),0)</f>
        <v>-8.73</v>
      </c>
      <c r="M270" s="74">
        <f t="shared" si="5"/>
        <v>1455</v>
      </c>
    </row>
    <row r="271" spans="1:13" customFormat="1">
      <c r="A271" t="s">
        <v>40</v>
      </c>
      <c r="B271" t="s">
        <v>11</v>
      </c>
      <c r="C271" s="51">
        <v>136936831094</v>
      </c>
      <c r="D271" s="1">
        <v>9548.14</v>
      </c>
      <c r="E271" s="1">
        <v>26473692.300000001</v>
      </c>
      <c r="F271" t="s">
        <v>1280</v>
      </c>
      <c r="I271" s="16">
        <f>-IFERROR(VLOOKUP(C271,SIRCUPA!$A$21:$H$186,8,0),0)</f>
        <v>0</v>
      </c>
      <c r="J271" s="68">
        <f>-IFERROR(VLOOKUP(C271,SIRTAC!$A$16:$H$1405,8,0),0)</f>
        <v>-98</v>
      </c>
      <c r="K271" s="68">
        <f>-IFERROR(VLOOKUP(C271,Gastos!$A$9:$J$1398,10,0),0)</f>
        <v>-95.06</v>
      </c>
      <c r="L271" s="68">
        <f>-IFERROR(VLOOKUP(C271,IDC!$A$20:$H$1596,8,0),0)</f>
        <v>-58.8</v>
      </c>
      <c r="M271" s="74">
        <f t="shared" si="5"/>
        <v>9799.9999999999982</v>
      </c>
    </row>
    <row r="272" spans="1:13" customFormat="1">
      <c r="A272" t="s">
        <v>40</v>
      </c>
      <c r="B272" t="s">
        <v>11</v>
      </c>
      <c r="C272" s="51">
        <v>136941329056</v>
      </c>
      <c r="D272" s="1">
        <v>7884.24</v>
      </c>
      <c r="E272" s="1">
        <v>26481576.539999999</v>
      </c>
      <c r="F272" t="s">
        <v>1280</v>
      </c>
      <c r="I272" s="16">
        <f>-IFERROR(VLOOKUP(C272,SIRCUPA!$A$21:$H$186,8,0),0)</f>
        <v>0</v>
      </c>
      <c r="J272" s="68">
        <f>-IFERROR(VLOOKUP(C272,SIRTAC!$A$16:$H$1405,8,0),0)</f>
        <v>-84</v>
      </c>
      <c r="K272" s="68">
        <f>-IFERROR(VLOOKUP(C272,Gastos!$A$9:$J$1398,10,0),0)</f>
        <v>-381.36</v>
      </c>
      <c r="L272" s="68">
        <f>-IFERROR(VLOOKUP(C272,IDC!$A$20:$H$1596,8,0),0)</f>
        <v>-50.4</v>
      </c>
      <c r="M272" s="74">
        <f t="shared" si="5"/>
        <v>8400</v>
      </c>
    </row>
    <row r="273" spans="1:13" customFormat="1">
      <c r="A273" t="s">
        <v>40</v>
      </c>
      <c r="B273" t="s">
        <v>11</v>
      </c>
      <c r="C273" s="51">
        <v>136317195527</v>
      </c>
      <c r="D273" s="1">
        <v>15661.27</v>
      </c>
      <c r="E273" s="1">
        <v>26497237.809999999</v>
      </c>
      <c r="F273" t="s">
        <v>1280</v>
      </c>
      <c r="I273" s="16">
        <f>-IFERROR(VLOOKUP(C273,SIRCUPA!$A$21:$H$186,8,0),0)</f>
        <v>0</v>
      </c>
      <c r="J273" s="68">
        <f>-IFERROR(VLOOKUP(C273,SIRTAC!$A$16:$H$1405,8,0),0)</f>
        <v>-172.5</v>
      </c>
      <c r="K273" s="68">
        <f>-IFERROR(VLOOKUP(C273,Gastos!$A$9:$J$1398,10,0),0)</f>
        <v>-1312.73</v>
      </c>
      <c r="L273" s="68">
        <f>-IFERROR(VLOOKUP(C273,IDC!$A$20:$H$1596,8,0),0)</f>
        <v>-103.5</v>
      </c>
      <c r="M273" s="74">
        <f t="shared" si="5"/>
        <v>17250</v>
      </c>
    </row>
    <row r="274" spans="1:13" customFormat="1">
      <c r="A274" t="s">
        <v>40</v>
      </c>
      <c r="B274" t="s">
        <v>11</v>
      </c>
      <c r="C274" s="51">
        <v>136319101835</v>
      </c>
      <c r="D274" s="1">
        <v>9353.2800000000007</v>
      </c>
      <c r="E274" s="1">
        <v>26506591.09</v>
      </c>
      <c r="F274" t="s">
        <v>1280</v>
      </c>
      <c r="I274" s="16">
        <f>-IFERROR(VLOOKUP(C274,SIRCUPA!$A$21:$H$186,8,0),0)</f>
        <v>0</v>
      </c>
      <c r="J274" s="68">
        <f>-IFERROR(VLOOKUP(C274,SIRTAC!$A$16:$H$1405,8,0),0)</f>
        <v>-96</v>
      </c>
      <c r="K274" s="68">
        <f>-IFERROR(VLOOKUP(C274,Gastos!$A$9:$J$1398,10,0),0)</f>
        <v>-93.12</v>
      </c>
      <c r="L274" s="68">
        <f>-IFERROR(VLOOKUP(C274,IDC!$A$20:$H$1596,8,0),0)</f>
        <v>-57.6</v>
      </c>
      <c r="M274" s="74">
        <f t="shared" si="5"/>
        <v>9600.0000000000018</v>
      </c>
    </row>
    <row r="275" spans="1:13" customFormat="1">
      <c r="A275" t="s">
        <v>40</v>
      </c>
      <c r="B275" t="s">
        <v>11</v>
      </c>
      <c r="C275" s="51">
        <v>136943872826</v>
      </c>
      <c r="D275" s="1">
        <v>27475.26</v>
      </c>
      <c r="E275" s="1">
        <v>26534066.350000001</v>
      </c>
      <c r="F275" t="s">
        <v>1280</v>
      </c>
      <c r="I275" s="16">
        <f>-IFERROR(VLOOKUP(C275,SIRCUPA!$A$21:$H$186,8,0),0)</f>
        <v>0</v>
      </c>
      <c r="J275" s="68">
        <f>-IFERROR(VLOOKUP(C275,SIRTAC!$A$16:$H$1405,8,0),0)</f>
        <v>-282</v>
      </c>
      <c r="K275" s="68">
        <f>-IFERROR(VLOOKUP(C275,Gastos!$A$9:$J$1398,10,0),0)</f>
        <v>-273.54000000000002</v>
      </c>
      <c r="L275" s="68">
        <f>-IFERROR(VLOOKUP(C275,IDC!$A$20:$H$1596,8,0),0)</f>
        <v>-169.2</v>
      </c>
      <c r="M275" s="74">
        <f t="shared" si="5"/>
        <v>28200</v>
      </c>
    </row>
    <row r="276" spans="1:13" customFormat="1">
      <c r="A276" t="s">
        <v>40</v>
      </c>
      <c r="B276" t="s">
        <v>51</v>
      </c>
      <c r="C276" s="51">
        <v>136943914206</v>
      </c>
      <c r="D276" s="1">
        <v>2760.78</v>
      </c>
      <c r="E276" s="1">
        <v>26536827.129999999</v>
      </c>
      <c r="F276" t="s">
        <v>1280</v>
      </c>
      <c r="I276" s="16">
        <f>-IFERROR(VLOOKUP(C276,SIRCUPA!$A$21:$H$186,8,0),0)</f>
        <v>-42.3</v>
      </c>
      <c r="J276" s="68">
        <f>-IFERROR(VLOOKUP(C276,SIRTAC!$A$16:$H$1405,8,0),0)</f>
        <v>0</v>
      </c>
      <c r="K276" s="68">
        <f>-IFERROR(VLOOKUP(C276,Gastos!$A$9:$J$1398,10,0),0)</f>
        <v>0</v>
      </c>
      <c r="L276" s="68">
        <f>-IFERROR(VLOOKUP(C276,IDC!$A$20:$H$1596,8,0),0)</f>
        <v>-16.920000000000002</v>
      </c>
      <c r="M276" s="74">
        <f t="shared" si="5"/>
        <v>2820.0000000000005</v>
      </c>
    </row>
    <row r="277" spans="1:13" customFormat="1">
      <c r="A277" t="s">
        <v>40</v>
      </c>
      <c r="B277" t="s">
        <v>11</v>
      </c>
      <c r="C277" s="51">
        <v>136944124048</v>
      </c>
      <c r="D277" s="1">
        <v>8671.27</v>
      </c>
      <c r="E277" s="1">
        <v>26545498.399999999</v>
      </c>
      <c r="F277" t="s">
        <v>1280</v>
      </c>
      <c r="I277" s="16">
        <f>-IFERROR(VLOOKUP(C277,SIRCUPA!$A$21:$H$186,8,0),0)</f>
        <v>0</v>
      </c>
      <c r="J277" s="68">
        <f>-IFERROR(VLOOKUP(C277,SIRTAC!$A$16:$H$1405,8,0),0)</f>
        <v>-89</v>
      </c>
      <c r="K277" s="68">
        <f>-IFERROR(VLOOKUP(C277,Gastos!$A$9:$J$1398,10,0),0)</f>
        <v>-86.33</v>
      </c>
      <c r="L277" s="68">
        <f>-IFERROR(VLOOKUP(C277,IDC!$A$20:$H$1596,8,0),0)</f>
        <v>-53.4</v>
      </c>
      <c r="M277" s="74">
        <f t="shared" si="5"/>
        <v>8900</v>
      </c>
    </row>
    <row r="278" spans="1:13" customFormat="1">
      <c r="A278" t="s">
        <v>40</v>
      </c>
      <c r="B278" t="s">
        <v>11</v>
      </c>
      <c r="C278" s="51">
        <v>136319916303</v>
      </c>
      <c r="D278" s="1">
        <v>61186.04</v>
      </c>
      <c r="E278" s="1">
        <v>26606684.440000001</v>
      </c>
      <c r="F278" t="s">
        <v>1280</v>
      </c>
      <c r="I278" s="16">
        <f>-IFERROR(VLOOKUP(C278,SIRCUPA!$A$21:$H$186,8,0),0)</f>
        <v>0</v>
      </c>
      <c r="J278" s="68">
        <f>-IFERROR(VLOOKUP(C278,SIRTAC!$A$16:$H$1405,8,0),0)</f>
        <v>-628</v>
      </c>
      <c r="K278" s="68">
        <f>-IFERROR(VLOOKUP(C278,Gastos!$A$9:$J$1398,10,0),0)</f>
        <v>-609.16</v>
      </c>
      <c r="L278" s="68">
        <f>-IFERROR(VLOOKUP(C278,IDC!$A$20:$H$1596,8,0),0)</f>
        <v>-376.8</v>
      </c>
      <c r="M278" s="74">
        <f t="shared" si="5"/>
        <v>62800.000000000007</v>
      </c>
    </row>
    <row r="279" spans="1:13" customFormat="1">
      <c r="A279" t="s">
        <v>40</v>
      </c>
      <c r="B279" t="s">
        <v>52</v>
      </c>
      <c r="C279" s="51">
        <v>136319904505</v>
      </c>
      <c r="D279" s="1">
        <v>6148.12</v>
      </c>
      <c r="E279" s="1">
        <v>26612832.559999999</v>
      </c>
      <c r="F279" t="s">
        <v>1280</v>
      </c>
      <c r="I279" s="16">
        <f>-IFERROR(VLOOKUP(C279,SIRCUPA!$A$21:$H$186,8,0),0)</f>
        <v>-94.2</v>
      </c>
      <c r="J279" s="68">
        <f>-IFERROR(VLOOKUP(C279,SIRTAC!$A$16:$H$1405,8,0),0)</f>
        <v>0</v>
      </c>
      <c r="K279" s="68">
        <f>-IFERROR(VLOOKUP(C279,Gastos!$A$9:$J$1398,10,0),0)</f>
        <v>0</v>
      </c>
      <c r="L279" s="68">
        <f>-IFERROR(VLOOKUP(C279,IDC!$A$20:$H$1596,8,0),0)</f>
        <v>-37.68</v>
      </c>
      <c r="M279" s="74">
        <f t="shared" si="5"/>
        <v>6280</v>
      </c>
    </row>
    <row r="280" spans="1:13" customFormat="1">
      <c r="A280" t="s">
        <v>40</v>
      </c>
      <c r="B280" t="s">
        <v>11</v>
      </c>
      <c r="C280" s="51">
        <v>136319893937</v>
      </c>
      <c r="D280" s="1">
        <v>65718.64</v>
      </c>
      <c r="E280" s="1">
        <v>26678551.199999999</v>
      </c>
      <c r="F280" t="s">
        <v>1280</v>
      </c>
      <c r="I280" s="16">
        <f>-IFERROR(VLOOKUP(C280,SIRCUPA!$A$21:$H$186,8,0),0)</f>
        <v>0</v>
      </c>
      <c r="J280" s="68">
        <f>-IFERROR(VLOOKUP(C280,SIRTAC!$A$16:$H$1405,8,0),0)</f>
        <v>-754</v>
      </c>
      <c r="K280" s="68">
        <f>-IFERROR(VLOOKUP(C280,Gastos!$A$9:$J$1398,10,0),0)</f>
        <v>-8474.9599999999991</v>
      </c>
      <c r="L280" s="68">
        <f>-IFERROR(VLOOKUP(C280,IDC!$A$20:$H$1596,8,0),0)</f>
        <v>-452.4</v>
      </c>
      <c r="M280" s="74">
        <f t="shared" si="5"/>
        <v>75400</v>
      </c>
    </row>
    <row r="281" spans="1:13" customFormat="1">
      <c r="A281" t="s">
        <v>40</v>
      </c>
      <c r="B281" t="s">
        <v>11</v>
      </c>
      <c r="C281" s="51">
        <v>136320927381</v>
      </c>
      <c r="D281" s="1">
        <v>29474.639999999999</v>
      </c>
      <c r="E281" s="1">
        <v>26708025.84</v>
      </c>
      <c r="F281" t="s">
        <v>1280</v>
      </c>
      <c r="I281" s="16">
        <f>-IFERROR(VLOOKUP(C281,SIRCUPA!$A$21:$H$186,8,0),0)</f>
        <v>0</v>
      </c>
      <c r="J281" s="68">
        <f>-IFERROR(VLOOKUP(C281,SIRTAC!$A$16:$H$1405,8,0),0)</f>
        <v>-312</v>
      </c>
      <c r="K281" s="68">
        <f>-IFERROR(VLOOKUP(C281,Gastos!$A$9:$J$1398,10,0),0)</f>
        <v>-1226.1600000000001</v>
      </c>
      <c r="L281" s="68">
        <f>-IFERROR(VLOOKUP(C281,IDC!$A$20:$H$1596,8,0),0)</f>
        <v>-187.2</v>
      </c>
      <c r="M281" s="74">
        <f t="shared" si="5"/>
        <v>31200</v>
      </c>
    </row>
    <row r="282" spans="1:13" customFormat="1">
      <c r="A282" t="s">
        <v>40</v>
      </c>
      <c r="B282" t="s">
        <v>11</v>
      </c>
      <c r="C282" s="51">
        <v>136321148165</v>
      </c>
      <c r="D282" s="1">
        <v>9353.2800000000007</v>
      </c>
      <c r="E282" s="1">
        <v>26717379.120000001</v>
      </c>
      <c r="F282" t="s">
        <v>1280</v>
      </c>
      <c r="I282" s="16">
        <f>-IFERROR(VLOOKUP(C282,SIRCUPA!$A$21:$H$186,8,0),0)</f>
        <v>0</v>
      </c>
      <c r="J282" s="68">
        <f>-IFERROR(VLOOKUP(C282,SIRTAC!$A$16:$H$1405,8,0),0)</f>
        <v>-96</v>
      </c>
      <c r="K282" s="68">
        <f>-IFERROR(VLOOKUP(C282,Gastos!$A$9:$J$1398,10,0),0)</f>
        <v>-93.12</v>
      </c>
      <c r="L282" s="68">
        <f>-IFERROR(VLOOKUP(C282,IDC!$A$20:$H$1596,8,0),0)</f>
        <v>-57.6</v>
      </c>
      <c r="M282" s="74">
        <f t="shared" si="5"/>
        <v>9600.0000000000018</v>
      </c>
    </row>
    <row r="283" spans="1:13" customFormat="1">
      <c r="A283" t="s">
        <v>40</v>
      </c>
      <c r="B283" t="s">
        <v>11</v>
      </c>
      <c r="C283" s="51">
        <v>136945689714</v>
      </c>
      <c r="D283" s="1">
        <v>44233.22</v>
      </c>
      <c r="E283" s="1">
        <v>26761612.34</v>
      </c>
      <c r="F283" t="s">
        <v>1280</v>
      </c>
      <c r="I283" s="16">
        <f>-IFERROR(VLOOKUP(C283,SIRCUPA!$A$21:$H$186,8,0),0)</f>
        <v>0</v>
      </c>
      <c r="J283" s="68">
        <f>-IFERROR(VLOOKUP(C283,SIRTAC!$A$16:$H$1405,8,0),0)</f>
        <v>-454</v>
      </c>
      <c r="K283" s="68">
        <f>-IFERROR(VLOOKUP(C283,Gastos!$A$9:$J$1398,10,0),0)</f>
        <v>-440.38</v>
      </c>
      <c r="L283" s="68">
        <f>-IFERROR(VLOOKUP(C283,IDC!$A$20:$H$1596,8,0),0)</f>
        <v>-272.39999999999998</v>
      </c>
      <c r="M283" s="74">
        <f t="shared" si="5"/>
        <v>45400</v>
      </c>
    </row>
    <row r="284" spans="1:13" customFormat="1">
      <c r="A284" t="s">
        <v>40</v>
      </c>
      <c r="B284" t="s">
        <v>11</v>
      </c>
      <c r="C284" s="51">
        <v>136321226061</v>
      </c>
      <c r="D284" s="1">
        <v>45012.66</v>
      </c>
      <c r="E284" s="1">
        <v>26806625</v>
      </c>
      <c r="F284" t="s">
        <v>1280</v>
      </c>
      <c r="I284" s="16">
        <f>-IFERROR(VLOOKUP(C284,SIRCUPA!$A$21:$H$186,8,0),0)</f>
        <v>0</v>
      </c>
      <c r="J284" s="68">
        <f>-IFERROR(VLOOKUP(C284,SIRTAC!$A$16:$H$1405,8,0),0)</f>
        <v>-462</v>
      </c>
      <c r="K284" s="68">
        <f>-IFERROR(VLOOKUP(C284,Gastos!$A$9:$J$1398,10,0),0)</f>
        <v>-448.14</v>
      </c>
      <c r="L284" s="68">
        <f>-IFERROR(VLOOKUP(C284,IDC!$A$20:$H$1596,8,0),0)</f>
        <v>-277.2</v>
      </c>
      <c r="M284" s="74">
        <f t="shared" si="5"/>
        <v>46200</v>
      </c>
    </row>
    <row r="285" spans="1:13" customFormat="1">
      <c r="A285" t="s">
        <v>40</v>
      </c>
      <c r="B285" t="s">
        <v>11</v>
      </c>
      <c r="C285" s="51">
        <v>136946176762</v>
      </c>
      <c r="D285" s="1">
        <v>76615.17</v>
      </c>
      <c r="E285" s="1">
        <v>26883240.170000002</v>
      </c>
      <c r="F285" t="s">
        <v>1280</v>
      </c>
      <c r="I285" s="16">
        <f>-IFERROR(VLOOKUP(C285,SIRCUPA!$A$21:$H$186,8,0),0)</f>
        <v>0</v>
      </c>
      <c r="J285" s="68">
        <f>-IFERROR(VLOOKUP(C285,SIRTAC!$A$16:$H$1405,8,0),0)</f>
        <v>-811</v>
      </c>
      <c r="K285" s="68">
        <f>-IFERROR(VLOOKUP(C285,Gastos!$A$9:$J$1398,10,0),0)</f>
        <v>-3187.23</v>
      </c>
      <c r="L285" s="68">
        <f>-IFERROR(VLOOKUP(C285,IDC!$A$20:$H$1596,8,0),0)</f>
        <v>-486.6</v>
      </c>
      <c r="M285" s="74">
        <f t="shared" si="5"/>
        <v>81100</v>
      </c>
    </row>
    <row r="286" spans="1:13" customFormat="1">
      <c r="A286" t="s">
        <v>40</v>
      </c>
      <c r="B286" t="s">
        <v>11</v>
      </c>
      <c r="C286" s="51">
        <v>136946271262</v>
      </c>
      <c r="D286" s="1">
        <v>4676.6400000000003</v>
      </c>
      <c r="E286" s="1">
        <v>26887916.809999999</v>
      </c>
      <c r="F286" t="s">
        <v>1280</v>
      </c>
      <c r="I286" s="16">
        <f>-IFERROR(VLOOKUP(C286,SIRCUPA!$A$21:$H$186,8,0),0)</f>
        <v>0</v>
      </c>
      <c r="J286" s="68">
        <f>-IFERROR(VLOOKUP(C286,SIRTAC!$A$16:$H$1405,8,0),0)</f>
        <v>-48</v>
      </c>
      <c r="K286" s="68">
        <f>-IFERROR(VLOOKUP(C286,Gastos!$A$9:$J$1398,10,0),0)</f>
        <v>-46.56</v>
      </c>
      <c r="L286" s="68">
        <f>-IFERROR(VLOOKUP(C286,IDC!$A$20:$H$1596,8,0),0)</f>
        <v>-28.8</v>
      </c>
      <c r="M286" s="74">
        <f t="shared" si="5"/>
        <v>4800.0000000000009</v>
      </c>
    </row>
    <row r="287" spans="1:13" customFormat="1">
      <c r="A287" t="s">
        <v>40</v>
      </c>
      <c r="B287" t="s">
        <v>53</v>
      </c>
      <c r="C287" s="51">
        <v>136321620855</v>
      </c>
      <c r="D287">
        <v>234.96</v>
      </c>
      <c r="E287" s="1">
        <v>26888151.77</v>
      </c>
      <c r="F287" t="s">
        <v>1280</v>
      </c>
      <c r="I287" s="16">
        <f>-IFERROR(VLOOKUP(C287,SIRCUPA!$A$21:$H$186,8,0),0)</f>
        <v>-3.6</v>
      </c>
      <c r="J287" s="68">
        <f>-IFERROR(VLOOKUP(C287,SIRTAC!$A$16:$H$1405,8,0),0)</f>
        <v>0</v>
      </c>
      <c r="K287" s="68">
        <f>-IFERROR(VLOOKUP(C287,Gastos!$A$9:$J$1398,10,0),0)</f>
        <v>0</v>
      </c>
      <c r="L287" s="68">
        <f>-IFERROR(VLOOKUP(C287,IDC!$A$20:$H$1596,8,0),0)</f>
        <v>-1.44</v>
      </c>
      <c r="M287" s="74">
        <f t="shared" si="5"/>
        <v>240</v>
      </c>
    </row>
    <row r="288" spans="1:13" customFormat="1">
      <c r="A288" t="s">
        <v>40</v>
      </c>
      <c r="B288" t="s">
        <v>11</v>
      </c>
      <c r="C288" s="51">
        <v>136321853917</v>
      </c>
      <c r="D288" s="1">
        <v>39677.4</v>
      </c>
      <c r="E288" s="1">
        <v>26927829.170000002</v>
      </c>
      <c r="F288" t="s">
        <v>1280</v>
      </c>
      <c r="I288" s="16">
        <f>-IFERROR(VLOOKUP(C288,SIRCUPA!$A$21:$H$186,8,0),0)</f>
        <v>0</v>
      </c>
      <c r="J288" s="68">
        <f>-IFERROR(VLOOKUP(C288,SIRTAC!$A$16:$H$1405,8,0),0)</f>
        <v>-420</v>
      </c>
      <c r="K288" s="68">
        <f>-IFERROR(VLOOKUP(C288,Gastos!$A$9:$J$1398,10,0),0)</f>
        <v>-1650.6</v>
      </c>
      <c r="L288" s="68">
        <f>-IFERROR(VLOOKUP(C288,IDC!$A$20:$H$1596,8,0),0)</f>
        <v>-252</v>
      </c>
      <c r="M288" s="74">
        <f t="shared" si="5"/>
        <v>42000</v>
      </c>
    </row>
    <row r="289" spans="1:13" customFormat="1">
      <c r="A289" t="s">
        <v>40</v>
      </c>
      <c r="B289" t="s">
        <v>11</v>
      </c>
      <c r="C289" s="51">
        <v>136948433642</v>
      </c>
      <c r="D289" s="1">
        <v>29618.720000000001</v>
      </c>
      <c r="E289" s="1">
        <v>26957447.890000001</v>
      </c>
      <c r="F289" t="s">
        <v>1280</v>
      </c>
      <c r="I289" s="16">
        <f>-IFERROR(VLOOKUP(C289,SIRCUPA!$A$21:$H$186,8,0),0)</f>
        <v>0</v>
      </c>
      <c r="J289" s="68">
        <f>-IFERROR(VLOOKUP(C289,SIRTAC!$A$16:$H$1405,8,0),0)</f>
        <v>-304</v>
      </c>
      <c r="K289" s="68">
        <f>-IFERROR(VLOOKUP(C289,Gastos!$A$9:$J$1398,10,0),0)</f>
        <v>-294.88</v>
      </c>
      <c r="L289" s="68">
        <f>-IFERROR(VLOOKUP(C289,IDC!$A$20:$H$1596,8,0),0)</f>
        <v>-182.4</v>
      </c>
      <c r="M289" s="74">
        <f t="shared" si="5"/>
        <v>30400.000000000004</v>
      </c>
    </row>
    <row r="290" spans="1:13" customFormat="1">
      <c r="A290" t="s">
        <v>40</v>
      </c>
      <c r="B290" t="s">
        <v>11</v>
      </c>
      <c r="C290" s="51">
        <v>136324281207</v>
      </c>
      <c r="D290" s="1">
        <v>37504.589999999997</v>
      </c>
      <c r="E290" s="1">
        <v>26994952.48</v>
      </c>
      <c r="F290" t="s">
        <v>1280</v>
      </c>
      <c r="I290" s="16">
        <f>-IFERROR(VLOOKUP(C290,SIRCUPA!$A$21:$H$186,8,0),0)</f>
        <v>0</v>
      </c>
      <c r="J290" s="68">
        <f>-IFERROR(VLOOKUP(C290,SIRTAC!$A$16:$H$1405,8,0),0)</f>
        <v>-397</v>
      </c>
      <c r="K290" s="68">
        <f>-IFERROR(VLOOKUP(C290,Gastos!$A$9:$J$1398,10,0),0)</f>
        <v>-1560.21</v>
      </c>
      <c r="L290" s="68">
        <f>-IFERROR(VLOOKUP(C290,IDC!$A$20:$H$1596,8,0),0)</f>
        <v>-238.2</v>
      </c>
      <c r="M290" s="74">
        <f t="shared" si="5"/>
        <v>39699.999999999993</v>
      </c>
    </row>
    <row r="291" spans="1:13" customFormat="1">
      <c r="A291" t="s">
        <v>40</v>
      </c>
      <c r="B291" t="s">
        <v>11</v>
      </c>
      <c r="C291" s="51">
        <v>136324541637</v>
      </c>
      <c r="D291" s="1">
        <v>36276.480000000003</v>
      </c>
      <c r="E291" s="1">
        <v>27031228.960000001</v>
      </c>
      <c r="F291" t="s">
        <v>1280</v>
      </c>
      <c r="I291" s="16">
        <f>-IFERROR(VLOOKUP(C291,SIRCUPA!$A$21:$H$186,8,0),0)</f>
        <v>0</v>
      </c>
      <c r="J291" s="68">
        <f>-IFERROR(VLOOKUP(C291,SIRTAC!$A$16:$H$1405,8,0),0)</f>
        <v>-384</v>
      </c>
      <c r="K291" s="68">
        <f>-IFERROR(VLOOKUP(C291,Gastos!$A$9:$J$1398,10,0),0)</f>
        <v>-1509.12</v>
      </c>
      <c r="L291" s="68">
        <f>-IFERROR(VLOOKUP(C291,IDC!$A$20:$H$1596,8,0),0)</f>
        <v>-230.4</v>
      </c>
      <c r="M291" s="74">
        <f t="shared" si="5"/>
        <v>38400.000000000007</v>
      </c>
    </row>
    <row r="292" spans="1:13" customFormat="1">
      <c r="A292" t="s">
        <v>40</v>
      </c>
      <c r="B292" t="s">
        <v>11</v>
      </c>
      <c r="C292" s="51">
        <v>136324797799</v>
      </c>
      <c r="D292" s="1">
        <v>36588.370000000003</v>
      </c>
      <c r="E292" s="1">
        <v>27067817.329999998</v>
      </c>
      <c r="F292" t="s">
        <v>1280</v>
      </c>
      <c r="I292" s="16">
        <f>-IFERROR(VLOOKUP(C292,SIRCUPA!$A$21:$H$186,8,0),0)</f>
        <v>0</v>
      </c>
      <c r="J292" s="68">
        <f>-IFERROR(VLOOKUP(C292,SIRTAC!$A$16:$H$1405,8,0),0)</f>
        <v>-403</v>
      </c>
      <c r="K292" s="68">
        <f>-IFERROR(VLOOKUP(C292,Gastos!$A$9:$J$1398,10,0),0)</f>
        <v>-3066.83</v>
      </c>
      <c r="L292" s="68">
        <f>-IFERROR(VLOOKUP(C292,IDC!$A$20:$H$1596,8,0),0)</f>
        <v>-241.8</v>
      </c>
      <c r="M292" s="74">
        <f t="shared" si="5"/>
        <v>40300.000000000007</v>
      </c>
    </row>
    <row r="293" spans="1:13" customFormat="1">
      <c r="A293" t="s">
        <v>40</v>
      </c>
      <c r="B293" t="s">
        <v>11</v>
      </c>
      <c r="C293" s="51">
        <v>136325278171</v>
      </c>
      <c r="D293" s="1">
        <v>9258.06</v>
      </c>
      <c r="E293" s="1">
        <v>27077075.390000001</v>
      </c>
      <c r="F293" t="s">
        <v>1280</v>
      </c>
      <c r="I293" s="16">
        <f>-IFERROR(VLOOKUP(C293,SIRCUPA!$A$21:$H$186,8,0),0)</f>
        <v>0</v>
      </c>
      <c r="J293" s="68">
        <f>-IFERROR(VLOOKUP(C293,SIRTAC!$A$16:$H$1405,8,0),0)</f>
        <v>-98</v>
      </c>
      <c r="K293" s="68">
        <f>-IFERROR(VLOOKUP(C293,Gastos!$A$9:$J$1398,10,0),0)</f>
        <v>-385.14</v>
      </c>
      <c r="L293" s="68">
        <f>-IFERROR(VLOOKUP(C293,IDC!$A$20:$H$1596,8,0),0)</f>
        <v>-58.8</v>
      </c>
      <c r="M293" s="74">
        <f t="shared" si="5"/>
        <v>9799.9999999999982</v>
      </c>
    </row>
    <row r="294" spans="1:13" customFormat="1">
      <c r="A294" t="s">
        <v>40</v>
      </c>
      <c r="B294" t="s">
        <v>11</v>
      </c>
      <c r="C294" s="51">
        <v>136950108244</v>
      </c>
      <c r="D294" s="1">
        <v>10035.290000000001</v>
      </c>
      <c r="E294" s="1">
        <v>27087110.68</v>
      </c>
      <c r="F294" t="s">
        <v>1280</v>
      </c>
      <c r="I294" s="16">
        <f>-IFERROR(VLOOKUP(C294,SIRCUPA!$A$21:$H$186,8,0),0)</f>
        <v>0</v>
      </c>
      <c r="J294" s="68">
        <f>-IFERROR(VLOOKUP(C294,SIRTAC!$A$16:$H$1405,8,0),0)</f>
        <v>-103</v>
      </c>
      <c r="K294" s="68">
        <f>-IFERROR(VLOOKUP(C294,Gastos!$A$9:$J$1398,10,0),0)</f>
        <v>-99.91</v>
      </c>
      <c r="L294" s="68">
        <f>-IFERROR(VLOOKUP(C294,IDC!$A$20:$H$1596,8,0),0)</f>
        <v>-61.8</v>
      </c>
      <c r="M294" s="74">
        <f t="shared" si="5"/>
        <v>10300</v>
      </c>
    </row>
    <row r="295" spans="1:13" customFormat="1">
      <c r="A295" t="s">
        <v>40</v>
      </c>
      <c r="B295" t="s">
        <v>11</v>
      </c>
      <c r="C295" s="51">
        <v>136326087677</v>
      </c>
      <c r="D295" s="1">
        <v>36341.39</v>
      </c>
      <c r="E295" s="1">
        <v>27123452.07</v>
      </c>
      <c r="F295" t="s">
        <v>1280</v>
      </c>
      <c r="I295" s="16">
        <f>-IFERROR(VLOOKUP(C295,SIRCUPA!$A$21:$H$186,8,0),0)</f>
        <v>0</v>
      </c>
      <c r="J295" s="68">
        <f>-IFERROR(VLOOKUP(C295,SIRTAC!$A$16:$H$1405,8,0),0)</f>
        <v>-373</v>
      </c>
      <c r="K295" s="68">
        <f>-IFERROR(VLOOKUP(C295,Gastos!$A$9:$J$1398,10,0),0)</f>
        <v>-361.81</v>
      </c>
      <c r="L295" s="68">
        <f>-IFERROR(VLOOKUP(C295,IDC!$A$20:$H$1596,8,0),0)</f>
        <v>-223.8</v>
      </c>
      <c r="M295" s="74">
        <f t="shared" si="5"/>
        <v>37300</v>
      </c>
    </row>
    <row r="296" spans="1:13" customFormat="1">
      <c r="A296" t="s">
        <v>40</v>
      </c>
      <c r="B296" t="s">
        <v>54</v>
      </c>
      <c r="C296" s="51">
        <v>136950519952</v>
      </c>
      <c r="D296" s="1">
        <v>3651.67</v>
      </c>
      <c r="E296" s="1">
        <v>27127103.739999998</v>
      </c>
      <c r="F296" t="s">
        <v>1280</v>
      </c>
      <c r="I296" s="16">
        <f>-IFERROR(VLOOKUP(C296,SIRCUPA!$A$21:$H$186,8,0),0)</f>
        <v>-55.95</v>
      </c>
      <c r="J296" s="68">
        <f>-IFERROR(VLOOKUP(C296,SIRTAC!$A$16:$H$1405,8,0),0)</f>
        <v>0</v>
      </c>
      <c r="K296" s="68">
        <f>-IFERROR(VLOOKUP(C296,Gastos!$A$9:$J$1398,10,0),0)</f>
        <v>0</v>
      </c>
      <c r="L296" s="68">
        <f>-IFERROR(VLOOKUP(C296,IDC!$A$20:$H$1596,8,0),0)</f>
        <v>-22.38</v>
      </c>
      <c r="M296" s="74">
        <f t="shared" si="5"/>
        <v>3730</v>
      </c>
    </row>
    <row r="297" spans="1:13" customFormat="1">
      <c r="A297" t="s">
        <v>40</v>
      </c>
      <c r="B297" t="s">
        <v>11</v>
      </c>
      <c r="C297" s="51">
        <v>136326212539</v>
      </c>
      <c r="D297" s="1">
        <v>33064.5</v>
      </c>
      <c r="E297" s="1">
        <v>27160168.239999998</v>
      </c>
      <c r="F297" t="s">
        <v>1280</v>
      </c>
      <c r="I297" s="16">
        <f>-IFERROR(VLOOKUP(C297,SIRCUPA!$A$21:$H$186,8,0),0)</f>
        <v>0</v>
      </c>
      <c r="J297" s="68">
        <f>-IFERROR(VLOOKUP(C297,SIRTAC!$A$16:$H$1405,8,0),0)</f>
        <v>-350</v>
      </c>
      <c r="K297" s="68">
        <f>-IFERROR(VLOOKUP(C297,Gastos!$A$9:$J$1398,10,0),0)</f>
        <v>-1375.5</v>
      </c>
      <c r="L297" s="68">
        <f>-IFERROR(VLOOKUP(C297,IDC!$A$20:$H$1596,8,0),0)</f>
        <v>-210</v>
      </c>
      <c r="M297" s="74">
        <f t="shared" si="5"/>
        <v>35000</v>
      </c>
    </row>
    <row r="298" spans="1:13" customFormat="1">
      <c r="A298" t="s">
        <v>40</v>
      </c>
      <c r="B298" t="s">
        <v>11</v>
      </c>
      <c r="C298" s="51">
        <v>136950669354</v>
      </c>
      <c r="D298" s="1">
        <v>34576.019999999997</v>
      </c>
      <c r="E298" s="1">
        <v>27194744.260000002</v>
      </c>
      <c r="F298" t="s">
        <v>1280</v>
      </c>
      <c r="I298" s="16">
        <f>-IFERROR(VLOOKUP(C298,SIRCUPA!$A$21:$H$186,8,0),0)</f>
        <v>0</v>
      </c>
      <c r="J298" s="68">
        <f>-IFERROR(VLOOKUP(C298,SIRTAC!$A$16:$H$1405,8,0),0)</f>
        <v>-366</v>
      </c>
      <c r="K298" s="68">
        <f>-IFERROR(VLOOKUP(C298,Gastos!$A$9:$J$1398,10,0),0)</f>
        <v>-1438.38</v>
      </c>
      <c r="L298" s="68">
        <f>-IFERROR(VLOOKUP(C298,IDC!$A$20:$H$1596,8,0),0)</f>
        <v>-219.6</v>
      </c>
      <c r="M298" s="74">
        <f t="shared" si="5"/>
        <v>36599.999999999993</v>
      </c>
    </row>
    <row r="299" spans="1:13" customFormat="1">
      <c r="A299" t="s">
        <v>40</v>
      </c>
      <c r="B299" t="s">
        <v>11</v>
      </c>
      <c r="C299" s="51">
        <v>136951233398</v>
      </c>
      <c r="D299" s="1">
        <v>59529.73</v>
      </c>
      <c r="E299" s="1">
        <v>27254273.989999998</v>
      </c>
      <c r="F299" t="s">
        <v>1280</v>
      </c>
      <c r="I299" s="16">
        <f>-IFERROR(VLOOKUP(C299,SIRCUPA!$A$21:$H$186,8,0),0)</f>
        <v>0</v>
      </c>
      <c r="J299" s="68">
        <f>-IFERROR(VLOOKUP(C299,SIRTAC!$A$16:$H$1405,8,0),0)</f>
        <v>-611</v>
      </c>
      <c r="K299" s="68">
        <f>-IFERROR(VLOOKUP(C299,Gastos!$A$9:$J$1398,10,0),0)</f>
        <v>-592.66999999999996</v>
      </c>
      <c r="L299" s="68">
        <f>-IFERROR(VLOOKUP(C299,IDC!$A$20:$H$1596,8,0),0)</f>
        <v>-366.6</v>
      </c>
      <c r="M299" s="74">
        <f t="shared" si="5"/>
        <v>61100</v>
      </c>
    </row>
    <row r="300" spans="1:13" customFormat="1">
      <c r="A300" t="s">
        <v>40</v>
      </c>
      <c r="B300" t="s">
        <v>11</v>
      </c>
      <c r="C300" s="51">
        <v>136326731001</v>
      </c>
      <c r="D300" s="1">
        <v>11594.17</v>
      </c>
      <c r="E300" s="1">
        <v>27265868.16</v>
      </c>
      <c r="F300" t="s">
        <v>1280</v>
      </c>
      <c r="I300" s="16">
        <f>-IFERROR(VLOOKUP(C300,SIRCUPA!$A$21:$H$186,8,0),0)</f>
        <v>0</v>
      </c>
      <c r="J300" s="68">
        <f>-IFERROR(VLOOKUP(C300,SIRTAC!$A$16:$H$1405,8,0),0)</f>
        <v>-119</v>
      </c>
      <c r="K300" s="68">
        <f>-IFERROR(VLOOKUP(C300,Gastos!$A$9:$J$1398,10,0),0)</f>
        <v>-115.43</v>
      </c>
      <c r="L300" s="68">
        <f>-IFERROR(VLOOKUP(C300,IDC!$A$20:$H$1596,8,0),0)</f>
        <v>-71.400000000000006</v>
      </c>
      <c r="M300" s="74">
        <f t="shared" si="5"/>
        <v>11900</v>
      </c>
    </row>
    <row r="301" spans="1:13" customFormat="1">
      <c r="A301" t="s">
        <v>40</v>
      </c>
      <c r="B301" t="s">
        <v>11</v>
      </c>
      <c r="C301" s="51">
        <v>136951857762</v>
      </c>
      <c r="D301" s="1">
        <v>39288.620000000003</v>
      </c>
      <c r="E301" s="1">
        <v>27305156.780000001</v>
      </c>
      <c r="F301" t="s">
        <v>1280</v>
      </c>
      <c r="I301" s="16">
        <f>-IFERROR(VLOOKUP(C301,SIRCUPA!$A$21:$H$186,8,0),0)</f>
        <v>0</v>
      </c>
      <c r="J301" s="68">
        <f>-IFERROR(VLOOKUP(C301,SIRTAC!$A$16:$H$1405,8,0),0)</f>
        <v>-406</v>
      </c>
      <c r="K301" s="68">
        <f>-IFERROR(VLOOKUP(C301,Gastos!$A$9:$J$1398,10,0),0)</f>
        <v>-661.78</v>
      </c>
      <c r="L301" s="68">
        <f>-IFERROR(VLOOKUP(C301,IDC!$A$20:$H$1596,8,0),0)</f>
        <v>-243.6</v>
      </c>
      <c r="M301" s="74">
        <f t="shared" si="5"/>
        <v>40600</v>
      </c>
    </row>
    <row r="302" spans="1:13" customFormat="1">
      <c r="A302" t="s">
        <v>40</v>
      </c>
      <c r="B302" t="s">
        <v>11</v>
      </c>
      <c r="C302" s="51">
        <v>136327286571</v>
      </c>
      <c r="D302" s="1">
        <v>19388.57</v>
      </c>
      <c r="E302" s="1">
        <v>27324545.350000001</v>
      </c>
      <c r="F302" t="s">
        <v>1280</v>
      </c>
      <c r="I302" s="16">
        <f>-IFERROR(VLOOKUP(C302,SIRCUPA!$A$21:$H$186,8,0),0)</f>
        <v>0</v>
      </c>
      <c r="J302" s="68">
        <f>-IFERROR(VLOOKUP(C302,SIRTAC!$A$16:$H$1405,8,0),0)</f>
        <v>-199</v>
      </c>
      <c r="K302" s="68">
        <f>-IFERROR(VLOOKUP(C302,Gastos!$A$9:$J$1398,10,0),0)</f>
        <v>-193.03</v>
      </c>
      <c r="L302" s="68">
        <f>-IFERROR(VLOOKUP(C302,IDC!$A$20:$H$1596,8,0),0)</f>
        <v>-119.4</v>
      </c>
      <c r="M302" s="74">
        <f t="shared" si="5"/>
        <v>19900</v>
      </c>
    </row>
    <row r="303" spans="1:13" customFormat="1">
      <c r="A303" t="s">
        <v>40</v>
      </c>
      <c r="B303" t="s">
        <v>11</v>
      </c>
      <c r="C303" s="51">
        <v>136952258442</v>
      </c>
      <c r="D303" s="1">
        <v>47545.84</v>
      </c>
      <c r="E303" s="1">
        <v>27372091.190000001</v>
      </c>
      <c r="F303" t="s">
        <v>1280</v>
      </c>
      <c r="I303" s="16">
        <f>-IFERROR(VLOOKUP(C303,SIRCUPA!$A$21:$H$186,8,0),0)</f>
        <v>0</v>
      </c>
      <c r="J303" s="68">
        <f>-IFERROR(VLOOKUP(C303,SIRTAC!$A$16:$H$1405,8,0),0)</f>
        <v>-488</v>
      </c>
      <c r="K303" s="68">
        <f>-IFERROR(VLOOKUP(C303,Gastos!$A$9:$J$1398,10,0),0)</f>
        <v>-473.36</v>
      </c>
      <c r="L303" s="68">
        <f>-IFERROR(VLOOKUP(C303,IDC!$A$20:$H$1596,8,0),0)</f>
        <v>-292.8</v>
      </c>
      <c r="M303" s="74">
        <f t="shared" si="5"/>
        <v>48800</v>
      </c>
    </row>
    <row r="304" spans="1:13" customFormat="1">
      <c r="A304" t="s">
        <v>40</v>
      </c>
      <c r="B304" t="s">
        <v>11</v>
      </c>
      <c r="C304" s="51">
        <v>136952289620</v>
      </c>
      <c r="D304" s="1">
        <v>4774.07</v>
      </c>
      <c r="E304" s="1">
        <v>27376865.260000002</v>
      </c>
      <c r="F304" t="s">
        <v>1280</v>
      </c>
      <c r="I304" s="16">
        <f>-IFERROR(VLOOKUP(C304,SIRCUPA!$A$21:$H$186,8,0),0)</f>
        <v>0</v>
      </c>
      <c r="J304" s="68">
        <f>-IFERROR(VLOOKUP(C304,SIRTAC!$A$16:$H$1405,8,0),0)</f>
        <v>-49</v>
      </c>
      <c r="K304" s="68">
        <f>-IFERROR(VLOOKUP(C304,Gastos!$A$9:$J$1398,10,0),0)</f>
        <v>-47.53</v>
      </c>
      <c r="L304" s="68">
        <f>-IFERROR(VLOOKUP(C304,IDC!$A$20:$H$1596,8,0),0)</f>
        <v>-29.4</v>
      </c>
      <c r="M304" s="74">
        <f t="shared" si="5"/>
        <v>4899.9999999999991</v>
      </c>
    </row>
    <row r="305" spans="1:13" customFormat="1">
      <c r="A305" t="s">
        <v>40</v>
      </c>
      <c r="B305" t="s">
        <v>11</v>
      </c>
      <c r="C305" s="51">
        <v>136328449873</v>
      </c>
      <c r="D305" s="1">
        <v>141370.93</v>
      </c>
      <c r="E305" s="1">
        <v>27518236.190000001</v>
      </c>
      <c r="F305" t="s">
        <v>1280</v>
      </c>
      <c r="I305" s="16">
        <f>-IFERROR(VLOOKUP(C305,SIRCUPA!$A$21:$H$186,8,0),0)</f>
        <v>0</v>
      </c>
      <c r="J305" s="68">
        <f>-IFERROR(VLOOKUP(C305,SIRTAC!$A$16:$H$1405,8,0),0)</f>
        <v>-1451</v>
      </c>
      <c r="K305" s="68">
        <f>-IFERROR(VLOOKUP(C305,Gastos!$A$9:$J$1398,10,0),0)</f>
        <v>-1407.47</v>
      </c>
      <c r="L305" s="68">
        <f>-IFERROR(VLOOKUP(C305,IDC!$A$20:$H$1596,8,0),0)</f>
        <v>-870.6</v>
      </c>
      <c r="M305" s="74">
        <f t="shared" si="5"/>
        <v>145100</v>
      </c>
    </row>
    <row r="306" spans="1:13" customFormat="1">
      <c r="A306" t="s">
        <v>40</v>
      </c>
      <c r="B306" t="s">
        <v>11</v>
      </c>
      <c r="C306" s="51">
        <v>136328990057</v>
      </c>
      <c r="D306" s="1">
        <v>53564.49</v>
      </c>
      <c r="E306" s="1">
        <v>27571800.68</v>
      </c>
      <c r="F306" t="s">
        <v>1280</v>
      </c>
      <c r="I306" s="16">
        <f>-IFERROR(VLOOKUP(C306,SIRCUPA!$A$21:$H$186,8,0),0)</f>
        <v>0</v>
      </c>
      <c r="J306" s="68">
        <f>-IFERROR(VLOOKUP(C306,SIRTAC!$A$16:$H$1405,8,0),0)</f>
        <v>-567</v>
      </c>
      <c r="K306" s="68">
        <f>-IFERROR(VLOOKUP(C306,Gastos!$A$9:$J$1398,10,0),0)</f>
        <v>-2228.31</v>
      </c>
      <c r="L306" s="68">
        <f>-IFERROR(VLOOKUP(C306,IDC!$A$20:$H$1596,8,0),0)</f>
        <v>-340.2</v>
      </c>
      <c r="M306" s="74">
        <f t="shared" si="5"/>
        <v>56699.999999999993</v>
      </c>
    </row>
    <row r="307" spans="1:13" customFormat="1">
      <c r="A307" t="s">
        <v>40</v>
      </c>
      <c r="B307" t="s">
        <v>11</v>
      </c>
      <c r="C307" s="51">
        <v>136953884316</v>
      </c>
      <c r="D307" s="1">
        <v>45345.599999999999</v>
      </c>
      <c r="E307" s="1">
        <v>27617146.280000001</v>
      </c>
      <c r="F307" t="s">
        <v>1280</v>
      </c>
      <c r="I307" s="16">
        <f>-IFERROR(VLOOKUP(C307,SIRCUPA!$A$21:$H$186,8,0),0)</f>
        <v>0</v>
      </c>
      <c r="J307" s="68">
        <f>-IFERROR(VLOOKUP(C307,SIRTAC!$A$16:$H$1405,8,0),0)</f>
        <v>-480</v>
      </c>
      <c r="K307" s="68">
        <f>-IFERROR(VLOOKUP(C307,Gastos!$A$9:$J$1398,10,0),0)</f>
        <v>-1886.4</v>
      </c>
      <c r="L307" s="68">
        <f>-IFERROR(VLOOKUP(C307,IDC!$A$20:$H$1596,8,0),0)</f>
        <v>-288</v>
      </c>
      <c r="M307" s="74">
        <f t="shared" si="5"/>
        <v>48000</v>
      </c>
    </row>
    <row r="308" spans="1:13" customFormat="1">
      <c r="A308" t="s">
        <v>40</v>
      </c>
      <c r="B308" t="s">
        <v>11</v>
      </c>
      <c r="C308" s="51">
        <v>136329284763</v>
      </c>
      <c r="D308" s="1">
        <v>32931.339999999997</v>
      </c>
      <c r="E308" s="1">
        <v>27650077.620000001</v>
      </c>
      <c r="F308" t="s">
        <v>1280</v>
      </c>
      <c r="I308" s="16">
        <f>-IFERROR(VLOOKUP(C308,SIRCUPA!$A$21:$H$186,8,0),0)</f>
        <v>0</v>
      </c>
      <c r="J308" s="68">
        <f>-IFERROR(VLOOKUP(C308,SIRTAC!$A$16:$H$1405,8,0),0)</f>
        <v>-338</v>
      </c>
      <c r="K308" s="68">
        <f>-IFERROR(VLOOKUP(C308,Gastos!$A$9:$J$1398,10,0),0)</f>
        <v>-327.86</v>
      </c>
      <c r="L308" s="68">
        <f>-IFERROR(VLOOKUP(C308,IDC!$A$20:$H$1596,8,0),0)</f>
        <v>-202.8</v>
      </c>
      <c r="M308" s="74">
        <f t="shared" si="5"/>
        <v>33800</v>
      </c>
    </row>
    <row r="309" spans="1:13" customFormat="1">
      <c r="A309" t="s">
        <v>55</v>
      </c>
      <c r="B309" t="s">
        <v>11</v>
      </c>
      <c r="C309" s="51">
        <v>136954494152</v>
      </c>
      <c r="D309" s="1">
        <v>27207.360000000001</v>
      </c>
      <c r="E309" s="1">
        <v>27677284.98</v>
      </c>
      <c r="F309" t="s">
        <v>1280</v>
      </c>
      <c r="I309" s="16">
        <f>-IFERROR(VLOOKUP(C309,SIRCUPA!$A$21:$H$186,8,0),0)</f>
        <v>0</v>
      </c>
      <c r="J309" s="68">
        <f>-IFERROR(VLOOKUP(C309,SIRTAC!$A$16:$H$1405,8,0),0)</f>
        <v>-288</v>
      </c>
      <c r="K309" s="68">
        <f>-IFERROR(VLOOKUP(C309,Gastos!$A$9:$J$1398,10,0),0)</f>
        <v>-1131.8399999999999</v>
      </c>
      <c r="L309" s="68">
        <f>-IFERROR(VLOOKUP(C309,IDC!$A$20:$H$1596,8,0),0)</f>
        <v>-172.8</v>
      </c>
      <c r="M309" s="74">
        <f t="shared" si="5"/>
        <v>28800</v>
      </c>
    </row>
    <row r="310" spans="1:13" customFormat="1">
      <c r="A310" t="s">
        <v>55</v>
      </c>
      <c r="B310" t="s">
        <v>11</v>
      </c>
      <c r="C310" s="51">
        <v>136330605015</v>
      </c>
      <c r="D310" s="1">
        <v>18490.419999999998</v>
      </c>
      <c r="E310" s="1">
        <v>27695775.399999999</v>
      </c>
      <c r="F310" t="s">
        <v>1280</v>
      </c>
      <c r="I310" s="16">
        <f>-IFERROR(VLOOKUP(C310,SIRCUPA!$A$21:$H$186,8,0),0)</f>
        <v>0</v>
      </c>
      <c r="J310" s="68">
        <f>-IFERROR(VLOOKUP(C310,SIRTAC!$A$16:$H$1405,8,0),0)</f>
        <v>-197</v>
      </c>
      <c r="K310" s="68">
        <f>-IFERROR(VLOOKUP(C310,Gastos!$A$9:$J$1398,10,0),0)</f>
        <v>-894.38</v>
      </c>
      <c r="L310" s="68">
        <f>-IFERROR(VLOOKUP(C310,IDC!$A$20:$H$1596,8,0),0)</f>
        <v>-118.2</v>
      </c>
      <c r="M310" s="74">
        <f t="shared" si="5"/>
        <v>19700</v>
      </c>
    </row>
    <row r="311" spans="1:13" customFormat="1">
      <c r="A311" t="s">
        <v>55</v>
      </c>
      <c r="B311" t="s">
        <v>11</v>
      </c>
      <c r="C311" s="51">
        <v>136330599489</v>
      </c>
      <c r="D311" s="1">
        <v>73949.37</v>
      </c>
      <c r="E311" s="1">
        <v>27769724.77</v>
      </c>
      <c r="F311" t="s">
        <v>1280</v>
      </c>
      <c r="I311" s="16">
        <f>-IFERROR(VLOOKUP(C311,SIRCUPA!$A$21:$H$186,8,0),0)</f>
        <v>0</v>
      </c>
      <c r="J311" s="68">
        <f>-IFERROR(VLOOKUP(C311,SIRTAC!$A$16:$H$1405,8,0),0)</f>
        <v>-759</v>
      </c>
      <c r="K311" s="68">
        <f>-IFERROR(VLOOKUP(C311,Gastos!$A$9:$J$1398,10,0),0)</f>
        <v>-736.23</v>
      </c>
      <c r="L311" s="68">
        <f>-IFERROR(VLOOKUP(C311,IDC!$A$20:$H$1596,8,0),0)</f>
        <v>-455.4</v>
      </c>
      <c r="M311" s="74">
        <f t="shared" ref="M311:M352" si="6">+D311-I311-J311-K311-L311</f>
        <v>75899.999999999985</v>
      </c>
    </row>
    <row r="312" spans="1:13" customFormat="1">
      <c r="A312" t="s">
        <v>55</v>
      </c>
      <c r="B312" t="s">
        <v>11</v>
      </c>
      <c r="C312" s="51">
        <v>136330783263</v>
      </c>
      <c r="D312" s="1">
        <v>10391.700000000001</v>
      </c>
      <c r="E312" s="1">
        <v>27780116.469999999</v>
      </c>
      <c r="F312" t="s">
        <v>1280</v>
      </c>
      <c r="I312" s="16">
        <f>-IFERROR(VLOOKUP(C312,SIRCUPA!$A$21:$H$186,8,0),0)</f>
        <v>0</v>
      </c>
      <c r="J312" s="68">
        <f>-IFERROR(VLOOKUP(C312,SIRTAC!$A$16:$H$1405,8,0),0)</f>
        <v>-110</v>
      </c>
      <c r="K312" s="68">
        <f>-IFERROR(VLOOKUP(C312,Gastos!$A$9:$J$1398,10,0),0)</f>
        <v>-432.3</v>
      </c>
      <c r="L312" s="68">
        <f>-IFERROR(VLOOKUP(C312,IDC!$A$20:$H$1596,8,0),0)</f>
        <v>-66</v>
      </c>
      <c r="M312" s="74">
        <f t="shared" si="6"/>
        <v>11000</v>
      </c>
    </row>
    <row r="313" spans="1:13" customFormat="1">
      <c r="A313" t="s">
        <v>55</v>
      </c>
      <c r="B313" t="s">
        <v>11</v>
      </c>
      <c r="C313" s="51">
        <v>136330964239</v>
      </c>
      <c r="D313" s="1">
        <v>57873.42</v>
      </c>
      <c r="E313" s="1">
        <v>27837989.890000001</v>
      </c>
      <c r="F313" t="s">
        <v>1280</v>
      </c>
      <c r="I313" s="16">
        <f>-IFERROR(VLOOKUP(C313,SIRCUPA!$A$21:$H$186,8,0),0)</f>
        <v>0</v>
      </c>
      <c r="J313" s="68">
        <f>-IFERROR(VLOOKUP(C313,SIRTAC!$A$16:$H$1405,8,0),0)</f>
        <v>-594</v>
      </c>
      <c r="K313" s="68">
        <f>-IFERROR(VLOOKUP(C313,Gastos!$A$9:$J$1398,10,0),0)</f>
        <v>-576.17999999999995</v>
      </c>
      <c r="L313" s="68">
        <f>-IFERROR(VLOOKUP(C313,IDC!$A$20:$H$1596,8,0),0)</f>
        <v>-356.4</v>
      </c>
      <c r="M313" s="74">
        <f t="shared" si="6"/>
        <v>59400</v>
      </c>
    </row>
    <row r="314" spans="1:13" customFormat="1">
      <c r="A314" t="s">
        <v>55</v>
      </c>
      <c r="B314" t="s">
        <v>11</v>
      </c>
      <c r="C314" s="51">
        <v>136955923120</v>
      </c>
      <c r="D314" s="1">
        <v>8625.0499999999993</v>
      </c>
      <c r="E314" s="1">
        <v>27846614.940000001</v>
      </c>
      <c r="F314" t="s">
        <v>1280</v>
      </c>
      <c r="I314" s="16">
        <f>-IFERROR(VLOOKUP(C314,SIRCUPA!$A$21:$H$186,8,0),0)</f>
        <v>0</v>
      </c>
      <c r="J314" s="68">
        <f>-IFERROR(VLOOKUP(C314,SIRTAC!$A$16:$H$1405,8,0),0)</f>
        <v>-95</v>
      </c>
      <c r="K314" s="68">
        <f>-IFERROR(VLOOKUP(C314,Gastos!$A$9:$J$1398,10,0),0)</f>
        <v>-722.95</v>
      </c>
      <c r="L314" s="68">
        <f>-IFERROR(VLOOKUP(C314,IDC!$A$20:$H$1596,8,0),0)</f>
        <v>-57</v>
      </c>
      <c r="M314" s="74">
        <f t="shared" si="6"/>
        <v>9500</v>
      </c>
    </row>
    <row r="315" spans="1:13" customFormat="1">
      <c r="A315" t="s">
        <v>55</v>
      </c>
      <c r="B315" t="s">
        <v>11</v>
      </c>
      <c r="C315" s="51">
        <v>136331418449</v>
      </c>
      <c r="D315" s="1">
        <v>53124.76</v>
      </c>
      <c r="E315" s="1">
        <v>27899739.699999999</v>
      </c>
      <c r="F315" t="s">
        <v>1280</v>
      </c>
      <c r="I315" s="16">
        <f>-IFERROR(VLOOKUP(C315,SIRCUPA!$A$21:$H$186,8,0),0)</f>
        <v>0</v>
      </c>
      <c r="J315" s="68">
        <f>-IFERROR(VLOOKUP(C315,SIRTAC!$A$16:$H$1405,8,0),0)</f>
        <v>-566</v>
      </c>
      <c r="K315" s="68">
        <f>-IFERROR(VLOOKUP(C315,Gastos!$A$9:$J$1398,10,0),0)</f>
        <v>-2569.64</v>
      </c>
      <c r="L315" s="68">
        <f>-IFERROR(VLOOKUP(C315,IDC!$A$20:$H$1596,8,0),0)</f>
        <v>-339.6</v>
      </c>
      <c r="M315" s="74">
        <f t="shared" si="6"/>
        <v>56600</v>
      </c>
    </row>
    <row r="316" spans="1:13" customFormat="1">
      <c r="A316" t="s">
        <v>55</v>
      </c>
      <c r="B316" t="s">
        <v>11</v>
      </c>
      <c r="C316" s="51">
        <v>136331423567</v>
      </c>
      <c r="D316" s="1">
        <v>43064.06</v>
      </c>
      <c r="E316" s="1">
        <v>27942803.760000002</v>
      </c>
      <c r="F316" t="s">
        <v>1280</v>
      </c>
      <c r="I316" s="16">
        <f>-IFERROR(VLOOKUP(C316,SIRCUPA!$A$21:$H$186,8,0),0)</f>
        <v>0</v>
      </c>
      <c r="J316" s="68">
        <f>-IFERROR(VLOOKUP(C316,SIRTAC!$A$16:$H$1405,8,0),0)</f>
        <v>-442</v>
      </c>
      <c r="K316" s="68">
        <f>-IFERROR(VLOOKUP(C316,Gastos!$A$9:$J$1398,10,0),0)</f>
        <v>-428.74</v>
      </c>
      <c r="L316" s="68">
        <f>-IFERROR(VLOOKUP(C316,IDC!$A$20:$H$1596,8,0),0)</f>
        <v>-265.2</v>
      </c>
      <c r="M316" s="74">
        <f t="shared" si="6"/>
        <v>44199.999999999993</v>
      </c>
    </row>
    <row r="317" spans="1:13" customFormat="1">
      <c r="A317" t="s">
        <v>55</v>
      </c>
      <c r="B317" t="s">
        <v>11</v>
      </c>
      <c r="C317" s="51">
        <v>136956632996</v>
      </c>
      <c r="D317" s="1">
        <v>21493.94</v>
      </c>
      <c r="E317" s="1">
        <v>27964297.699999999</v>
      </c>
      <c r="F317" t="s">
        <v>1280</v>
      </c>
      <c r="I317" s="16">
        <f>-IFERROR(VLOOKUP(C317,SIRCUPA!$A$21:$H$186,8,0),0)</f>
        <v>0</v>
      </c>
      <c r="J317" s="68">
        <f>-IFERROR(VLOOKUP(C317,SIRTAC!$A$16:$H$1405,8,0),0)</f>
        <v>-229</v>
      </c>
      <c r="K317" s="68">
        <f>-IFERROR(VLOOKUP(C317,Gastos!$A$9:$J$1398,10,0),0)</f>
        <v>-1039.6600000000001</v>
      </c>
      <c r="L317" s="68">
        <f>-IFERROR(VLOOKUP(C317,IDC!$A$20:$H$1596,8,0),0)</f>
        <v>-137.4</v>
      </c>
      <c r="M317" s="74">
        <f t="shared" si="6"/>
        <v>22900</v>
      </c>
    </row>
    <row r="318" spans="1:13" customFormat="1">
      <c r="A318" t="s">
        <v>55</v>
      </c>
      <c r="B318" t="s">
        <v>56</v>
      </c>
      <c r="C318" s="51">
        <v>136956585806</v>
      </c>
      <c r="D318" s="1">
        <v>1120.95</v>
      </c>
      <c r="E318" s="1">
        <v>27965418.649999999</v>
      </c>
      <c r="F318" t="s">
        <v>1280</v>
      </c>
      <c r="I318" s="16">
        <f>-IFERROR(VLOOKUP(C318,SIRCUPA!$A$21:$H$186,8,0),0)</f>
        <v>-17.18</v>
      </c>
      <c r="J318" s="68">
        <f>-IFERROR(VLOOKUP(C318,SIRTAC!$A$16:$H$1405,8,0),0)</f>
        <v>0</v>
      </c>
      <c r="K318" s="68">
        <f>-IFERROR(VLOOKUP(C318,Gastos!$A$9:$J$1398,10,0),0)</f>
        <v>0</v>
      </c>
      <c r="L318" s="68">
        <f>-IFERROR(VLOOKUP(C318,IDC!$A$20:$H$1596,8,0),0)</f>
        <v>-6.87</v>
      </c>
      <c r="M318" s="74">
        <f t="shared" si="6"/>
        <v>1145</v>
      </c>
    </row>
    <row r="319" spans="1:13" customFormat="1">
      <c r="A319" t="s">
        <v>55</v>
      </c>
      <c r="B319" t="s">
        <v>11</v>
      </c>
      <c r="C319" s="51">
        <v>136956816280</v>
      </c>
      <c r="D319" s="1">
        <v>20881.7</v>
      </c>
      <c r="E319" s="1">
        <v>27986300.350000001</v>
      </c>
      <c r="F319" t="s">
        <v>1280</v>
      </c>
      <c r="I319" s="16">
        <f>-IFERROR(VLOOKUP(C319,SIRCUPA!$A$21:$H$186,8,0),0)</f>
        <v>0</v>
      </c>
      <c r="J319" s="68">
        <f>-IFERROR(VLOOKUP(C319,SIRTAC!$A$16:$H$1405,8,0),0)</f>
        <v>-230</v>
      </c>
      <c r="K319" s="68">
        <f>-IFERROR(VLOOKUP(C319,Gastos!$A$9:$J$1398,10,0),0)</f>
        <v>-1750.3</v>
      </c>
      <c r="L319" s="68">
        <f>-IFERROR(VLOOKUP(C319,IDC!$A$20:$H$1596,8,0),0)</f>
        <v>-138</v>
      </c>
      <c r="M319" s="74">
        <f t="shared" si="6"/>
        <v>23000</v>
      </c>
    </row>
    <row r="320" spans="1:13" customFormat="1">
      <c r="A320" t="s">
        <v>55</v>
      </c>
      <c r="B320" t="s">
        <v>11</v>
      </c>
      <c r="C320" s="51">
        <v>136956905972</v>
      </c>
      <c r="D320" s="1">
        <v>42674.34</v>
      </c>
      <c r="E320" s="1">
        <v>28028974.690000001</v>
      </c>
      <c r="F320" t="s">
        <v>1280</v>
      </c>
      <c r="I320" s="16">
        <f>-IFERROR(VLOOKUP(C320,SIRCUPA!$A$21:$H$186,8,0),0)</f>
        <v>0</v>
      </c>
      <c r="J320" s="68">
        <f>-IFERROR(VLOOKUP(C320,SIRTAC!$A$16:$H$1405,8,0),0)</f>
        <v>-438</v>
      </c>
      <c r="K320" s="68">
        <f>-IFERROR(VLOOKUP(C320,Gastos!$A$9:$J$1398,10,0),0)</f>
        <v>-424.86</v>
      </c>
      <c r="L320" s="68">
        <f>-IFERROR(VLOOKUP(C320,IDC!$A$20:$H$1596,8,0),0)</f>
        <v>-262.8</v>
      </c>
      <c r="M320" s="74">
        <f t="shared" si="6"/>
        <v>43800</v>
      </c>
    </row>
    <row r="321" spans="1:13" customFormat="1">
      <c r="A321" t="s">
        <v>55</v>
      </c>
      <c r="B321" t="s">
        <v>11</v>
      </c>
      <c r="C321" s="51">
        <v>136332882027</v>
      </c>
      <c r="D321" s="1">
        <v>76426.23</v>
      </c>
      <c r="E321" s="1">
        <v>28105400.920000002</v>
      </c>
      <c r="F321" t="s">
        <v>1280</v>
      </c>
      <c r="I321" s="16">
        <f>-IFERROR(VLOOKUP(C321,SIRCUPA!$A$21:$H$186,8,0),0)</f>
        <v>0</v>
      </c>
      <c r="J321" s="68">
        <f>-IFERROR(VLOOKUP(C321,SIRTAC!$A$16:$H$1405,8,0),0)</f>
        <v>-809</v>
      </c>
      <c r="K321" s="68">
        <f>-IFERROR(VLOOKUP(C321,Gastos!$A$9:$J$1398,10,0),0)</f>
        <v>-3179.37</v>
      </c>
      <c r="L321" s="68">
        <f>-IFERROR(VLOOKUP(C321,IDC!$A$20:$H$1596,8,0),0)</f>
        <v>-485.4</v>
      </c>
      <c r="M321" s="74">
        <f t="shared" si="6"/>
        <v>80899.999999999985</v>
      </c>
    </row>
    <row r="322" spans="1:13" customFormat="1">
      <c r="A322" t="s">
        <v>55</v>
      </c>
      <c r="B322" t="s">
        <v>11</v>
      </c>
      <c r="C322" s="51">
        <v>136958169118</v>
      </c>
      <c r="D322" s="1">
        <v>59529.73</v>
      </c>
      <c r="E322" s="1">
        <v>28164930.649999999</v>
      </c>
      <c r="F322" t="s">
        <v>1280</v>
      </c>
      <c r="I322" s="16">
        <f>-IFERROR(VLOOKUP(C322,SIRCUPA!$A$21:$H$186,8,0),0)</f>
        <v>0</v>
      </c>
      <c r="J322" s="68">
        <f>-IFERROR(VLOOKUP(C322,SIRTAC!$A$16:$H$1405,8,0),0)</f>
        <v>-611</v>
      </c>
      <c r="K322" s="68">
        <f>-IFERROR(VLOOKUP(C322,Gastos!$A$9:$J$1398,10,0),0)</f>
        <v>-592.66999999999996</v>
      </c>
      <c r="L322" s="68">
        <f>-IFERROR(VLOOKUP(C322,IDC!$A$20:$H$1596,8,0),0)</f>
        <v>-366.6</v>
      </c>
      <c r="M322" s="74">
        <f t="shared" si="6"/>
        <v>61100</v>
      </c>
    </row>
    <row r="323" spans="1:13" customFormat="1">
      <c r="A323" t="s">
        <v>55</v>
      </c>
      <c r="B323" t="s">
        <v>11</v>
      </c>
      <c r="C323" s="51">
        <v>136333515769</v>
      </c>
      <c r="D323" s="1">
        <v>2815.8</v>
      </c>
      <c r="E323" s="1">
        <v>28167746.449999999</v>
      </c>
      <c r="F323" t="s">
        <v>1280</v>
      </c>
      <c r="I323" s="16">
        <f>-IFERROR(VLOOKUP(C323,SIRCUPA!$A$21:$H$186,8,0),0)</f>
        <v>0</v>
      </c>
      <c r="J323" s="68">
        <f>-IFERROR(VLOOKUP(C323,SIRTAC!$A$16:$H$1405,8,0),0)</f>
        <v>-30</v>
      </c>
      <c r="K323" s="68">
        <f>-IFERROR(VLOOKUP(C323,Gastos!$A$9:$J$1398,10,0),0)</f>
        <v>-136.19999999999999</v>
      </c>
      <c r="L323" s="68">
        <f>-IFERROR(VLOOKUP(C323,IDC!$A$20:$H$1596,8,0),0)</f>
        <v>-18</v>
      </c>
      <c r="M323" s="74">
        <f t="shared" si="6"/>
        <v>3000</v>
      </c>
    </row>
    <row r="324" spans="1:13" customFormat="1">
      <c r="A324" t="s">
        <v>55</v>
      </c>
      <c r="B324" t="s">
        <v>11</v>
      </c>
      <c r="C324" s="51">
        <v>136333640811</v>
      </c>
      <c r="D324" s="1">
        <v>8353.5400000000009</v>
      </c>
      <c r="E324" s="1">
        <v>28176099.989999998</v>
      </c>
      <c r="F324" t="s">
        <v>1280</v>
      </c>
      <c r="I324" s="16">
        <f>-IFERROR(VLOOKUP(C324,SIRCUPA!$A$21:$H$186,8,0),0)</f>
        <v>0</v>
      </c>
      <c r="J324" s="68">
        <f>-IFERROR(VLOOKUP(C324,SIRTAC!$A$16:$H$1405,8,0),0)</f>
        <v>-89</v>
      </c>
      <c r="K324" s="68">
        <f>-IFERROR(VLOOKUP(C324,Gastos!$A$9:$J$1398,10,0),0)</f>
        <v>-404.06</v>
      </c>
      <c r="L324" s="68">
        <f>-IFERROR(VLOOKUP(C324,IDC!$A$20:$H$1596,8,0),0)</f>
        <v>-53.4</v>
      </c>
      <c r="M324" s="74">
        <f t="shared" si="6"/>
        <v>8900</v>
      </c>
    </row>
    <row r="325" spans="1:13" customFormat="1">
      <c r="A325" t="s">
        <v>55</v>
      </c>
      <c r="B325" t="s">
        <v>11</v>
      </c>
      <c r="C325" s="51">
        <v>136333603887</v>
      </c>
      <c r="D325" s="1">
        <v>31859.61</v>
      </c>
      <c r="E325" s="1">
        <v>28207959.600000001</v>
      </c>
      <c r="F325" t="s">
        <v>1280</v>
      </c>
      <c r="I325" s="16">
        <f>-IFERROR(VLOOKUP(C325,SIRCUPA!$A$21:$H$186,8,0),0)</f>
        <v>0</v>
      </c>
      <c r="J325" s="68">
        <f>-IFERROR(VLOOKUP(C325,SIRTAC!$A$16:$H$1405,8,0),0)</f>
        <v>-327</v>
      </c>
      <c r="K325" s="68">
        <f>-IFERROR(VLOOKUP(C325,Gastos!$A$9:$J$1398,10,0),0)</f>
        <v>-317.19</v>
      </c>
      <c r="L325" s="68">
        <f>-IFERROR(VLOOKUP(C325,IDC!$A$20:$H$1596,8,0),0)</f>
        <v>-196.2</v>
      </c>
      <c r="M325" s="74">
        <f t="shared" si="6"/>
        <v>32700</v>
      </c>
    </row>
    <row r="326" spans="1:13" customFormat="1">
      <c r="A326" t="s">
        <v>55</v>
      </c>
      <c r="B326" t="s">
        <v>11</v>
      </c>
      <c r="C326" s="51">
        <v>136333850811</v>
      </c>
      <c r="D326" s="1">
        <v>11886.46</v>
      </c>
      <c r="E326" s="1">
        <v>28219846.059999999</v>
      </c>
      <c r="F326" t="s">
        <v>1280</v>
      </c>
      <c r="I326" s="16">
        <f>-IFERROR(VLOOKUP(C326,SIRCUPA!$A$21:$H$186,8,0),0)</f>
        <v>0</v>
      </c>
      <c r="J326" s="68">
        <f>-IFERROR(VLOOKUP(C326,SIRTAC!$A$16:$H$1405,8,0),0)</f>
        <v>-122</v>
      </c>
      <c r="K326" s="68">
        <f>-IFERROR(VLOOKUP(C326,Gastos!$A$9:$J$1398,10,0),0)</f>
        <v>-118.34</v>
      </c>
      <c r="L326" s="68">
        <f>-IFERROR(VLOOKUP(C326,IDC!$A$20:$H$1596,8,0),0)</f>
        <v>-73.2</v>
      </c>
      <c r="M326" s="74">
        <f t="shared" si="6"/>
        <v>12200</v>
      </c>
    </row>
    <row r="327" spans="1:13" customFormat="1">
      <c r="A327" t="s">
        <v>55</v>
      </c>
      <c r="B327" t="s">
        <v>11</v>
      </c>
      <c r="C327" s="51">
        <v>136334028143</v>
      </c>
      <c r="D327" s="1">
        <v>47058.69</v>
      </c>
      <c r="E327" s="1">
        <v>28266904.75</v>
      </c>
      <c r="F327" t="s">
        <v>1280</v>
      </c>
      <c r="I327" s="16">
        <f>-IFERROR(VLOOKUP(C327,SIRCUPA!$A$21:$H$186,8,0),0)</f>
        <v>0</v>
      </c>
      <c r="J327" s="68">
        <f>-IFERROR(VLOOKUP(C327,SIRTAC!$A$16:$H$1405,8,0),0)</f>
        <v>-483</v>
      </c>
      <c r="K327" s="68">
        <f>-IFERROR(VLOOKUP(C327,Gastos!$A$9:$J$1398,10,0),0)</f>
        <v>-468.51</v>
      </c>
      <c r="L327" s="68">
        <f>-IFERROR(VLOOKUP(C327,IDC!$A$20:$H$1596,8,0),0)</f>
        <v>-289.8</v>
      </c>
      <c r="M327" s="74">
        <f t="shared" si="6"/>
        <v>48300.000000000007</v>
      </c>
    </row>
    <row r="328" spans="1:13" customFormat="1">
      <c r="A328" t="s">
        <v>55</v>
      </c>
      <c r="B328" t="s">
        <v>57</v>
      </c>
      <c r="C328" s="51">
        <v>136333911623</v>
      </c>
      <c r="D328" s="1">
        <v>2364.2800000000002</v>
      </c>
      <c r="E328" s="1">
        <v>28269269.030000001</v>
      </c>
      <c r="F328" t="s">
        <v>1280</v>
      </c>
      <c r="I328" s="16">
        <f>-IFERROR(VLOOKUP(C328,SIRCUPA!$A$21:$H$186,8,0),0)</f>
        <v>-36.229999999999997</v>
      </c>
      <c r="J328" s="68">
        <f>-IFERROR(VLOOKUP(C328,SIRTAC!$A$16:$H$1405,8,0),0)</f>
        <v>0</v>
      </c>
      <c r="K328" s="68">
        <f>-IFERROR(VLOOKUP(C328,Gastos!$A$9:$J$1398,10,0),0)</f>
        <v>0</v>
      </c>
      <c r="L328" s="68">
        <f>-IFERROR(VLOOKUP(C328,IDC!$A$20:$H$1596,8,0),0)</f>
        <v>-14.49</v>
      </c>
      <c r="M328" s="74">
        <f t="shared" si="6"/>
        <v>2415</v>
      </c>
    </row>
    <row r="329" spans="1:13" customFormat="1">
      <c r="A329" t="s">
        <v>55</v>
      </c>
      <c r="B329" t="s">
        <v>11</v>
      </c>
      <c r="C329" s="51">
        <v>136958415842</v>
      </c>
      <c r="D329" s="1">
        <v>17732.259999999998</v>
      </c>
      <c r="E329" s="1">
        <v>28287001.289999999</v>
      </c>
      <c r="F329" t="s">
        <v>1280</v>
      </c>
      <c r="I329" s="16">
        <f>-IFERROR(VLOOKUP(C329,SIRCUPA!$A$21:$H$186,8,0),0)</f>
        <v>0</v>
      </c>
      <c r="J329" s="68">
        <f>-IFERROR(VLOOKUP(C329,SIRTAC!$A$16:$H$1405,8,0),0)</f>
        <v>-182</v>
      </c>
      <c r="K329" s="68">
        <f>-IFERROR(VLOOKUP(C329,Gastos!$A$9:$J$1398,10,0),0)</f>
        <v>-176.54</v>
      </c>
      <c r="L329" s="68">
        <f>-IFERROR(VLOOKUP(C329,IDC!$A$20:$H$1596,8,0),0)</f>
        <v>-109.2</v>
      </c>
      <c r="M329" s="74">
        <f t="shared" si="6"/>
        <v>18200</v>
      </c>
    </row>
    <row r="330" spans="1:13" customFormat="1">
      <c r="A330" t="s">
        <v>55</v>
      </c>
      <c r="B330" t="s">
        <v>11</v>
      </c>
      <c r="C330" s="51">
        <v>136334135265</v>
      </c>
      <c r="D330" s="1">
        <v>29229</v>
      </c>
      <c r="E330" s="1">
        <v>28316230.289999999</v>
      </c>
      <c r="F330" t="s">
        <v>1280</v>
      </c>
      <c r="I330" s="16">
        <f>-IFERROR(VLOOKUP(C330,SIRCUPA!$A$21:$H$186,8,0),0)</f>
        <v>0</v>
      </c>
      <c r="J330" s="68">
        <f>-IFERROR(VLOOKUP(C330,SIRTAC!$A$16:$H$1405,8,0),0)</f>
        <v>-300</v>
      </c>
      <c r="K330" s="68">
        <f>-IFERROR(VLOOKUP(C330,Gastos!$A$9:$J$1398,10,0),0)</f>
        <v>-291</v>
      </c>
      <c r="L330" s="68">
        <f>-IFERROR(VLOOKUP(C330,IDC!$A$20:$H$1596,8,0),0)</f>
        <v>-180</v>
      </c>
      <c r="M330" s="74">
        <f t="shared" si="6"/>
        <v>30000</v>
      </c>
    </row>
    <row r="331" spans="1:13" customFormat="1">
      <c r="A331" t="s">
        <v>55</v>
      </c>
      <c r="B331" t="s">
        <v>11</v>
      </c>
      <c r="C331" s="51">
        <v>136334261105</v>
      </c>
      <c r="D331" s="1">
        <v>7696.97</v>
      </c>
      <c r="E331" s="1">
        <v>28323927.260000002</v>
      </c>
      <c r="F331" t="s">
        <v>1280</v>
      </c>
      <c r="I331" s="16">
        <f>-IFERROR(VLOOKUP(C331,SIRCUPA!$A$21:$H$186,8,0),0)</f>
        <v>0</v>
      </c>
      <c r="J331" s="68">
        <f>-IFERROR(VLOOKUP(C331,SIRTAC!$A$16:$H$1405,8,0),0)</f>
        <v>-79</v>
      </c>
      <c r="K331" s="68">
        <f>-IFERROR(VLOOKUP(C331,Gastos!$A$9:$J$1398,10,0),0)</f>
        <v>-76.63</v>
      </c>
      <c r="L331" s="68">
        <f>-IFERROR(VLOOKUP(C331,IDC!$A$20:$H$1596,8,0),0)</f>
        <v>-47.4</v>
      </c>
      <c r="M331" s="74">
        <f t="shared" si="6"/>
        <v>7900</v>
      </c>
    </row>
    <row r="332" spans="1:13" customFormat="1">
      <c r="A332" t="s">
        <v>55</v>
      </c>
      <c r="B332" t="s">
        <v>58</v>
      </c>
      <c r="C332" s="51">
        <v>136334300589</v>
      </c>
      <c r="D332">
        <v>386.7</v>
      </c>
      <c r="E332" s="1">
        <v>28324313.960000001</v>
      </c>
      <c r="F332" t="s">
        <v>1280</v>
      </c>
      <c r="I332" s="16">
        <f>-IFERROR(VLOOKUP(C332,SIRCUPA!$A$21:$H$186,8,0),0)</f>
        <v>-5.93</v>
      </c>
      <c r="J332" s="68">
        <f>-IFERROR(VLOOKUP(C332,SIRTAC!$A$16:$H$1405,8,0),0)</f>
        <v>0</v>
      </c>
      <c r="K332" s="68">
        <f>-IFERROR(VLOOKUP(C332,Gastos!$A$9:$J$1398,10,0),0)</f>
        <v>0</v>
      </c>
      <c r="L332" s="68">
        <f>-IFERROR(VLOOKUP(C332,IDC!$A$20:$H$1596,8,0),0)</f>
        <v>-2.37</v>
      </c>
      <c r="M332" s="74">
        <f t="shared" si="6"/>
        <v>395</v>
      </c>
    </row>
    <row r="333" spans="1:13" customFormat="1">
      <c r="A333" t="s">
        <v>55</v>
      </c>
      <c r="B333" t="s">
        <v>11</v>
      </c>
      <c r="C333" s="51">
        <v>136334273453</v>
      </c>
      <c r="D333" s="1">
        <v>15393.94</v>
      </c>
      <c r="E333" s="1">
        <v>28339707.899999999</v>
      </c>
      <c r="F333" t="s">
        <v>1280</v>
      </c>
      <c r="I333" s="16">
        <f>-IFERROR(VLOOKUP(C333,SIRCUPA!$A$21:$H$186,8,0),0)</f>
        <v>0</v>
      </c>
      <c r="J333" s="68">
        <f>-IFERROR(VLOOKUP(C333,SIRTAC!$A$16:$H$1405,8,0),0)</f>
        <v>-158</v>
      </c>
      <c r="K333" s="68">
        <f>-IFERROR(VLOOKUP(C333,Gastos!$A$9:$J$1398,10,0),0)</f>
        <v>-153.26</v>
      </c>
      <c r="L333" s="68">
        <f>-IFERROR(VLOOKUP(C333,IDC!$A$20:$H$1596,8,0),0)</f>
        <v>-94.8</v>
      </c>
      <c r="M333" s="74">
        <f t="shared" si="6"/>
        <v>15800</v>
      </c>
    </row>
    <row r="334" spans="1:13" customFormat="1">
      <c r="A334" t="s">
        <v>55</v>
      </c>
      <c r="B334" t="s">
        <v>11</v>
      </c>
      <c r="C334" s="51">
        <v>136958889094</v>
      </c>
      <c r="D334" s="1">
        <v>19680.86</v>
      </c>
      <c r="E334" s="1">
        <v>28359388.760000002</v>
      </c>
      <c r="F334" t="s">
        <v>1280</v>
      </c>
      <c r="I334" s="16">
        <f>-IFERROR(VLOOKUP(C334,SIRCUPA!$A$21:$H$186,8,0),0)</f>
        <v>0</v>
      </c>
      <c r="J334" s="68">
        <f>-IFERROR(VLOOKUP(C334,SIRTAC!$A$16:$H$1405,8,0),0)</f>
        <v>-202</v>
      </c>
      <c r="K334" s="68">
        <f>-IFERROR(VLOOKUP(C334,Gastos!$A$9:$J$1398,10,0),0)</f>
        <v>-195.94</v>
      </c>
      <c r="L334" s="68">
        <f>-IFERROR(VLOOKUP(C334,IDC!$A$20:$H$1596,8,0),0)</f>
        <v>-121.2</v>
      </c>
      <c r="M334" s="74">
        <f t="shared" si="6"/>
        <v>20200</v>
      </c>
    </row>
    <row r="335" spans="1:13" customFormat="1">
      <c r="A335" t="s">
        <v>55</v>
      </c>
      <c r="B335" t="s">
        <v>59</v>
      </c>
      <c r="C335" s="51">
        <v>136958796086</v>
      </c>
      <c r="D335">
        <v>988.79</v>
      </c>
      <c r="E335" s="1">
        <v>28360377.550000001</v>
      </c>
      <c r="F335" t="s">
        <v>1280</v>
      </c>
      <c r="I335" s="16">
        <f>-IFERROR(VLOOKUP(C335,SIRCUPA!$A$21:$H$186,8,0),0)</f>
        <v>-15.15</v>
      </c>
      <c r="J335" s="68">
        <f>-IFERROR(VLOOKUP(C335,SIRTAC!$A$16:$H$1405,8,0),0)</f>
        <v>0</v>
      </c>
      <c r="K335" s="68">
        <f>-IFERROR(VLOOKUP(C335,Gastos!$A$9:$J$1398,10,0),0)</f>
        <v>0</v>
      </c>
      <c r="L335" s="68">
        <f>-IFERROR(VLOOKUP(C335,IDC!$A$20:$H$1596,8,0),0)</f>
        <v>-6.06</v>
      </c>
      <c r="M335" s="74">
        <f t="shared" si="6"/>
        <v>1009.9999999999999</v>
      </c>
    </row>
    <row r="336" spans="1:13" customFormat="1">
      <c r="A336" t="s">
        <v>55</v>
      </c>
      <c r="B336" t="s">
        <v>11</v>
      </c>
      <c r="C336" s="51">
        <v>136958915420</v>
      </c>
      <c r="D336" s="1">
        <v>9255.85</v>
      </c>
      <c r="E336" s="1">
        <v>28369633.399999999</v>
      </c>
      <c r="F336" t="s">
        <v>1280</v>
      </c>
      <c r="I336" s="16">
        <f>-IFERROR(VLOOKUP(C336,SIRCUPA!$A$21:$H$186,8,0),0)</f>
        <v>0</v>
      </c>
      <c r="J336" s="68">
        <f>-IFERROR(VLOOKUP(C336,SIRTAC!$A$16:$H$1405,8,0),0)</f>
        <v>-95</v>
      </c>
      <c r="K336" s="68">
        <f>-IFERROR(VLOOKUP(C336,Gastos!$A$9:$J$1398,10,0),0)</f>
        <v>-92.15</v>
      </c>
      <c r="L336" s="68">
        <f>-IFERROR(VLOOKUP(C336,IDC!$A$20:$H$1596,8,0),0)</f>
        <v>-57</v>
      </c>
      <c r="M336" s="74">
        <f t="shared" si="6"/>
        <v>9500</v>
      </c>
    </row>
    <row r="337" spans="1:13" customFormat="1">
      <c r="A337" t="s">
        <v>55</v>
      </c>
      <c r="B337" t="s">
        <v>60</v>
      </c>
      <c r="C337" s="51">
        <v>136334392821</v>
      </c>
      <c r="D337">
        <v>465.02</v>
      </c>
      <c r="E337" s="1">
        <v>28370098.420000002</v>
      </c>
      <c r="F337" t="s">
        <v>1280</v>
      </c>
      <c r="I337" s="16">
        <f>-IFERROR(VLOOKUP(C337,SIRCUPA!$A$21:$H$186,8,0),0)</f>
        <v>-7.13</v>
      </c>
      <c r="J337" s="68">
        <f>-IFERROR(VLOOKUP(C337,SIRTAC!$A$16:$H$1405,8,0),0)</f>
        <v>0</v>
      </c>
      <c r="K337" s="68">
        <f>-IFERROR(VLOOKUP(C337,Gastos!$A$9:$J$1398,10,0),0)</f>
        <v>0</v>
      </c>
      <c r="L337" s="68">
        <f>-IFERROR(VLOOKUP(C337,IDC!$A$20:$H$1596,8,0),0)</f>
        <v>-2.85</v>
      </c>
      <c r="M337" s="74">
        <f t="shared" si="6"/>
        <v>475</v>
      </c>
    </row>
    <row r="338" spans="1:13" customFormat="1">
      <c r="A338" t="s">
        <v>55</v>
      </c>
      <c r="B338" t="s">
        <v>11</v>
      </c>
      <c r="C338" s="51">
        <v>136334494425</v>
      </c>
      <c r="D338" s="1">
        <v>25526.66</v>
      </c>
      <c r="E338" s="1">
        <v>28395625.079999998</v>
      </c>
      <c r="F338" t="s">
        <v>1280</v>
      </c>
      <c r="I338" s="16">
        <f>-IFERROR(VLOOKUP(C338,SIRCUPA!$A$21:$H$186,8,0),0)</f>
        <v>0</v>
      </c>
      <c r="J338" s="68">
        <f>-IFERROR(VLOOKUP(C338,SIRTAC!$A$16:$H$1405,8,0),0)</f>
        <v>-262</v>
      </c>
      <c r="K338" s="68">
        <f>-IFERROR(VLOOKUP(C338,Gastos!$A$9:$J$1398,10,0),0)</f>
        <v>-254.14</v>
      </c>
      <c r="L338" s="68">
        <f>-IFERROR(VLOOKUP(C338,IDC!$A$20:$H$1596,8,0),0)</f>
        <v>-157.19999999999999</v>
      </c>
      <c r="M338" s="74">
        <f t="shared" si="6"/>
        <v>26200</v>
      </c>
    </row>
    <row r="339" spans="1:13" customFormat="1">
      <c r="A339" t="s">
        <v>55</v>
      </c>
      <c r="B339" t="s">
        <v>11</v>
      </c>
      <c r="C339" s="51">
        <v>136959425226</v>
      </c>
      <c r="D339" s="1">
        <v>16368.24</v>
      </c>
      <c r="E339" s="1">
        <v>28411993.32</v>
      </c>
      <c r="F339" t="s">
        <v>1280</v>
      </c>
      <c r="I339" s="16">
        <f>-IFERROR(VLOOKUP(C339,SIRCUPA!$A$21:$H$186,8,0),0)</f>
        <v>0</v>
      </c>
      <c r="J339" s="68">
        <f>-IFERROR(VLOOKUP(C339,SIRTAC!$A$16:$H$1405,8,0),0)</f>
        <v>-168</v>
      </c>
      <c r="K339" s="68">
        <f>-IFERROR(VLOOKUP(C339,Gastos!$A$9:$J$1398,10,0),0)</f>
        <v>-162.96</v>
      </c>
      <c r="L339" s="68">
        <f>-IFERROR(VLOOKUP(C339,IDC!$A$20:$H$1596,8,0),0)</f>
        <v>-100.8</v>
      </c>
      <c r="M339" s="74">
        <f t="shared" si="6"/>
        <v>16799.999999999996</v>
      </c>
    </row>
    <row r="340" spans="1:13" customFormat="1">
      <c r="A340" t="s">
        <v>55</v>
      </c>
      <c r="B340" t="s">
        <v>11</v>
      </c>
      <c r="C340" s="51">
        <v>136334778599</v>
      </c>
      <c r="D340" s="1">
        <v>83066.100000000006</v>
      </c>
      <c r="E340" s="1">
        <v>28495059.420000002</v>
      </c>
      <c r="F340" t="s">
        <v>1280</v>
      </c>
      <c r="I340" s="16">
        <f>-IFERROR(VLOOKUP(C340,SIRCUPA!$A$21:$H$186,8,0),0)</f>
        <v>0</v>
      </c>
      <c r="J340" s="68">
        <f>-IFERROR(VLOOKUP(C340,SIRTAC!$A$16:$H$1405,8,0),0)</f>
        <v>-885</v>
      </c>
      <c r="K340" s="68">
        <f>-IFERROR(VLOOKUP(C340,Gastos!$A$9:$J$1398,10,0),0)</f>
        <v>-4017.9</v>
      </c>
      <c r="L340" s="68">
        <f>-IFERROR(VLOOKUP(C340,IDC!$A$20:$H$1596,8,0),0)</f>
        <v>-531</v>
      </c>
      <c r="M340" s="74">
        <f t="shared" si="6"/>
        <v>88500</v>
      </c>
    </row>
    <row r="341" spans="1:13" customFormat="1">
      <c r="A341" t="s">
        <v>55</v>
      </c>
      <c r="B341" t="s">
        <v>11</v>
      </c>
      <c r="C341" s="51">
        <v>136959531074</v>
      </c>
      <c r="D341" s="1">
        <v>20655.16</v>
      </c>
      <c r="E341" s="1">
        <v>28515714.579999998</v>
      </c>
      <c r="F341" t="s">
        <v>1280</v>
      </c>
      <c r="I341" s="16">
        <f>-IFERROR(VLOOKUP(C341,SIRCUPA!$A$21:$H$186,8,0),0)</f>
        <v>0</v>
      </c>
      <c r="J341" s="68">
        <f>-IFERROR(VLOOKUP(C341,SIRTAC!$A$16:$H$1405,8,0),0)</f>
        <v>-212</v>
      </c>
      <c r="K341" s="68">
        <f>-IFERROR(VLOOKUP(C341,Gastos!$A$9:$J$1398,10,0),0)</f>
        <v>-205.64</v>
      </c>
      <c r="L341" s="68">
        <f>-IFERROR(VLOOKUP(C341,IDC!$A$20:$H$1596,8,0),0)</f>
        <v>-127.2</v>
      </c>
      <c r="M341" s="74">
        <f t="shared" si="6"/>
        <v>21200</v>
      </c>
    </row>
    <row r="342" spans="1:13" customFormat="1">
      <c r="A342" t="s">
        <v>55</v>
      </c>
      <c r="B342" t="s">
        <v>11</v>
      </c>
      <c r="C342" s="51">
        <v>136334764081</v>
      </c>
      <c r="D342" s="1">
        <v>28059.84</v>
      </c>
      <c r="E342" s="1">
        <v>28543774.420000002</v>
      </c>
      <c r="F342" t="s">
        <v>1280</v>
      </c>
      <c r="I342" s="16">
        <f>-IFERROR(VLOOKUP(C342,SIRCUPA!$A$21:$H$186,8,0),0)</f>
        <v>0</v>
      </c>
      <c r="J342" s="68">
        <f>-IFERROR(VLOOKUP(C342,SIRTAC!$A$16:$H$1405,8,0),0)</f>
        <v>-288</v>
      </c>
      <c r="K342" s="68">
        <f>-IFERROR(VLOOKUP(C342,Gastos!$A$9:$J$1398,10,0),0)</f>
        <v>-279.36</v>
      </c>
      <c r="L342" s="68">
        <f>-IFERROR(VLOOKUP(C342,IDC!$A$20:$H$1596,8,0),0)</f>
        <v>-172.8</v>
      </c>
      <c r="M342" s="74">
        <f t="shared" si="6"/>
        <v>28800</v>
      </c>
    </row>
    <row r="343" spans="1:13" customFormat="1">
      <c r="A343" t="s">
        <v>55</v>
      </c>
      <c r="B343" t="s">
        <v>11</v>
      </c>
      <c r="C343" s="51">
        <v>136334940399</v>
      </c>
      <c r="D343" s="1">
        <v>35269.660000000003</v>
      </c>
      <c r="E343" s="1">
        <v>28579044.079999998</v>
      </c>
      <c r="F343" t="s">
        <v>1280</v>
      </c>
      <c r="I343" s="16">
        <f>-IFERROR(VLOOKUP(C343,SIRCUPA!$A$21:$H$186,8,0),0)</f>
        <v>0</v>
      </c>
      <c r="J343" s="68">
        <f>-IFERROR(VLOOKUP(C343,SIRTAC!$A$16:$H$1405,8,0),0)</f>
        <v>-362</v>
      </c>
      <c r="K343" s="68">
        <f>-IFERROR(VLOOKUP(C343,Gastos!$A$9:$J$1398,10,0),0)</f>
        <v>-351.14</v>
      </c>
      <c r="L343" s="68">
        <f>-IFERROR(VLOOKUP(C343,IDC!$A$20:$H$1596,8,0),0)</f>
        <v>-217.2</v>
      </c>
      <c r="M343" s="74">
        <f t="shared" si="6"/>
        <v>36200</v>
      </c>
    </row>
    <row r="344" spans="1:13" customFormat="1">
      <c r="A344" t="s">
        <v>55</v>
      </c>
      <c r="B344" t="s">
        <v>61</v>
      </c>
      <c r="C344" s="51">
        <v>136334889161</v>
      </c>
      <c r="D344" s="1">
        <v>3543.98</v>
      </c>
      <c r="E344" s="1">
        <v>28582588.059999999</v>
      </c>
      <c r="F344" t="s">
        <v>1280</v>
      </c>
      <c r="I344" s="16">
        <f>-IFERROR(VLOOKUP(C344,SIRCUPA!$A$21:$H$186,8,0),0)</f>
        <v>-54.3</v>
      </c>
      <c r="J344" s="68">
        <f>-IFERROR(VLOOKUP(C344,SIRTAC!$A$16:$H$1405,8,0),0)</f>
        <v>0</v>
      </c>
      <c r="K344" s="68">
        <f>-IFERROR(VLOOKUP(C344,Gastos!$A$9:$J$1398,10,0),0)</f>
        <v>0</v>
      </c>
      <c r="L344" s="68">
        <f>-IFERROR(VLOOKUP(C344,IDC!$A$20:$H$1596,8,0),0)</f>
        <v>-21.72</v>
      </c>
      <c r="M344" s="74">
        <f t="shared" si="6"/>
        <v>3620</v>
      </c>
    </row>
    <row r="345" spans="1:13" customFormat="1">
      <c r="A345" t="s">
        <v>55</v>
      </c>
      <c r="B345" t="s">
        <v>11</v>
      </c>
      <c r="C345" s="51">
        <v>136959626564</v>
      </c>
      <c r="D345" s="1">
        <v>18138.240000000002</v>
      </c>
      <c r="E345" s="1">
        <v>28600726.300000001</v>
      </c>
      <c r="F345" t="s">
        <v>1280</v>
      </c>
      <c r="I345" s="16">
        <f>-IFERROR(VLOOKUP(C345,SIRCUPA!$A$21:$H$186,8,0),0)</f>
        <v>0</v>
      </c>
      <c r="J345" s="68">
        <f>-IFERROR(VLOOKUP(C345,SIRTAC!$A$16:$H$1405,8,0),0)</f>
        <v>-192</v>
      </c>
      <c r="K345" s="68">
        <f>-IFERROR(VLOOKUP(C345,Gastos!$A$9:$J$1398,10,0),0)</f>
        <v>-754.56</v>
      </c>
      <c r="L345" s="68">
        <f>-IFERROR(VLOOKUP(C345,IDC!$A$20:$H$1596,8,0),0)</f>
        <v>-115.2</v>
      </c>
      <c r="M345" s="74">
        <f t="shared" si="6"/>
        <v>19200.000000000004</v>
      </c>
    </row>
    <row r="346" spans="1:13" customFormat="1">
      <c r="A346" t="s">
        <v>55</v>
      </c>
      <c r="B346" t="s">
        <v>11</v>
      </c>
      <c r="C346" s="51">
        <v>136334877837</v>
      </c>
      <c r="D346" s="1">
        <v>14322.21</v>
      </c>
      <c r="E346" s="1">
        <v>28615048.510000002</v>
      </c>
      <c r="F346" t="s">
        <v>1280</v>
      </c>
      <c r="I346" s="16">
        <f>-IFERROR(VLOOKUP(C346,SIRCUPA!$A$21:$H$186,8,0),0)</f>
        <v>0</v>
      </c>
      <c r="J346" s="68">
        <f>-IFERROR(VLOOKUP(C346,SIRTAC!$A$16:$H$1405,8,0),0)</f>
        <v>-147</v>
      </c>
      <c r="K346" s="68">
        <f>-IFERROR(VLOOKUP(C346,Gastos!$A$9:$J$1398,10,0),0)</f>
        <v>-142.59</v>
      </c>
      <c r="L346" s="68">
        <f>-IFERROR(VLOOKUP(C346,IDC!$A$20:$H$1596,8,0),0)</f>
        <v>-88.2</v>
      </c>
      <c r="M346" s="74">
        <f t="shared" si="6"/>
        <v>14700</v>
      </c>
    </row>
    <row r="347" spans="1:13" customFormat="1">
      <c r="A347" t="s">
        <v>55</v>
      </c>
      <c r="B347" t="s">
        <v>11</v>
      </c>
      <c r="C347" s="51">
        <v>136335028573</v>
      </c>
      <c r="D347" s="1">
        <v>10327.58</v>
      </c>
      <c r="E347" s="1">
        <v>28625376.09</v>
      </c>
      <c r="F347" t="s">
        <v>1280</v>
      </c>
      <c r="I347" s="16">
        <f>-IFERROR(VLOOKUP(C347,SIRCUPA!$A$21:$H$186,8,0),0)</f>
        <v>0</v>
      </c>
      <c r="J347" s="68">
        <f>-IFERROR(VLOOKUP(C347,SIRTAC!$A$16:$H$1405,8,0),0)</f>
        <v>-106</v>
      </c>
      <c r="K347" s="68">
        <f>-IFERROR(VLOOKUP(C347,Gastos!$A$9:$J$1398,10,0),0)</f>
        <v>-102.82</v>
      </c>
      <c r="L347" s="68">
        <f>-IFERROR(VLOOKUP(C347,IDC!$A$20:$H$1596,8,0),0)</f>
        <v>-63.6</v>
      </c>
      <c r="M347" s="74">
        <f t="shared" si="6"/>
        <v>10600</v>
      </c>
    </row>
    <row r="348" spans="1:13" customFormat="1">
      <c r="A348" t="s">
        <v>55</v>
      </c>
      <c r="B348" t="s">
        <v>62</v>
      </c>
      <c r="C348" s="51">
        <v>136334931569</v>
      </c>
      <c r="D348">
        <v>518.87</v>
      </c>
      <c r="E348" s="1">
        <v>28625894.960000001</v>
      </c>
      <c r="F348" t="s">
        <v>1280</v>
      </c>
      <c r="I348" s="16">
        <f>-IFERROR(VLOOKUP(C348,SIRCUPA!$A$21:$H$186,8,0),0)</f>
        <v>-7.95</v>
      </c>
      <c r="J348" s="68">
        <f>-IFERROR(VLOOKUP(C348,SIRTAC!$A$16:$H$1405,8,0),0)</f>
        <v>0</v>
      </c>
      <c r="K348" s="68">
        <f>-IFERROR(VLOOKUP(C348,Gastos!$A$9:$J$1398,10,0),0)</f>
        <v>0</v>
      </c>
      <c r="L348" s="68">
        <f>-IFERROR(VLOOKUP(C348,IDC!$A$20:$H$1596,8,0),0)</f>
        <v>-3.18</v>
      </c>
      <c r="M348" s="74">
        <f t="shared" si="6"/>
        <v>530</v>
      </c>
    </row>
    <row r="349" spans="1:13" customFormat="1">
      <c r="A349" t="s">
        <v>55</v>
      </c>
      <c r="B349" t="s">
        <v>11</v>
      </c>
      <c r="C349" s="51">
        <v>136335038561</v>
      </c>
      <c r="D349" s="1">
        <v>20265.439999999999</v>
      </c>
      <c r="E349" s="1">
        <v>28646160.399999999</v>
      </c>
      <c r="F349" t="s">
        <v>1280</v>
      </c>
      <c r="I349" s="16">
        <f>-IFERROR(VLOOKUP(C349,SIRCUPA!$A$21:$H$186,8,0),0)</f>
        <v>0</v>
      </c>
      <c r="J349" s="68">
        <f>-IFERROR(VLOOKUP(C349,SIRTAC!$A$16:$H$1405,8,0),0)</f>
        <v>-208</v>
      </c>
      <c r="K349" s="68">
        <f>-IFERROR(VLOOKUP(C349,Gastos!$A$9:$J$1398,10,0),0)</f>
        <v>-201.76</v>
      </c>
      <c r="L349" s="68">
        <f>-IFERROR(VLOOKUP(C349,IDC!$A$20:$H$1596,8,0),0)</f>
        <v>-124.8</v>
      </c>
      <c r="M349" s="74">
        <f t="shared" si="6"/>
        <v>20799.999999999996</v>
      </c>
    </row>
    <row r="350" spans="1:13" customFormat="1">
      <c r="A350" t="s">
        <v>55</v>
      </c>
      <c r="B350" t="s">
        <v>63</v>
      </c>
      <c r="C350" s="51">
        <v>136959627750</v>
      </c>
      <c r="D350" s="1">
        <v>1018.16</v>
      </c>
      <c r="E350" s="1">
        <v>28647178.559999999</v>
      </c>
      <c r="F350" t="s">
        <v>1280</v>
      </c>
      <c r="I350" s="16">
        <f>-IFERROR(VLOOKUP(C350,SIRCUPA!$A$21:$H$186,8,0),0)</f>
        <v>-15.6</v>
      </c>
      <c r="J350" s="68">
        <f>-IFERROR(VLOOKUP(C350,SIRTAC!$A$16:$H$1405,8,0),0)</f>
        <v>0</v>
      </c>
      <c r="K350" s="68">
        <f>-IFERROR(VLOOKUP(C350,Gastos!$A$9:$J$1398,10,0),0)</f>
        <v>0</v>
      </c>
      <c r="L350" s="68">
        <f>-IFERROR(VLOOKUP(C350,IDC!$A$20:$H$1596,8,0),0)</f>
        <v>-6.24</v>
      </c>
      <c r="M350" s="74">
        <f t="shared" si="6"/>
        <v>1040</v>
      </c>
    </row>
    <row r="351" spans="1:13" customFormat="1">
      <c r="A351" t="s">
        <v>55</v>
      </c>
      <c r="B351" t="s">
        <v>11</v>
      </c>
      <c r="C351" s="51">
        <v>136959665908</v>
      </c>
      <c r="D351" s="1">
        <v>14906.79</v>
      </c>
      <c r="E351" s="1">
        <v>28662085.350000001</v>
      </c>
      <c r="F351" t="s">
        <v>1280</v>
      </c>
      <c r="I351" s="16">
        <f>-IFERROR(VLOOKUP(C351,SIRCUPA!$A$21:$H$186,8,0),0)</f>
        <v>0</v>
      </c>
      <c r="J351" s="68">
        <f>-IFERROR(VLOOKUP(C351,SIRTAC!$A$16:$H$1405,8,0),0)</f>
        <v>-153</v>
      </c>
      <c r="K351" s="68">
        <f>-IFERROR(VLOOKUP(C351,Gastos!$A$9:$J$1398,10,0),0)</f>
        <v>-148.41</v>
      </c>
      <c r="L351" s="68">
        <f>-IFERROR(VLOOKUP(C351,IDC!$A$20:$H$1596,8,0),0)</f>
        <v>-91.8</v>
      </c>
      <c r="M351" s="74">
        <f t="shared" si="6"/>
        <v>15300</v>
      </c>
    </row>
    <row r="352" spans="1:13" customFormat="1">
      <c r="A352" t="s">
        <v>55</v>
      </c>
      <c r="B352" t="s">
        <v>11</v>
      </c>
      <c r="C352" s="51">
        <v>136959788742</v>
      </c>
      <c r="D352" s="1">
        <v>9986.9</v>
      </c>
      <c r="E352" s="1">
        <v>28672072.25</v>
      </c>
      <c r="F352" t="s">
        <v>1280</v>
      </c>
      <c r="I352" s="16">
        <f>-IFERROR(VLOOKUP(C352,SIRCUPA!$A$21:$H$186,8,0),0)</f>
        <v>0</v>
      </c>
      <c r="J352" s="68">
        <f>-IFERROR(VLOOKUP(C352,SIRTAC!$A$16:$H$1405,8,0),0)</f>
        <v>-110</v>
      </c>
      <c r="K352" s="68">
        <f>-IFERROR(VLOOKUP(C352,Gastos!$A$9:$J$1398,10,0),0)</f>
        <v>-837.1</v>
      </c>
      <c r="L352" s="68">
        <f>-IFERROR(VLOOKUP(C352,IDC!$A$20:$H$1596,8,0),0)</f>
        <v>-66</v>
      </c>
      <c r="M352" s="74">
        <f t="shared" si="6"/>
        <v>11000</v>
      </c>
    </row>
    <row r="353" spans="1:18" s="59" customFormat="1">
      <c r="A353" t="s">
        <v>64</v>
      </c>
      <c r="B353" t="s">
        <v>65</v>
      </c>
      <c r="C353" s="51">
        <v>136635567927</v>
      </c>
      <c r="D353" s="17">
        <v>-2368604.66</v>
      </c>
      <c r="E353" s="1">
        <v>26303467.59</v>
      </c>
      <c r="F353" s="27" t="s">
        <v>1282</v>
      </c>
      <c r="G353" s="16">
        <f>+D353/1.006</f>
        <v>-2354477.793240557</v>
      </c>
      <c r="H353" s="16"/>
      <c r="I353" s="16">
        <f>-IFERROR(VLOOKUP(C353,SIRCUPA!$A$21:$H$186,8,0),0)</f>
        <v>0</v>
      </c>
      <c r="J353" s="68">
        <f>-IFERROR(VLOOKUP(C353,SIRTAC!$A$16:$H$1405,8,0),0)</f>
        <v>0</v>
      </c>
      <c r="K353" s="68">
        <f>-IFERROR(VLOOKUP(C353,Gastos!$A$9:$J$1398,10,0),0)</f>
        <v>0</v>
      </c>
      <c r="L353" s="68">
        <f>+D353-G353</f>
        <v>-14126.86675944319</v>
      </c>
      <c r="M353" s="52">
        <f>+D353-I353-J353-K353-L353</f>
        <v>-2354477.793240557</v>
      </c>
      <c r="N353" s="16"/>
      <c r="O353"/>
      <c r="Q353" s="67"/>
      <c r="R353" s="67"/>
    </row>
    <row r="354" spans="1:18" s="59" customFormat="1">
      <c r="A354" t="s">
        <v>64</v>
      </c>
      <c r="B354" t="s">
        <v>67</v>
      </c>
      <c r="C354" s="51">
        <v>136642965749</v>
      </c>
      <c r="D354" s="1">
        <v>-1000000</v>
      </c>
      <c r="E354" s="1">
        <v>22800467.59</v>
      </c>
      <c r="F354" s="27" t="s">
        <v>1283</v>
      </c>
      <c r="G354" s="16">
        <f t="shared" ref="G354:G359" si="7">+D354</f>
        <v>-1000000</v>
      </c>
      <c r="H354" s="16"/>
      <c r="I354" s="16">
        <f>-IFERROR(VLOOKUP(C354,SIRCUPA!$A$21:$H$186,8,0),0)</f>
        <v>0</v>
      </c>
      <c r="J354" s="68">
        <f>-IFERROR(VLOOKUP(C354,SIRTAC!$A$16:$H$1405,8,0),0)</f>
        <v>0</v>
      </c>
      <c r="K354" s="68">
        <f>-IFERROR(VLOOKUP(C354,Gastos!$A$9:$J$1398,10,0),0)</f>
        <v>0</v>
      </c>
      <c r="L354" s="68">
        <f>-IFERROR(VLOOKUP(C354,IDC!$A$20:$H$1596,8,0),0)</f>
        <v>0</v>
      </c>
      <c r="M354" s="52">
        <f>+D354</f>
        <v>-1000000</v>
      </c>
      <c r="N354" s="16"/>
      <c r="O354"/>
      <c r="Q354" s="67"/>
      <c r="R354" s="67"/>
    </row>
    <row r="355" spans="1:18" s="59" customFormat="1">
      <c r="A355" t="s">
        <v>64</v>
      </c>
      <c r="B355" t="s">
        <v>67</v>
      </c>
      <c r="C355" s="51">
        <v>136642967981</v>
      </c>
      <c r="D355" s="1">
        <v>-1000000</v>
      </c>
      <c r="E355" s="1">
        <v>19800467.59</v>
      </c>
      <c r="F355" s="27" t="s">
        <v>1283</v>
      </c>
      <c r="G355" s="16">
        <f t="shared" si="7"/>
        <v>-1000000</v>
      </c>
      <c r="H355" s="16"/>
      <c r="I355" s="16">
        <f>-IFERROR(VLOOKUP(C355,SIRCUPA!$A$21:$H$186,8,0),0)</f>
        <v>0</v>
      </c>
      <c r="J355" s="68">
        <f>-IFERROR(VLOOKUP(C355,SIRTAC!$A$16:$H$1405,8,0),0)</f>
        <v>0</v>
      </c>
      <c r="K355" s="68">
        <f>-IFERROR(VLOOKUP(C355,Gastos!$A$9:$J$1398,10,0),0)</f>
        <v>0</v>
      </c>
      <c r="L355" s="68">
        <f>-IFERROR(VLOOKUP(C355,IDC!$A$20:$H$1596,8,0),0)</f>
        <v>0</v>
      </c>
      <c r="M355" s="52">
        <f t="shared" ref="M355:M359" si="8">+D355</f>
        <v>-1000000</v>
      </c>
      <c r="N355" s="16"/>
      <c r="O355"/>
      <c r="Q355" s="67"/>
      <c r="R355" s="67"/>
    </row>
    <row r="356" spans="1:18" s="59" customFormat="1">
      <c r="A356" t="s">
        <v>64</v>
      </c>
      <c r="B356" t="s">
        <v>67</v>
      </c>
      <c r="C356" s="51">
        <v>136643127123</v>
      </c>
      <c r="D356" s="1">
        <v>-1000000</v>
      </c>
      <c r="E356" s="1">
        <v>24800467.59</v>
      </c>
      <c r="F356" s="27" t="s">
        <v>1283</v>
      </c>
      <c r="G356" s="16">
        <f t="shared" si="7"/>
        <v>-1000000</v>
      </c>
      <c r="H356" s="16"/>
      <c r="I356" s="16">
        <f>-IFERROR(VLOOKUP(C356,SIRCUPA!$A$21:$H$186,8,0),0)</f>
        <v>0</v>
      </c>
      <c r="J356" s="68">
        <f>-IFERROR(VLOOKUP(C356,SIRTAC!$A$16:$H$1405,8,0),0)</f>
        <v>0</v>
      </c>
      <c r="K356" s="68">
        <f>-IFERROR(VLOOKUP(C356,Gastos!$A$9:$J$1398,10,0),0)</f>
        <v>0</v>
      </c>
      <c r="L356" s="68">
        <f>-IFERROR(VLOOKUP(C356,IDC!$A$20:$H$1596,8,0),0)</f>
        <v>0</v>
      </c>
      <c r="M356" s="52">
        <f t="shared" si="8"/>
        <v>-1000000</v>
      </c>
      <c r="N356" s="16"/>
      <c r="O356"/>
      <c r="Q356" s="67"/>
      <c r="R356" s="67"/>
    </row>
    <row r="357" spans="1:18" s="59" customFormat="1">
      <c r="A357" t="s">
        <v>64</v>
      </c>
      <c r="B357" t="s">
        <v>67</v>
      </c>
      <c r="C357" s="51">
        <v>136643473817</v>
      </c>
      <c r="D357" s="1">
        <v>-1000000</v>
      </c>
      <c r="E357" s="1">
        <v>17800467.59</v>
      </c>
      <c r="F357" s="27" t="s">
        <v>1283</v>
      </c>
      <c r="G357" s="16">
        <f t="shared" si="7"/>
        <v>-1000000</v>
      </c>
      <c r="H357" s="16"/>
      <c r="I357" s="16">
        <f>-IFERROR(VLOOKUP(C357,SIRCUPA!$A$21:$H$186,8,0),0)</f>
        <v>0</v>
      </c>
      <c r="J357" s="68">
        <f>-IFERROR(VLOOKUP(C357,SIRTAC!$A$16:$H$1405,8,0),0)</f>
        <v>0</v>
      </c>
      <c r="K357" s="68">
        <f>-IFERROR(VLOOKUP(C357,Gastos!$A$9:$J$1398,10,0),0)</f>
        <v>0</v>
      </c>
      <c r="L357" s="68">
        <f>-IFERROR(VLOOKUP(C357,IDC!$A$20:$H$1596,8,0),0)</f>
        <v>0</v>
      </c>
      <c r="M357" s="52">
        <f t="shared" si="8"/>
        <v>-1000000</v>
      </c>
      <c r="N357" s="16"/>
      <c r="O357"/>
      <c r="Q357" s="67"/>
      <c r="R357" s="67"/>
    </row>
    <row r="358" spans="1:18" s="59" customFormat="1">
      <c r="A358" t="s">
        <v>64</v>
      </c>
      <c r="B358" t="s">
        <v>67</v>
      </c>
      <c r="C358" s="51">
        <v>136643589881</v>
      </c>
      <c r="D358" s="1">
        <v>-1000000</v>
      </c>
      <c r="E358" s="1">
        <v>16800467.59</v>
      </c>
      <c r="F358" s="27" t="s">
        <v>1283</v>
      </c>
      <c r="G358" s="16">
        <f t="shared" si="7"/>
        <v>-1000000</v>
      </c>
      <c r="H358" s="16"/>
      <c r="I358" s="16">
        <f>-IFERROR(VLOOKUP(C358,SIRCUPA!$A$21:$H$186,8,0),0)</f>
        <v>0</v>
      </c>
      <c r="J358" s="68">
        <f>-IFERROR(VLOOKUP(C358,SIRTAC!$A$16:$H$1405,8,0),0)</f>
        <v>0</v>
      </c>
      <c r="K358" s="68">
        <f>-IFERROR(VLOOKUP(C358,Gastos!$A$9:$J$1398,10,0),0)</f>
        <v>0</v>
      </c>
      <c r="L358" s="68">
        <f>-IFERROR(VLOOKUP(C358,IDC!$A$20:$H$1596,8,0),0)</f>
        <v>0</v>
      </c>
      <c r="M358" s="52">
        <f t="shared" si="8"/>
        <v>-1000000</v>
      </c>
      <c r="N358" s="16"/>
      <c r="O358"/>
      <c r="Q358" s="67"/>
      <c r="R358" s="67"/>
    </row>
    <row r="359" spans="1:18" s="59" customFormat="1">
      <c r="A359" t="s">
        <v>64</v>
      </c>
      <c r="B359" t="s">
        <v>67</v>
      </c>
      <c r="C359" s="51">
        <v>136643619197</v>
      </c>
      <c r="D359" s="1">
        <v>-1000000</v>
      </c>
      <c r="E359" s="1">
        <v>20800467.59</v>
      </c>
      <c r="F359" s="27" t="s">
        <v>1283</v>
      </c>
      <c r="G359" s="16">
        <f t="shared" si="7"/>
        <v>-1000000</v>
      </c>
      <c r="H359" s="16"/>
      <c r="I359" s="16">
        <f>-IFERROR(VLOOKUP(C359,SIRCUPA!$A$21:$H$186,8,0),0)</f>
        <v>0</v>
      </c>
      <c r="J359" s="68">
        <f>-IFERROR(VLOOKUP(C359,SIRTAC!$A$16:$H$1405,8,0),0)</f>
        <v>0</v>
      </c>
      <c r="K359" s="68">
        <f>-IFERROR(VLOOKUP(C359,Gastos!$A$9:$J$1398,10,0),0)</f>
        <v>0</v>
      </c>
      <c r="L359" s="68">
        <f>-IFERROR(VLOOKUP(C359,IDC!$A$20:$H$1596,8,0),0)</f>
        <v>0</v>
      </c>
      <c r="M359" s="52">
        <f t="shared" si="8"/>
        <v>-1000000</v>
      </c>
      <c r="N359" s="16"/>
      <c r="O359"/>
      <c r="Q359" s="67"/>
      <c r="R359" s="67"/>
    </row>
    <row r="360" spans="1:18">
      <c r="A360" t="s">
        <v>81</v>
      </c>
      <c r="B360" t="s">
        <v>11</v>
      </c>
      <c r="C360" s="51">
        <v>137649717546</v>
      </c>
      <c r="D360" s="1">
        <v>9353.2800000000007</v>
      </c>
      <c r="E360" s="1">
        <v>12951149.35</v>
      </c>
      <c r="F360" t="s">
        <v>1280</v>
      </c>
      <c r="G360"/>
      <c r="H360"/>
      <c r="I360" s="16">
        <f>-IFERROR(VLOOKUP(C360,SIRCUPA!$A$21:$H$186,8,0),0)</f>
        <v>0</v>
      </c>
      <c r="J360" s="68">
        <f>-IFERROR(VLOOKUP(C360,SIRTAC!$A$16:$H$1405,8,0),0)</f>
        <v>-96</v>
      </c>
      <c r="K360" s="68">
        <f>-IFERROR(VLOOKUP(C360,Gastos!$A$9:$J$1398,10,0),0)</f>
        <v>-93.12</v>
      </c>
      <c r="L360" s="68">
        <f>-IFERROR(VLOOKUP(C360,IDC!$A$20:$H$1596,8,0),0)</f>
        <v>-57.6</v>
      </c>
      <c r="M360" s="74">
        <f t="shared" ref="M360:M423" si="9">+D360-I360-J360-K360-L360</f>
        <v>9600.0000000000018</v>
      </c>
      <c r="N360"/>
      <c r="Q360"/>
      <c r="R360"/>
    </row>
    <row r="361" spans="1:18">
      <c r="A361" t="s">
        <v>81</v>
      </c>
      <c r="B361" t="s">
        <v>11</v>
      </c>
      <c r="C361" s="51">
        <v>137035785219</v>
      </c>
      <c r="D361" s="1">
        <v>25721.52</v>
      </c>
      <c r="E361" s="1">
        <v>12976870.869999999</v>
      </c>
      <c r="F361" t="s">
        <v>1280</v>
      </c>
      <c r="G361"/>
      <c r="H361"/>
      <c r="I361" s="16">
        <f>-IFERROR(VLOOKUP(C361,SIRCUPA!$A$21:$H$186,8,0),0)</f>
        <v>0</v>
      </c>
      <c r="J361" s="68">
        <f>-IFERROR(VLOOKUP(C361,SIRTAC!$A$16:$H$1405,8,0),0)</f>
        <v>-264</v>
      </c>
      <c r="K361" s="68">
        <f>-IFERROR(VLOOKUP(C361,Gastos!$A$9:$J$1398,10,0),0)</f>
        <v>-256.08</v>
      </c>
      <c r="L361" s="68">
        <f>-IFERROR(VLOOKUP(C361,IDC!$A$20:$H$1596,8,0),0)</f>
        <v>-158.4</v>
      </c>
      <c r="M361" s="74">
        <f t="shared" si="9"/>
        <v>26400.000000000004</v>
      </c>
      <c r="N361"/>
      <c r="Q361"/>
      <c r="R361"/>
    </row>
    <row r="362" spans="1:18">
      <c r="A362" t="s">
        <v>81</v>
      </c>
      <c r="B362" t="s">
        <v>11</v>
      </c>
      <c r="C362" s="51">
        <v>137670538274</v>
      </c>
      <c r="D362" s="1">
        <v>3778.8</v>
      </c>
      <c r="E362" s="1">
        <v>12980649.67</v>
      </c>
      <c r="F362" t="s">
        <v>1280</v>
      </c>
      <c r="G362"/>
      <c r="H362"/>
      <c r="I362" s="16">
        <f>-IFERROR(VLOOKUP(C362,SIRCUPA!$A$21:$H$186,8,0),0)</f>
        <v>0</v>
      </c>
      <c r="J362" s="68">
        <f>-IFERROR(VLOOKUP(C362,SIRTAC!$A$16:$H$1405,8,0),0)</f>
        <v>-40</v>
      </c>
      <c r="K362" s="68">
        <f>-IFERROR(VLOOKUP(C362,Gastos!$A$9:$J$1398,10,0),0)</f>
        <v>-157.19999999999999</v>
      </c>
      <c r="L362" s="68">
        <f>-IFERROR(VLOOKUP(C362,IDC!$A$20:$H$1596,8,0),0)</f>
        <v>-24</v>
      </c>
      <c r="M362" s="74">
        <f t="shared" si="9"/>
        <v>4000</v>
      </c>
      <c r="N362"/>
      <c r="Q362"/>
      <c r="R362"/>
    </row>
    <row r="363" spans="1:18">
      <c r="A363" t="s">
        <v>81</v>
      </c>
      <c r="B363" t="s">
        <v>11</v>
      </c>
      <c r="C363" s="51">
        <v>137671009436</v>
      </c>
      <c r="D363" s="1">
        <v>18339.580000000002</v>
      </c>
      <c r="E363" s="1">
        <v>12998989.25</v>
      </c>
      <c r="F363" t="s">
        <v>1280</v>
      </c>
      <c r="G363"/>
      <c r="H363"/>
      <c r="I363" s="16">
        <f>-IFERROR(VLOOKUP(C363,SIRCUPA!$A$21:$H$186,8,0),0)</f>
        <v>0</v>
      </c>
      <c r="J363" s="68">
        <f>-IFERROR(VLOOKUP(C363,SIRTAC!$A$16:$H$1405,8,0),0)</f>
        <v>-202</v>
      </c>
      <c r="K363" s="68">
        <f>-IFERROR(VLOOKUP(C363,Gastos!$A$9:$J$1398,10,0),0)</f>
        <v>-1537.22</v>
      </c>
      <c r="L363" s="68">
        <f>-IFERROR(VLOOKUP(C363,IDC!$A$20:$H$1596,8,0),0)</f>
        <v>-121.2</v>
      </c>
      <c r="M363" s="74">
        <f t="shared" si="9"/>
        <v>20200.000000000004</v>
      </c>
      <c r="N363"/>
      <c r="Q363"/>
      <c r="R363"/>
    </row>
    <row r="364" spans="1:18">
      <c r="A364" t="s">
        <v>81</v>
      </c>
      <c r="B364" t="s">
        <v>11</v>
      </c>
      <c r="C364" s="51">
        <v>137040182521</v>
      </c>
      <c r="D364" s="1">
        <v>9548.14</v>
      </c>
      <c r="E364" s="1">
        <v>13008537.390000001</v>
      </c>
      <c r="F364" t="s">
        <v>1280</v>
      </c>
      <c r="G364"/>
      <c r="H364"/>
      <c r="I364" s="16">
        <f>-IFERROR(VLOOKUP(C364,SIRCUPA!$A$21:$H$186,8,0),0)</f>
        <v>0</v>
      </c>
      <c r="J364" s="68">
        <f>-IFERROR(VLOOKUP(C364,SIRTAC!$A$16:$H$1405,8,0),0)</f>
        <v>-98</v>
      </c>
      <c r="K364" s="68">
        <f>-IFERROR(VLOOKUP(C364,Gastos!$A$9:$J$1398,10,0),0)</f>
        <v>-95.06</v>
      </c>
      <c r="L364" s="68">
        <f>-IFERROR(VLOOKUP(C364,IDC!$A$20:$H$1596,8,0),0)</f>
        <v>-58.8</v>
      </c>
      <c r="M364" s="74">
        <f t="shared" si="9"/>
        <v>9799.9999999999982</v>
      </c>
      <c r="N364"/>
      <c r="Q364"/>
      <c r="R364"/>
    </row>
    <row r="365" spans="1:18">
      <c r="A365" t="s">
        <v>81</v>
      </c>
      <c r="B365" t="s">
        <v>11</v>
      </c>
      <c r="C365" s="51">
        <v>137673449798</v>
      </c>
      <c r="D365" s="1">
        <v>9069.1200000000008</v>
      </c>
      <c r="E365" s="1">
        <v>13017606.51</v>
      </c>
      <c r="F365" t="s">
        <v>1280</v>
      </c>
      <c r="G365"/>
      <c r="H365"/>
      <c r="I365" s="16">
        <f>-IFERROR(VLOOKUP(C365,SIRCUPA!$A$21:$H$186,8,0),0)</f>
        <v>0</v>
      </c>
      <c r="J365" s="68">
        <f>-IFERROR(VLOOKUP(C365,SIRTAC!$A$16:$H$1405,8,0),0)</f>
        <v>-96</v>
      </c>
      <c r="K365" s="68">
        <f>-IFERROR(VLOOKUP(C365,Gastos!$A$9:$J$1398,10,0),0)</f>
        <v>-377.28</v>
      </c>
      <c r="L365" s="68">
        <f>-IFERROR(VLOOKUP(C365,IDC!$A$20:$H$1596,8,0),0)</f>
        <v>-57.6</v>
      </c>
      <c r="M365" s="74">
        <f t="shared" si="9"/>
        <v>9600.0000000000018</v>
      </c>
      <c r="N365"/>
      <c r="Q365"/>
      <c r="R365"/>
    </row>
    <row r="366" spans="1:18">
      <c r="A366" t="s">
        <v>81</v>
      </c>
      <c r="B366" t="s">
        <v>11</v>
      </c>
      <c r="C366" s="51">
        <v>137042830597</v>
      </c>
      <c r="D366" s="1">
        <v>5265.82</v>
      </c>
      <c r="E366" s="1">
        <v>13022872.33</v>
      </c>
      <c r="F366" t="s">
        <v>1280</v>
      </c>
      <c r="G366"/>
      <c r="H366"/>
      <c r="I366" s="16">
        <f>-IFERROR(VLOOKUP(C366,SIRCUPA!$A$21:$H$186,8,0),0)</f>
        <v>0</v>
      </c>
      <c r="J366" s="68">
        <f>-IFERROR(VLOOKUP(C366,SIRTAC!$A$16:$H$1405,8,0),0)</f>
        <v>-58</v>
      </c>
      <c r="K366" s="68">
        <f>-IFERROR(VLOOKUP(C366,Gastos!$A$9:$J$1398,10,0),0)</f>
        <v>-441.38</v>
      </c>
      <c r="L366" s="68">
        <f>-IFERROR(VLOOKUP(C366,IDC!$A$20:$H$1596,8,0),0)</f>
        <v>-34.799999999999997</v>
      </c>
      <c r="M366" s="74">
        <f t="shared" si="9"/>
        <v>5800</v>
      </c>
      <c r="N366"/>
      <c r="Q366"/>
      <c r="R366"/>
    </row>
    <row r="367" spans="1:18">
      <c r="A367" t="s">
        <v>81</v>
      </c>
      <c r="B367" t="s">
        <v>11</v>
      </c>
      <c r="C367" s="51">
        <v>137676231468</v>
      </c>
      <c r="D367" s="1">
        <v>4676.6400000000003</v>
      </c>
      <c r="E367" s="1">
        <v>13027548.970000001</v>
      </c>
      <c r="F367" t="s">
        <v>1280</v>
      </c>
      <c r="G367"/>
      <c r="H367"/>
      <c r="I367" s="16">
        <f>-IFERROR(VLOOKUP(C367,SIRCUPA!$A$21:$H$186,8,0),0)</f>
        <v>0</v>
      </c>
      <c r="J367" s="68">
        <f>-IFERROR(VLOOKUP(C367,SIRTAC!$A$16:$H$1405,8,0),0)</f>
        <v>-48</v>
      </c>
      <c r="K367" s="68">
        <f>-IFERROR(VLOOKUP(C367,Gastos!$A$9:$J$1398,10,0),0)</f>
        <v>-46.56</v>
      </c>
      <c r="L367" s="68">
        <f>-IFERROR(VLOOKUP(C367,IDC!$A$20:$H$1596,8,0),0)</f>
        <v>-28.8</v>
      </c>
      <c r="M367" s="74">
        <f t="shared" si="9"/>
        <v>4800.0000000000009</v>
      </c>
      <c r="N367"/>
      <c r="Q367"/>
      <c r="R367"/>
    </row>
    <row r="368" spans="1:18">
      <c r="A368" t="s">
        <v>81</v>
      </c>
      <c r="B368" t="s">
        <v>11</v>
      </c>
      <c r="C368" s="51">
        <v>137677529088</v>
      </c>
      <c r="D368" s="1">
        <v>8897.42</v>
      </c>
      <c r="E368" s="1">
        <v>13036446.390000001</v>
      </c>
      <c r="F368" t="s">
        <v>1280</v>
      </c>
      <c r="G368"/>
      <c r="H368"/>
      <c r="I368" s="16">
        <f>-IFERROR(VLOOKUP(C368,SIRCUPA!$A$21:$H$186,8,0),0)</f>
        <v>0</v>
      </c>
      <c r="J368" s="68">
        <f>-IFERROR(VLOOKUP(C368,SIRTAC!$A$16:$H$1405,8,0),0)</f>
        <v>-98</v>
      </c>
      <c r="K368" s="68">
        <f>-IFERROR(VLOOKUP(C368,Gastos!$A$9:$J$1398,10,0),0)</f>
        <v>-745.78</v>
      </c>
      <c r="L368" s="68">
        <f>-IFERROR(VLOOKUP(C368,IDC!$A$20:$H$1596,8,0),0)</f>
        <v>-58.8</v>
      </c>
      <c r="M368" s="74">
        <f t="shared" si="9"/>
        <v>9800</v>
      </c>
      <c r="N368"/>
      <c r="Q368"/>
      <c r="R368"/>
    </row>
    <row r="369" spans="1:18">
      <c r="A369" t="s">
        <v>81</v>
      </c>
      <c r="B369" t="s">
        <v>11</v>
      </c>
      <c r="C369" s="51">
        <v>137044469955</v>
      </c>
      <c r="D369" s="1">
        <v>85887.34</v>
      </c>
      <c r="E369" s="1">
        <v>13122333.73</v>
      </c>
      <c r="F369" t="s">
        <v>1280</v>
      </c>
      <c r="G369"/>
      <c r="H369"/>
      <c r="I369" s="16">
        <f>-IFERROR(VLOOKUP(C369,SIRCUPA!$A$21:$H$186,8,0),0)</f>
        <v>0</v>
      </c>
      <c r="J369" s="68">
        <f>-IFERROR(VLOOKUP(C369,SIRTAC!$A$16:$H$1405,8,0),0)</f>
        <v>-946</v>
      </c>
      <c r="K369" s="68">
        <f>-IFERROR(VLOOKUP(C369,Gastos!$A$9:$J$1398,10,0),0)</f>
        <v>-7199.06</v>
      </c>
      <c r="L369" s="68">
        <f>-IFERROR(VLOOKUP(C369,IDC!$A$20:$H$1596,8,0),0)</f>
        <v>-567.6</v>
      </c>
      <c r="M369" s="74">
        <f t="shared" si="9"/>
        <v>94600</v>
      </c>
      <c r="N369"/>
      <c r="Q369"/>
      <c r="R369"/>
    </row>
    <row r="370" spans="1:18">
      <c r="A370" t="s">
        <v>81</v>
      </c>
      <c r="B370" t="s">
        <v>11</v>
      </c>
      <c r="C370" s="51">
        <v>137044959869</v>
      </c>
      <c r="D370" s="1">
        <v>62160.34</v>
      </c>
      <c r="E370" s="1">
        <v>13184494.07</v>
      </c>
      <c r="F370" t="s">
        <v>1280</v>
      </c>
      <c r="G370"/>
      <c r="H370"/>
      <c r="I370" s="16">
        <f>-IFERROR(VLOOKUP(C370,SIRCUPA!$A$21:$H$186,8,0),0)</f>
        <v>0</v>
      </c>
      <c r="J370" s="68">
        <f>-IFERROR(VLOOKUP(C370,SIRTAC!$A$16:$H$1405,8,0),0)</f>
        <v>-638</v>
      </c>
      <c r="K370" s="68">
        <f>-IFERROR(VLOOKUP(C370,Gastos!$A$9:$J$1398,10,0),0)</f>
        <v>-618.86</v>
      </c>
      <c r="L370" s="68">
        <f>-IFERROR(VLOOKUP(C370,IDC!$A$20:$H$1596,8,0),0)</f>
        <v>-382.8</v>
      </c>
      <c r="M370" s="74">
        <f t="shared" si="9"/>
        <v>63800</v>
      </c>
      <c r="N370"/>
      <c r="Q370"/>
      <c r="R370"/>
    </row>
    <row r="371" spans="1:18">
      <c r="A371" t="s">
        <v>81</v>
      </c>
      <c r="B371" t="s">
        <v>11</v>
      </c>
      <c r="C371" s="51">
        <v>137678741226</v>
      </c>
      <c r="D371" s="1">
        <v>7557.6</v>
      </c>
      <c r="E371" s="1">
        <v>13192051.67</v>
      </c>
      <c r="F371" t="s">
        <v>1280</v>
      </c>
      <c r="G371"/>
      <c r="H371"/>
      <c r="I371" s="16">
        <f>-IFERROR(VLOOKUP(C371,SIRCUPA!$A$21:$H$186,8,0),0)</f>
        <v>0</v>
      </c>
      <c r="J371" s="68">
        <f>-IFERROR(VLOOKUP(C371,SIRTAC!$A$16:$H$1405,8,0),0)</f>
        <v>-80</v>
      </c>
      <c r="K371" s="68">
        <f>-IFERROR(VLOOKUP(C371,Gastos!$A$9:$J$1398,10,0),0)</f>
        <v>-314.39999999999998</v>
      </c>
      <c r="L371" s="68">
        <f>-IFERROR(VLOOKUP(C371,IDC!$A$20:$H$1596,8,0),0)</f>
        <v>-48</v>
      </c>
      <c r="M371" s="74">
        <f t="shared" si="9"/>
        <v>8000</v>
      </c>
      <c r="N371"/>
      <c r="Q371"/>
      <c r="R371"/>
    </row>
    <row r="372" spans="1:18">
      <c r="A372" t="s">
        <v>81</v>
      </c>
      <c r="B372" t="s">
        <v>11</v>
      </c>
      <c r="C372" s="51">
        <v>137680175054</v>
      </c>
      <c r="D372" s="1">
        <v>4357.92</v>
      </c>
      <c r="E372" s="1">
        <v>13196409.59</v>
      </c>
      <c r="F372" t="s">
        <v>1280</v>
      </c>
      <c r="G372"/>
      <c r="H372"/>
      <c r="I372" s="16">
        <f>-IFERROR(VLOOKUP(C372,SIRCUPA!$A$21:$H$186,8,0),0)</f>
        <v>0</v>
      </c>
      <c r="J372" s="68">
        <f>-IFERROR(VLOOKUP(C372,SIRTAC!$A$16:$H$1405,8,0),0)</f>
        <v>-48</v>
      </c>
      <c r="K372" s="68">
        <f>-IFERROR(VLOOKUP(C372,Gastos!$A$9:$J$1398,10,0),0)</f>
        <v>-365.28</v>
      </c>
      <c r="L372" s="68">
        <f>-IFERROR(VLOOKUP(C372,IDC!$A$20:$H$1596,8,0),0)</f>
        <v>-28.8</v>
      </c>
      <c r="M372" s="74">
        <f t="shared" si="9"/>
        <v>4800</v>
      </c>
      <c r="N372"/>
      <c r="Q372"/>
      <c r="R372"/>
    </row>
    <row r="373" spans="1:18">
      <c r="A373" t="s">
        <v>64</v>
      </c>
      <c r="B373" t="s">
        <v>68</v>
      </c>
      <c r="C373" s="51">
        <v>137371068462</v>
      </c>
      <c r="D373" s="1">
        <v>30739.62</v>
      </c>
      <c r="E373" s="1">
        <v>9631207.2100000009</v>
      </c>
      <c r="F373" t="s">
        <v>1280</v>
      </c>
      <c r="G373"/>
      <c r="H373"/>
      <c r="I373" s="16">
        <f>-IFERROR(VLOOKUP(C373,SIRCUPA!$A$21:$H$186,8,0),0)</f>
        <v>-470.99</v>
      </c>
      <c r="J373" s="68">
        <f>-IFERROR(VLOOKUP(C373,SIRTAC!$A$16:$H$1405,8,0),0)</f>
        <v>0</v>
      </c>
      <c r="K373" s="68">
        <f>-IFERROR(VLOOKUP(C373,Gastos!$A$9:$J$1398,10,0),0)</f>
        <v>0</v>
      </c>
      <c r="L373" s="68">
        <v>-188.39600000000002</v>
      </c>
      <c r="M373" s="74">
        <f t="shared" si="9"/>
        <v>31399.006000000001</v>
      </c>
      <c r="N373"/>
      <c r="Q373" s="16">
        <f>+I373/0.015</f>
        <v>-31399.333333333336</v>
      </c>
      <c r="R373" s="16">
        <f>+Q373*0.006</f>
        <v>-188.39600000000002</v>
      </c>
    </row>
    <row r="374" spans="1:18">
      <c r="A374" t="s">
        <v>64</v>
      </c>
      <c r="B374" t="s">
        <v>11</v>
      </c>
      <c r="C374" s="51">
        <v>136740668549</v>
      </c>
      <c r="D374" s="1">
        <v>4092.06</v>
      </c>
      <c r="E374" s="1">
        <v>9635299.2699999996</v>
      </c>
      <c r="F374" t="s">
        <v>1280</v>
      </c>
      <c r="G374"/>
      <c r="H374"/>
      <c r="I374" s="16">
        <f>-IFERROR(VLOOKUP(C374,SIRCUPA!$A$21:$H$186,8,0),0)</f>
        <v>0</v>
      </c>
      <c r="J374" s="68">
        <f>-IFERROR(VLOOKUP(C374,SIRTAC!$A$16:$H$1405,8,0),0)</f>
        <v>-42</v>
      </c>
      <c r="K374" s="68">
        <f>-IFERROR(VLOOKUP(C374,Gastos!$A$9:$J$1398,10,0),0)</f>
        <v>-40.74</v>
      </c>
      <c r="L374" s="68">
        <f>-IFERROR(VLOOKUP(C374,IDC!$A$20:$H$1596,8,0),0)</f>
        <v>-25.2</v>
      </c>
      <c r="M374" s="74">
        <f t="shared" si="9"/>
        <v>4199.9999999999991</v>
      </c>
      <c r="N374"/>
      <c r="Q374"/>
      <c r="R374"/>
    </row>
    <row r="375" spans="1:18">
      <c r="A375" t="s">
        <v>64</v>
      </c>
      <c r="B375" t="s">
        <v>11</v>
      </c>
      <c r="C375" s="51">
        <v>137373870662</v>
      </c>
      <c r="D375" s="1">
        <v>29380.17</v>
      </c>
      <c r="E375" s="1">
        <v>9664679.4399999995</v>
      </c>
      <c r="F375" t="s">
        <v>1280</v>
      </c>
      <c r="G375"/>
      <c r="H375"/>
      <c r="I375" s="16">
        <f>-IFERROR(VLOOKUP(C375,SIRCUPA!$A$21:$H$186,8,0),0)</f>
        <v>0</v>
      </c>
      <c r="J375" s="68">
        <f>-IFERROR(VLOOKUP(C375,SIRTAC!$A$16:$H$1405,8,0),0)</f>
        <v>-311</v>
      </c>
      <c r="K375" s="68">
        <f>-IFERROR(VLOOKUP(C375,Gastos!$A$9:$J$1398,10,0),0)</f>
        <v>-1222.23</v>
      </c>
      <c r="L375" s="68">
        <f>-IFERROR(VLOOKUP(C375,IDC!$A$20:$H$1596,8,0),0)</f>
        <v>-186.6</v>
      </c>
      <c r="M375" s="74">
        <f t="shared" si="9"/>
        <v>31099.999999999996</v>
      </c>
      <c r="N375"/>
      <c r="Q375"/>
      <c r="R375"/>
    </row>
    <row r="376" spans="1:18">
      <c r="A376" t="s">
        <v>64</v>
      </c>
      <c r="B376" t="s">
        <v>11</v>
      </c>
      <c r="C376" s="51">
        <v>136743127343</v>
      </c>
      <c r="D376" s="1">
        <v>9450.7099999999991</v>
      </c>
      <c r="E376" s="1">
        <v>9674130.1500000004</v>
      </c>
      <c r="F376" t="s">
        <v>1280</v>
      </c>
      <c r="G376"/>
      <c r="H376"/>
      <c r="I376" s="16">
        <f>-IFERROR(VLOOKUP(C376,SIRCUPA!$A$21:$H$186,8,0),0)</f>
        <v>0</v>
      </c>
      <c r="J376" s="68">
        <f>-IFERROR(VLOOKUP(C376,SIRTAC!$A$16:$H$1405,8,0),0)</f>
        <v>-97</v>
      </c>
      <c r="K376" s="68">
        <f>-IFERROR(VLOOKUP(C376,Gastos!$A$9:$J$1398,10,0),0)</f>
        <v>-94.09</v>
      </c>
      <c r="L376" s="68">
        <f>-IFERROR(VLOOKUP(C376,IDC!$A$20:$H$1596,8,0),0)</f>
        <v>-58.2</v>
      </c>
      <c r="M376" s="74">
        <f t="shared" si="9"/>
        <v>9700</v>
      </c>
      <c r="N376"/>
      <c r="Q376"/>
      <c r="R376"/>
    </row>
    <row r="377" spans="1:18">
      <c r="A377" t="s">
        <v>64</v>
      </c>
      <c r="B377" t="s">
        <v>11</v>
      </c>
      <c r="C377" s="51">
        <v>136743612291</v>
      </c>
      <c r="D377" s="1">
        <v>37168.559999999998</v>
      </c>
      <c r="E377" s="1">
        <v>9711298.7100000009</v>
      </c>
      <c r="F377" t="s">
        <v>1280</v>
      </c>
      <c r="G377"/>
      <c r="H377"/>
      <c r="I377" s="16">
        <f>-IFERROR(VLOOKUP(C377,SIRCUPA!$A$21:$H$186,8,0),0)</f>
        <v>0</v>
      </c>
      <c r="J377" s="68">
        <f>-IFERROR(VLOOKUP(C377,SIRTAC!$A$16:$H$1405,8,0),0)</f>
        <v>-396</v>
      </c>
      <c r="K377" s="68">
        <f>-IFERROR(VLOOKUP(C377,Gastos!$A$9:$J$1398,10,0),0)</f>
        <v>-1797.84</v>
      </c>
      <c r="L377" s="68">
        <f>-IFERROR(VLOOKUP(C377,IDC!$A$20:$H$1596,8,0),0)</f>
        <v>-237.6</v>
      </c>
      <c r="M377" s="74">
        <f t="shared" si="9"/>
        <v>39599.999999999993</v>
      </c>
      <c r="N377"/>
      <c r="Q377"/>
      <c r="R377"/>
    </row>
    <row r="378" spans="1:18">
      <c r="A378" t="s">
        <v>64</v>
      </c>
      <c r="B378" t="s">
        <v>69</v>
      </c>
      <c r="C378" s="51">
        <v>137375738068</v>
      </c>
      <c r="D378" s="1">
        <v>37985.199999999997</v>
      </c>
      <c r="E378" s="1">
        <v>9749283.9100000001</v>
      </c>
      <c r="F378" t="s">
        <v>1280</v>
      </c>
      <c r="G378"/>
      <c r="H378"/>
      <c r="I378" s="16">
        <f>-IFERROR(VLOOKUP(C378,SIRCUPA!$A$21:$H$186,8,0),0)</f>
        <v>-582</v>
      </c>
      <c r="J378" s="68">
        <f>-IFERROR(VLOOKUP(C378,SIRTAC!$A$16:$H$1405,8,0),0)</f>
        <v>0</v>
      </c>
      <c r="K378" s="68">
        <f>-IFERROR(VLOOKUP(C378,Gastos!$A$9:$J$1398,10,0),0)</f>
        <v>0</v>
      </c>
      <c r="L378" s="68">
        <f>-IFERROR(VLOOKUP(C378,IDC!$A$20:$H$1596,8,0),0)</f>
        <v>-232.8</v>
      </c>
      <c r="M378" s="74">
        <f t="shared" si="9"/>
        <v>38800</v>
      </c>
      <c r="N378"/>
      <c r="Q378"/>
      <c r="R378"/>
    </row>
    <row r="379" spans="1:18">
      <c r="A379" t="s">
        <v>64</v>
      </c>
      <c r="B379" t="s">
        <v>70</v>
      </c>
      <c r="C379" s="51">
        <v>137380209516</v>
      </c>
      <c r="D379" s="1">
        <v>208331.2</v>
      </c>
      <c r="E379" s="1">
        <v>9957615.1099999994</v>
      </c>
      <c r="F379" t="s">
        <v>1280</v>
      </c>
      <c r="G379"/>
      <c r="H379"/>
      <c r="I379" s="16">
        <f>-IFERROR(VLOOKUP(C379,SIRCUPA!$A$21:$H$186,8,0),0)</f>
        <v>-3192</v>
      </c>
      <c r="J379" s="68">
        <f>-IFERROR(VLOOKUP(C379,SIRTAC!$A$16:$H$1405,8,0),0)</f>
        <v>0</v>
      </c>
      <c r="K379" s="68">
        <f>-IFERROR(VLOOKUP(C379,Gastos!$A$9:$J$1398,10,0),0)</f>
        <v>0</v>
      </c>
      <c r="L379" s="68">
        <v>-1276.8</v>
      </c>
      <c r="M379" s="74">
        <f t="shared" si="9"/>
        <v>212800</v>
      </c>
      <c r="N379"/>
      <c r="Q379" s="16">
        <f>+I379/0.015</f>
        <v>-212800</v>
      </c>
      <c r="R379" s="16">
        <f>+Q379*0.006</f>
        <v>-1276.8</v>
      </c>
    </row>
    <row r="380" spans="1:18">
      <c r="A380" t="s">
        <v>64</v>
      </c>
      <c r="B380" t="s">
        <v>11</v>
      </c>
      <c r="C380" s="51">
        <v>136750250721</v>
      </c>
      <c r="D380" s="1">
        <v>25233.4</v>
      </c>
      <c r="E380" s="1">
        <v>9982848.5099999998</v>
      </c>
      <c r="F380" t="s">
        <v>1280</v>
      </c>
      <c r="G380"/>
      <c r="H380"/>
      <c r="I380" s="16">
        <f>-IFERROR(VLOOKUP(C380,SIRCUPA!$A$21:$H$186,8,0),0)</f>
        <v>0</v>
      </c>
      <c r="J380" s="68">
        <f>-IFERROR(VLOOKUP(C380,SIRTAC!$A$16:$H$1405,8,0),0)</f>
        <v>-258.99</v>
      </c>
      <c r="K380" s="68">
        <f>-IFERROR(VLOOKUP(C380,Gastos!$A$9:$J$1398,10,0),0)</f>
        <v>-251.22</v>
      </c>
      <c r="L380" s="68">
        <f>-IFERROR(VLOOKUP(C380,IDC!$A$20:$H$1596,8,0),0)</f>
        <v>-155.38999999999999</v>
      </c>
      <c r="M380" s="74">
        <f t="shared" si="9"/>
        <v>25899.000000000004</v>
      </c>
      <c r="N380"/>
      <c r="Q380"/>
      <c r="R380"/>
    </row>
    <row r="381" spans="1:18">
      <c r="A381" t="s">
        <v>64</v>
      </c>
      <c r="B381" t="s">
        <v>71</v>
      </c>
      <c r="C381" s="51">
        <v>137381180222</v>
      </c>
      <c r="D381" s="1">
        <v>1266.83</v>
      </c>
      <c r="E381" s="1">
        <v>9984115.3399999999</v>
      </c>
      <c r="F381" t="s">
        <v>1280</v>
      </c>
      <c r="G381"/>
      <c r="H381"/>
      <c r="I381" s="16">
        <f>-IFERROR(VLOOKUP(C381,SIRCUPA!$A$21:$H$186,8,0),0)</f>
        <v>-19.41</v>
      </c>
      <c r="J381" s="68">
        <f>-IFERROR(VLOOKUP(C381,SIRTAC!$A$16:$H$1405,8,0),0)</f>
        <v>0</v>
      </c>
      <c r="K381" s="68">
        <f>-IFERROR(VLOOKUP(C381,Gastos!$A$9:$J$1398,10,0),0)</f>
        <v>0</v>
      </c>
      <c r="L381" s="68">
        <f>-IFERROR(VLOOKUP(C381,IDC!$A$20:$H$1596,8,0),0)</f>
        <v>-7.76</v>
      </c>
      <c r="M381" s="74">
        <f t="shared" si="9"/>
        <v>1294</v>
      </c>
      <c r="N381"/>
      <c r="Q381"/>
      <c r="R381"/>
    </row>
    <row r="382" spans="1:18">
      <c r="A382" t="s">
        <v>64</v>
      </c>
      <c r="B382" t="s">
        <v>11</v>
      </c>
      <c r="C382" s="51">
        <v>137381613934</v>
      </c>
      <c r="D382" s="1">
        <v>40334.07</v>
      </c>
      <c r="E382" s="1">
        <v>10024449.41</v>
      </c>
      <c r="F382" t="s">
        <v>1280</v>
      </c>
      <c r="G382"/>
      <c r="H382"/>
      <c r="I382" s="16">
        <f>-IFERROR(VLOOKUP(C382,SIRCUPA!$A$21:$H$186,8,0),0)</f>
        <v>0</v>
      </c>
      <c r="J382" s="68">
        <f>-IFERROR(VLOOKUP(C382,SIRTAC!$A$16:$H$1405,8,0),0)</f>
        <v>-413.98</v>
      </c>
      <c r="K382" s="68">
        <f>-IFERROR(VLOOKUP(C382,Gastos!$A$9:$J$1398,10,0),0)</f>
        <v>-401.56</v>
      </c>
      <c r="L382" s="68">
        <f>-IFERROR(VLOOKUP(C382,IDC!$A$20:$H$1596,8,0),0)</f>
        <v>-248.39</v>
      </c>
      <c r="M382" s="74">
        <f t="shared" si="9"/>
        <v>41398</v>
      </c>
      <c r="N382"/>
      <c r="Q382"/>
      <c r="R382"/>
    </row>
    <row r="383" spans="1:18">
      <c r="A383" t="s">
        <v>64</v>
      </c>
      <c r="B383" t="s">
        <v>11</v>
      </c>
      <c r="C383" s="51">
        <v>136751051819</v>
      </c>
      <c r="D383" s="1">
        <v>119574.83</v>
      </c>
      <c r="E383" s="1">
        <v>10144024.24</v>
      </c>
      <c r="F383" t="s">
        <v>1280</v>
      </c>
      <c r="G383"/>
      <c r="H383"/>
      <c r="I383" s="16">
        <f>-IFERROR(VLOOKUP(C383,SIRCUPA!$A$21:$H$186,8,0),0)</f>
        <v>0</v>
      </c>
      <c r="J383" s="68">
        <f>-IFERROR(VLOOKUP(C383,SIRTAC!$A$16:$H$1405,8,0),0)</f>
        <v>-1273.97</v>
      </c>
      <c r="K383" s="68">
        <f>-IFERROR(VLOOKUP(C383,Gastos!$A$9:$J$1398,10,0),0)</f>
        <v>-5783.82</v>
      </c>
      <c r="L383" s="68">
        <f>-IFERROR(VLOOKUP(C383,IDC!$A$20:$H$1596,8,0),0)</f>
        <v>-764.38</v>
      </c>
      <c r="M383" s="74">
        <f t="shared" si="9"/>
        <v>127397</v>
      </c>
      <c r="N383"/>
      <c r="Q383"/>
      <c r="R383"/>
    </row>
    <row r="384" spans="1:18">
      <c r="A384" t="s">
        <v>64</v>
      </c>
      <c r="B384" t="s">
        <v>11</v>
      </c>
      <c r="C384" s="51">
        <v>136751554233</v>
      </c>
      <c r="D384" s="1">
        <v>55535.1</v>
      </c>
      <c r="E384" s="1">
        <v>10199559.34</v>
      </c>
      <c r="F384" t="s">
        <v>1280</v>
      </c>
      <c r="G384"/>
      <c r="H384"/>
      <c r="I384" s="16">
        <f>-IFERROR(VLOOKUP(C384,SIRCUPA!$A$21:$H$186,8,0),0)</f>
        <v>0</v>
      </c>
      <c r="J384" s="68">
        <f>-IFERROR(VLOOKUP(C384,SIRTAC!$A$16:$H$1405,8,0),0)</f>
        <v>-570</v>
      </c>
      <c r="K384" s="68">
        <f>-IFERROR(VLOOKUP(C384,Gastos!$A$9:$J$1398,10,0),0)</f>
        <v>-552.9</v>
      </c>
      <c r="L384" s="68">
        <f>-IFERROR(VLOOKUP(C384,IDC!$A$20:$H$1596,8,0),0)</f>
        <v>-342</v>
      </c>
      <c r="M384" s="74">
        <f t="shared" si="9"/>
        <v>57000</v>
      </c>
      <c r="N384"/>
      <c r="Q384"/>
      <c r="R384"/>
    </row>
    <row r="385" spans="1:18">
      <c r="A385" t="s">
        <v>64</v>
      </c>
      <c r="B385" t="s">
        <v>11</v>
      </c>
      <c r="C385" s="51">
        <v>137382793626</v>
      </c>
      <c r="D385" s="1">
        <v>58287.99</v>
      </c>
      <c r="E385" s="1">
        <v>10257847.33</v>
      </c>
      <c r="F385" t="s">
        <v>1280</v>
      </c>
      <c r="G385"/>
      <c r="H385"/>
      <c r="I385" s="16">
        <f>-IFERROR(VLOOKUP(C385,SIRCUPA!$A$21:$H$186,8,0),0)</f>
        <v>0</v>
      </c>
      <c r="J385" s="68">
        <f>-IFERROR(VLOOKUP(C385,SIRTAC!$A$16:$H$1405,8,0),0)</f>
        <v>-617</v>
      </c>
      <c r="K385" s="68">
        <f>-IFERROR(VLOOKUP(C385,Gastos!$A$9:$J$1398,10,0),0)</f>
        <v>-2424.81</v>
      </c>
      <c r="L385" s="68">
        <f>-IFERROR(VLOOKUP(C385,IDC!$A$20:$H$1596,8,0),0)</f>
        <v>-370.2</v>
      </c>
      <c r="M385" s="74">
        <f t="shared" si="9"/>
        <v>61699.999999999993</v>
      </c>
      <c r="N385"/>
      <c r="Q385"/>
      <c r="R385"/>
    </row>
    <row r="386" spans="1:18">
      <c r="A386" t="s">
        <v>64</v>
      </c>
      <c r="B386" t="s">
        <v>11</v>
      </c>
      <c r="C386" s="51">
        <v>136752846325</v>
      </c>
      <c r="D386" s="1">
        <v>49970.85</v>
      </c>
      <c r="E386" s="1">
        <v>10307818.18</v>
      </c>
      <c r="F386" t="s">
        <v>1280</v>
      </c>
      <c r="G386"/>
      <c r="H386"/>
      <c r="I386" s="16">
        <f>-IFERROR(VLOOKUP(C386,SIRCUPA!$A$21:$H$186,8,0),0)</f>
        <v>0</v>
      </c>
      <c r="J386" s="68">
        <f>-IFERROR(VLOOKUP(C386,SIRTAC!$A$16:$H$1405,8,0),0)</f>
        <v>-528.96</v>
      </c>
      <c r="K386" s="68">
        <f>-IFERROR(VLOOKUP(C386,Gastos!$A$9:$J$1398,10,0),0)</f>
        <v>-2078.81</v>
      </c>
      <c r="L386" s="68">
        <f>-IFERROR(VLOOKUP(C386,IDC!$A$20:$H$1596,8,0),0)</f>
        <v>-317.38</v>
      </c>
      <c r="M386" s="74">
        <f t="shared" si="9"/>
        <v>52895.999999999993</v>
      </c>
      <c r="N386"/>
      <c r="Q386"/>
      <c r="R386"/>
    </row>
    <row r="387" spans="1:18">
      <c r="A387" t="s">
        <v>64</v>
      </c>
      <c r="B387" t="s">
        <v>11</v>
      </c>
      <c r="C387" s="51">
        <v>136754028045</v>
      </c>
      <c r="D387" s="1">
        <v>37597.17</v>
      </c>
      <c r="E387" s="1">
        <v>10345415.35</v>
      </c>
      <c r="F387" t="s">
        <v>1280</v>
      </c>
      <c r="G387"/>
      <c r="H387"/>
      <c r="I387" s="16">
        <f>-IFERROR(VLOOKUP(C387,SIRCUPA!$A$21:$H$186,8,0),0)</f>
        <v>0</v>
      </c>
      <c r="J387" s="68">
        <f>-IFERROR(VLOOKUP(C387,SIRTAC!$A$16:$H$1405,8,0),0)</f>
        <v>-397.98</v>
      </c>
      <c r="K387" s="68">
        <f>-IFERROR(VLOOKUP(C387,Gastos!$A$9:$J$1398,10,0),0)</f>
        <v>-1564.06</v>
      </c>
      <c r="L387" s="68">
        <f>-IFERROR(VLOOKUP(C387,IDC!$A$20:$H$1596,8,0),0)</f>
        <v>-238.79</v>
      </c>
      <c r="M387" s="74">
        <f t="shared" si="9"/>
        <v>39798</v>
      </c>
      <c r="N387"/>
      <c r="Q387"/>
      <c r="R387"/>
    </row>
    <row r="388" spans="1:18">
      <c r="A388" t="s">
        <v>64</v>
      </c>
      <c r="B388" t="s">
        <v>11</v>
      </c>
      <c r="C388" s="51">
        <v>136754376295</v>
      </c>
      <c r="D388" s="1">
        <v>9069.1200000000008</v>
      </c>
      <c r="E388" s="1">
        <v>10354484.470000001</v>
      </c>
      <c r="F388" t="s">
        <v>1280</v>
      </c>
      <c r="G388"/>
      <c r="H388"/>
      <c r="I388" s="16">
        <f>-IFERROR(VLOOKUP(C388,SIRCUPA!$A$21:$H$186,8,0),0)</f>
        <v>0</v>
      </c>
      <c r="J388" s="68">
        <f>-IFERROR(VLOOKUP(C388,SIRTAC!$A$16:$H$1405,8,0),0)</f>
        <v>-96</v>
      </c>
      <c r="K388" s="68">
        <f>-IFERROR(VLOOKUP(C388,Gastos!$A$9:$J$1398,10,0),0)</f>
        <v>-377.28</v>
      </c>
      <c r="L388" s="68">
        <f>-IFERROR(VLOOKUP(C388,IDC!$A$20:$H$1596,8,0),0)</f>
        <v>-57.6</v>
      </c>
      <c r="M388" s="74">
        <f t="shared" si="9"/>
        <v>9600.0000000000018</v>
      </c>
      <c r="N388"/>
      <c r="Q388"/>
      <c r="R388"/>
    </row>
    <row r="389" spans="1:18">
      <c r="A389" t="s">
        <v>64</v>
      </c>
      <c r="B389" t="s">
        <v>11</v>
      </c>
      <c r="C389" s="51">
        <v>136754357781</v>
      </c>
      <c r="D389" s="1">
        <v>36049.1</v>
      </c>
      <c r="E389" s="1">
        <v>10390533.57</v>
      </c>
      <c r="F389" t="s">
        <v>1280</v>
      </c>
      <c r="G389"/>
      <c r="H389"/>
      <c r="I389" s="16">
        <f>-IFERROR(VLOOKUP(C389,SIRCUPA!$A$21:$H$186,8,0),0)</f>
        <v>0</v>
      </c>
      <c r="J389" s="68">
        <f>-IFERROR(VLOOKUP(C389,SIRTAC!$A$16:$H$1405,8,0),0)</f>
        <v>-370</v>
      </c>
      <c r="K389" s="68">
        <f>-IFERROR(VLOOKUP(C389,Gastos!$A$9:$J$1398,10,0),0)</f>
        <v>-358.9</v>
      </c>
      <c r="L389" s="68">
        <f>-IFERROR(VLOOKUP(C389,IDC!$A$20:$H$1596,8,0),0)</f>
        <v>-222</v>
      </c>
      <c r="M389" s="74">
        <f t="shared" si="9"/>
        <v>37000</v>
      </c>
      <c r="N389"/>
      <c r="Q389"/>
      <c r="R389"/>
    </row>
    <row r="390" spans="1:18">
      <c r="A390" t="s">
        <v>64</v>
      </c>
      <c r="B390" t="s">
        <v>11</v>
      </c>
      <c r="C390" s="51">
        <v>136756050703</v>
      </c>
      <c r="D390" s="1">
        <v>39556.58</v>
      </c>
      <c r="E390" s="1">
        <v>10430090.15</v>
      </c>
      <c r="F390" t="s">
        <v>1280</v>
      </c>
      <c r="G390"/>
      <c r="H390"/>
      <c r="I390" s="16">
        <f>-IFERROR(VLOOKUP(C390,SIRCUPA!$A$21:$H$186,8,0),0)</f>
        <v>0</v>
      </c>
      <c r="J390" s="68">
        <f>-IFERROR(VLOOKUP(C390,SIRTAC!$A$16:$H$1405,8,0),0)</f>
        <v>-406</v>
      </c>
      <c r="K390" s="68">
        <f>-IFERROR(VLOOKUP(C390,Gastos!$A$9:$J$1398,10,0),0)</f>
        <v>-393.82</v>
      </c>
      <c r="L390" s="68">
        <f>-IFERROR(VLOOKUP(C390,IDC!$A$20:$H$1596,8,0),0)</f>
        <v>-243.6</v>
      </c>
      <c r="M390" s="74">
        <f t="shared" si="9"/>
        <v>40600</v>
      </c>
      <c r="N390"/>
      <c r="Q390"/>
      <c r="R390"/>
    </row>
    <row r="391" spans="1:18">
      <c r="A391" t="s">
        <v>64</v>
      </c>
      <c r="B391" t="s">
        <v>11</v>
      </c>
      <c r="C391" s="51">
        <v>137387028658</v>
      </c>
      <c r="D391" s="1">
        <v>52027.62</v>
      </c>
      <c r="E391" s="1">
        <v>10482117.77</v>
      </c>
      <c r="F391" t="s">
        <v>1280</v>
      </c>
      <c r="G391"/>
      <c r="H391"/>
      <c r="I391" s="16">
        <f>-IFERROR(VLOOKUP(C391,SIRCUPA!$A$21:$H$186,8,0),0)</f>
        <v>0</v>
      </c>
      <c r="J391" s="68">
        <f>-IFERROR(VLOOKUP(C391,SIRTAC!$A$16:$H$1405,8,0),0)</f>
        <v>-534</v>
      </c>
      <c r="K391" s="68">
        <f>-IFERROR(VLOOKUP(C391,Gastos!$A$9:$J$1398,10,0),0)</f>
        <v>-517.98</v>
      </c>
      <c r="L391" s="68">
        <f>-IFERROR(VLOOKUP(C391,IDC!$A$20:$H$1596,8,0),0)</f>
        <v>-320.39999999999998</v>
      </c>
      <c r="M391" s="74">
        <f t="shared" si="9"/>
        <v>53400.000000000007</v>
      </c>
      <c r="N391"/>
      <c r="Q391"/>
      <c r="R391"/>
    </row>
    <row r="392" spans="1:18">
      <c r="A392" t="s">
        <v>72</v>
      </c>
      <c r="B392" t="s">
        <v>73</v>
      </c>
      <c r="C392" s="51">
        <v>137387927580</v>
      </c>
      <c r="D392" s="1">
        <v>26922.5</v>
      </c>
      <c r="E392" s="1">
        <v>10509040.27</v>
      </c>
      <c r="F392" t="s">
        <v>1280</v>
      </c>
      <c r="G392"/>
      <c r="H392"/>
      <c r="I392" s="16">
        <f>-IFERROR(VLOOKUP(C392,SIRCUPA!$A$21:$H$186,8,0),0)</f>
        <v>-412.5</v>
      </c>
      <c r="J392" s="68">
        <f>-IFERROR(VLOOKUP(C392,SIRTAC!$A$16:$H$1405,8,0),0)</f>
        <v>0</v>
      </c>
      <c r="K392" s="68">
        <f>-IFERROR(VLOOKUP(C392,Gastos!$A$9:$J$1398,10,0),0)</f>
        <v>0</v>
      </c>
      <c r="L392" s="68">
        <v>-165</v>
      </c>
      <c r="M392" s="74">
        <f t="shared" si="9"/>
        <v>27500</v>
      </c>
      <c r="N392"/>
      <c r="Q392" s="16">
        <f>+I392/0.015</f>
        <v>-27500</v>
      </c>
      <c r="R392" s="16">
        <f>+Q392*0.006</f>
        <v>-165</v>
      </c>
    </row>
    <row r="393" spans="1:18">
      <c r="A393" t="s">
        <v>72</v>
      </c>
      <c r="B393" t="s">
        <v>11</v>
      </c>
      <c r="C393" s="51">
        <v>137388651946</v>
      </c>
      <c r="D393" s="1">
        <v>22257.1</v>
      </c>
      <c r="E393" s="1">
        <v>10531297.369999999</v>
      </c>
      <c r="F393" t="s">
        <v>1280</v>
      </c>
      <c r="G393"/>
      <c r="H393"/>
      <c r="I393" s="16">
        <f>-IFERROR(VLOOKUP(C393,SIRCUPA!$A$21:$H$186,8,0),0)</f>
        <v>0</v>
      </c>
      <c r="J393" s="68">
        <f>-IFERROR(VLOOKUP(C393,SIRTAC!$A$16:$H$1405,8,0),0)</f>
        <v>-230</v>
      </c>
      <c r="K393" s="68">
        <f>-IFERROR(VLOOKUP(C393,Gastos!$A$9:$J$1398,10,0),0)</f>
        <v>-374.9</v>
      </c>
      <c r="L393" s="68">
        <f>-IFERROR(VLOOKUP(C393,IDC!$A$20:$H$1596,8,0),0)</f>
        <v>-138</v>
      </c>
      <c r="M393" s="74">
        <f t="shared" si="9"/>
        <v>23000</v>
      </c>
      <c r="N393"/>
      <c r="Q393"/>
      <c r="R393"/>
    </row>
    <row r="394" spans="1:18">
      <c r="A394" t="s">
        <v>72</v>
      </c>
      <c r="B394" t="s">
        <v>11</v>
      </c>
      <c r="C394" s="51">
        <v>136758090307</v>
      </c>
      <c r="D394" s="1">
        <v>8184.12</v>
      </c>
      <c r="E394" s="1">
        <v>10539481.49</v>
      </c>
      <c r="F394" t="s">
        <v>1280</v>
      </c>
      <c r="G394"/>
      <c r="H394"/>
      <c r="I394" s="16">
        <f>-IFERROR(VLOOKUP(C394,SIRCUPA!$A$21:$H$186,8,0),0)</f>
        <v>0</v>
      </c>
      <c r="J394" s="68">
        <f>-IFERROR(VLOOKUP(C394,SIRTAC!$A$16:$H$1405,8,0),0)</f>
        <v>-84</v>
      </c>
      <c r="K394" s="68">
        <f>-IFERROR(VLOOKUP(C394,Gastos!$A$9:$J$1398,10,0),0)</f>
        <v>-81.48</v>
      </c>
      <c r="L394" s="68">
        <f>-IFERROR(VLOOKUP(C394,IDC!$A$20:$H$1596,8,0),0)</f>
        <v>-50.4</v>
      </c>
      <c r="M394" s="74">
        <f t="shared" si="9"/>
        <v>8399.9999999999982</v>
      </c>
      <c r="N394"/>
      <c r="Q394"/>
      <c r="R394"/>
    </row>
    <row r="395" spans="1:18">
      <c r="A395" t="s">
        <v>72</v>
      </c>
      <c r="B395" t="s">
        <v>11</v>
      </c>
      <c r="C395" s="51">
        <v>137389146058</v>
      </c>
      <c r="D395" s="1">
        <v>46762.5</v>
      </c>
      <c r="E395" s="1">
        <v>10586243.99</v>
      </c>
      <c r="F395" t="s">
        <v>1280</v>
      </c>
      <c r="G395"/>
      <c r="H395"/>
      <c r="I395" s="16">
        <f>-IFERROR(VLOOKUP(C395,SIRCUPA!$A$21:$H$186,8,0),0)</f>
        <v>0</v>
      </c>
      <c r="J395" s="68">
        <f>-IFERROR(VLOOKUP(C395,SIRTAC!$A$16:$H$1405,8,0),0)</f>
        <v>-479.96</v>
      </c>
      <c r="K395" s="68">
        <f>-IFERROR(VLOOKUP(C395,Gastos!$A$9:$J$1398,10,0),0)</f>
        <v>-465.56</v>
      </c>
      <c r="L395" s="68">
        <f>-IFERROR(VLOOKUP(C395,IDC!$A$20:$H$1596,8,0),0)</f>
        <v>-287.98</v>
      </c>
      <c r="M395" s="74">
        <f t="shared" si="9"/>
        <v>47996</v>
      </c>
      <c r="N395"/>
      <c r="Q395"/>
      <c r="R395"/>
    </row>
    <row r="396" spans="1:18">
      <c r="A396" t="s">
        <v>72</v>
      </c>
      <c r="B396" t="s">
        <v>11</v>
      </c>
      <c r="C396" s="51">
        <v>136759600983</v>
      </c>
      <c r="D396" s="1">
        <v>65083.24</v>
      </c>
      <c r="E396" s="1">
        <v>10651327.23</v>
      </c>
      <c r="F396" t="s">
        <v>1280</v>
      </c>
      <c r="G396"/>
      <c r="H396"/>
      <c r="I396" s="16">
        <f>-IFERROR(VLOOKUP(C396,SIRCUPA!$A$21:$H$186,8,0),0)</f>
        <v>0</v>
      </c>
      <c r="J396" s="68">
        <f>-IFERROR(VLOOKUP(C396,SIRTAC!$A$16:$H$1405,8,0),0)</f>
        <v>-668</v>
      </c>
      <c r="K396" s="68">
        <f>-IFERROR(VLOOKUP(C396,Gastos!$A$9:$J$1398,10,0),0)</f>
        <v>-647.96</v>
      </c>
      <c r="L396" s="68">
        <f>-IFERROR(VLOOKUP(C396,IDC!$A$20:$H$1596,8,0),0)</f>
        <v>-400.8</v>
      </c>
      <c r="M396" s="74">
        <f t="shared" si="9"/>
        <v>66800</v>
      </c>
      <c r="N396"/>
      <c r="Q396"/>
      <c r="R396"/>
    </row>
    <row r="397" spans="1:18">
      <c r="A397" t="s">
        <v>72</v>
      </c>
      <c r="B397" t="s">
        <v>74</v>
      </c>
      <c r="C397" s="51">
        <v>136759583173</v>
      </c>
      <c r="D397" s="1">
        <v>3269.86</v>
      </c>
      <c r="E397" s="1">
        <v>10654597.09</v>
      </c>
      <c r="F397" t="s">
        <v>1280</v>
      </c>
      <c r="G397"/>
      <c r="H397"/>
      <c r="I397" s="16">
        <f>-IFERROR(VLOOKUP(C397,SIRCUPA!$A$21:$H$186,8,0),0)</f>
        <v>-50.1</v>
      </c>
      <c r="J397" s="68">
        <f>-IFERROR(VLOOKUP(C397,SIRTAC!$A$16:$H$1405,8,0),0)</f>
        <v>0</v>
      </c>
      <c r="K397" s="68">
        <f>-IFERROR(VLOOKUP(C397,Gastos!$A$9:$J$1398,10,0),0)</f>
        <v>0</v>
      </c>
      <c r="L397" s="68">
        <f>-IFERROR(VLOOKUP(C397,IDC!$A$20:$H$1596,8,0),0)</f>
        <v>-20.04</v>
      </c>
      <c r="M397" s="74">
        <f t="shared" si="9"/>
        <v>3340</v>
      </c>
      <c r="N397"/>
      <c r="Q397"/>
      <c r="R397"/>
    </row>
    <row r="398" spans="1:18">
      <c r="A398" t="s">
        <v>72</v>
      </c>
      <c r="B398" t="s">
        <v>75</v>
      </c>
      <c r="C398" s="51">
        <v>136759889445</v>
      </c>
      <c r="D398" s="1">
        <v>8027.8</v>
      </c>
      <c r="E398" s="1">
        <v>10662624.890000001</v>
      </c>
      <c r="F398" t="s">
        <v>1280</v>
      </c>
      <c r="G398"/>
      <c r="H398"/>
      <c r="I398" s="16">
        <f>-IFERROR(VLOOKUP(C398,SIRCUPA!$A$21:$H$186,8,0),0)</f>
        <v>-123</v>
      </c>
      <c r="J398" s="68">
        <f>-IFERROR(VLOOKUP(C398,SIRTAC!$A$16:$H$1405,8,0),0)</f>
        <v>0</v>
      </c>
      <c r="K398" s="68">
        <f>-IFERROR(VLOOKUP(C398,Gastos!$A$9:$J$1398,10,0),0)</f>
        <v>0</v>
      </c>
      <c r="L398" s="68">
        <v>-49.2</v>
      </c>
      <c r="M398" s="74">
        <f t="shared" si="9"/>
        <v>8200</v>
      </c>
      <c r="N398"/>
      <c r="Q398" s="16">
        <f t="shared" ref="Q398:Q399" si="10">+I398/0.015</f>
        <v>-8200</v>
      </c>
      <c r="R398" s="16">
        <f t="shared" ref="R398:R399" si="11">+Q398*0.006</f>
        <v>-49.2</v>
      </c>
    </row>
    <row r="399" spans="1:18">
      <c r="A399" t="s">
        <v>72</v>
      </c>
      <c r="B399" t="s">
        <v>76</v>
      </c>
      <c r="C399" s="51">
        <v>137391748382</v>
      </c>
      <c r="D399" s="1">
        <v>23494.04</v>
      </c>
      <c r="E399" s="1">
        <v>10686118.93</v>
      </c>
      <c r="F399" t="s">
        <v>1280</v>
      </c>
      <c r="G399"/>
      <c r="H399"/>
      <c r="I399" s="16">
        <f>-IFERROR(VLOOKUP(C399,SIRCUPA!$A$21:$H$186,8,0),0)</f>
        <v>-359.97</v>
      </c>
      <c r="J399" s="68">
        <f>-IFERROR(VLOOKUP(C399,SIRTAC!$A$16:$H$1405,8,0),0)</f>
        <v>0</v>
      </c>
      <c r="K399" s="68">
        <f>-IFERROR(VLOOKUP(C399,Gastos!$A$9:$J$1398,10,0),0)</f>
        <v>0</v>
      </c>
      <c r="L399" s="68">
        <v>-143.98800000000003</v>
      </c>
      <c r="M399" s="74">
        <f t="shared" si="9"/>
        <v>23997.998000000003</v>
      </c>
      <c r="N399"/>
      <c r="Q399" s="16">
        <f t="shared" si="10"/>
        <v>-23998.000000000004</v>
      </c>
      <c r="R399" s="16">
        <f t="shared" si="11"/>
        <v>-143.98800000000003</v>
      </c>
    </row>
    <row r="400" spans="1:18">
      <c r="A400" t="s">
        <v>72</v>
      </c>
      <c r="B400" t="s">
        <v>11</v>
      </c>
      <c r="C400" s="51">
        <v>137392666128</v>
      </c>
      <c r="D400" s="1">
        <v>15101.65</v>
      </c>
      <c r="E400" s="1">
        <v>10701220.58</v>
      </c>
      <c r="F400" t="s">
        <v>1280</v>
      </c>
      <c r="G400"/>
      <c r="H400"/>
      <c r="I400" s="16">
        <f>-IFERROR(VLOOKUP(C400,SIRCUPA!$A$21:$H$186,8,0),0)</f>
        <v>0</v>
      </c>
      <c r="J400" s="68">
        <f>-IFERROR(VLOOKUP(C400,SIRTAC!$A$16:$H$1405,8,0),0)</f>
        <v>-155</v>
      </c>
      <c r="K400" s="68">
        <f>-IFERROR(VLOOKUP(C400,Gastos!$A$9:$J$1398,10,0),0)</f>
        <v>-150.35</v>
      </c>
      <c r="L400" s="68">
        <f>-IFERROR(VLOOKUP(C400,IDC!$A$20:$H$1596,8,0),0)</f>
        <v>-93</v>
      </c>
      <c r="M400" s="74">
        <f t="shared" si="9"/>
        <v>15500</v>
      </c>
      <c r="N400"/>
      <c r="Q400"/>
      <c r="R400"/>
    </row>
    <row r="401" spans="1:13" customFormat="1">
      <c r="A401" t="s">
        <v>72</v>
      </c>
      <c r="B401" t="s">
        <v>11</v>
      </c>
      <c r="C401" s="51">
        <v>136761788097</v>
      </c>
      <c r="D401" s="1">
        <v>16059.9</v>
      </c>
      <c r="E401" s="1">
        <v>10717280.48</v>
      </c>
      <c r="F401" t="s">
        <v>1280</v>
      </c>
      <c r="I401" s="16">
        <f>-IFERROR(VLOOKUP(C401,SIRCUPA!$A$21:$H$186,8,0),0)</f>
        <v>0</v>
      </c>
      <c r="J401" s="68">
        <f>-IFERROR(VLOOKUP(C401,SIRTAC!$A$16:$H$1405,8,0),0)</f>
        <v>-170</v>
      </c>
      <c r="K401" s="68">
        <f>-IFERROR(VLOOKUP(C401,Gastos!$A$9:$J$1398,10,0),0)</f>
        <v>-668.1</v>
      </c>
      <c r="L401" s="68">
        <f>-IFERROR(VLOOKUP(C401,IDC!$A$20:$H$1596,8,0),0)</f>
        <v>-102</v>
      </c>
      <c r="M401" s="74">
        <f t="shared" si="9"/>
        <v>17000</v>
      </c>
    </row>
    <row r="402" spans="1:13" customFormat="1">
      <c r="A402" t="s">
        <v>72</v>
      </c>
      <c r="B402" t="s">
        <v>11</v>
      </c>
      <c r="C402" s="51">
        <v>136762890073</v>
      </c>
      <c r="D402" s="1">
        <v>26451.599999999999</v>
      </c>
      <c r="E402" s="1">
        <v>10743732.08</v>
      </c>
      <c r="F402" t="s">
        <v>1280</v>
      </c>
      <c r="I402" s="16">
        <f>-IFERROR(VLOOKUP(C402,SIRCUPA!$A$21:$H$186,8,0),0)</f>
        <v>0</v>
      </c>
      <c r="J402" s="68">
        <f>-IFERROR(VLOOKUP(C402,SIRTAC!$A$16:$H$1405,8,0),0)</f>
        <v>-280</v>
      </c>
      <c r="K402" s="68">
        <f>-IFERROR(VLOOKUP(C402,Gastos!$A$9:$J$1398,10,0),0)</f>
        <v>-1100.4000000000001</v>
      </c>
      <c r="L402" s="68">
        <f>-IFERROR(VLOOKUP(C402,IDC!$A$20:$H$1596,8,0),0)</f>
        <v>-168</v>
      </c>
      <c r="M402" s="74">
        <f t="shared" si="9"/>
        <v>28000</v>
      </c>
    </row>
    <row r="403" spans="1:13" customFormat="1">
      <c r="A403" t="s">
        <v>72</v>
      </c>
      <c r="B403" t="s">
        <v>11</v>
      </c>
      <c r="C403" s="51">
        <v>136763077907</v>
      </c>
      <c r="D403" s="1">
        <v>19875.72</v>
      </c>
      <c r="E403" s="1">
        <v>10763607.800000001</v>
      </c>
      <c r="F403" t="s">
        <v>1280</v>
      </c>
      <c r="I403" s="16">
        <f>-IFERROR(VLOOKUP(C403,SIRCUPA!$A$21:$H$186,8,0),0)</f>
        <v>0</v>
      </c>
      <c r="J403" s="68">
        <f>-IFERROR(VLOOKUP(C403,SIRTAC!$A$16:$H$1405,8,0),0)</f>
        <v>-204</v>
      </c>
      <c r="K403" s="68">
        <f>-IFERROR(VLOOKUP(C403,Gastos!$A$9:$J$1398,10,0),0)</f>
        <v>-197.88</v>
      </c>
      <c r="L403" s="68">
        <f>-IFERROR(VLOOKUP(C403,IDC!$A$20:$H$1596,8,0),0)</f>
        <v>-122.4</v>
      </c>
      <c r="M403" s="74">
        <f t="shared" si="9"/>
        <v>20400.000000000004</v>
      </c>
    </row>
    <row r="404" spans="1:13" customFormat="1">
      <c r="A404" t="s">
        <v>72</v>
      </c>
      <c r="B404" t="s">
        <v>77</v>
      </c>
      <c r="C404" s="51">
        <v>136763226203</v>
      </c>
      <c r="D404">
        <v>998.58</v>
      </c>
      <c r="E404" s="1">
        <v>10764606.380000001</v>
      </c>
      <c r="F404" t="s">
        <v>1280</v>
      </c>
      <c r="I404" s="16">
        <f>-IFERROR(VLOOKUP(C404,SIRCUPA!$A$21:$H$186,8,0),0)</f>
        <v>-15.3</v>
      </c>
      <c r="J404" s="68">
        <f>-IFERROR(VLOOKUP(C404,SIRTAC!$A$16:$H$1405,8,0),0)</f>
        <v>0</v>
      </c>
      <c r="K404" s="68">
        <f>-IFERROR(VLOOKUP(C404,Gastos!$A$9:$J$1398,10,0),0)</f>
        <v>0</v>
      </c>
      <c r="L404" s="68">
        <f>-IFERROR(VLOOKUP(C404,IDC!$A$20:$H$1596,8,0),0)</f>
        <v>-6.12</v>
      </c>
      <c r="M404" s="74">
        <f t="shared" si="9"/>
        <v>1020</v>
      </c>
    </row>
    <row r="405" spans="1:13" customFormat="1">
      <c r="A405" t="s">
        <v>72</v>
      </c>
      <c r="B405" t="s">
        <v>11</v>
      </c>
      <c r="C405" s="51">
        <v>136763246569</v>
      </c>
      <c r="D405" s="1">
        <v>18414.27</v>
      </c>
      <c r="E405" s="1">
        <v>10783020.65</v>
      </c>
      <c r="F405" t="s">
        <v>1280</v>
      </c>
      <c r="I405" s="16">
        <f>-IFERROR(VLOOKUP(C405,SIRCUPA!$A$21:$H$186,8,0),0)</f>
        <v>0</v>
      </c>
      <c r="J405" s="68">
        <f>-IFERROR(VLOOKUP(C405,SIRTAC!$A$16:$H$1405,8,0),0)</f>
        <v>-189</v>
      </c>
      <c r="K405" s="68">
        <f>-IFERROR(VLOOKUP(C405,Gastos!$A$9:$J$1398,10,0),0)</f>
        <v>-183.33</v>
      </c>
      <c r="L405" s="68">
        <f>-IFERROR(VLOOKUP(C405,IDC!$A$20:$H$1596,8,0),0)</f>
        <v>-113.4</v>
      </c>
      <c r="M405" s="74">
        <f t="shared" si="9"/>
        <v>18900.000000000004</v>
      </c>
    </row>
    <row r="406" spans="1:13" customFormat="1">
      <c r="A406" t="s">
        <v>72</v>
      </c>
      <c r="B406" t="s">
        <v>11</v>
      </c>
      <c r="C406" s="51">
        <v>136763251849</v>
      </c>
      <c r="D406" s="1">
        <v>89243.93</v>
      </c>
      <c r="E406" s="1">
        <v>10872264.58</v>
      </c>
      <c r="F406" t="s">
        <v>1280</v>
      </c>
      <c r="I406" s="16">
        <f>-IFERROR(VLOOKUP(C406,SIRCUPA!$A$21:$H$186,8,0),0)</f>
        <v>0</v>
      </c>
      <c r="J406" s="68">
        <f>-IFERROR(VLOOKUP(C406,SIRTAC!$A$16:$H$1405,8,0),0)</f>
        <v>-915.98</v>
      </c>
      <c r="K406" s="68">
        <f>-IFERROR(VLOOKUP(C406,Gastos!$A$9:$J$1398,10,0),0)</f>
        <v>-888.5</v>
      </c>
      <c r="L406" s="68">
        <f>-IFERROR(VLOOKUP(C406,IDC!$A$20:$H$1596,8,0),0)</f>
        <v>-549.59</v>
      </c>
      <c r="M406" s="74">
        <f t="shared" si="9"/>
        <v>91597.999999999985</v>
      </c>
    </row>
    <row r="407" spans="1:13" customFormat="1">
      <c r="A407" t="s">
        <v>72</v>
      </c>
      <c r="B407" t="s">
        <v>11</v>
      </c>
      <c r="C407" s="51">
        <v>137504808854</v>
      </c>
      <c r="D407" s="1">
        <v>16368.24</v>
      </c>
      <c r="E407" s="1">
        <v>10888632.82</v>
      </c>
      <c r="F407" t="s">
        <v>1280</v>
      </c>
      <c r="I407" s="16">
        <f>-IFERROR(VLOOKUP(C407,SIRCUPA!$A$21:$H$186,8,0),0)</f>
        <v>0</v>
      </c>
      <c r="J407" s="68">
        <f>-IFERROR(VLOOKUP(C407,SIRTAC!$A$16:$H$1405,8,0),0)</f>
        <v>-168</v>
      </c>
      <c r="K407" s="68">
        <f>-IFERROR(VLOOKUP(C407,Gastos!$A$9:$J$1398,10,0),0)</f>
        <v>-162.96</v>
      </c>
      <c r="L407" s="68">
        <f>-IFERROR(VLOOKUP(C407,IDC!$A$20:$H$1596,8,0),0)</f>
        <v>-100.8</v>
      </c>
      <c r="M407" s="74">
        <f t="shared" si="9"/>
        <v>16799.999999999996</v>
      </c>
    </row>
    <row r="408" spans="1:13" customFormat="1">
      <c r="A408" t="s">
        <v>72</v>
      </c>
      <c r="B408" t="s">
        <v>11</v>
      </c>
      <c r="C408" s="51">
        <v>137505117298</v>
      </c>
      <c r="D408" s="1">
        <v>9573.7199999999993</v>
      </c>
      <c r="E408" s="1">
        <v>10898206.539999999</v>
      </c>
      <c r="F408" t="s">
        <v>1280</v>
      </c>
      <c r="I408" s="16">
        <f>-IFERROR(VLOOKUP(C408,SIRCUPA!$A$21:$H$186,8,0),0)</f>
        <v>0</v>
      </c>
      <c r="J408" s="68">
        <f>-IFERROR(VLOOKUP(C408,SIRTAC!$A$16:$H$1405,8,0),0)</f>
        <v>-102</v>
      </c>
      <c r="K408" s="68">
        <f>-IFERROR(VLOOKUP(C408,Gastos!$A$9:$J$1398,10,0),0)</f>
        <v>-463.08</v>
      </c>
      <c r="L408" s="68">
        <f>-IFERROR(VLOOKUP(C408,IDC!$A$20:$H$1596,8,0),0)</f>
        <v>-61.2</v>
      </c>
      <c r="M408" s="74">
        <f t="shared" si="9"/>
        <v>10200</v>
      </c>
    </row>
    <row r="409" spans="1:13" customFormat="1">
      <c r="A409" t="s">
        <v>72</v>
      </c>
      <c r="B409" t="s">
        <v>11</v>
      </c>
      <c r="C409" s="51">
        <v>137509141570</v>
      </c>
      <c r="D409" s="1">
        <v>8573.84</v>
      </c>
      <c r="E409" s="1">
        <v>10906780.380000001</v>
      </c>
      <c r="F409" t="s">
        <v>1280</v>
      </c>
      <c r="I409" s="16">
        <f>-IFERROR(VLOOKUP(C409,SIRCUPA!$A$21:$H$186,8,0),0)</f>
        <v>0</v>
      </c>
      <c r="J409" s="68">
        <f>-IFERROR(VLOOKUP(C409,SIRTAC!$A$16:$H$1405,8,0),0)</f>
        <v>-88</v>
      </c>
      <c r="K409" s="68">
        <f>-IFERROR(VLOOKUP(C409,Gastos!$A$9:$J$1398,10,0),0)</f>
        <v>-85.36</v>
      </c>
      <c r="L409" s="68">
        <f>-IFERROR(VLOOKUP(C409,IDC!$A$20:$H$1596,8,0),0)</f>
        <v>-52.8</v>
      </c>
      <c r="M409" s="74">
        <f t="shared" si="9"/>
        <v>8800</v>
      </c>
    </row>
    <row r="410" spans="1:13" customFormat="1">
      <c r="A410" t="s">
        <v>72</v>
      </c>
      <c r="B410" t="s">
        <v>11</v>
      </c>
      <c r="C410" s="51">
        <v>137514965726</v>
      </c>
      <c r="D410" s="1">
        <v>13335.48</v>
      </c>
      <c r="E410" s="1">
        <v>10920115.859999999</v>
      </c>
      <c r="F410" t="s">
        <v>1280</v>
      </c>
      <c r="I410" s="16">
        <f>-IFERROR(VLOOKUP(C410,SIRCUPA!$A$21:$H$186,8,0),0)</f>
        <v>0</v>
      </c>
      <c r="J410" s="68">
        <f>-IFERROR(VLOOKUP(C410,SIRTAC!$A$16:$H$1405,8,0),0)</f>
        <v>-153</v>
      </c>
      <c r="K410" s="68">
        <f>-IFERROR(VLOOKUP(C410,Gastos!$A$9:$J$1398,10,0),0)</f>
        <v>-1719.72</v>
      </c>
      <c r="L410" s="68">
        <f>-IFERROR(VLOOKUP(C410,IDC!$A$20:$H$1596,8,0),0)</f>
        <v>-91.8</v>
      </c>
      <c r="M410" s="74">
        <f t="shared" si="9"/>
        <v>15299.999999999998</v>
      </c>
    </row>
    <row r="411" spans="1:13" customFormat="1">
      <c r="A411" t="s">
        <v>72</v>
      </c>
      <c r="B411" t="s">
        <v>11</v>
      </c>
      <c r="C411" s="51">
        <v>137516316134</v>
      </c>
      <c r="D411" s="1">
        <v>24604.09</v>
      </c>
      <c r="E411" s="1">
        <v>10944719.949999999</v>
      </c>
      <c r="F411" t="s">
        <v>1280</v>
      </c>
      <c r="I411" s="16">
        <f>-IFERROR(VLOOKUP(C411,SIRCUPA!$A$21:$H$186,8,0),0)</f>
        <v>0</v>
      </c>
      <c r="J411" s="68">
        <f>-IFERROR(VLOOKUP(C411,SIRTAC!$A$16:$H$1405,8,0),0)</f>
        <v>-271</v>
      </c>
      <c r="K411" s="68">
        <f>-IFERROR(VLOOKUP(C411,Gastos!$A$9:$J$1398,10,0),0)</f>
        <v>-2062.31</v>
      </c>
      <c r="L411" s="68">
        <f>-IFERROR(VLOOKUP(C411,IDC!$A$20:$H$1596,8,0),0)</f>
        <v>-162.6</v>
      </c>
      <c r="M411" s="74">
        <f t="shared" si="9"/>
        <v>27100</v>
      </c>
    </row>
    <row r="412" spans="1:13" customFormat="1">
      <c r="A412" t="s">
        <v>72</v>
      </c>
      <c r="B412" t="s">
        <v>11</v>
      </c>
      <c r="C412" s="51">
        <v>137517341310</v>
      </c>
      <c r="D412" s="1">
        <v>13328.12</v>
      </c>
      <c r="E412" s="1">
        <v>10958048.07</v>
      </c>
      <c r="F412" t="s">
        <v>1280</v>
      </c>
      <c r="I412" s="16">
        <f>-IFERROR(VLOOKUP(C412,SIRCUPA!$A$21:$H$186,8,0),0)</f>
        <v>0</v>
      </c>
      <c r="J412" s="68">
        <f>-IFERROR(VLOOKUP(C412,SIRTAC!$A$16:$H$1405,8,0),0)</f>
        <v>-142</v>
      </c>
      <c r="K412" s="68">
        <f>-IFERROR(VLOOKUP(C412,Gastos!$A$9:$J$1398,10,0),0)</f>
        <v>-644.67999999999995</v>
      </c>
      <c r="L412" s="68">
        <f>-IFERROR(VLOOKUP(C412,IDC!$A$20:$H$1596,8,0),0)</f>
        <v>-85.2</v>
      </c>
      <c r="M412" s="74">
        <f t="shared" si="9"/>
        <v>14200.000000000002</v>
      </c>
    </row>
    <row r="413" spans="1:13" customFormat="1">
      <c r="A413" t="s">
        <v>72</v>
      </c>
      <c r="B413" t="s">
        <v>11</v>
      </c>
      <c r="C413" s="51">
        <v>136888436805</v>
      </c>
      <c r="D413" s="1">
        <v>25285.01</v>
      </c>
      <c r="E413" s="1">
        <v>10983333.08</v>
      </c>
      <c r="F413" t="s">
        <v>1280</v>
      </c>
      <c r="I413" s="16">
        <f>-IFERROR(VLOOKUP(C413,SIRCUPA!$A$21:$H$186,8,0),0)</f>
        <v>0</v>
      </c>
      <c r="J413" s="68">
        <f>-IFERROR(VLOOKUP(C413,SIRTAC!$A$16:$H$1405,8,0),0)</f>
        <v>-278.5</v>
      </c>
      <c r="K413" s="68">
        <f>-IFERROR(VLOOKUP(C413,Gastos!$A$9:$J$1398,10,0),0)</f>
        <v>-2119.39</v>
      </c>
      <c r="L413" s="68">
        <f>-IFERROR(VLOOKUP(C413,IDC!$A$20:$H$1596,8,0),0)</f>
        <v>-167.1</v>
      </c>
      <c r="M413" s="74">
        <f t="shared" si="9"/>
        <v>27849.999999999996</v>
      </c>
    </row>
    <row r="414" spans="1:13" customFormat="1">
      <c r="A414" t="s">
        <v>72</v>
      </c>
      <c r="B414" t="s">
        <v>11</v>
      </c>
      <c r="C414" s="51">
        <v>137521468712</v>
      </c>
      <c r="D414" s="1">
        <v>20362.87</v>
      </c>
      <c r="E414" s="1">
        <v>11003695.949999999</v>
      </c>
      <c r="F414" t="s">
        <v>1280</v>
      </c>
      <c r="I414" s="16">
        <f>-IFERROR(VLOOKUP(C414,SIRCUPA!$A$21:$H$186,8,0),0)</f>
        <v>0</v>
      </c>
      <c r="J414" s="68">
        <f>-IFERROR(VLOOKUP(C414,SIRTAC!$A$16:$H$1405,8,0),0)</f>
        <v>-209</v>
      </c>
      <c r="K414" s="68">
        <f>-IFERROR(VLOOKUP(C414,Gastos!$A$9:$J$1398,10,0),0)</f>
        <v>-202.73</v>
      </c>
      <c r="L414" s="68">
        <f>-IFERROR(VLOOKUP(C414,IDC!$A$20:$H$1596,8,0),0)</f>
        <v>-125.4</v>
      </c>
      <c r="M414" s="74">
        <f t="shared" si="9"/>
        <v>20900</v>
      </c>
    </row>
    <row r="415" spans="1:13" customFormat="1">
      <c r="A415" t="s">
        <v>72</v>
      </c>
      <c r="B415" t="s">
        <v>78</v>
      </c>
      <c r="C415" s="51">
        <v>136888633383</v>
      </c>
      <c r="D415" s="1">
        <v>2046.11</v>
      </c>
      <c r="E415" s="1">
        <v>11005742.060000001</v>
      </c>
      <c r="F415" t="s">
        <v>1280</v>
      </c>
      <c r="I415" s="16">
        <f>-IFERROR(VLOOKUP(C415,SIRCUPA!$A$21:$H$186,8,0),0)</f>
        <v>-31.35</v>
      </c>
      <c r="J415" s="68">
        <f>-IFERROR(VLOOKUP(C415,SIRTAC!$A$16:$H$1405,8,0),0)</f>
        <v>0</v>
      </c>
      <c r="K415" s="68">
        <f>-IFERROR(VLOOKUP(C415,Gastos!$A$9:$J$1398,10,0),0)</f>
        <v>0</v>
      </c>
      <c r="L415" s="68">
        <f>-IFERROR(VLOOKUP(C415,IDC!$A$20:$H$1596,8,0),0)</f>
        <v>-12.54</v>
      </c>
      <c r="M415" s="74">
        <f t="shared" si="9"/>
        <v>2090</v>
      </c>
    </row>
    <row r="416" spans="1:13" customFormat="1">
      <c r="A416" t="s">
        <v>72</v>
      </c>
      <c r="B416" t="s">
        <v>11</v>
      </c>
      <c r="C416" s="51">
        <v>137523926554</v>
      </c>
      <c r="D416" s="1">
        <v>28546.99</v>
      </c>
      <c r="E416" s="1">
        <v>11034289.050000001</v>
      </c>
      <c r="F416" t="s">
        <v>1280</v>
      </c>
      <c r="I416" s="16">
        <f>-IFERROR(VLOOKUP(C416,SIRCUPA!$A$21:$H$186,8,0),0)</f>
        <v>0</v>
      </c>
      <c r="J416" s="68">
        <f>-IFERROR(VLOOKUP(C416,SIRTAC!$A$16:$H$1405,8,0),0)</f>
        <v>-293</v>
      </c>
      <c r="K416" s="68">
        <f>-IFERROR(VLOOKUP(C416,Gastos!$A$9:$J$1398,10,0),0)</f>
        <v>-284.20999999999998</v>
      </c>
      <c r="L416" s="68">
        <f>-IFERROR(VLOOKUP(C416,IDC!$A$20:$H$1596,8,0),0)</f>
        <v>-175.8</v>
      </c>
      <c r="M416" s="74">
        <f t="shared" si="9"/>
        <v>29300</v>
      </c>
    </row>
    <row r="417" spans="1:13" customFormat="1">
      <c r="A417" t="s">
        <v>72</v>
      </c>
      <c r="B417" t="s">
        <v>11</v>
      </c>
      <c r="C417" s="51">
        <v>136890753563</v>
      </c>
      <c r="D417" s="1">
        <v>20972.34</v>
      </c>
      <c r="E417" s="1">
        <v>11055261.390000001</v>
      </c>
      <c r="F417" t="s">
        <v>1280</v>
      </c>
      <c r="I417" s="16">
        <f>-IFERROR(VLOOKUP(C417,SIRCUPA!$A$21:$H$186,8,0),0)</f>
        <v>0</v>
      </c>
      <c r="J417" s="68">
        <f>-IFERROR(VLOOKUP(C417,SIRTAC!$A$16:$H$1405,8,0),0)</f>
        <v>-222</v>
      </c>
      <c r="K417" s="68">
        <f>-IFERROR(VLOOKUP(C417,Gastos!$A$9:$J$1398,10,0),0)</f>
        <v>-872.46</v>
      </c>
      <c r="L417" s="68">
        <f>-IFERROR(VLOOKUP(C417,IDC!$A$20:$H$1596,8,0),0)</f>
        <v>-133.19999999999999</v>
      </c>
      <c r="M417" s="74">
        <f t="shared" si="9"/>
        <v>22200</v>
      </c>
    </row>
    <row r="418" spans="1:13" customFormat="1">
      <c r="A418" t="s">
        <v>72</v>
      </c>
      <c r="B418" t="s">
        <v>11</v>
      </c>
      <c r="C418" s="51">
        <v>136893462517</v>
      </c>
      <c r="D418" s="1">
        <v>11714.28</v>
      </c>
      <c r="E418" s="1">
        <v>11066975.67</v>
      </c>
      <c r="F418" t="s">
        <v>1280</v>
      </c>
      <c r="I418" s="16">
        <f>-IFERROR(VLOOKUP(C418,SIRCUPA!$A$21:$H$186,8,0),0)</f>
        <v>0</v>
      </c>
      <c r="J418" s="68">
        <f>-IFERROR(VLOOKUP(C418,SIRTAC!$A$16:$H$1405,8,0),0)</f>
        <v>-124</v>
      </c>
      <c r="K418" s="68">
        <f>-IFERROR(VLOOKUP(C418,Gastos!$A$9:$J$1398,10,0),0)</f>
        <v>-487.32</v>
      </c>
      <c r="L418" s="68">
        <f>-IFERROR(VLOOKUP(C418,IDC!$A$20:$H$1596,8,0),0)</f>
        <v>-74.400000000000006</v>
      </c>
      <c r="M418" s="74">
        <f t="shared" si="9"/>
        <v>12400</v>
      </c>
    </row>
    <row r="419" spans="1:13" customFormat="1">
      <c r="A419" t="s">
        <v>72</v>
      </c>
      <c r="B419" t="s">
        <v>11</v>
      </c>
      <c r="C419" s="51">
        <v>136893538091</v>
      </c>
      <c r="D419" s="1">
        <v>10425.01</v>
      </c>
      <c r="E419" s="1">
        <v>11077400.68</v>
      </c>
      <c r="F419" t="s">
        <v>1280</v>
      </c>
      <c r="I419" s="16">
        <f>-IFERROR(VLOOKUP(C419,SIRCUPA!$A$21:$H$186,8,0),0)</f>
        <v>0</v>
      </c>
      <c r="J419" s="68">
        <f>-IFERROR(VLOOKUP(C419,SIRTAC!$A$16:$H$1405,8,0),0)</f>
        <v>-107</v>
      </c>
      <c r="K419" s="68">
        <f>-IFERROR(VLOOKUP(C419,Gastos!$A$9:$J$1398,10,0),0)</f>
        <v>-103.79</v>
      </c>
      <c r="L419" s="68">
        <f>-IFERROR(VLOOKUP(C419,IDC!$A$20:$H$1596,8,0),0)</f>
        <v>-64.2</v>
      </c>
      <c r="M419" s="74">
        <f t="shared" si="9"/>
        <v>10700.000000000002</v>
      </c>
    </row>
    <row r="420" spans="1:13" customFormat="1">
      <c r="A420" t="s">
        <v>72</v>
      </c>
      <c r="B420" t="s">
        <v>11</v>
      </c>
      <c r="C420" s="51">
        <v>136894464427</v>
      </c>
      <c r="D420" s="1">
        <v>4676.6400000000003</v>
      </c>
      <c r="E420" s="1">
        <v>11082077.32</v>
      </c>
      <c r="F420" t="s">
        <v>1280</v>
      </c>
      <c r="I420" s="16">
        <f>-IFERROR(VLOOKUP(C420,SIRCUPA!$A$21:$H$186,8,0),0)</f>
        <v>0</v>
      </c>
      <c r="J420" s="68">
        <f>-IFERROR(VLOOKUP(C420,SIRTAC!$A$16:$H$1405,8,0),0)</f>
        <v>-48</v>
      </c>
      <c r="K420" s="68">
        <f>-IFERROR(VLOOKUP(C420,Gastos!$A$9:$J$1398,10,0),0)</f>
        <v>-46.56</v>
      </c>
      <c r="L420" s="68">
        <f>-IFERROR(VLOOKUP(C420,IDC!$A$20:$H$1596,8,0),0)</f>
        <v>-28.8</v>
      </c>
      <c r="M420" s="74">
        <f t="shared" si="9"/>
        <v>4800.0000000000009</v>
      </c>
    </row>
    <row r="421" spans="1:13" customFormat="1">
      <c r="A421" t="s">
        <v>72</v>
      </c>
      <c r="B421" t="s">
        <v>11</v>
      </c>
      <c r="C421" s="51">
        <v>136894824195</v>
      </c>
      <c r="D421" s="1">
        <v>33418.49</v>
      </c>
      <c r="E421" s="1">
        <v>11115495.810000001</v>
      </c>
      <c r="F421" t="s">
        <v>1280</v>
      </c>
      <c r="I421" s="16">
        <f>-IFERROR(VLOOKUP(C421,SIRCUPA!$A$21:$H$186,8,0),0)</f>
        <v>0</v>
      </c>
      <c r="J421" s="68">
        <f>-IFERROR(VLOOKUP(C421,SIRTAC!$A$16:$H$1405,8,0),0)</f>
        <v>-343</v>
      </c>
      <c r="K421" s="68">
        <f>-IFERROR(VLOOKUP(C421,Gastos!$A$9:$J$1398,10,0),0)</f>
        <v>-332.71</v>
      </c>
      <c r="L421" s="68">
        <f>-IFERROR(VLOOKUP(C421,IDC!$A$20:$H$1596,8,0),0)</f>
        <v>-205.8</v>
      </c>
      <c r="M421" s="74">
        <f t="shared" si="9"/>
        <v>34300</v>
      </c>
    </row>
    <row r="422" spans="1:13" customFormat="1">
      <c r="A422" t="s">
        <v>72</v>
      </c>
      <c r="B422" t="s">
        <v>11</v>
      </c>
      <c r="C422" s="51">
        <v>137530279132</v>
      </c>
      <c r="D422" s="1">
        <v>4092.06</v>
      </c>
      <c r="E422" s="1">
        <v>11119587.869999999</v>
      </c>
      <c r="F422" t="s">
        <v>1280</v>
      </c>
      <c r="I422" s="16">
        <f>-IFERROR(VLOOKUP(C422,SIRCUPA!$A$21:$H$186,8,0),0)</f>
        <v>0</v>
      </c>
      <c r="J422" s="68">
        <f>-IFERROR(VLOOKUP(C422,SIRTAC!$A$16:$H$1405,8,0),0)</f>
        <v>-42</v>
      </c>
      <c r="K422" s="68">
        <f>-IFERROR(VLOOKUP(C422,Gastos!$A$9:$J$1398,10,0),0)</f>
        <v>-40.74</v>
      </c>
      <c r="L422" s="68">
        <f>-IFERROR(VLOOKUP(C422,IDC!$A$20:$H$1596,8,0),0)</f>
        <v>-25.2</v>
      </c>
      <c r="M422" s="74">
        <f t="shared" si="9"/>
        <v>4199.9999999999991</v>
      </c>
    </row>
    <row r="423" spans="1:13" customFormat="1">
      <c r="A423" t="s">
        <v>72</v>
      </c>
      <c r="B423" t="s">
        <v>11</v>
      </c>
      <c r="C423" s="51">
        <v>136898510177</v>
      </c>
      <c r="D423" s="1">
        <v>34292.61</v>
      </c>
      <c r="E423" s="1">
        <v>11153880.48</v>
      </c>
      <c r="F423" t="s">
        <v>1280</v>
      </c>
      <c r="I423" s="16">
        <f>-IFERROR(VLOOKUP(C423,SIRCUPA!$A$21:$H$186,8,0),0)</f>
        <v>0</v>
      </c>
      <c r="J423" s="68">
        <f>-IFERROR(VLOOKUP(C423,SIRTAC!$A$16:$H$1405,8,0),0)</f>
        <v>-363</v>
      </c>
      <c r="K423" s="68">
        <f>-IFERROR(VLOOKUP(C423,Gastos!$A$9:$J$1398,10,0),0)</f>
        <v>-1426.59</v>
      </c>
      <c r="L423" s="68">
        <f>-IFERROR(VLOOKUP(C423,IDC!$A$20:$H$1596,8,0),0)</f>
        <v>-217.8</v>
      </c>
      <c r="M423" s="74">
        <f t="shared" si="9"/>
        <v>36300</v>
      </c>
    </row>
    <row r="424" spans="1:13" customFormat="1">
      <c r="A424" t="s">
        <v>72</v>
      </c>
      <c r="B424" t="s">
        <v>11</v>
      </c>
      <c r="C424" s="51">
        <v>136898457817</v>
      </c>
      <c r="D424" s="1">
        <v>4505.28</v>
      </c>
      <c r="E424" s="1">
        <v>11158385.76</v>
      </c>
      <c r="F424" t="s">
        <v>1280</v>
      </c>
      <c r="I424" s="16">
        <f>-IFERROR(VLOOKUP(C424,SIRCUPA!$A$21:$H$186,8,0),0)</f>
        <v>0</v>
      </c>
      <c r="J424" s="68">
        <f>-IFERROR(VLOOKUP(C424,SIRTAC!$A$16:$H$1405,8,0),0)</f>
        <v>-48</v>
      </c>
      <c r="K424" s="68">
        <f>-IFERROR(VLOOKUP(C424,Gastos!$A$9:$J$1398,10,0),0)</f>
        <v>-217.92</v>
      </c>
      <c r="L424" s="68">
        <f>-IFERROR(VLOOKUP(C424,IDC!$A$20:$H$1596,8,0),0)</f>
        <v>-28.8</v>
      </c>
      <c r="M424" s="74">
        <f t="shared" ref="M424:M487" si="12">+D424-I424-J424-K424-L424</f>
        <v>4800</v>
      </c>
    </row>
    <row r="425" spans="1:13" customFormat="1">
      <c r="A425" t="s">
        <v>72</v>
      </c>
      <c r="B425" t="s">
        <v>11</v>
      </c>
      <c r="C425" s="51">
        <v>137531931628</v>
      </c>
      <c r="D425" s="1">
        <v>7014.96</v>
      </c>
      <c r="E425" s="1">
        <v>11165400.720000001</v>
      </c>
      <c r="F425" t="s">
        <v>1280</v>
      </c>
      <c r="I425" s="16">
        <f>-IFERROR(VLOOKUP(C425,SIRCUPA!$A$21:$H$186,8,0),0)</f>
        <v>0</v>
      </c>
      <c r="J425" s="68">
        <f>-IFERROR(VLOOKUP(C425,SIRTAC!$A$16:$H$1405,8,0),0)</f>
        <v>-72</v>
      </c>
      <c r="K425" s="68">
        <f>-IFERROR(VLOOKUP(C425,Gastos!$A$9:$J$1398,10,0),0)</f>
        <v>-69.84</v>
      </c>
      <c r="L425" s="68">
        <f>-IFERROR(VLOOKUP(C425,IDC!$A$20:$H$1596,8,0),0)</f>
        <v>-43.2</v>
      </c>
      <c r="M425" s="74">
        <f t="shared" si="12"/>
        <v>7200</v>
      </c>
    </row>
    <row r="426" spans="1:13" customFormat="1">
      <c r="A426" t="s">
        <v>72</v>
      </c>
      <c r="B426" t="s">
        <v>11</v>
      </c>
      <c r="C426" s="51">
        <v>137533326606</v>
      </c>
      <c r="D426" s="1">
        <v>16160.62</v>
      </c>
      <c r="E426" s="1">
        <v>11181561.34</v>
      </c>
      <c r="F426" t="s">
        <v>1280</v>
      </c>
      <c r="I426" s="16">
        <f>-IFERROR(VLOOKUP(C426,SIRCUPA!$A$21:$H$186,8,0),0)</f>
        <v>0</v>
      </c>
      <c r="J426" s="68">
        <f>-IFERROR(VLOOKUP(C426,SIRTAC!$A$16:$H$1405,8,0),0)</f>
        <v>-178</v>
      </c>
      <c r="K426" s="68">
        <f>-IFERROR(VLOOKUP(C426,Gastos!$A$9:$J$1398,10,0),0)</f>
        <v>-1354.58</v>
      </c>
      <c r="L426" s="68">
        <f>-IFERROR(VLOOKUP(C426,IDC!$A$20:$H$1596,8,0),0)</f>
        <v>-106.8</v>
      </c>
      <c r="M426" s="74">
        <f t="shared" si="12"/>
        <v>17800</v>
      </c>
    </row>
    <row r="427" spans="1:13" customFormat="1">
      <c r="A427" t="s">
        <v>72</v>
      </c>
      <c r="B427" t="s">
        <v>11</v>
      </c>
      <c r="C427" s="51">
        <v>136900364237</v>
      </c>
      <c r="D427" s="1">
        <v>9353.2800000000007</v>
      </c>
      <c r="E427" s="1">
        <v>11190914.619999999</v>
      </c>
      <c r="F427" t="s">
        <v>1280</v>
      </c>
      <c r="I427" s="16">
        <f>-IFERROR(VLOOKUP(C427,SIRCUPA!$A$21:$H$186,8,0),0)</f>
        <v>0</v>
      </c>
      <c r="J427" s="68">
        <f>-IFERROR(VLOOKUP(C427,SIRTAC!$A$16:$H$1405,8,0),0)</f>
        <v>-96</v>
      </c>
      <c r="K427" s="68">
        <f>-IFERROR(VLOOKUP(C427,Gastos!$A$9:$J$1398,10,0),0)</f>
        <v>-93.12</v>
      </c>
      <c r="L427" s="68">
        <f>-IFERROR(VLOOKUP(C427,IDC!$A$20:$H$1596,8,0),0)</f>
        <v>-57.6</v>
      </c>
      <c r="M427" s="74">
        <f t="shared" si="12"/>
        <v>9600.0000000000018</v>
      </c>
    </row>
    <row r="428" spans="1:13" customFormat="1">
      <c r="A428" t="s">
        <v>72</v>
      </c>
      <c r="B428" t="s">
        <v>11</v>
      </c>
      <c r="C428" s="51">
        <v>137533431786</v>
      </c>
      <c r="D428" s="1">
        <v>4676.6400000000003</v>
      </c>
      <c r="E428" s="1">
        <v>11195591.26</v>
      </c>
      <c r="F428" t="s">
        <v>1280</v>
      </c>
      <c r="I428" s="16">
        <f>-IFERROR(VLOOKUP(C428,SIRCUPA!$A$21:$H$186,8,0),0)</f>
        <v>0</v>
      </c>
      <c r="J428" s="68">
        <f>-IFERROR(VLOOKUP(C428,SIRTAC!$A$16:$H$1405,8,0),0)</f>
        <v>-48</v>
      </c>
      <c r="K428" s="68">
        <f>-IFERROR(VLOOKUP(C428,Gastos!$A$9:$J$1398,10,0),0)</f>
        <v>-46.56</v>
      </c>
      <c r="L428" s="68">
        <f>-IFERROR(VLOOKUP(C428,IDC!$A$20:$H$1596,8,0),0)</f>
        <v>-28.8</v>
      </c>
      <c r="M428" s="74">
        <f t="shared" si="12"/>
        <v>4800.0000000000009</v>
      </c>
    </row>
    <row r="429" spans="1:13" customFormat="1">
      <c r="A429" t="s">
        <v>72</v>
      </c>
      <c r="B429" t="s">
        <v>11</v>
      </c>
      <c r="C429" s="51">
        <v>136901010631</v>
      </c>
      <c r="D429" s="1">
        <v>10717.3</v>
      </c>
      <c r="E429" s="1">
        <v>11206308.560000001</v>
      </c>
      <c r="F429" t="s">
        <v>1280</v>
      </c>
      <c r="I429" s="16">
        <f>-IFERROR(VLOOKUP(C429,SIRCUPA!$A$21:$H$186,8,0),0)</f>
        <v>0</v>
      </c>
      <c r="J429" s="68">
        <f>-IFERROR(VLOOKUP(C429,SIRTAC!$A$16:$H$1405,8,0),0)</f>
        <v>-110</v>
      </c>
      <c r="K429" s="68">
        <f>-IFERROR(VLOOKUP(C429,Gastos!$A$9:$J$1398,10,0),0)</f>
        <v>-106.7</v>
      </c>
      <c r="L429" s="68">
        <f>-IFERROR(VLOOKUP(C429,IDC!$A$20:$H$1596,8,0),0)</f>
        <v>-66</v>
      </c>
      <c r="M429" s="74">
        <f t="shared" si="12"/>
        <v>11000</v>
      </c>
    </row>
    <row r="430" spans="1:13" customFormat="1">
      <c r="A430" t="s">
        <v>72</v>
      </c>
      <c r="B430" t="s">
        <v>11</v>
      </c>
      <c r="C430" s="51">
        <v>136901033757</v>
      </c>
      <c r="D430" s="1">
        <v>4357.92</v>
      </c>
      <c r="E430" s="1">
        <v>11210666.48</v>
      </c>
      <c r="F430" t="s">
        <v>1280</v>
      </c>
      <c r="I430" s="16">
        <f>-IFERROR(VLOOKUP(C430,SIRCUPA!$A$21:$H$186,8,0),0)</f>
        <v>0</v>
      </c>
      <c r="J430" s="68">
        <f>-IFERROR(VLOOKUP(C430,SIRTAC!$A$16:$H$1405,8,0),0)</f>
        <v>-48</v>
      </c>
      <c r="K430" s="68">
        <f>-IFERROR(VLOOKUP(C430,Gastos!$A$9:$J$1398,10,0),0)</f>
        <v>-365.28</v>
      </c>
      <c r="L430" s="68">
        <f>-IFERROR(VLOOKUP(C430,IDC!$A$20:$H$1596,8,0),0)</f>
        <v>-28.8</v>
      </c>
      <c r="M430" s="74">
        <f t="shared" si="12"/>
        <v>4800</v>
      </c>
    </row>
    <row r="431" spans="1:13" customFormat="1">
      <c r="A431" t="s">
        <v>72</v>
      </c>
      <c r="B431" t="s">
        <v>11</v>
      </c>
      <c r="C431" s="51">
        <v>136901169545</v>
      </c>
      <c r="D431" s="1">
        <v>9255.85</v>
      </c>
      <c r="E431" s="1">
        <v>11219922.33</v>
      </c>
      <c r="F431" t="s">
        <v>1280</v>
      </c>
      <c r="I431" s="16">
        <f>-IFERROR(VLOOKUP(C431,SIRCUPA!$A$21:$H$186,8,0),0)</f>
        <v>0</v>
      </c>
      <c r="J431" s="68">
        <f>-IFERROR(VLOOKUP(C431,SIRTAC!$A$16:$H$1405,8,0),0)</f>
        <v>-95</v>
      </c>
      <c r="K431" s="68">
        <f>-IFERROR(VLOOKUP(C431,Gastos!$A$9:$J$1398,10,0),0)</f>
        <v>-92.15</v>
      </c>
      <c r="L431" s="68">
        <f>-IFERROR(VLOOKUP(C431,IDC!$A$20:$H$1596,8,0),0)</f>
        <v>-57</v>
      </c>
      <c r="M431" s="74">
        <f t="shared" si="12"/>
        <v>9500</v>
      </c>
    </row>
    <row r="432" spans="1:13" customFormat="1">
      <c r="A432" t="s">
        <v>72</v>
      </c>
      <c r="B432" t="s">
        <v>11</v>
      </c>
      <c r="C432" s="51">
        <v>136901524811</v>
      </c>
      <c r="D432" s="1">
        <v>13250.48</v>
      </c>
      <c r="E432" s="1">
        <v>11233172.810000001</v>
      </c>
      <c r="F432" t="s">
        <v>1280</v>
      </c>
      <c r="I432" s="16">
        <f>-IFERROR(VLOOKUP(C432,SIRCUPA!$A$21:$H$186,8,0),0)</f>
        <v>0</v>
      </c>
      <c r="J432" s="68">
        <f>-IFERROR(VLOOKUP(C432,SIRTAC!$A$16:$H$1405,8,0),0)</f>
        <v>-136</v>
      </c>
      <c r="K432" s="68">
        <f>-IFERROR(VLOOKUP(C432,Gastos!$A$9:$J$1398,10,0),0)</f>
        <v>-131.91999999999999</v>
      </c>
      <c r="L432" s="68">
        <f>-IFERROR(VLOOKUP(C432,IDC!$A$20:$H$1596,8,0),0)</f>
        <v>-81.599999999999994</v>
      </c>
      <c r="M432" s="74">
        <f t="shared" si="12"/>
        <v>13600</v>
      </c>
    </row>
    <row r="433" spans="1:13" customFormat="1">
      <c r="A433" t="s">
        <v>72</v>
      </c>
      <c r="B433" t="s">
        <v>11</v>
      </c>
      <c r="C433" s="51">
        <v>137534515306</v>
      </c>
      <c r="D433" s="1">
        <v>4286.92</v>
      </c>
      <c r="E433" s="1">
        <v>11237459.73</v>
      </c>
      <c r="F433" t="s">
        <v>1280</v>
      </c>
      <c r="I433" s="16">
        <f>-IFERROR(VLOOKUP(C433,SIRCUPA!$A$21:$H$186,8,0),0)</f>
        <v>0</v>
      </c>
      <c r="J433" s="68">
        <f>-IFERROR(VLOOKUP(C433,SIRTAC!$A$16:$H$1405,8,0),0)</f>
        <v>-44</v>
      </c>
      <c r="K433" s="68">
        <f>-IFERROR(VLOOKUP(C433,Gastos!$A$9:$J$1398,10,0),0)</f>
        <v>-42.68</v>
      </c>
      <c r="L433" s="68">
        <f>-IFERROR(VLOOKUP(C433,IDC!$A$20:$H$1596,8,0),0)</f>
        <v>-26.4</v>
      </c>
      <c r="M433" s="74">
        <f t="shared" si="12"/>
        <v>4400</v>
      </c>
    </row>
    <row r="434" spans="1:13" customFormat="1">
      <c r="A434" t="s">
        <v>72</v>
      </c>
      <c r="B434" t="s">
        <v>11</v>
      </c>
      <c r="C434" s="51">
        <v>136901930449</v>
      </c>
      <c r="D434" s="1">
        <v>4774.07</v>
      </c>
      <c r="E434" s="1">
        <v>11242233.800000001</v>
      </c>
      <c r="F434" t="s">
        <v>1280</v>
      </c>
      <c r="I434" s="16">
        <f>-IFERROR(VLOOKUP(C434,SIRCUPA!$A$21:$H$186,8,0),0)</f>
        <v>0</v>
      </c>
      <c r="J434" s="68">
        <f>-IFERROR(VLOOKUP(C434,SIRTAC!$A$16:$H$1405,8,0),0)</f>
        <v>-49</v>
      </c>
      <c r="K434" s="68">
        <f>-IFERROR(VLOOKUP(C434,Gastos!$A$9:$J$1398,10,0),0)</f>
        <v>-47.53</v>
      </c>
      <c r="L434" s="68">
        <f>-IFERROR(VLOOKUP(C434,IDC!$A$20:$H$1596,8,0),0)</f>
        <v>-29.4</v>
      </c>
      <c r="M434" s="74">
        <f t="shared" si="12"/>
        <v>4899.9999999999991</v>
      </c>
    </row>
    <row r="435" spans="1:13" customFormat="1">
      <c r="A435" t="s">
        <v>72</v>
      </c>
      <c r="B435" t="s">
        <v>11</v>
      </c>
      <c r="C435" s="51">
        <v>136901875985</v>
      </c>
      <c r="D435" s="1">
        <v>10717.3</v>
      </c>
      <c r="E435" s="1">
        <v>11252951.1</v>
      </c>
      <c r="F435" t="s">
        <v>1280</v>
      </c>
      <c r="I435" s="16">
        <f>-IFERROR(VLOOKUP(C435,SIRCUPA!$A$21:$H$186,8,0),0)</f>
        <v>0</v>
      </c>
      <c r="J435" s="68">
        <f>-IFERROR(VLOOKUP(C435,SIRTAC!$A$16:$H$1405,8,0),0)</f>
        <v>-110</v>
      </c>
      <c r="K435" s="68">
        <f>-IFERROR(VLOOKUP(C435,Gastos!$A$9:$J$1398,10,0),0)</f>
        <v>-106.7</v>
      </c>
      <c r="L435" s="68">
        <f>-IFERROR(VLOOKUP(C435,IDC!$A$20:$H$1596,8,0),0)</f>
        <v>-66</v>
      </c>
      <c r="M435" s="74">
        <f t="shared" si="12"/>
        <v>11000</v>
      </c>
    </row>
    <row r="436" spans="1:13" customFormat="1">
      <c r="A436" t="s">
        <v>72</v>
      </c>
      <c r="B436" t="s">
        <v>79</v>
      </c>
      <c r="C436" s="51">
        <v>136902088409</v>
      </c>
      <c r="D436" s="1">
        <v>1076.9000000000001</v>
      </c>
      <c r="E436" s="1">
        <v>11254028</v>
      </c>
      <c r="F436" t="s">
        <v>1280</v>
      </c>
      <c r="I436" s="16">
        <f>-IFERROR(VLOOKUP(C436,SIRCUPA!$A$21:$H$186,8,0),0)</f>
        <v>-16.5</v>
      </c>
      <c r="J436" s="68">
        <f>-IFERROR(VLOOKUP(C436,SIRTAC!$A$16:$H$1405,8,0),0)</f>
        <v>0</v>
      </c>
      <c r="K436" s="68">
        <f>-IFERROR(VLOOKUP(C436,Gastos!$A$9:$J$1398,10,0),0)</f>
        <v>0</v>
      </c>
      <c r="L436" s="68">
        <f>-IFERROR(VLOOKUP(C436,IDC!$A$20:$H$1596,8,0),0)</f>
        <v>-6.6</v>
      </c>
      <c r="M436" s="74">
        <f t="shared" si="12"/>
        <v>1100</v>
      </c>
    </row>
    <row r="437" spans="1:13" customFormat="1">
      <c r="A437" t="s">
        <v>72</v>
      </c>
      <c r="B437" t="s">
        <v>11</v>
      </c>
      <c r="C437" s="51">
        <v>136902227587</v>
      </c>
      <c r="D437" s="1">
        <v>8534.26</v>
      </c>
      <c r="E437" s="1">
        <v>11262562.26</v>
      </c>
      <c r="F437" t="s">
        <v>1280</v>
      </c>
      <c r="I437" s="16">
        <f>-IFERROR(VLOOKUP(C437,SIRCUPA!$A$21:$H$186,8,0),0)</f>
        <v>0</v>
      </c>
      <c r="J437" s="68">
        <f>-IFERROR(VLOOKUP(C437,SIRTAC!$A$16:$H$1405,8,0),0)</f>
        <v>-94</v>
      </c>
      <c r="K437" s="68">
        <f>-IFERROR(VLOOKUP(C437,Gastos!$A$9:$J$1398,10,0),0)</f>
        <v>-715.34</v>
      </c>
      <c r="L437" s="68">
        <f>-IFERROR(VLOOKUP(C437,IDC!$A$20:$H$1596,8,0),0)</f>
        <v>-56.4</v>
      </c>
      <c r="M437" s="74">
        <f t="shared" si="12"/>
        <v>9400</v>
      </c>
    </row>
    <row r="438" spans="1:13" customFormat="1">
      <c r="A438" t="s">
        <v>72</v>
      </c>
      <c r="B438" t="s">
        <v>11</v>
      </c>
      <c r="C438" s="51">
        <v>137535694252</v>
      </c>
      <c r="D438" s="1">
        <v>4676.6400000000003</v>
      </c>
      <c r="E438" s="1">
        <v>11267238.9</v>
      </c>
      <c r="F438" t="s">
        <v>1280</v>
      </c>
      <c r="I438" s="16">
        <f>-IFERROR(VLOOKUP(C438,SIRCUPA!$A$21:$H$186,8,0),0)</f>
        <v>0</v>
      </c>
      <c r="J438" s="68">
        <f>-IFERROR(VLOOKUP(C438,SIRTAC!$A$16:$H$1405,8,0),0)</f>
        <v>-48</v>
      </c>
      <c r="K438" s="68">
        <f>-IFERROR(VLOOKUP(C438,Gastos!$A$9:$J$1398,10,0),0)</f>
        <v>-46.56</v>
      </c>
      <c r="L438" s="68">
        <f>-IFERROR(VLOOKUP(C438,IDC!$A$20:$H$1596,8,0),0)</f>
        <v>-28.8</v>
      </c>
      <c r="M438" s="74">
        <f t="shared" si="12"/>
        <v>4800.0000000000009</v>
      </c>
    </row>
    <row r="439" spans="1:13" customFormat="1">
      <c r="A439" t="s">
        <v>72</v>
      </c>
      <c r="B439" t="s">
        <v>11</v>
      </c>
      <c r="C439" s="51">
        <v>136902790397</v>
      </c>
      <c r="D439" s="1">
        <v>4676.6400000000003</v>
      </c>
      <c r="E439" s="1">
        <v>11271915.539999999</v>
      </c>
      <c r="F439" t="s">
        <v>1280</v>
      </c>
      <c r="I439" s="16">
        <f>-IFERROR(VLOOKUP(C439,SIRCUPA!$A$21:$H$186,8,0),0)</f>
        <v>0</v>
      </c>
      <c r="J439" s="68">
        <f>-IFERROR(VLOOKUP(C439,SIRTAC!$A$16:$H$1405,8,0),0)</f>
        <v>-48</v>
      </c>
      <c r="K439" s="68">
        <f>-IFERROR(VLOOKUP(C439,Gastos!$A$9:$J$1398,10,0),0)</f>
        <v>-46.56</v>
      </c>
      <c r="L439" s="68">
        <f>-IFERROR(VLOOKUP(C439,IDC!$A$20:$H$1596,8,0),0)</f>
        <v>-28.8</v>
      </c>
      <c r="M439" s="74">
        <f t="shared" si="12"/>
        <v>4800.0000000000009</v>
      </c>
    </row>
    <row r="440" spans="1:13" customFormat="1">
      <c r="A440" t="s">
        <v>72</v>
      </c>
      <c r="B440" t="s">
        <v>11</v>
      </c>
      <c r="C440" s="51">
        <v>136903070923</v>
      </c>
      <c r="D440" s="1">
        <v>4676.6400000000003</v>
      </c>
      <c r="E440" s="1">
        <v>11276592.18</v>
      </c>
      <c r="F440" t="s">
        <v>1280</v>
      </c>
      <c r="I440" s="16">
        <f>-IFERROR(VLOOKUP(C440,SIRCUPA!$A$21:$H$186,8,0),0)</f>
        <v>0</v>
      </c>
      <c r="J440" s="68">
        <f>-IFERROR(VLOOKUP(C440,SIRTAC!$A$16:$H$1405,8,0),0)</f>
        <v>-48</v>
      </c>
      <c r="K440" s="68">
        <f>-IFERROR(VLOOKUP(C440,Gastos!$A$9:$J$1398,10,0),0)</f>
        <v>-46.56</v>
      </c>
      <c r="L440" s="68">
        <f>-IFERROR(VLOOKUP(C440,IDC!$A$20:$H$1596,8,0),0)</f>
        <v>-28.8</v>
      </c>
      <c r="M440" s="74">
        <f t="shared" si="12"/>
        <v>4800.0000000000009</v>
      </c>
    </row>
    <row r="441" spans="1:13" customFormat="1">
      <c r="A441" t="s">
        <v>72</v>
      </c>
      <c r="B441" t="s">
        <v>11</v>
      </c>
      <c r="C441" s="51">
        <v>137536620552</v>
      </c>
      <c r="D441" s="1">
        <v>36731.11</v>
      </c>
      <c r="E441" s="1">
        <v>11313323.289999999</v>
      </c>
      <c r="F441" t="s">
        <v>1280</v>
      </c>
      <c r="I441" s="16">
        <f>-IFERROR(VLOOKUP(C441,SIRCUPA!$A$21:$H$186,8,0),0)</f>
        <v>0</v>
      </c>
      <c r="J441" s="68">
        <f>-IFERROR(VLOOKUP(C441,SIRTAC!$A$16:$H$1405,8,0),0)</f>
        <v>-377</v>
      </c>
      <c r="K441" s="68">
        <f>-IFERROR(VLOOKUP(C441,Gastos!$A$9:$J$1398,10,0),0)</f>
        <v>-365.69</v>
      </c>
      <c r="L441" s="68">
        <f>-IFERROR(VLOOKUP(C441,IDC!$A$20:$H$1596,8,0),0)</f>
        <v>-226.2</v>
      </c>
      <c r="M441" s="74">
        <f t="shared" si="12"/>
        <v>37700</v>
      </c>
    </row>
    <row r="442" spans="1:13" customFormat="1">
      <c r="A442" t="s">
        <v>72</v>
      </c>
      <c r="B442" t="s">
        <v>11</v>
      </c>
      <c r="C442" s="51">
        <v>137536970538</v>
      </c>
      <c r="D442" s="1">
        <v>5631.6</v>
      </c>
      <c r="E442" s="1">
        <v>11318954.890000001</v>
      </c>
      <c r="F442" t="s">
        <v>1280</v>
      </c>
      <c r="I442" s="16">
        <f>-IFERROR(VLOOKUP(C442,SIRCUPA!$A$21:$H$186,8,0),0)</f>
        <v>0</v>
      </c>
      <c r="J442" s="68">
        <f>-IFERROR(VLOOKUP(C442,SIRTAC!$A$16:$H$1405,8,0),0)</f>
        <v>-60</v>
      </c>
      <c r="K442" s="68">
        <f>-IFERROR(VLOOKUP(C442,Gastos!$A$9:$J$1398,10,0),0)</f>
        <v>-272.39999999999998</v>
      </c>
      <c r="L442" s="68">
        <f>-IFERROR(VLOOKUP(C442,IDC!$A$20:$H$1596,8,0),0)</f>
        <v>-36</v>
      </c>
      <c r="M442" s="74">
        <f t="shared" si="12"/>
        <v>6000</v>
      </c>
    </row>
    <row r="443" spans="1:13" customFormat="1">
      <c r="A443" t="s">
        <v>72</v>
      </c>
      <c r="B443" t="s">
        <v>11</v>
      </c>
      <c r="C443" s="51">
        <v>136903665553</v>
      </c>
      <c r="D443" s="1">
        <v>37851.550000000003</v>
      </c>
      <c r="E443" s="1">
        <v>11356806.439999999</v>
      </c>
      <c r="F443" t="s">
        <v>1280</v>
      </c>
      <c r="I443" s="16">
        <f>-IFERROR(VLOOKUP(C443,SIRCUPA!$A$21:$H$186,8,0),0)</f>
        <v>0</v>
      </c>
      <c r="J443" s="68">
        <f>-IFERROR(VLOOKUP(C443,SIRTAC!$A$16:$H$1405,8,0),0)</f>
        <v>-388.5</v>
      </c>
      <c r="K443" s="68">
        <f>-IFERROR(VLOOKUP(C443,Gastos!$A$9:$J$1398,10,0),0)</f>
        <v>-376.85</v>
      </c>
      <c r="L443" s="68">
        <f>-IFERROR(VLOOKUP(C443,IDC!$A$20:$H$1596,8,0),0)</f>
        <v>-233.1</v>
      </c>
      <c r="M443" s="74">
        <f t="shared" si="12"/>
        <v>38850</v>
      </c>
    </row>
    <row r="444" spans="1:13" customFormat="1">
      <c r="A444" t="s">
        <v>72</v>
      </c>
      <c r="B444" t="s">
        <v>11</v>
      </c>
      <c r="C444" s="51">
        <v>136903852707</v>
      </c>
      <c r="D444" s="1">
        <v>67109.899999999994</v>
      </c>
      <c r="E444" s="1">
        <v>11423916.34</v>
      </c>
      <c r="F444" t="s">
        <v>1280</v>
      </c>
      <c r="I444" s="16">
        <f>-IFERROR(VLOOKUP(C444,SIRCUPA!$A$21:$H$186,8,0),0)</f>
        <v>0</v>
      </c>
      <c r="J444" s="68">
        <f>-IFERROR(VLOOKUP(C444,SIRTAC!$A$16:$H$1405,8,0),0)</f>
        <v>-715</v>
      </c>
      <c r="K444" s="68">
        <f>-IFERROR(VLOOKUP(C444,Gastos!$A$9:$J$1398,10,0),0)</f>
        <v>-3246.1</v>
      </c>
      <c r="L444" s="68">
        <f>-IFERROR(VLOOKUP(C444,IDC!$A$20:$H$1596,8,0),0)</f>
        <v>-429</v>
      </c>
      <c r="M444" s="74">
        <f t="shared" si="12"/>
        <v>71500</v>
      </c>
    </row>
    <row r="445" spans="1:13" customFormat="1">
      <c r="A445" t="s">
        <v>72</v>
      </c>
      <c r="B445" t="s">
        <v>11</v>
      </c>
      <c r="C445" s="51">
        <v>136903944835</v>
      </c>
      <c r="D445" s="1">
        <v>50858.46</v>
      </c>
      <c r="E445" s="1">
        <v>11474774.800000001</v>
      </c>
      <c r="F445" t="s">
        <v>1280</v>
      </c>
      <c r="I445" s="16">
        <f>-IFERROR(VLOOKUP(C445,SIRCUPA!$A$21:$H$186,8,0),0)</f>
        <v>0</v>
      </c>
      <c r="J445" s="68">
        <f>-IFERROR(VLOOKUP(C445,SIRTAC!$A$16:$H$1405,8,0),0)</f>
        <v>-522</v>
      </c>
      <c r="K445" s="68">
        <f>-IFERROR(VLOOKUP(C445,Gastos!$A$9:$J$1398,10,0),0)</f>
        <v>-506.34</v>
      </c>
      <c r="L445" s="68">
        <f>-IFERROR(VLOOKUP(C445,IDC!$A$20:$H$1596,8,0),0)</f>
        <v>-313.2</v>
      </c>
      <c r="M445" s="74">
        <f t="shared" si="12"/>
        <v>52199.999999999993</v>
      </c>
    </row>
    <row r="446" spans="1:13" customFormat="1">
      <c r="A446" t="s">
        <v>72</v>
      </c>
      <c r="B446" t="s">
        <v>11</v>
      </c>
      <c r="C446" s="51">
        <v>136903887707</v>
      </c>
      <c r="D446" s="1">
        <v>4676.6400000000003</v>
      </c>
      <c r="E446" s="1">
        <v>11479451.439999999</v>
      </c>
      <c r="F446" t="s">
        <v>1280</v>
      </c>
      <c r="I446" s="16">
        <f>-IFERROR(VLOOKUP(C446,SIRCUPA!$A$21:$H$186,8,0),0)</f>
        <v>0</v>
      </c>
      <c r="J446" s="68">
        <f>-IFERROR(VLOOKUP(C446,SIRTAC!$A$16:$H$1405,8,0),0)</f>
        <v>-48</v>
      </c>
      <c r="K446" s="68">
        <f>-IFERROR(VLOOKUP(C446,Gastos!$A$9:$J$1398,10,0),0)</f>
        <v>-46.56</v>
      </c>
      <c r="L446" s="68">
        <f>-IFERROR(VLOOKUP(C446,IDC!$A$20:$H$1596,8,0),0)</f>
        <v>-28.8</v>
      </c>
      <c r="M446" s="74">
        <f t="shared" si="12"/>
        <v>4800.0000000000009</v>
      </c>
    </row>
    <row r="447" spans="1:13" customFormat="1">
      <c r="A447" t="s">
        <v>72</v>
      </c>
      <c r="B447" t="s">
        <v>11</v>
      </c>
      <c r="C447" s="51">
        <v>136904114823</v>
      </c>
      <c r="D447" s="1">
        <v>4092.06</v>
      </c>
      <c r="E447" s="1">
        <v>11483543.5</v>
      </c>
      <c r="F447" t="s">
        <v>1280</v>
      </c>
      <c r="I447" s="16">
        <f>-IFERROR(VLOOKUP(C447,SIRCUPA!$A$21:$H$186,8,0),0)</f>
        <v>0</v>
      </c>
      <c r="J447" s="68">
        <f>-IFERROR(VLOOKUP(C447,SIRTAC!$A$16:$H$1405,8,0),0)</f>
        <v>-42</v>
      </c>
      <c r="K447" s="68">
        <f>-IFERROR(VLOOKUP(C447,Gastos!$A$9:$J$1398,10,0),0)</f>
        <v>-40.74</v>
      </c>
      <c r="L447" s="68">
        <f>-IFERROR(VLOOKUP(C447,IDC!$A$20:$H$1596,8,0),0)</f>
        <v>-25.2</v>
      </c>
      <c r="M447" s="74">
        <f t="shared" si="12"/>
        <v>4199.9999999999991</v>
      </c>
    </row>
    <row r="448" spans="1:13" customFormat="1">
      <c r="A448" t="s">
        <v>72</v>
      </c>
      <c r="B448" t="s">
        <v>11</v>
      </c>
      <c r="C448" s="51">
        <v>136904069765</v>
      </c>
      <c r="D448" s="1">
        <v>58360.57</v>
      </c>
      <c r="E448" s="1">
        <v>11541904.07</v>
      </c>
      <c r="F448" t="s">
        <v>1280</v>
      </c>
      <c r="I448" s="16">
        <f>-IFERROR(VLOOKUP(C448,SIRCUPA!$A$21:$H$186,8,0),0)</f>
        <v>0</v>
      </c>
      <c r="J448" s="68">
        <f>-IFERROR(VLOOKUP(C448,SIRTAC!$A$16:$H$1405,8,0),0)</f>
        <v>-599</v>
      </c>
      <c r="K448" s="68">
        <f>-IFERROR(VLOOKUP(C448,Gastos!$A$9:$J$1398,10,0),0)</f>
        <v>-581.03</v>
      </c>
      <c r="L448" s="68">
        <f>-IFERROR(VLOOKUP(C448,IDC!$A$20:$H$1596,8,0),0)</f>
        <v>-359.4</v>
      </c>
      <c r="M448" s="74">
        <f t="shared" si="12"/>
        <v>59900</v>
      </c>
    </row>
    <row r="449" spans="1:13" customFormat="1">
      <c r="A449" t="s">
        <v>72</v>
      </c>
      <c r="B449" t="s">
        <v>11</v>
      </c>
      <c r="C449" s="51">
        <v>136904745081</v>
      </c>
      <c r="D449" s="1">
        <v>4676.6400000000003</v>
      </c>
      <c r="E449" s="1">
        <v>11546580.710000001</v>
      </c>
      <c r="F449" t="s">
        <v>1280</v>
      </c>
      <c r="I449" s="16">
        <f>-IFERROR(VLOOKUP(C449,SIRCUPA!$A$21:$H$186,8,0),0)</f>
        <v>0</v>
      </c>
      <c r="J449" s="68">
        <f>-IFERROR(VLOOKUP(C449,SIRTAC!$A$16:$H$1405,8,0),0)</f>
        <v>-48</v>
      </c>
      <c r="K449" s="68">
        <f>-IFERROR(VLOOKUP(C449,Gastos!$A$9:$J$1398,10,0),0)</f>
        <v>-46.56</v>
      </c>
      <c r="L449" s="68">
        <f>-IFERROR(VLOOKUP(C449,IDC!$A$20:$H$1596,8,0),0)</f>
        <v>-28.8</v>
      </c>
      <c r="M449" s="74">
        <f t="shared" si="12"/>
        <v>4800.0000000000009</v>
      </c>
    </row>
    <row r="450" spans="1:13" customFormat="1">
      <c r="A450" t="s">
        <v>72</v>
      </c>
      <c r="B450" t="s">
        <v>80</v>
      </c>
      <c r="C450" s="51">
        <v>137537835128</v>
      </c>
      <c r="D450">
        <v>234.96</v>
      </c>
      <c r="E450" s="1">
        <v>11546815.67</v>
      </c>
      <c r="F450" t="s">
        <v>1280</v>
      </c>
      <c r="I450" s="16">
        <f>-IFERROR(VLOOKUP(C450,SIRCUPA!$A$21:$H$186,8,0),0)</f>
        <v>-3.6</v>
      </c>
      <c r="J450" s="68">
        <f>-IFERROR(VLOOKUP(C450,SIRTAC!$A$16:$H$1405,8,0),0)</f>
        <v>0</v>
      </c>
      <c r="K450" s="68">
        <f>-IFERROR(VLOOKUP(C450,Gastos!$A$9:$J$1398,10,0),0)</f>
        <v>0</v>
      </c>
      <c r="L450" s="68">
        <f>-IFERROR(VLOOKUP(C450,IDC!$A$20:$H$1596,8,0),0)</f>
        <v>-1.44</v>
      </c>
      <c r="M450" s="74">
        <f t="shared" si="12"/>
        <v>240</v>
      </c>
    </row>
    <row r="451" spans="1:13" customFormat="1">
      <c r="A451" t="s">
        <v>72</v>
      </c>
      <c r="B451" t="s">
        <v>11</v>
      </c>
      <c r="C451" s="51">
        <v>137538383964</v>
      </c>
      <c r="D451" s="1">
        <v>72836.37</v>
      </c>
      <c r="E451" s="1">
        <v>11619652.039999999</v>
      </c>
      <c r="F451" t="s">
        <v>1280</v>
      </c>
      <c r="I451" s="16">
        <f>-IFERROR(VLOOKUP(C451,SIRCUPA!$A$21:$H$186,8,0),0)</f>
        <v>0</v>
      </c>
      <c r="J451" s="68">
        <f>-IFERROR(VLOOKUP(C451,SIRTAC!$A$16:$H$1405,8,0),0)</f>
        <v>-771</v>
      </c>
      <c r="K451" s="68">
        <f>-IFERROR(VLOOKUP(C451,Gastos!$A$9:$J$1398,10,0),0)</f>
        <v>-3030.03</v>
      </c>
      <c r="L451" s="68">
        <f>-IFERROR(VLOOKUP(C451,IDC!$A$20:$H$1596,8,0),0)</f>
        <v>-462.6</v>
      </c>
      <c r="M451" s="74">
        <f t="shared" si="12"/>
        <v>77100</v>
      </c>
    </row>
    <row r="452" spans="1:13" customFormat="1">
      <c r="A452" t="s">
        <v>72</v>
      </c>
      <c r="B452" t="s">
        <v>11</v>
      </c>
      <c r="C452" s="51">
        <v>136905808451</v>
      </c>
      <c r="D452" s="1">
        <v>8184.12</v>
      </c>
      <c r="E452" s="1">
        <v>11627836.16</v>
      </c>
      <c r="F452" t="s">
        <v>1280</v>
      </c>
      <c r="I452" s="16">
        <f>-IFERROR(VLOOKUP(C452,SIRCUPA!$A$21:$H$186,8,0),0)</f>
        <v>0</v>
      </c>
      <c r="J452" s="68">
        <f>-IFERROR(VLOOKUP(C452,SIRTAC!$A$16:$H$1405,8,0),0)</f>
        <v>-84</v>
      </c>
      <c r="K452" s="68">
        <f>-IFERROR(VLOOKUP(C452,Gastos!$A$9:$J$1398,10,0),0)</f>
        <v>-81.48</v>
      </c>
      <c r="L452" s="68">
        <f>-IFERROR(VLOOKUP(C452,IDC!$A$20:$H$1596,8,0),0)</f>
        <v>-50.4</v>
      </c>
      <c r="M452" s="74">
        <f t="shared" si="12"/>
        <v>8399.9999999999982</v>
      </c>
    </row>
    <row r="453" spans="1:13" customFormat="1">
      <c r="A453" t="s">
        <v>72</v>
      </c>
      <c r="B453" t="s">
        <v>11</v>
      </c>
      <c r="C453" s="51">
        <v>136905906851</v>
      </c>
      <c r="D453" s="1">
        <v>4676.6400000000003</v>
      </c>
      <c r="E453" s="1">
        <v>11632512.800000001</v>
      </c>
      <c r="F453" t="s">
        <v>1280</v>
      </c>
      <c r="I453" s="16">
        <f>-IFERROR(VLOOKUP(C453,SIRCUPA!$A$21:$H$186,8,0),0)</f>
        <v>0</v>
      </c>
      <c r="J453" s="68">
        <f>-IFERROR(VLOOKUP(C453,SIRTAC!$A$16:$H$1405,8,0),0)</f>
        <v>-48</v>
      </c>
      <c r="K453" s="68">
        <f>-IFERROR(VLOOKUP(C453,Gastos!$A$9:$J$1398,10,0),0)</f>
        <v>-46.56</v>
      </c>
      <c r="L453" s="68">
        <f>-IFERROR(VLOOKUP(C453,IDC!$A$20:$H$1596,8,0),0)</f>
        <v>-28.8</v>
      </c>
      <c r="M453" s="74">
        <f t="shared" si="12"/>
        <v>4800.0000000000009</v>
      </c>
    </row>
    <row r="454" spans="1:13" customFormat="1">
      <c r="A454" t="s">
        <v>72</v>
      </c>
      <c r="B454" t="s">
        <v>11</v>
      </c>
      <c r="C454" s="51">
        <v>137539201804</v>
      </c>
      <c r="D454" s="1">
        <v>3994.63</v>
      </c>
      <c r="E454" s="1">
        <v>11636507.43</v>
      </c>
      <c r="F454" t="s">
        <v>1280</v>
      </c>
      <c r="I454" s="16">
        <f>-IFERROR(VLOOKUP(C454,SIRCUPA!$A$21:$H$186,8,0),0)</f>
        <v>0</v>
      </c>
      <c r="J454" s="68">
        <f>-IFERROR(VLOOKUP(C454,SIRTAC!$A$16:$H$1405,8,0),0)</f>
        <v>-41</v>
      </c>
      <c r="K454" s="68">
        <f>-IFERROR(VLOOKUP(C454,Gastos!$A$9:$J$1398,10,0),0)</f>
        <v>-39.770000000000003</v>
      </c>
      <c r="L454" s="68">
        <f>-IFERROR(VLOOKUP(C454,IDC!$A$20:$H$1596,8,0),0)</f>
        <v>-24.6</v>
      </c>
      <c r="M454" s="74">
        <f t="shared" si="12"/>
        <v>4100</v>
      </c>
    </row>
    <row r="455" spans="1:13" customFormat="1">
      <c r="A455" t="s">
        <v>72</v>
      </c>
      <c r="B455" t="s">
        <v>11</v>
      </c>
      <c r="C455" s="51">
        <v>137539449132</v>
      </c>
      <c r="D455" s="1">
        <v>41115.46</v>
      </c>
      <c r="E455" s="1">
        <v>11677622.890000001</v>
      </c>
      <c r="F455" t="s">
        <v>1280</v>
      </c>
      <c r="I455" s="16">
        <f>-IFERROR(VLOOKUP(C455,SIRCUPA!$A$21:$H$186,8,0),0)</f>
        <v>0</v>
      </c>
      <c r="J455" s="68">
        <f>-IFERROR(VLOOKUP(C455,SIRTAC!$A$16:$H$1405,8,0),0)</f>
        <v>-422</v>
      </c>
      <c r="K455" s="68">
        <f>-IFERROR(VLOOKUP(C455,Gastos!$A$9:$J$1398,10,0),0)</f>
        <v>-409.34</v>
      </c>
      <c r="L455" s="68">
        <f>-IFERROR(VLOOKUP(C455,IDC!$A$20:$H$1596,8,0),0)</f>
        <v>-253.2</v>
      </c>
      <c r="M455" s="74">
        <f t="shared" si="12"/>
        <v>42199.999999999993</v>
      </c>
    </row>
    <row r="456" spans="1:13" customFormat="1">
      <c r="A456" t="s">
        <v>72</v>
      </c>
      <c r="B456" t="s">
        <v>11</v>
      </c>
      <c r="C456" s="51">
        <v>136906571367</v>
      </c>
      <c r="D456" s="1">
        <v>15393.94</v>
      </c>
      <c r="E456" s="1">
        <v>11693016.83</v>
      </c>
      <c r="F456" t="s">
        <v>1280</v>
      </c>
      <c r="I456" s="16">
        <f>-IFERROR(VLOOKUP(C456,SIRCUPA!$A$21:$H$186,8,0),0)</f>
        <v>0</v>
      </c>
      <c r="J456" s="68">
        <f>-IFERROR(VLOOKUP(C456,SIRTAC!$A$16:$H$1405,8,0),0)</f>
        <v>-158</v>
      </c>
      <c r="K456" s="68">
        <f>-IFERROR(VLOOKUP(C456,Gastos!$A$9:$J$1398,10,0),0)</f>
        <v>-153.26</v>
      </c>
      <c r="L456" s="68">
        <f>-IFERROR(VLOOKUP(C456,IDC!$A$20:$H$1596,8,0),0)</f>
        <v>-94.8</v>
      </c>
      <c r="M456" s="74">
        <f t="shared" si="12"/>
        <v>15800</v>
      </c>
    </row>
    <row r="457" spans="1:13" customFormat="1">
      <c r="A457" t="s">
        <v>72</v>
      </c>
      <c r="B457" t="s">
        <v>11</v>
      </c>
      <c r="C457" s="51">
        <v>136906923221</v>
      </c>
      <c r="D457" s="1">
        <v>106685.85</v>
      </c>
      <c r="E457" s="1">
        <v>11799702.68</v>
      </c>
      <c r="F457" t="s">
        <v>1280</v>
      </c>
      <c r="I457" s="16">
        <f>-IFERROR(VLOOKUP(C457,SIRCUPA!$A$21:$H$186,8,0),0)</f>
        <v>0</v>
      </c>
      <c r="J457" s="68">
        <f>-IFERROR(VLOOKUP(C457,SIRTAC!$A$16:$H$1405,8,0),0)</f>
        <v>-1095</v>
      </c>
      <c r="K457" s="68">
        <f>-IFERROR(VLOOKUP(C457,Gastos!$A$9:$J$1398,10,0),0)</f>
        <v>-1062.1500000000001</v>
      </c>
      <c r="L457" s="68">
        <f>-IFERROR(VLOOKUP(C457,IDC!$A$20:$H$1596,8,0),0)</f>
        <v>-657</v>
      </c>
      <c r="M457" s="74">
        <f t="shared" si="12"/>
        <v>109500</v>
      </c>
    </row>
    <row r="458" spans="1:13" customFormat="1">
      <c r="A458" t="s">
        <v>81</v>
      </c>
      <c r="B458" t="s">
        <v>11</v>
      </c>
      <c r="C458" s="51">
        <v>137540105336</v>
      </c>
      <c r="D458" s="1">
        <v>4676.6400000000003</v>
      </c>
      <c r="E458" s="1">
        <v>11804379.32</v>
      </c>
      <c r="F458" t="s">
        <v>1280</v>
      </c>
      <c r="I458" s="16">
        <f>-IFERROR(VLOOKUP(C458,SIRCUPA!$A$21:$H$186,8,0),0)</f>
        <v>0</v>
      </c>
      <c r="J458" s="68">
        <f>-IFERROR(VLOOKUP(C458,SIRTAC!$A$16:$H$1405,8,0),0)</f>
        <v>-48</v>
      </c>
      <c r="K458" s="68">
        <f>-IFERROR(VLOOKUP(C458,Gastos!$A$9:$J$1398,10,0),0)</f>
        <v>-46.56</v>
      </c>
      <c r="L458" s="68">
        <f>-IFERROR(VLOOKUP(C458,IDC!$A$20:$H$1596,8,0),0)</f>
        <v>-28.8</v>
      </c>
      <c r="M458" s="74">
        <f t="shared" si="12"/>
        <v>4800.0000000000009</v>
      </c>
    </row>
    <row r="459" spans="1:13" customFormat="1">
      <c r="A459" t="s">
        <v>81</v>
      </c>
      <c r="B459" t="s">
        <v>11</v>
      </c>
      <c r="C459" s="51">
        <v>136907146003</v>
      </c>
      <c r="D459" s="1">
        <v>45012.66</v>
      </c>
      <c r="E459" s="1">
        <v>11849391.98</v>
      </c>
      <c r="F459" t="s">
        <v>1280</v>
      </c>
      <c r="I459" s="16">
        <f>-IFERROR(VLOOKUP(C459,SIRCUPA!$A$21:$H$186,8,0),0)</f>
        <v>0</v>
      </c>
      <c r="J459" s="68">
        <f>-IFERROR(VLOOKUP(C459,SIRTAC!$A$16:$H$1405,8,0),0)</f>
        <v>-462</v>
      </c>
      <c r="K459" s="68">
        <f>-IFERROR(VLOOKUP(C459,Gastos!$A$9:$J$1398,10,0),0)</f>
        <v>-448.14</v>
      </c>
      <c r="L459" s="68">
        <f>-IFERROR(VLOOKUP(C459,IDC!$A$20:$H$1596,8,0),0)</f>
        <v>-277.2</v>
      </c>
      <c r="M459" s="74">
        <f t="shared" si="12"/>
        <v>46200</v>
      </c>
    </row>
    <row r="460" spans="1:13" customFormat="1">
      <c r="A460" t="s">
        <v>81</v>
      </c>
      <c r="B460" t="s">
        <v>11</v>
      </c>
      <c r="C460" s="51">
        <v>137540388010</v>
      </c>
      <c r="D460" s="1">
        <v>9353.2800000000007</v>
      </c>
      <c r="E460" s="1">
        <v>11858745.26</v>
      </c>
      <c r="F460" t="s">
        <v>1280</v>
      </c>
      <c r="I460" s="16">
        <f>-IFERROR(VLOOKUP(C460,SIRCUPA!$A$21:$H$186,8,0),0)</f>
        <v>0</v>
      </c>
      <c r="J460" s="68">
        <f>-IFERROR(VLOOKUP(C460,SIRTAC!$A$16:$H$1405,8,0),0)</f>
        <v>-96</v>
      </c>
      <c r="K460" s="68">
        <f>-IFERROR(VLOOKUP(C460,Gastos!$A$9:$J$1398,10,0),0)</f>
        <v>-93.12</v>
      </c>
      <c r="L460" s="68">
        <f>-IFERROR(VLOOKUP(C460,IDC!$A$20:$H$1596,8,0),0)</f>
        <v>-57.6</v>
      </c>
      <c r="M460" s="74">
        <f t="shared" si="12"/>
        <v>9600.0000000000018</v>
      </c>
    </row>
    <row r="461" spans="1:13" customFormat="1">
      <c r="A461" t="s">
        <v>81</v>
      </c>
      <c r="B461" t="s">
        <v>11</v>
      </c>
      <c r="C461" s="51">
        <v>137540595612</v>
      </c>
      <c r="D461" s="1">
        <v>3897.2</v>
      </c>
      <c r="E461" s="1">
        <v>11862642.460000001</v>
      </c>
      <c r="F461" t="s">
        <v>1280</v>
      </c>
      <c r="I461" s="16">
        <f>-IFERROR(VLOOKUP(C461,SIRCUPA!$A$21:$H$186,8,0),0)</f>
        <v>0</v>
      </c>
      <c r="J461" s="68">
        <f>-IFERROR(VLOOKUP(C461,SIRTAC!$A$16:$H$1405,8,0),0)</f>
        <v>-40</v>
      </c>
      <c r="K461" s="68">
        <f>-IFERROR(VLOOKUP(C461,Gastos!$A$9:$J$1398,10,0),0)</f>
        <v>-38.799999999999997</v>
      </c>
      <c r="L461" s="68">
        <f>-IFERROR(VLOOKUP(C461,IDC!$A$20:$H$1596,8,0),0)</f>
        <v>-24</v>
      </c>
      <c r="M461" s="74">
        <f t="shared" si="12"/>
        <v>4000</v>
      </c>
    </row>
    <row r="462" spans="1:13" customFormat="1">
      <c r="A462" t="s">
        <v>81</v>
      </c>
      <c r="B462" t="s">
        <v>11</v>
      </c>
      <c r="C462" s="51">
        <v>137541156138</v>
      </c>
      <c r="D462" s="1">
        <v>12471.04</v>
      </c>
      <c r="E462" s="1">
        <v>11875113.5</v>
      </c>
      <c r="F462" t="s">
        <v>1280</v>
      </c>
      <c r="I462" s="16">
        <f>-IFERROR(VLOOKUP(C462,SIRCUPA!$A$21:$H$186,8,0),0)</f>
        <v>0</v>
      </c>
      <c r="J462" s="68">
        <f>-IFERROR(VLOOKUP(C462,SIRTAC!$A$16:$H$1405,8,0),0)</f>
        <v>-128</v>
      </c>
      <c r="K462" s="68">
        <f>-IFERROR(VLOOKUP(C462,Gastos!$A$9:$J$1398,10,0),0)</f>
        <v>-124.16</v>
      </c>
      <c r="L462" s="68">
        <f>-IFERROR(VLOOKUP(C462,IDC!$A$20:$H$1596,8,0),0)</f>
        <v>-76.8</v>
      </c>
      <c r="M462" s="74">
        <f t="shared" si="12"/>
        <v>12800</v>
      </c>
    </row>
    <row r="463" spans="1:13" customFormat="1">
      <c r="A463" t="s">
        <v>81</v>
      </c>
      <c r="B463" t="s">
        <v>82</v>
      </c>
      <c r="C463" s="51">
        <v>137541122404</v>
      </c>
      <c r="D463" s="1">
        <v>1253.1199999999999</v>
      </c>
      <c r="E463" s="1">
        <v>11876366.619999999</v>
      </c>
      <c r="F463" t="s">
        <v>1280</v>
      </c>
      <c r="I463" s="16">
        <f>-IFERROR(VLOOKUP(C463,SIRCUPA!$A$21:$H$186,8,0),0)</f>
        <v>-19.2</v>
      </c>
      <c r="J463" s="68">
        <f>-IFERROR(VLOOKUP(C463,SIRTAC!$A$16:$H$1405,8,0),0)</f>
        <v>0</v>
      </c>
      <c r="K463" s="68">
        <f>-IFERROR(VLOOKUP(C463,Gastos!$A$9:$J$1398,10,0),0)</f>
        <v>0</v>
      </c>
      <c r="L463" s="68">
        <f>-IFERROR(VLOOKUP(C463,IDC!$A$20:$H$1596,8,0),0)</f>
        <v>-7.68</v>
      </c>
      <c r="M463" s="74">
        <f t="shared" si="12"/>
        <v>1280</v>
      </c>
    </row>
    <row r="464" spans="1:13" customFormat="1">
      <c r="A464" t="s">
        <v>81</v>
      </c>
      <c r="B464" t="s">
        <v>11</v>
      </c>
      <c r="C464" s="51">
        <v>136907946313</v>
      </c>
      <c r="D464" s="1">
        <v>27237</v>
      </c>
      <c r="E464" s="1">
        <v>11903603.619999999</v>
      </c>
      <c r="F464" t="s">
        <v>1280</v>
      </c>
      <c r="I464" s="16">
        <f>-IFERROR(VLOOKUP(C464,SIRCUPA!$A$21:$H$186,8,0),0)</f>
        <v>0</v>
      </c>
      <c r="J464" s="68">
        <f>-IFERROR(VLOOKUP(C464,SIRTAC!$A$16:$H$1405,8,0),0)</f>
        <v>-300</v>
      </c>
      <c r="K464" s="68">
        <f>-IFERROR(VLOOKUP(C464,Gastos!$A$9:$J$1398,10,0),0)</f>
        <v>-2283</v>
      </c>
      <c r="L464" s="68">
        <f>-IFERROR(VLOOKUP(C464,IDC!$A$20:$H$1596,8,0),0)</f>
        <v>-180</v>
      </c>
      <c r="M464" s="74">
        <f t="shared" si="12"/>
        <v>30000</v>
      </c>
    </row>
    <row r="465" spans="1:13" customFormat="1">
      <c r="A465" t="s">
        <v>81</v>
      </c>
      <c r="B465" t="s">
        <v>11</v>
      </c>
      <c r="C465" s="51">
        <v>137541218458</v>
      </c>
      <c r="D465" s="1">
        <v>4676.6400000000003</v>
      </c>
      <c r="E465" s="1">
        <v>11908280.26</v>
      </c>
      <c r="F465" t="s">
        <v>1280</v>
      </c>
      <c r="I465" s="16">
        <f>-IFERROR(VLOOKUP(C465,SIRCUPA!$A$21:$H$186,8,0),0)</f>
        <v>0</v>
      </c>
      <c r="J465" s="68">
        <f>-IFERROR(VLOOKUP(C465,SIRTAC!$A$16:$H$1405,8,0),0)</f>
        <v>-48</v>
      </c>
      <c r="K465" s="68">
        <f>-IFERROR(VLOOKUP(C465,Gastos!$A$9:$J$1398,10,0),0)</f>
        <v>-46.56</v>
      </c>
      <c r="L465" s="68">
        <f>-IFERROR(VLOOKUP(C465,IDC!$A$20:$H$1596,8,0),0)</f>
        <v>-28.8</v>
      </c>
      <c r="M465" s="74">
        <f t="shared" si="12"/>
        <v>4800.0000000000009</v>
      </c>
    </row>
    <row r="466" spans="1:13" customFormat="1">
      <c r="A466" t="s">
        <v>81</v>
      </c>
      <c r="B466" t="s">
        <v>11</v>
      </c>
      <c r="C466" s="51">
        <v>137541514796</v>
      </c>
      <c r="D466" s="1">
        <v>3994.63</v>
      </c>
      <c r="E466" s="1">
        <v>11912274.890000001</v>
      </c>
      <c r="F466" t="s">
        <v>1280</v>
      </c>
      <c r="I466" s="16">
        <f>-IFERROR(VLOOKUP(C466,SIRCUPA!$A$21:$H$186,8,0),0)</f>
        <v>0</v>
      </c>
      <c r="J466" s="68">
        <f>-IFERROR(VLOOKUP(C466,SIRTAC!$A$16:$H$1405,8,0),0)</f>
        <v>-41</v>
      </c>
      <c r="K466" s="68">
        <f>-IFERROR(VLOOKUP(C466,Gastos!$A$9:$J$1398,10,0),0)</f>
        <v>-39.770000000000003</v>
      </c>
      <c r="L466" s="68">
        <f>-IFERROR(VLOOKUP(C466,IDC!$A$20:$H$1596,8,0),0)</f>
        <v>-24.6</v>
      </c>
      <c r="M466" s="74">
        <f t="shared" si="12"/>
        <v>4100</v>
      </c>
    </row>
    <row r="467" spans="1:13" customFormat="1">
      <c r="A467" t="s">
        <v>81</v>
      </c>
      <c r="B467" t="s">
        <v>11</v>
      </c>
      <c r="C467" s="51">
        <v>137541617978</v>
      </c>
      <c r="D467" s="1">
        <v>4286.92</v>
      </c>
      <c r="E467" s="1">
        <v>11916561.810000001</v>
      </c>
      <c r="F467" t="s">
        <v>1280</v>
      </c>
      <c r="I467" s="16">
        <f>-IFERROR(VLOOKUP(C467,SIRCUPA!$A$21:$H$186,8,0),0)</f>
        <v>0</v>
      </c>
      <c r="J467" s="68">
        <f>-IFERROR(VLOOKUP(C467,SIRTAC!$A$16:$H$1405,8,0),0)</f>
        <v>-44</v>
      </c>
      <c r="K467" s="68">
        <f>-IFERROR(VLOOKUP(C467,Gastos!$A$9:$J$1398,10,0),0)</f>
        <v>-42.68</v>
      </c>
      <c r="L467" s="68">
        <f>-IFERROR(VLOOKUP(C467,IDC!$A$20:$H$1596,8,0),0)</f>
        <v>-26.4</v>
      </c>
      <c r="M467" s="74">
        <f t="shared" si="12"/>
        <v>4400</v>
      </c>
    </row>
    <row r="468" spans="1:13" customFormat="1">
      <c r="A468" t="s">
        <v>81</v>
      </c>
      <c r="B468" t="s">
        <v>11</v>
      </c>
      <c r="C468" s="51">
        <v>137542444234</v>
      </c>
      <c r="D468" s="1">
        <v>46863.83</v>
      </c>
      <c r="E468" s="1">
        <v>11963425.640000001</v>
      </c>
      <c r="F468" t="s">
        <v>1280</v>
      </c>
      <c r="I468" s="16">
        <f>-IFERROR(VLOOKUP(C468,SIRCUPA!$A$21:$H$186,8,0),0)</f>
        <v>0</v>
      </c>
      <c r="J468" s="68">
        <f>-IFERROR(VLOOKUP(C468,SIRTAC!$A$16:$H$1405,8,0),0)</f>
        <v>-481</v>
      </c>
      <c r="K468" s="68">
        <f>-IFERROR(VLOOKUP(C468,Gastos!$A$9:$J$1398,10,0),0)</f>
        <v>-466.57</v>
      </c>
      <c r="L468" s="68">
        <f>-IFERROR(VLOOKUP(C468,IDC!$A$20:$H$1596,8,0),0)</f>
        <v>-288.60000000000002</v>
      </c>
      <c r="M468" s="74">
        <f t="shared" si="12"/>
        <v>48100</v>
      </c>
    </row>
    <row r="469" spans="1:13" customFormat="1">
      <c r="A469" t="s">
        <v>81</v>
      </c>
      <c r="B469" t="s">
        <v>11</v>
      </c>
      <c r="C469" s="51">
        <v>137542387224</v>
      </c>
      <c r="D469" s="1">
        <v>44030.35</v>
      </c>
      <c r="E469" s="1">
        <v>12007455.99</v>
      </c>
      <c r="F469" t="s">
        <v>1280</v>
      </c>
      <c r="I469" s="16">
        <f>-IFERROR(VLOOKUP(C469,SIRCUPA!$A$21:$H$186,8,0),0)</f>
        <v>0</v>
      </c>
      <c r="J469" s="68">
        <f>-IFERROR(VLOOKUP(C469,SIRTAC!$A$16:$H$1405,8,0),0)</f>
        <v>-455</v>
      </c>
      <c r="K469" s="68">
        <f>-IFERROR(VLOOKUP(C469,Gastos!$A$9:$J$1398,10,0),0)</f>
        <v>-741.65</v>
      </c>
      <c r="L469" s="68">
        <f>-IFERROR(VLOOKUP(C469,IDC!$A$20:$H$1596,8,0),0)</f>
        <v>-273</v>
      </c>
      <c r="M469" s="74">
        <f t="shared" si="12"/>
        <v>45500</v>
      </c>
    </row>
    <row r="470" spans="1:13" customFormat="1">
      <c r="A470" t="s">
        <v>81</v>
      </c>
      <c r="B470" t="s">
        <v>11</v>
      </c>
      <c r="C470" s="51">
        <v>136909607997</v>
      </c>
      <c r="D470" s="1">
        <v>4676.6400000000003</v>
      </c>
      <c r="E470" s="1">
        <v>12012132.630000001</v>
      </c>
      <c r="F470" t="s">
        <v>1280</v>
      </c>
      <c r="I470" s="16">
        <f>-IFERROR(VLOOKUP(C470,SIRCUPA!$A$21:$H$186,8,0),0)</f>
        <v>0</v>
      </c>
      <c r="J470" s="68">
        <f>-IFERROR(VLOOKUP(C470,SIRTAC!$A$16:$H$1405,8,0),0)</f>
        <v>-48</v>
      </c>
      <c r="K470" s="68">
        <f>-IFERROR(VLOOKUP(C470,Gastos!$A$9:$J$1398,10,0),0)</f>
        <v>-46.56</v>
      </c>
      <c r="L470" s="68">
        <f>-IFERROR(VLOOKUP(C470,IDC!$A$20:$H$1596,8,0),0)</f>
        <v>-28.8</v>
      </c>
      <c r="M470" s="74">
        <f t="shared" si="12"/>
        <v>4800.0000000000009</v>
      </c>
    </row>
    <row r="471" spans="1:13" customFormat="1">
      <c r="A471" t="s">
        <v>81</v>
      </c>
      <c r="B471" t="s">
        <v>11</v>
      </c>
      <c r="C471" s="51">
        <v>137542736688</v>
      </c>
      <c r="D471" s="1">
        <v>8715.84</v>
      </c>
      <c r="E471" s="1">
        <v>12020848.470000001</v>
      </c>
      <c r="F471" t="s">
        <v>1280</v>
      </c>
      <c r="I471" s="16">
        <f>-IFERROR(VLOOKUP(C471,SIRCUPA!$A$21:$H$186,8,0),0)</f>
        <v>0</v>
      </c>
      <c r="J471" s="68">
        <f>-IFERROR(VLOOKUP(C471,SIRTAC!$A$16:$H$1405,8,0),0)</f>
        <v>-96</v>
      </c>
      <c r="K471" s="68">
        <f>-IFERROR(VLOOKUP(C471,Gastos!$A$9:$J$1398,10,0),0)</f>
        <v>-730.56</v>
      </c>
      <c r="L471" s="68">
        <f>-IFERROR(VLOOKUP(C471,IDC!$A$20:$H$1596,8,0),0)</f>
        <v>-57.6</v>
      </c>
      <c r="M471" s="74">
        <f t="shared" si="12"/>
        <v>9600</v>
      </c>
    </row>
    <row r="472" spans="1:13" customFormat="1">
      <c r="A472" t="s">
        <v>81</v>
      </c>
      <c r="B472" t="s">
        <v>11</v>
      </c>
      <c r="C472" s="51">
        <v>137542727460</v>
      </c>
      <c r="D472" s="1">
        <v>17927.12</v>
      </c>
      <c r="E472" s="1">
        <v>12038775.59</v>
      </c>
      <c r="F472" t="s">
        <v>1280</v>
      </c>
      <c r="I472" s="16">
        <f>-IFERROR(VLOOKUP(C472,SIRCUPA!$A$21:$H$186,8,0),0)</f>
        <v>0</v>
      </c>
      <c r="J472" s="68">
        <f>-IFERROR(VLOOKUP(C472,SIRTAC!$A$16:$H$1405,8,0),0)</f>
        <v>-184</v>
      </c>
      <c r="K472" s="68">
        <f>-IFERROR(VLOOKUP(C472,Gastos!$A$9:$J$1398,10,0),0)</f>
        <v>-178.48</v>
      </c>
      <c r="L472" s="68">
        <f>-IFERROR(VLOOKUP(C472,IDC!$A$20:$H$1596,8,0),0)</f>
        <v>-110.4</v>
      </c>
      <c r="M472" s="74">
        <f t="shared" si="12"/>
        <v>18400</v>
      </c>
    </row>
    <row r="473" spans="1:13" customFormat="1">
      <c r="A473" t="s">
        <v>81</v>
      </c>
      <c r="B473" t="s">
        <v>11</v>
      </c>
      <c r="C473" s="51">
        <v>136910253133</v>
      </c>
      <c r="D473" s="1">
        <v>7794.4</v>
      </c>
      <c r="E473" s="1">
        <v>12046569.99</v>
      </c>
      <c r="F473" t="s">
        <v>1280</v>
      </c>
      <c r="I473" s="16">
        <f>-IFERROR(VLOOKUP(C473,SIRCUPA!$A$21:$H$186,8,0),0)</f>
        <v>0</v>
      </c>
      <c r="J473" s="68">
        <f>-IFERROR(VLOOKUP(C473,SIRTAC!$A$16:$H$1405,8,0),0)</f>
        <v>-80</v>
      </c>
      <c r="K473" s="68">
        <f>-IFERROR(VLOOKUP(C473,Gastos!$A$9:$J$1398,10,0),0)</f>
        <v>-77.599999999999994</v>
      </c>
      <c r="L473" s="68">
        <f>-IFERROR(VLOOKUP(C473,IDC!$A$20:$H$1596,8,0),0)</f>
        <v>-48</v>
      </c>
      <c r="M473" s="74">
        <f t="shared" si="12"/>
        <v>8000</v>
      </c>
    </row>
    <row r="474" spans="1:13" customFormat="1">
      <c r="A474" t="s">
        <v>81</v>
      </c>
      <c r="B474" t="s">
        <v>11</v>
      </c>
      <c r="C474" s="51">
        <v>137543547888</v>
      </c>
      <c r="D474" s="1">
        <v>39459.15</v>
      </c>
      <c r="E474" s="1">
        <v>12086029.140000001</v>
      </c>
      <c r="F474" t="s">
        <v>1280</v>
      </c>
      <c r="I474" s="16">
        <f>-IFERROR(VLOOKUP(C474,SIRCUPA!$A$21:$H$186,8,0),0)</f>
        <v>0</v>
      </c>
      <c r="J474" s="68">
        <f>-IFERROR(VLOOKUP(C474,SIRTAC!$A$16:$H$1405,8,0),0)</f>
        <v>-405</v>
      </c>
      <c r="K474" s="68">
        <f>-IFERROR(VLOOKUP(C474,Gastos!$A$9:$J$1398,10,0),0)</f>
        <v>-392.85</v>
      </c>
      <c r="L474" s="68">
        <f>-IFERROR(VLOOKUP(C474,IDC!$A$20:$H$1596,8,0),0)</f>
        <v>-243</v>
      </c>
      <c r="M474" s="74">
        <f t="shared" si="12"/>
        <v>40500</v>
      </c>
    </row>
    <row r="475" spans="1:13" customFormat="1">
      <c r="A475" t="s">
        <v>81</v>
      </c>
      <c r="B475" t="s">
        <v>11</v>
      </c>
      <c r="C475" s="51">
        <v>137544322996</v>
      </c>
      <c r="D475" s="1">
        <v>80274.36</v>
      </c>
      <c r="E475" s="1">
        <v>12166303.5</v>
      </c>
      <c r="F475" t="s">
        <v>1280</v>
      </c>
      <c r="I475" s="16">
        <f>-IFERROR(VLOOKUP(C475,SIRCUPA!$A$21:$H$186,8,0),0)</f>
        <v>0</v>
      </c>
      <c r="J475" s="68">
        <f>-IFERROR(VLOOKUP(C475,SIRTAC!$A$16:$H$1405,8,0),0)</f>
        <v>-921</v>
      </c>
      <c r="K475" s="68">
        <f>-IFERROR(VLOOKUP(C475,Gastos!$A$9:$J$1398,10,0),0)</f>
        <v>-10352.040000000001</v>
      </c>
      <c r="L475" s="68">
        <f>-IFERROR(VLOOKUP(C475,IDC!$A$20:$H$1596,8,0),0)</f>
        <v>-552.6</v>
      </c>
      <c r="M475" s="74">
        <f t="shared" si="12"/>
        <v>92100</v>
      </c>
    </row>
    <row r="476" spans="1:13" customFormat="1">
      <c r="A476" t="s">
        <v>81</v>
      </c>
      <c r="B476" t="s">
        <v>11</v>
      </c>
      <c r="C476" s="51">
        <v>137544399486</v>
      </c>
      <c r="D476" s="1">
        <v>4092.06</v>
      </c>
      <c r="E476" s="1">
        <v>12170395.560000001</v>
      </c>
      <c r="F476" t="s">
        <v>1280</v>
      </c>
      <c r="I476" s="16">
        <f>-IFERROR(VLOOKUP(C476,SIRCUPA!$A$21:$H$186,8,0),0)</f>
        <v>0</v>
      </c>
      <c r="J476" s="68">
        <f>-IFERROR(VLOOKUP(C476,SIRTAC!$A$16:$H$1405,8,0),0)</f>
        <v>-42</v>
      </c>
      <c r="K476" s="68">
        <f>-IFERROR(VLOOKUP(C476,Gastos!$A$9:$J$1398,10,0),0)</f>
        <v>-40.74</v>
      </c>
      <c r="L476" s="68">
        <f>-IFERROR(VLOOKUP(C476,IDC!$A$20:$H$1596,8,0),0)</f>
        <v>-25.2</v>
      </c>
      <c r="M476" s="74">
        <f t="shared" si="12"/>
        <v>4199.9999999999991</v>
      </c>
    </row>
    <row r="477" spans="1:13" customFormat="1">
      <c r="A477" t="s">
        <v>81</v>
      </c>
      <c r="B477" t="s">
        <v>11</v>
      </c>
      <c r="C477" s="51">
        <v>136911982075</v>
      </c>
      <c r="D477" s="1">
        <v>14322.21</v>
      </c>
      <c r="E477" s="1">
        <v>12184717.77</v>
      </c>
      <c r="F477" t="s">
        <v>1280</v>
      </c>
      <c r="I477" s="16">
        <f>-IFERROR(VLOOKUP(C477,SIRCUPA!$A$21:$H$186,8,0),0)</f>
        <v>0</v>
      </c>
      <c r="J477" s="68">
        <f>-IFERROR(VLOOKUP(C477,SIRTAC!$A$16:$H$1405,8,0),0)</f>
        <v>-147</v>
      </c>
      <c r="K477" s="68">
        <f>-IFERROR(VLOOKUP(C477,Gastos!$A$9:$J$1398,10,0),0)</f>
        <v>-142.59</v>
      </c>
      <c r="L477" s="68">
        <f>-IFERROR(VLOOKUP(C477,IDC!$A$20:$H$1596,8,0),0)</f>
        <v>-88.2</v>
      </c>
      <c r="M477" s="74">
        <f t="shared" si="12"/>
        <v>14700</v>
      </c>
    </row>
    <row r="478" spans="1:13" customFormat="1">
      <c r="A478" t="s">
        <v>81</v>
      </c>
      <c r="B478" t="s">
        <v>11</v>
      </c>
      <c r="C478" s="51">
        <v>136912149021</v>
      </c>
      <c r="D478" s="1">
        <v>103762.95</v>
      </c>
      <c r="E478" s="1">
        <v>12288480.720000001</v>
      </c>
      <c r="F478" t="s">
        <v>1280</v>
      </c>
      <c r="I478" s="16">
        <f>-IFERROR(VLOOKUP(C478,SIRCUPA!$A$21:$H$186,8,0),0)</f>
        <v>0</v>
      </c>
      <c r="J478" s="68">
        <f>-IFERROR(VLOOKUP(C478,SIRTAC!$A$16:$H$1405,8,0),0)</f>
        <v>-1065</v>
      </c>
      <c r="K478" s="68">
        <f>-IFERROR(VLOOKUP(C478,Gastos!$A$9:$J$1398,10,0),0)</f>
        <v>-1033.05</v>
      </c>
      <c r="L478" s="68">
        <f>-IFERROR(VLOOKUP(C478,IDC!$A$20:$H$1596,8,0),0)</f>
        <v>-639</v>
      </c>
      <c r="M478" s="74">
        <f t="shared" si="12"/>
        <v>106500</v>
      </c>
    </row>
    <row r="479" spans="1:13" customFormat="1">
      <c r="A479" t="s">
        <v>81</v>
      </c>
      <c r="B479" t="s">
        <v>11</v>
      </c>
      <c r="C479" s="51">
        <v>137545150932</v>
      </c>
      <c r="D479" s="1">
        <v>4676.6400000000003</v>
      </c>
      <c r="E479" s="1">
        <v>12293157.359999999</v>
      </c>
      <c r="F479" t="s">
        <v>1280</v>
      </c>
      <c r="I479" s="16">
        <f>-IFERROR(VLOOKUP(C479,SIRCUPA!$A$21:$H$186,8,0),0)</f>
        <v>0</v>
      </c>
      <c r="J479" s="68">
        <f>-IFERROR(VLOOKUP(C479,SIRTAC!$A$16:$H$1405,8,0),0)</f>
        <v>-48</v>
      </c>
      <c r="K479" s="68">
        <f>-IFERROR(VLOOKUP(C479,Gastos!$A$9:$J$1398,10,0),0)</f>
        <v>-46.56</v>
      </c>
      <c r="L479" s="68">
        <f>-IFERROR(VLOOKUP(C479,IDC!$A$20:$H$1596,8,0),0)</f>
        <v>-28.8</v>
      </c>
      <c r="M479" s="74">
        <f t="shared" si="12"/>
        <v>4800.0000000000009</v>
      </c>
    </row>
    <row r="480" spans="1:13" customFormat="1">
      <c r="A480" t="s">
        <v>81</v>
      </c>
      <c r="B480" t="s">
        <v>11</v>
      </c>
      <c r="C480" s="51">
        <v>136912380571</v>
      </c>
      <c r="D480" s="1">
        <v>19616.740000000002</v>
      </c>
      <c r="E480" s="1">
        <v>12312774.1</v>
      </c>
      <c r="F480" t="s">
        <v>1280</v>
      </c>
      <c r="I480" s="16">
        <f>-IFERROR(VLOOKUP(C480,SIRCUPA!$A$21:$H$186,8,0),0)</f>
        <v>0</v>
      </c>
      <c r="J480" s="68">
        <f>-IFERROR(VLOOKUP(C480,SIRTAC!$A$16:$H$1405,8,0),0)</f>
        <v>-209</v>
      </c>
      <c r="K480" s="68">
        <f>-IFERROR(VLOOKUP(C480,Gastos!$A$9:$J$1398,10,0),0)</f>
        <v>-948.86</v>
      </c>
      <c r="L480" s="68">
        <f>-IFERROR(VLOOKUP(C480,IDC!$A$20:$H$1596,8,0),0)</f>
        <v>-125.4</v>
      </c>
      <c r="M480" s="74">
        <f t="shared" si="12"/>
        <v>20900.000000000004</v>
      </c>
    </row>
    <row r="481" spans="1:13" customFormat="1">
      <c r="A481" t="s">
        <v>81</v>
      </c>
      <c r="B481" t="s">
        <v>11</v>
      </c>
      <c r="C481" s="51">
        <v>137545478442</v>
      </c>
      <c r="D481" s="1">
        <v>11691.6</v>
      </c>
      <c r="E481" s="1">
        <v>12324465.699999999</v>
      </c>
      <c r="F481" t="s">
        <v>1280</v>
      </c>
      <c r="I481" s="16">
        <f>-IFERROR(VLOOKUP(C481,SIRCUPA!$A$21:$H$186,8,0),0)</f>
        <v>0</v>
      </c>
      <c r="J481" s="68">
        <f>-IFERROR(VLOOKUP(C481,SIRTAC!$A$16:$H$1405,8,0),0)</f>
        <v>-120</v>
      </c>
      <c r="K481" s="68">
        <f>-IFERROR(VLOOKUP(C481,Gastos!$A$9:$J$1398,10,0),0)</f>
        <v>-116.4</v>
      </c>
      <c r="L481" s="68">
        <f>-IFERROR(VLOOKUP(C481,IDC!$A$20:$H$1596,8,0),0)</f>
        <v>-72</v>
      </c>
      <c r="M481" s="74">
        <f t="shared" si="12"/>
        <v>12000</v>
      </c>
    </row>
    <row r="482" spans="1:13" customFormat="1">
      <c r="A482" t="s">
        <v>81</v>
      </c>
      <c r="B482" t="s">
        <v>11</v>
      </c>
      <c r="C482" s="51">
        <v>137545257514</v>
      </c>
      <c r="D482" s="1">
        <v>20947.45</v>
      </c>
      <c r="E482" s="1">
        <v>12345413.15</v>
      </c>
      <c r="F482" t="s">
        <v>1280</v>
      </c>
      <c r="I482" s="16">
        <f>-IFERROR(VLOOKUP(C482,SIRCUPA!$A$21:$H$186,8,0),0)</f>
        <v>0</v>
      </c>
      <c r="J482" s="68">
        <f>-IFERROR(VLOOKUP(C482,SIRTAC!$A$16:$H$1405,8,0),0)</f>
        <v>-215</v>
      </c>
      <c r="K482" s="68">
        <f>-IFERROR(VLOOKUP(C482,Gastos!$A$9:$J$1398,10,0),0)</f>
        <v>-208.55</v>
      </c>
      <c r="L482" s="68">
        <f>-IFERROR(VLOOKUP(C482,IDC!$A$20:$H$1596,8,0),0)</f>
        <v>-129</v>
      </c>
      <c r="M482" s="74">
        <f t="shared" si="12"/>
        <v>21500</v>
      </c>
    </row>
    <row r="483" spans="1:13" customFormat="1">
      <c r="A483" t="s">
        <v>81</v>
      </c>
      <c r="B483" t="s">
        <v>11</v>
      </c>
      <c r="C483" s="51">
        <v>136912524459</v>
      </c>
      <c r="D483" s="1">
        <v>26793.25</v>
      </c>
      <c r="E483" s="1">
        <v>12372206.4</v>
      </c>
      <c r="F483" t="s">
        <v>1280</v>
      </c>
      <c r="I483" s="16">
        <f>-IFERROR(VLOOKUP(C483,SIRCUPA!$A$21:$H$186,8,0),0)</f>
        <v>0</v>
      </c>
      <c r="J483" s="68">
        <f>-IFERROR(VLOOKUP(C483,SIRTAC!$A$16:$H$1405,8,0),0)</f>
        <v>-275</v>
      </c>
      <c r="K483" s="68">
        <f>-IFERROR(VLOOKUP(C483,Gastos!$A$9:$J$1398,10,0),0)</f>
        <v>-266.75</v>
      </c>
      <c r="L483" s="68">
        <f>-IFERROR(VLOOKUP(C483,IDC!$A$20:$H$1596,8,0),0)</f>
        <v>-165</v>
      </c>
      <c r="M483" s="74">
        <f t="shared" si="12"/>
        <v>27500</v>
      </c>
    </row>
    <row r="484" spans="1:13" customFormat="1">
      <c r="A484" t="s">
        <v>81</v>
      </c>
      <c r="B484" t="s">
        <v>11</v>
      </c>
      <c r="C484" s="51">
        <v>137545399844</v>
      </c>
      <c r="D484" s="1">
        <v>42869.2</v>
      </c>
      <c r="E484" s="1">
        <v>12415075.6</v>
      </c>
      <c r="F484" t="s">
        <v>1280</v>
      </c>
      <c r="I484" s="16">
        <f>-IFERROR(VLOOKUP(C484,SIRCUPA!$A$21:$H$186,8,0),0)</f>
        <v>0</v>
      </c>
      <c r="J484" s="68">
        <f>-IFERROR(VLOOKUP(C484,SIRTAC!$A$16:$H$1405,8,0),0)</f>
        <v>-440</v>
      </c>
      <c r="K484" s="68">
        <f>-IFERROR(VLOOKUP(C484,Gastos!$A$9:$J$1398,10,0),0)</f>
        <v>-426.8</v>
      </c>
      <c r="L484" s="68">
        <f>-IFERROR(VLOOKUP(C484,IDC!$A$20:$H$1596,8,0),0)</f>
        <v>-264</v>
      </c>
      <c r="M484" s="74">
        <f t="shared" si="12"/>
        <v>44000</v>
      </c>
    </row>
    <row r="485" spans="1:13" customFormat="1">
      <c r="A485" t="s">
        <v>81</v>
      </c>
      <c r="B485" t="s">
        <v>83</v>
      </c>
      <c r="C485" s="51">
        <v>137545666916</v>
      </c>
      <c r="D485" s="1">
        <v>2153.8000000000002</v>
      </c>
      <c r="E485" s="1">
        <v>12417229.4</v>
      </c>
      <c r="F485" t="s">
        <v>1280</v>
      </c>
      <c r="I485" s="16">
        <f>-IFERROR(VLOOKUP(C485,SIRCUPA!$A$21:$H$186,8,0),0)</f>
        <v>-33</v>
      </c>
      <c r="J485" s="68">
        <f>-IFERROR(VLOOKUP(C485,SIRTAC!$A$16:$H$1405,8,0),0)</f>
        <v>0</v>
      </c>
      <c r="K485" s="68">
        <f>-IFERROR(VLOOKUP(C485,Gastos!$A$9:$J$1398,10,0),0)</f>
        <v>0</v>
      </c>
      <c r="L485" s="68">
        <f>-IFERROR(VLOOKUP(C485,IDC!$A$20:$H$1596,8,0),0)</f>
        <v>-13.2</v>
      </c>
      <c r="M485" s="74">
        <f t="shared" si="12"/>
        <v>2200</v>
      </c>
    </row>
    <row r="486" spans="1:13" customFormat="1">
      <c r="A486" t="s">
        <v>81</v>
      </c>
      <c r="B486" t="s">
        <v>11</v>
      </c>
      <c r="C486" s="51">
        <v>136912525375</v>
      </c>
      <c r="D486" s="1">
        <v>22798.62</v>
      </c>
      <c r="E486" s="1">
        <v>12440028.02</v>
      </c>
      <c r="F486" t="s">
        <v>1280</v>
      </c>
      <c r="I486" s="16">
        <f>-IFERROR(VLOOKUP(C486,SIRCUPA!$A$21:$H$186,8,0),0)</f>
        <v>0</v>
      </c>
      <c r="J486" s="68">
        <f>-IFERROR(VLOOKUP(C486,SIRTAC!$A$16:$H$1405,8,0),0)</f>
        <v>-234</v>
      </c>
      <c r="K486" s="68">
        <f>-IFERROR(VLOOKUP(C486,Gastos!$A$9:$J$1398,10,0),0)</f>
        <v>-226.98</v>
      </c>
      <c r="L486" s="68">
        <f>-IFERROR(VLOOKUP(C486,IDC!$A$20:$H$1596,8,0),0)</f>
        <v>-140.4</v>
      </c>
      <c r="M486" s="74">
        <f t="shared" si="12"/>
        <v>23400</v>
      </c>
    </row>
    <row r="487" spans="1:13" customFormat="1">
      <c r="A487" t="s">
        <v>81</v>
      </c>
      <c r="B487" t="s">
        <v>11</v>
      </c>
      <c r="C487" s="51">
        <v>136912585861</v>
      </c>
      <c r="D487" s="1">
        <v>22798.62</v>
      </c>
      <c r="E487" s="1">
        <v>12462826.640000001</v>
      </c>
      <c r="F487" t="s">
        <v>1280</v>
      </c>
      <c r="I487" s="16">
        <f>-IFERROR(VLOOKUP(C487,SIRCUPA!$A$21:$H$186,8,0),0)</f>
        <v>0</v>
      </c>
      <c r="J487" s="68">
        <f>-IFERROR(VLOOKUP(C487,SIRTAC!$A$16:$H$1405,8,0),0)</f>
        <v>-234</v>
      </c>
      <c r="K487" s="68">
        <f>-IFERROR(VLOOKUP(C487,Gastos!$A$9:$J$1398,10,0),0)</f>
        <v>-226.98</v>
      </c>
      <c r="L487" s="68">
        <f>-IFERROR(VLOOKUP(C487,IDC!$A$20:$H$1596,8,0),0)</f>
        <v>-140.4</v>
      </c>
      <c r="M487" s="74">
        <f t="shared" si="12"/>
        <v>23400</v>
      </c>
    </row>
    <row r="488" spans="1:13" customFormat="1">
      <c r="A488" t="s">
        <v>81</v>
      </c>
      <c r="B488" t="s">
        <v>11</v>
      </c>
      <c r="C488" s="51">
        <v>136912751489</v>
      </c>
      <c r="D488" s="1">
        <v>13250.48</v>
      </c>
      <c r="E488" s="1">
        <v>12476077.119999999</v>
      </c>
      <c r="F488" t="s">
        <v>1280</v>
      </c>
      <c r="I488" s="16">
        <f>-IFERROR(VLOOKUP(C488,SIRCUPA!$A$21:$H$186,8,0),0)</f>
        <v>0</v>
      </c>
      <c r="J488" s="68">
        <f>-IFERROR(VLOOKUP(C488,SIRTAC!$A$16:$H$1405,8,0),0)</f>
        <v>-136</v>
      </c>
      <c r="K488" s="68">
        <f>-IFERROR(VLOOKUP(C488,Gastos!$A$9:$J$1398,10,0),0)</f>
        <v>-131.91999999999999</v>
      </c>
      <c r="L488" s="68">
        <f>-IFERROR(VLOOKUP(C488,IDC!$A$20:$H$1596,8,0),0)</f>
        <v>-81.599999999999994</v>
      </c>
      <c r="M488" s="74">
        <f t="shared" ref="M488:M551" si="13">+D488-I488-J488-K488-L488</f>
        <v>13600</v>
      </c>
    </row>
    <row r="489" spans="1:13" customFormat="1">
      <c r="A489" t="s">
        <v>81</v>
      </c>
      <c r="B489" t="s">
        <v>11</v>
      </c>
      <c r="C489" s="51">
        <v>136912732043</v>
      </c>
      <c r="D489" s="1">
        <v>8184.12</v>
      </c>
      <c r="E489" s="1">
        <v>12484261.24</v>
      </c>
      <c r="F489" t="s">
        <v>1280</v>
      </c>
      <c r="I489" s="16">
        <f>-IFERROR(VLOOKUP(C489,SIRCUPA!$A$21:$H$186,8,0),0)</f>
        <v>0</v>
      </c>
      <c r="J489" s="68">
        <f>-IFERROR(VLOOKUP(C489,SIRTAC!$A$16:$H$1405,8,0),0)</f>
        <v>-84</v>
      </c>
      <c r="K489" s="68">
        <f>-IFERROR(VLOOKUP(C489,Gastos!$A$9:$J$1398,10,0),0)</f>
        <v>-81.48</v>
      </c>
      <c r="L489" s="68">
        <f>-IFERROR(VLOOKUP(C489,IDC!$A$20:$H$1596,8,0),0)</f>
        <v>-50.4</v>
      </c>
      <c r="M489" s="74">
        <f t="shared" si="13"/>
        <v>8399.9999999999982</v>
      </c>
    </row>
    <row r="490" spans="1:13" customFormat="1">
      <c r="A490" t="s">
        <v>81</v>
      </c>
      <c r="B490" t="s">
        <v>11</v>
      </c>
      <c r="C490" s="51">
        <v>136912975121</v>
      </c>
      <c r="D490" s="1">
        <v>60406.6</v>
      </c>
      <c r="E490" s="1">
        <v>12544667.84</v>
      </c>
      <c r="F490" t="s">
        <v>1280</v>
      </c>
      <c r="I490" s="16">
        <f>-IFERROR(VLOOKUP(C490,SIRCUPA!$A$21:$H$186,8,0),0)</f>
        <v>0</v>
      </c>
      <c r="J490" s="68">
        <f>-IFERROR(VLOOKUP(C490,SIRTAC!$A$16:$H$1405,8,0),0)</f>
        <v>-620</v>
      </c>
      <c r="K490" s="68">
        <f>-IFERROR(VLOOKUP(C490,Gastos!$A$9:$J$1398,10,0),0)</f>
        <v>-601.4</v>
      </c>
      <c r="L490" s="68">
        <f>-IFERROR(VLOOKUP(C490,IDC!$A$20:$H$1596,8,0),0)</f>
        <v>-372</v>
      </c>
      <c r="M490" s="74">
        <f t="shared" si="13"/>
        <v>62000</v>
      </c>
    </row>
    <row r="491" spans="1:13" customFormat="1">
      <c r="A491" t="s">
        <v>81</v>
      </c>
      <c r="B491" t="s">
        <v>11</v>
      </c>
      <c r="C491" s="51">
        <v>137546227878</v>
      </c>
      <c r="D491" s="1">
        <v>12568.47</v>
      </c>
      <c r="E491" s="1">
        <v>12557236.310000001</v>
      </c>
      <c r="F491" t="s">
        <v>1280</v>
      </c>
      <c r="I491" s="16">
        <f>-IFERROR(VLOOKUP(C491,SIRCUPA!$A$21:$H$186,8,0),0)</f>
        <v>0</v>
      </c>
      <c r="J491" s="68">
        <f>-IFERROR(VLOOKUP(C491,SIRTAC!$A$16:$H$1405,8,0),0)</f>
        <v>-129</v>
      </c>
      <c r="K491" s="68">
        <f>-IFERROR(VLOOKUP(C491,Gastos!$A$9:$J$1398,10,0),0)</f>
        <v>-125.13</v>
      </c>
      <c r="L491" s="68">
        <f>-IFERROR(VLOOKUP(C491,IDC!$A$20:$H$1596,8,0),0)</f>
        <v>-77.400000000000006</v>
      </c>
      <c r="M491" s="74">
        <f t="shared" si="13"/>
        <v>12899.999999999998</v>
      </c>
    </row>
    <row r="492" spans="1:13" customFormat="1">
      <c r="A492" t="s">
        <v>81</v>
      </c>
      <c r="B492" t="s">
        <v>11</v>
      </c>
      <c r="C492" s="51">
        <v>137546451270</v>
      </c>
      <c r="D492" s="1">
        <v>13153.05</v>
      </c>
      <c r="E492" s="1">
        <v>12570389.359999999</v>
      </c>
      <c r="F492" t="s">
        <v>1280</v>
      </c>
      <c r="I492" s="16">
        <f>-IFERROR(VLOOKUP(C492,SIRCUPA!$A$21:$H$186,8,0),0)</f>
        <v>0</v>
      </c>
      <c r="J492" s="68">
        <f>-IFERROR(VLOOKUP(C492,SIRTAC!$A$16:$H$1405,8,0),0)</f>
        <v>-135</v>
      </c>
      <c r="K492" s="68">
        <f>-IFERROR(VLOOKUP(C492,Gastos!$A$9:$J$1398,10,0),0)</f>
        <v>-130.94999999999999</v>
      </c>
      <c r="L492" s="68">
        <f>-IFERROR(VLOOKUP(C492,IDC!$A$20:$H$1596,8,0),0)</f>
        <v>-81</v>
      </c>
      <c r="M492" s="74">
        <f t="shared" si="13"/>
        <v>13500</v>
      </c>
    </row>
    <row r="493" spans="1:13" customFormat="1">
      <c r="A493" t="s">
        <v>81</v>
      </c>
      <c r="B493" t="s">
        <v>11</v>
      </c>
      <c r="C493" s="51">
        <v>136913470977</v>
      </c>
      <c r="D493" s="1">
        <v>9010.56</v>
      </c>
      <c r="E493" s="1">
        <v>12579399.92</v>
      </c>
      <c r="F493" t="s">
        <v>1280</v>
      </c>
      <c r="I493" s="16">
        <f>-IFERROR(VLOOKUP(C493,SIRCUPA!$A$21:$H$186,8,0),0)</f>
        <v>0</v>
      </c>
      <c r="J493" s="68">
        <f>-IFERROR(VLOOKUP(C493,SIRTAC!$A$16:$H$1405,8,0),0)</f>
        <v>-96</v>
      </c>
      <c r="K493" s="68">
        <f>-IFERROR(VLOOKUP(C493,Gastos!$A$9:$J$1398,10,0),0)</f>
        <v>-435.84</v>
      </c>
      <c r="L493" s="68">
        <f>-IFERROR(VLOOKUP(C493,IDC!$A$20:$H$1596,8,0),0)</f>
        <v>-57.6</v>
      </c>
      <c r="M493" s="74">
        <f t="shared" si="13"/>
        <v>9600</v>
      </c>
    </row>
    <row r="494" spans="1:13" customFormat="1">
      <c r="A494" t="s">
        <v>81</v>
      </c>
      <c r="B494" t="s">
        <v>11</v>
      </c>
      <c r="C494" s="51">
        <v>137546578068</v>
      </c>
      <c r="D494" s="1">
        <v>7172.41</v>
      </c>
      <c r="E494" s="1">
        <v>12586572.33</v>
      </c>
      <c r="F494" t="s">
        <v>1280</v>
      </c>
      <c r="I494" s="16">
        <f>-IFERROR(VLOOKUP(C494,SIRCUPA!$A$21:$H$186,8,0),0)</f>
        <v>0</v>
      </c>
      <c r="J494" s="68">
        <f>-IFERROR(VLOOKUP(C494,SIRTAC!$A$16:$H$1405,8,0),0)</f>
        <v>-79</v>
      </c>
      <c r="K494" s="68">
        <f>-IFERROR(VLOOKUP(C494,Gastos!$A$9:$J$1398,10,0),0)</f>
        <v>-601.19000000000005</v>
      </c>
      <c r="L494" s="68">
        <f>-IFERROR(VLOOKUP(C494,IDC!$A$20:$H$1596,8,0),0)</f>
        <v>-47.4</v>
      </c>
      <c r="M494" s="74">
        <f t="shared" si="13"/>
        <v>7900</v>
      </c>
    </row>
    <row r="495" spans="1:13" customFormat="1">
      <c r="A495" t="s">
        <v>81</v>
      </c>
      <c r="B495" t="s">
        <v>11</v>
      </c>
      <c r="C495" s="51">
        <v>136914112129</v>
      </c>
      <c r="D495" s="1">
        <v>4676.6400000000003</v>
      </c>
      <c r="E495" s="1">
        <v>12591248.970000001</v>
      </c>
      <c r="F495" t="s">
        <v>1280</v>
      </c>
      <c r="I495" s="16">
        <f>-IFERROR(VLOOKUP(C495,SIRCUPA!$A$21:$H$186,8,0),0)</f>
        <v>0</v>
      </c>
      <c r="J495" s="68">
        <f>-IFERROR(VLOOKUP(C495,SIRTAC!$A$16:$H$1405,8,0),0)</f>
        <v>-48</v>
      </c>
      <c r="K495" s="68">
        <f>-IFERROR(VLOOKUP(C495,Gastos!$A$9:$J$1398,10,0),0)</f>
        <v>-46.56</v>
      </c>
      <c r="L495" s="68">
        <f>-IFERROR(VLOOKUP(C495,IDC!$A$20:$H$1596,8,0),0)</f>
        <v>-28.8</v>
      </c>
      <c r="M495" s="74">
        <f t="shared" si="13"/>
        <v>4800.0000000000009</v>
      </c>
    </row>
    <row r="496" spans="1:13" customFormat="1">
      <c r="A496" t="s">
        <v>81</v>
      </c>
      <c r="B496" t="s">
        <v>11</v>
      </c>
      <c r="C496" s="51">
        <v>137547228792</v>
      </c>
      <c r="D496" s="1">
        <v>9010.56</v>
      </c>
      <c r="E496" s="1">
        <v>12600259.529999999</v>
      </c>
      <c r="F496" t="s">
        <v>1280</v>
      </c>
      <c r="I496" s="16">
        <f>-IFERROR(VLOOKUP(C496,SIRCUPA!$A$21:$H$186,8,0),0)</f>
        <v>0</v>
      </c>
      <c r="J496" s="68">
        <f>-IFERROR(VLOOKUP(C496,SIRTAC!$A$16:$H$1405,8,0),0)</f>
        <v>-96</v>
      </c>
      <c r="K496" s="68">
        <f>-IFERROR(VLOOKUP(C496,Gastos!$A$9:$J$1398,10,0),0)</f>
        <v>-435.84</v>
      </c>
      <c r="L496" s="68">
        <f>-IFERROR(VLOOKUP(C496,IDC!$A$20:$H$1596,8,0),0)</f>
        <v>-57.6</v>
      </c>
      <c r="M496" s="74">
        <f t="shared" si="13"/>
        <v>9600</v>
      </c>
    </row>
    <row r="497" spans="1:13" customFormat="1">
      <c r="A497" t="s">
        <v>81</v>
      </c>
      <c r="B497" t="s">
        <v>11</v>
      </c>
      <c r="C497" s="51">
        <v>136914446137</v>
      </c>
      <c r="D497" s="1">
        <v>5650.94</v>
      </c>
      <c r="E497" s="1">
        <v>12605910.470000001</v>
      </c>
      <c r="F497" t="s">
        <v>1280</v>
      </c>
      <c r="I497" s="16">
        <f>-IFERROR(VLOOKUP(C497,SIRCUPA!$A$21:$H$186,8,0),0)</f>
        <v>0</v>
      </c>
      <c r="J497" s="68">
        <f>-IFERROR(VLOOKUP(C497,SIRTAC!$A$16:$H$1405,8,0),0)</f>
        <v>-58</v>
      </c>
      <c r="K497" s="68">
        <f>-IFERROR(VLOOKUP(C497,Gastos!$A$9:$J$1398,10,0),0)</f>
        <v>-56.26</v>
      </c>
      <c r="L497" s="68">
        <f>-IFERROR(VLOOKUP(C497,IDC!$A$20:$H$1596,8,0),0)</f>
        <v>-34.799999999999997</v>
      </c>
      <c r="M497" s="74">
        <f t="shared" si="13"/>
        <v>5800</v>
      </c>
    </row>
    <row r="498" spans="1:13" customFormat="1">
      <c r="A498" t="s">
        <v>81</v>
      </c>
      <c r="B498" t="s">
        <v>11</v>
      </c>
      <c r="C498" s="51">
        <v>136914272051</v>
      </c>
      <c r="D498" s="1">
        <v>12373.61</v>
      </c>
      <c r="E498" s="1">
        <v>12618284.08</v>
      </c>
      <c r="F498" t="s">
        <v>1280</v>
      </c>
      <c r="I498" s="16">
        <f>-IFERROR(VLOOKUP(C498,SIRCUPA!$A$21:$H$186,8,0),0)</f>
        <v>0</v>
      </c>
      <c r="J498" s="68">
        <f>-IFERROR(VLOOKUP(C498,SIRTAC!$A$16:$H$1405,8,0),0)</f>
        <v>-127</v>
      </c>
      <c r="K498" s="68">
        <f>-IFERROR(VLOOKUP(C498,Gastos!$A$9:$J$1398,10,0),0)</f>
        <v>-123.19</v>
      </c>
      <c r="L498" s="68">
        <f>-IFERROR(VLOOKUP(C498,IDC!$A$20:$H$1596,8,0),0)</f>
        <v>-76.2</v>
      </c>
      <c r="M498" s="74">
        <f t="shared" si="13"/>
        <v>12700.000000000002</v>
      </c>
    </row>
    <row r="499" spans="1:13" customFormat="1">
      <c r="A499" t="s">
        <v>81</v>
      </c>
      <c r="B499" t="s">
        <v>11</v>
      </c>
      <c r="C499" s="51">
        <v>136914524535</v>
      </c>
      <c r="D499" s="1">
        <v>4676.6400000000003</v>
      </c>
      <c r="E499" s="1">
        <v>12622960.720000001</v>
      </c>
      <c r="F499" t="s">
        <v>1280</v>
      </c>
      <c r="I499" s="16">
        <f>-IFERROR(VLOOKUP(C499,SIRCUPA!$A$21:$H$186,8,0),0)</f>
        <v>0</v>
      </c>
      <c r="J499" s="68">
        <f>-IFERROR(VLOOKUP(C499,SIRTAC!$A$16:$H$1405,8,0),0)</f>
        <v>-48</v>
      </c>
      <c r="K499" s="68">
        <f>-IFERROR(VLOOKUP(C499,Gastos!$A$9:$J$1398,10,0),0)</f>
        <v>-46.56</v>
      </c>
      <c r="L499" s="68">
        <f>-IFERROR(VLOOKUP(C499,IDC!$A$20:$H$1596,8,0),0)</f>
        <v>-28.8</v>
      </c>
      <c r="M499" s="74">
        <f t="shared" si="13"/>
        <v>4800.0000000000009</v>
      </c>
    </row>
    <row r="500" spans="1:13" customFormat="1">
      <c r="A500" t="s">
        <v>81</v>
      </c>
      <c r="B500" t="s">
        <v>11</v>
      </c>
      <c r="C500" s="51">
        <v>137547309798</v>
      </c>
      <c r="D500" s="1">
        <v>8715.84</v>
      </c>
      <c r="E500" s="1">
        <v>12631676.560000001</v>
      </c>
      <c r="F500" t="s">
        <v>1280</v>
      </c>
      <c r="I500" s="16">
        <f>-IFERROR(VLOOKUP(C500,SIRCUPA!$A$21:$H$186,8,0),0)</f>
        <v>0</v>
      </c>
      <c r="J500" s="68">
        <f>-IFERROR(VLOOKUP(C500,SIRTAC!$A$16:$H$1405,8,0),0)</f>
        <v>-96</v>
      </c>
      <c r="K500" s="68">
        <f>-IFERROR(VLOOKUP(C500,Gastos!$A$9:$J$1398,10,0),0)</f>
        <v>-730.56</v>
      </c>
      <c r="L500" s="68">
        <f>-IFERROR(VLOOKUP(C500,IDC!$A$20:$H$1596,8,0),0)</f>
        <v>-57.6</v>
      </c>
      <c r="M500" s="74">
        <f t="shared" si="13"/>
        <v>9600</v>
      </c>
    </row>
    <row r="501" spans="1:13" customFormat="1">
      <c r="A501" t="s">
        <v>81</v>
      </c>
      <c r="B501" t="s">
        <v>11</v>
      </c>
      <c r="C501" s="51">
        <v>136914570765</v>
      </c>
      <c r="D501" s="1">
        <v>20752.59</v>
      </c>
      <c r="E501" s="1">
        <v>12652429.15</v>
      </c>
      <c r="F501" t="s">
        <v>1280</v>
      </c>
      <c r="I501" s="16">
        <f>-IFERROR(VLOOKUP(C501,SIRCUPA!$A$21:$H$186,8,0),0)</f>
        <v>0</v>
      </c>
      <c r="J501" s="68">
        <f>-IFERROR(VLOOKUP(C501,SIRTAC!$A$16:$H$1405,8,0),0)</f>
        <v>-213</v>
      </c>
      <c r="K501" s="68">
        <f>-IFERROR(VLOOKUP(C501,Gastos!$A$9:$J$1398,10,0),0)</f>
        <v>-206.61</v>
      </c>
      <c r="L501" s="68">
        <f>-IFERROR(VLOOKUP(C501,IDC!$A$20:$H$1596,8,0),0)</f>
        <v>-127.8</v>
      </c>
      <c r="M501" s="74">
        <f t="shared" si="13"/>
        <v>21300</v>
      </c>
    </row>
    <row r="502" spans="1:13" customFormat="1">
      <c r="A502" t="s">
        <v>81</v>
      </c>
      <c r="B502" t="s">
        <v>11</v>
      </c>
      <c r="C502" s="51">
        <v>136914671357</v>
      </c>
      <c r="D502" s="1">
        <v>26890.68</v>
      </c>
      <c r="E502" s="1">
        <v>12679319.83</v>
      </c>
      <c r="F502" t="s">
        <v>1280</v>
      </c>
      <c r="I502" s="16">
        <f>-IFERROR(VLOOKUP(C502,SIRCUPA!$A$21:$H$186,8,0),0)</f>
        <v>0</v>
      </c>
      <c r="J502" s="68">
        <f>-IFERROR(VLOOKUP(C502,SIRTAC!$A$16:$H$1405,8,0),0)</f>
        <v>-276</v>
      </c>
      <c r="K502" s="68">
        <f>-IFERROR(VLOOKUP(C502,Gastos!$A$9:$J$1398,10,0),0)</f>
        <v>-267.72000000000003</v>
      </c>
      <c r="L502" s="68">
        <f>-IFERROR(VLOOKUP(C502,IDC!$A$20:$H$1596,8,0),0)</f>
        <v>-165.6</v>
      </c>
      <c r="M502" s="74">
        <f t="shared" si="13"/>
        <v>27600</v>
      </c>
    </row>
    <row r="503" spans="1:13" customFormat="1">
      <c r="A503" t="s">
        <v>81</v>
      </c>
      <c r="B503" t="s">
        <v>11</v>
      </c>
      <c r="C503" s="51">
        <v>136915272579</v>
      </c>
      <c r="D503" s="1">
        <v>7463.13</v>
      </c>
      <c r="E503" s="1">
        <v>12686782.960000001</v>
      </c>
      <c r="F503" t="s">
        <v>1280</v>
      </c>
      <c r="I503" s="16">
        <f>-IFERROR(VLOOKUP(C503,SIRCUPA!$A$21:$H$186,8,0),0)</f>
        <v>0</v>
      </c>
      <c r="J503" s="68">
        <f>-IFERROR(VLOOKUP(C503,SIRTAC!$A$16:$H$1405,8,0),0)</f>
        <v>-79</v>
      </c>
      <c r="K503" s="68">
        <f>-IFERROR(VLOOKUP(C503,Gastos!$A$9:$J$1398,10,0),0)</f>
        <v>-310.47000000000003</v>
      </c>
      <c r="L503" s="68">
        <f>-IFERROR(VLOOKUP(C503,IDC!$A$20:$H$1596,8,0),0)</f>
        <v>-47.4</v>
      </c>
      <c r="M503" s="74">
        <f t="shared" si="13"/>
        <v>7900</v>
      </c>
    </row>
    <row r="504" spans="1:13" customFormat="1">
      <c r="A504" t="s">
        <v>81</v>
      </c>
      <c r="B504" t="s">
        <v>11</v>
      </c>
      <c r="C504" s="51">
        <v>136915988399</v>
      </c>
      <c r="D504" s="1">
        <v>25331.8</v>
      </c>
      <c r="E504" s="1">
        <v>12712114.76</v>
      </c>
      <c r="F504" t="s">
        <v>1280</v>
      </c>
      <c r="I504" s="16">
        <f>-IFERROR(VLOOKUP(C504,SIRCUPA!$A$21:$H$186,8,0),0)</f>
        <v>0</v>
      </c>
      <c r="J504" s="68">
        <f>-IFERROR(VLOOKUP(C504,SIRTAC!$A$16:$H$1405,8,0),0)</f>
        <v>-260</v>
      </c>
      <c r="K504" s="68">
        <f>-IFERROR(VLOOKUP(C504,Gastos!$A$9:$J$1398,10,0),0)</f>
        <v>-252.2</v>
      </c>
      <c r="L504" s="68">
        <f>-IFERROR(VLOOKUP(C504,IDC!$A$20:$H$1596,8,0),0)</f>
        <v>-156</v>
      </c>
      <c r="M504" s="74">
        <f t="shared" si="13"/>
        <v>26000</v>
      </c>
    </row>
    <row r="505" spans="1:13" customFormat="1">
      <c r="A505" t="s">
        <v>81</v>
      </c>
      <c r="B505" t="s">
        <v>11</v>
      </c>
      <c r="C505" s="51">
        <v>137548968332</v>
      </c>
      <c r="D505" s="1">
        <v>19616.740000000002</v>
      </c>
      <c r="E505" s="1">
        <v>12731731.5</v>
      </c>
      <c r="F505" t="s">
        <v>1280</v>
      </c>
      <c r="I505" s="16">
        <f>-IFERROR(VLOOKUP(C505,SIRCUPA!$A$21:$H$186,8,0),0)</f>
        <v>0</v>
      </c>
      <c r="J505" s="68">
        <f>-IFERROR(VLOOKUP(C505,SIRTAC!$A$16:$H$1405,8,0),0)</f>
        <v>-209</v>
      </c>
      <c r="K505" s="68">
        <f>-IFERROR(VLOOKUP(C505,Gastos!$A$9:$J$1398,10,0),0)</f>
        <v>-948.86</v>
      </c>
      <c r="L505" s="68">
        <f>-IFERROR(VLOOKUP(C505,IDC!$A$20:$H$1596,8,0),0)</f>
        <v>-125.4</v>
      </c>
      <c r="M505" s="74">
        <f t="shared" si="13"/>
        <v>20900.000000000004</v>
      </c>
    </row>
    <row r="506" spans="1:13" customFormat="1">
      <c r="A506" t="s">
        <v>81</v>
      </c>
      <c r="B506" t="s">
        <v>11</v>
      </c>
      <c r="C506" s="51">
        <v>137549050936</v>
      </c>
      <c r="D506" s="1">
        <v>74241.66</v>
      </c>
      <c r="E506" s="1">
        <v>12805973.16</v>
      </c>
      <c r="F506" t="s">
        <v>1280</v>
      </c>
      <c r="I506" s="16">
        <f>-IFERROR(VLOOKUP(C506,SIRCUPA!$A$21:$H$186,8,0),0)</f>
        <v>0</v>
      </c>
      <c r="J506" s="68">
        <f>-IFERROR(VLOOKUP(C506,SIRTAC!$A$16:$H$1405,8,0),0)</f>
        <v>-762</v>
      </c>
      <c r="K506" s="68">
        <f>-IFERROR(VLOOKUP(C506,Gastos!$A$9:$J$1398,10,0),0)</f>
        <v>-739.14</v>
      </c>
      <c r="L506" s="68">
        <f>-IFERROR(VLOOKUP(C506,IDC!$A$20:$H$1596,8,0),0)</f>
        <v>-457.2</v>
      </c>
      <c r="M506" s="74">
        <f t="shared" si="13"/>
        <v>76200</v>
      </c>
    </row>
    <row r="507" spans="1:13" customFormat="1">
      <c r="A507" t="s">
        <v>81</v>
      </c>
      <c r="B507" t="s">
        <v>11</v>
      </c>
      <c r="C507" s="51">
        <v>137549612728</v>
      </c>
      <c r="D507" s="1">
        <v>212884.55</v>
      </c>
      <c r="E507" s="1">
        <v>13018857.710000001</v>
      </c>
      <c r="F507" t="s">
        <v>1280</v>
      </c>
      <c r="I507" s="16">
        <f>-IFERROR(VLOOKUP(C507,SIRCUPA!$A$21:$H$186,8,0),0)</f>
        <v>0</v>
      </c>
      <c r="J507" s="68">
        <f>-IFERROR(VLOOKUP(C507,SIRTAC!$A$16:$H$1405,8,0),0)</f>
        <v>-2185</v>
      </c>
      <c r="K507" s="68">
        <f>-IFERROR(VLOOKUP(C507,Gastos!$A$9:$J$1398,10,0),0)</f>
        <v>-2119.4499999999998</v>
      </c>
      <c r="L507" s="68">
        <f>-IFERROR(VLOOKUP(C507,IDC!$A$20:$H$1596,8,0),0)</f>
        <v>-1311</v>
      </c>
      <c r="M507" s="74">
        <f t="shared" si="13"/>
        <v>218500</v>
      </c>
    </row>
    <row r="508" spans="1:13" customFormat="1">
      <c r="A508" t="s">
        <v>81</v>
      </c>
      <c r="B508" t="s">
        <v>11</v>
      </c>
      <c r="C508" s="51">
        <v>137549459378</v>
      </c>
      <c r="D508" s="1">
        <v>8573.84</v>
      </c>
      <c r="E508" s="1">
        <v>13027431.550000001</v>
      </c>
      <c r="F508" t="s">
        <v>1280</v>
      </c>
      <c r="I508" s="16">
        <f>-IFERROR(VLOOKUP(C508,SIRCUPA!$A$21:$H$186,8,0),0)</f>
        <v>0</v>
      </c>
      <c r="J508" s="68">
        <f>-IFERROR(VLOOKUP(C508,SIRTAC!$A$16:$H$1405,8,0),0)</f>
        <v>-88</v>
      </c>
      <c r="K508" s="68">
        <f>-IFERROR(VLOOKUP(C508,Gastos!$A$9:$J$1398,10,0),0)</f>
        <v>-85.36</v>
      </c>
      <c r="L508" s="68">
        <f>-IFERROR(VLOOKUP(C508,IDC!$A$20:$H$1596,8,0),0)</f>
        <v>-52.8</v>
      </c>
      <c r="M508" s="74">
        <f t="shared" si="13"/>
        <v>8800</v>
      </c>
    </row>
    <row r="509" spans="1:13" customFormat="1">
      <c r="A509" t="s">
        <v>81</v>
      </c>
      <c r="B509" t="s">
        <v>11</v>
      </c>
      <c r="C509" s="51">
        <v>136916562339</v>
      </c>
      <c r="D509" s="1">
        <v>10717.3</v>
      </c>
      <c r="E509" s="1">
        <v>13038148.85</v>
      </c>
      <c r="F509" t="s">
        <v>1280</v>
      </c>
      <c r="I509" s="16">
        <f>-IFERROR(VLOOKUP(C509,SIRCUPA!$A$21:$H$186,8,0),0)</f>
        <v>0</v>
      </c>
      <c r="J509" s="68">
        <f>-IFERROR(VLOOKUP(C509,SIRTAC!$A$16:$H$1405,8,0),0)</f>
        <v>-110</v>
      </c>
      <c r="K509" s="68">
        <f>-IFERROR(VLOOKUP(C509,Gastos!$A$9:$J$1398,10,0),0)</f>
        <v>-106.7</v>
      </c>
      <c r="L509" s="68">
        <f>-IFERROR(VLOOKUP(C509,IDC!$A$20:$H$1596,8,0),0)</f>
        <v>-66</v>
      </c>
      <c r="M509" s="74">
        <f t="shared" si="13"/>
        <v>11000</v>
      </c>
    </row>
    <row r="510" spans="1:13" customFormat="1">
      <c r="A510" t="s">
        <v>81</v>
      </c>
      <c r="B510" t="s">
        <v>84</v>
      </c>
      <c r="C510" s="51">
        <v>136916514577</v>
      </c>
      <c r="D510">
        <v>538.45000000000005</v>
      </c>
      <c r="E510" s="1">
        <v>13038687.300000001</v>
      </c>
      <c r="F510" t="s">
        <v>1280</v>
      </c>
      <c r="I510" s="16">
        <f>-IFERROR(VLOOKUP(C510,SIRCUPA!$A$21:$H$186,8,0),0)</f>
        <v>-8.25</v>
      </c>
      <c r="J510" s="68">
        <f>-IFERROR(VLOOKUP(C510,SIRTAC!$A$16:$H$1405,8,0),0)</f>
        <v>0</v>
      </c>
      <c r="K510" s="68">
        <f>-IFERROR(VLOOKUP(C510,Gastos!$A$9:$J$1398,10,0),0)</f>
        <v>0</v>
      </c>
      <c r="L510" s="68">
        <f>-IFERROR(VLOOKUP(C510,IDC!$A$20:$H$1596,8,0),0)</f>
        <v>-3.3</v>
      </c>
      <c r="M510" s="74">
        <f t="shared" si="13"/>
        <v>550</v>
      </c>
    </row>
    <row r="511" spans="1:13" customFormat="1">
      <c r="A511" t="s">
        <v>81</v>
      </c>
      <c r="B511" t="s">
        <v>11</v>
      </c>
      <c r="C511" s="51">
        <v>136916652431</v>
      </c>
      <c r="D511" s="1">
        <v>4676.6400000000003</v>
      </c>
      <c r="E511" s="1">
        <v>13043363.939999999</v>
      </c>
      <c r="F511" t="s">
        <v>1280</v>
      </c>
      <c r="I511" s="16">
        <f>-IFERROR(VLOOKUP(C511,SIRCUPA!$A$21:$H$186,8,0),0)</f>
        <v>0</v>
      </c>
      <c r="J511" s="68">
        <f>-IFERROR(VLOOKUP(C511,SIRTAC!$A$16:$H$1405,8,0),0)</f>
        <v>-48</v>
      </c>
      <c r="K511" s="68">
        <f>-IFERROR(VLOOKUP(C511,Gastos!$A$9:$J$1398,10,0),0)</f>
        <v>-46.56</v>
      </c>
      <c r="L511" s="68">
        <f>-IFERROR(VLOOKUP(C511,IDC!$A$20:$H$1596,8,0),0)</f>
        <v>-28.8</v>
      </c>
      <c r="M511" s="74">
        <f t="shared" si="13"/>
        <v>4800.0000000000009</v>
      </c>
    </row>
    <row r="512" spans="1:13" customFormat="1">
      <c r="A512" t="s">
        <v>81</v>
      </c>
      <c r="B512" t="s">
        <v>11</v>
      </c>
      <c r="C512" s="51">
        <v>137549976466</v>
      </c>
      <c r="D512" s="1">
        <v>41115.46</v>
      </c>
      <c r="E512" s="1">
        <v>13084479.4</v>
      </c>
      <c r="F512" t="s">
        <v>1280</v>
      </c>
      <c r="I512" s="16">
        <f>-IFERROR(VLOOKUP(C512,SIRCUPA!$A$21:$H$186,8,0),0)</f>
        <v>0</v>
      </c>
      <c r="J512" s="68">
        <f>-IFERROR(VLOOKUP(C512,SIRTAC!$A$16:$H$1405,8,0),0)</f>
        <v>-422</v>
      </c>
      <c r="K512" s="68">
        <f>-IFERROR(VLOOKUP(C512,Gastos!$A$9:$J$1398,10,0),0)</f>
        <v>-409.34</v>
      </c>
      <c r="L512" s="68">
        <f>-IFERROR(VLOOKUP(C512,IDC!$A$20:$H$1596,8,0),0)</f>
        <v>-253.2</v>
      </c>
      <c r="M512" s="74">
        <f t="shared" si="13"/>
        <v>42199.999999999993</v>
      </c>
    </row>
    <row r="513" spans="1:13" customFormat="1">
      <c r="A513" t="s">
        <v>81</v>
      </c>
      <c r="B513" t="s">
        <v>11</v>
      </c>
      <c r="C513" s="51">
        <v>137550029106</v>
      </c>
      <c r="D513" s="1">
        <v>35572.94</v>
      </c>
      <c r="E513" s="1">
        <v>13120052.34</v>
      </c>
      <c r="F513" t="s">
        <v>1280</v>
      </c>
      <c r="I513" s="16">
        <f>-IFERROR(VLOOKUP(C513,SIRCUPA!$A$21:$H$186,8,0),0)</f>
        <v>0</v>
      </c>
      <c r="J513" s="68">
        <f>-IFERROR(VLOOKUP(C513,SIRTAC!$A$16:$H$1405,8,0),0)</f>
        <v>-379</v>
      </c>
      <c r="K513" s="68">
        <f>-IFERROR(VLOOKUP(C513,Gastos!$A$9:$J$1398,10,0),0)</f>
        <v>-1720.66</v>
      </c>
      <c r="L513" s="68">
        <f>-IFERROR(VLOOKUP(C513,IDC!$A$20:$H$1596,8,0),0)</f>
        <v>-227.4</v>
      </c>
      <c r="M513" s="74">
        <f t="shared" si="13"/>
        <v>37900.000000000007</v>
      </c>
    </row>
    <row r="514" spans="1:13" customFormat="1">
      <c r="A514" t="s">
        <v>81</v>
      </c>
      <c r="B514" t="s">
        <v>11</v>
      </c>
      <c r="C514" s="51">
        <v>136916906659</v>
      </c>
      <c r="D514" s="1">
        <v>11107.02</v>
      </c>
      <c r="E514" s="1">
        <v>13131159.359999999</v>
      </c>
      <c r="F514" t="s">
        <v>1280</v>
      </c>
      <c r="I514" s="16">
        <f>-IFERROR(VLOOKUP(C514,SIRCUPA!$A$21:$H$186,8,0),0)</f>
        <v>0</v>
      </c>
      <c r="J514" s="68">
        <f>-IFERROR(VLOOKUP(C514,SIRTAC!$A$16:$H$1405,8,0),0)</f>
        <v>-114</v>
      </c>
      <c r="K514" s="68">
        <f>-IFERROR(VLOOKUP(C514,Gastos!$A$9:$J$1398,10,0),0)</f>
        <v>-110.58</v>
      </c>
      <c r="L514" s="68">
        <f>-IFERROR(VLOOKUP(C514,IDC!$A$20:$H$1596,8,0),0)</f>
        <v>-68.400000000000006</v>
      </c>
      <c r="M514" s="74">
        <f t="shared" si="13"/>
        <v>11400</v>
      </c>
    </row>
    <row r="515" spans="1:13" customFormat="1">
      <c r="A515" t="s">
        <v>81</v>
      </c>
      <c r="B515" t="s">
        <v>85</v>
      </c>
      <c r="C515" s="51">
        <v>137549963508</v>
      </c>
      <c r="D515">
        <v>558.03</v>
      </c>
      <c r="E515" s="1">
        <v>13131717.390000001</v>
      </c>
      <c r="F515" t="s">
        <v>1280</v>
      </c>
      <c r="I515" s="16">
        <f>-IFERROR(VLOOKUP(C515,SIRCUPA!$A$21:$H$186,8,0),0)</f>
        <v>-8.5500000000000007</v>
      </c>
      <c r="J515" s="68">
        <f>-IFERROR(VLOOKUP(C515,SIRTAC!$A$16:$H$1405,8,0),0)</f>
        <v>0</v>
      </c>
      <c r="K515" s="68">
        <f>-IFERROR(VLOOKUP(C515,Gastos!$A$9:$J$1398,10,0),0)</f>
        <v>0</v>
      </c>
      <c r="L515" s="68">
        <f>-IFERROR(VLOOKUP(C515,IDC!$A$20:$H$1596,8,0),0)</f>
        <v>-3.42</v>
      </c>
      <c r="M515" s="74">
        <f t="shared" si="13"/>
        <v>569.99999999999989</v>
      </c>
    </row>
    <row r="516" spans="1:13" customFormat="1">
      <c r="A516" t="s">
        <v>81</v>
      </c>
      <c r="B516" t="s">
        <v>11</v>
      </c>
      <c r="C516" s="51">
        <v>137680805420</v>
      </c>
      <c r="D516" s="1">
        <v>14322.21</v>
      </c>
      <c r="E516" s="1">
        <v>13210731.800000001</v>
      </c>
      <c r="F516" t="s">
        <v>1280</v>
      </c>
      <c r="I516" s="16">
        <f>-IFERROR(VLOOKUP(C516,SIRCUPA!$A$21:$H$186,8,0),0)</f>
        <v>0</v>
      </c>
      <c r="J516" s="68">
        <f>-IFERROR(VLOOKUP(C516,SIRTAC!$A$16:$H$1405,8,0),0)</f>
        <v>-147</v>
      </c>
      <c r="K516" s="68">
        <f>-IFERROR(VLOOKUP(C516,Gastos!$A$9:$J$1398,10,0),0)</f>
        <v>-142.59</v>
      </c>
      <c r="L516" s="68">
        <f>-IFERROR(VLOOKUP(C516,IDC!$A$20:$H$1596,8,0),0)</f>
        <v>-88.2</v>
      </c>
      <c r="M516" s="74">
        <f t="shared" si="13"/>
        <v>14700</v>
      </c>
    </row>
    <row r="517" spans="1:13" customFormat="1">
      <c r="A517" t="s">
        <v>81</v>
      </c>
      <c r="B517" t="s">
        <v>11</v>
      </c>
      <c r="C517" s="51">
        <v>137681279634</v>
      </c>
      <c r="D517" s="1">
        <v>80769.47</v>
      </c>
      <c r="E517" s="1">
        <v>13291501.27</v>
      </c>
      <c r="F517" t="s">
        <v>1280</v>
      </c>
      <c r="I517" s="16">
        <f>-IFERROR(VLOOKUP(C517,SIRCUPA!$A$21:$H$186,8,0),0)</f>
        <v>0</v>
      </c>
      <c r="J517" s="68">
        <f>-IFERROR(VLOOKUP(C517,SIRTAC!$A$16:$H$1405,8,0),0)</f>
        <v>-829</v>
      </c>
      <c r="K517" s="68">
        <f>-IFERROR(VLOOKUP(C517,Gastos!$A$9:$J$1398,10,0),0)</f>
        <v>-804.13</v>
      </c>
      <c r="L517" s="68">
        <f>-IFERROR(VLOOKUP(C517,IDC!$A$20:$H$1596,8,0),0)</f>
        <v>-497.4</v>
      </c>
      <c r="M517" s="74">
        <f t="shared" si="13"/>
        <v>82900</v>
      </c>
    </row>
    <row r="518" spans="1:13" customFormat="1">
      <c r="A518" t="s">
        <v>81</v>
      </c>
      <c r="B518" t="s">
        <v>11</v>
      </c>
      <c r="C518" s="51">
        <v>137048670453</v>
      </c>
      <c r="D518" s="1">
        <v>30041.46</v>
      </c>
      <c r="E518" s="1">
        <v>13321542.73</v>
      </c>
      <c r="F518" t="s">
        <v>1280</v>
      </c>
      <c r="I518" s="16">
        <f>-IFERROR(VLOOKUP(C518,SIRCUPA!$A$21:$H$186,8,0),0)</f>
        <v>0</v>
      </c>
      <c r="J518" s="68">
        <f>-IFERROR(VLOOKUP(C518,SIRTAC!$A$16:$H$1405,8,0),0)</f>
        <v>-318</v>
      </c>
      <c r="K518" s="68">
        <f>-IFERROR(VLOOKUP(C518,Gastos!$A$9:$J$1398,10,0),0)</f>
        <v>-1249.74</v>
      </c>
      <c r="L518" s="68">
        <f>-IFERROR(VLOOKUP(C518,IDC!$A$20:$H$1596,8,0),0)</f>
        <v>-190.8</v>
      </c>
      <c r="M518" s="74">
        <f t="shared" si="13"/>
        <v>31800</v>
      </c>
    </row>
    <row r="519" spans="1:13" customFormat="1">
      <c r="A519" t="s">
        <v>81</v>
      </c>
      <c r="B519" t="s">
        <v>11</v>
      </c>
      <c r="C519" s="51">
        <v>137682428878</v>
      </c>
      <c r="D519" s="1">
        <v>54171.08</v>
      </c>
      <c r="E519" s="1">
        <v>13375713.810000001</v>
      </c>
      <c r="F519" t="s">
        <v>1280</v>
      </c>
      <c r="I519" s="16">
        <f>-IFERROR(VLOOKUP(C519,SIRCUPA!$A$21:$H$186,8,0),0)</f>
        <v>0</v>
      </c>
      <c r="J519" s="68">
        <f>-IFERROR(VLOOKUP(C519,SIRTAC!$A$16:$H$1405,8,0),0)</f>
        <v>-556</v>
      </c>
      <c r="K519" s="68">
        <f>-IFERROR(VLOOKUP(C519,Gastos!$A$9:$J$1398,10,0),0)</f>
        <v>-539.32000000000005</v>
      </c>
      <c r="L519" s="68">
        <f>-IFERROR(VLOOKUP(C519,IDC!$A$20:$H$1596,8,0),0)</f>
        <v>-333.6</v>
      </c>
      <c r="M519" s="74">
        <f t="shared" si="13"/>
        <v>55600</v>
      </c>
    </row>
    <row r="520" spans="1:13" customFormat="1">
      <c r="A520" t="s">
        <v>81</v>
      </c>
      <c r="B520" t="s">
        <v>11</v>
      </c>
      <c r="C520" s="51">
        <v>137683959550</v>
      </c>
      <c r="D520" s="1">
        <v>4448.71</v>
      </c>
      <c r="E520" s="1">
        <v>13382884.140000001</v>
      </c>
      <c r="F520" t="s">
        <v>1280</v>
      </c>
      <c r="I520" s="16">
        <f>-IFERROR(VLOOKUP(C520,SIRCUPA!$A$21:$H$186,8,0),0)</f>
        <v>0</v>
      </c>
      <c r="J520" s="68">
        <f>-IFERROR(VLOOKUP(C520,SIRTAC!$A$16:$H$1405,8,0),0)</f>
        <v>-49</v>
      </c>
      <c r="K520" s="68">
        <f>-IFERROR(VLOOKUP(C520,Gastos!$A$9:$J$1398,10,0),0)</f>
        <v>-372.89</v>
      </c>
      <c r="L520" s="68">
        <f>-IFERROR(VLOOKUP(C520,IDC!$A$20:$H$1596,8,0),0)</f>
        <v>-29.4</v>
      </c>
      <c r="M520" s="74">
        <f t="shared" si="13"/>
        <v>4900</v>
      </c>
    </row>
    <row r="521" spans="1:13" customFormat="1">
      <c r="A521" t="s">
        <v>81</v>
      </c>
      <c r="B521" t="s">
        <v>11</v>
      </c>
      <c r="C521" s="51">
        <v>137684305360</v>
      </c>
      <c r="D521" s="1">
        <v>34685.08</v>
      </c>
      <c r="E521" s="1">
        <v>13417569.220000001</v>
      </c>
      <c r="F521" t="s">
        <v>1280</v>
      </c>
      <c r="I521" s="16">
        <f>-IFERROR(VLOOKUP(C521,SIRCUPA!$A$21:$H$186,8,0),0)</f>
        <v>0</v>
      </c>
      <c r="J521" s="68">
        <f>-IFERROR(VLOOKUP(C521,SIRTAC!$A$16:$H$1405,8,0),0)</f>
        <v>-356</v>
      </c>
      <c r="K521" s="68">
        <f>-IFERROR(VLOOKUP(C521,Gastos!$A$9:$J$1398,10,0),0)</f>
        <v>-345.32</v>
      </c>
      <c r="L521" s="68">
        <f>-IFERROR(VLOOKUP(C521,IDC!$A$20:$H$1596,8,0),0)</f>
        <v>-213.6</v>
      </c>
      <c r="M521" s="74">
        <f t="shared" si="13"/>
        <v>35600</v>
      </c>
    </row>
    <row r="522" spans="1:13" customFormat="1">
      <c r="A522" t="s">
        <v>81</v>
      </c>
      <c r="B522" t="s">
        <v>11</v>
      </c>
      <c r="C522" s="51">
        <v>137051456749</v>
      </c>
      <c r="D522" s="1">
        <v>29663.58</v>
      </c>
      <c r="E522" s="1">
        <v>13447232.800000001</v>
      </c>
      <c r="F522" t="s">
        <v>1280</v>
      </c>
      <c r="I522" s="16">
        <f>-IFERROR(VLOOKUP(C522,SIRCUPA!$A$21:$H$186,8,0),0)</f>
        <v>0</v>
      </c>
      <c r="J522" s="68">
        <f>-IFERROR(VLOOKUP(C522,SIRTAC!$A$16:$H$1405,8,0),0)</f>
        <v>-314</v>
      </c>
      <c r="K522" s="68">
        <f>-IFERROR(VLOOKUP(C522,Gastos!$A$9:$J$1398,10,0),0)</f>
        <v>-1234.02</v>
      </c>
      <c r="L522" s="68">
        <f>-IFERROR(VLOOKUP(C522,IDC!$A$20:$H$1596,8,0),0)</f>
        <v>-188.4</v>
      </c>
      <c r="M522" s="74">
        <f t="shared" si="13"/>
        <v>31400.000000000004</v>
      </c>
    </row>
    <row r="523" spans="1:13" customFormat="1">
      <c r="A523" t="s">
        <v>81</v>
      </c>
      <c r="B523" t="s">
        <v>11</v>
      </c>
      <c r="C523" s="51">
        <v>137051650943</v>
      </c>
      <c r="D523" s="1">
        <v>35709.660000000003</v>
      </c>
      <c r="E523" s="1">
        <v>13482942.460000001</v>
      </c>
      <c r="F523" t="s">
        <v>1280</v>
      </c>
      <c r="I523" s="16">
        <f>-IFERROR(VLOOKUP(C523,SIRCUPA!$A$21:$H$186,8,0),0)</f>
        <v>0</v>
      </c>
      <c r="J523" s="68">
        <f>-IFERROR(VLOOKUP(C523,SIRTAC!$A$16:$H$1405,8,0),0)</f>
        <v>-378</v>
      </c>
      <c r="K523" s="68">
        <f>-IFERROR(VLOOKUP(C523,Gastos!$A$9:$J$1398,10,0),0)</f>
        <v>-1485.54</v>
      </c>
      <c r="L523" s="68">
        <f>-IFERROR(VLOOKUP(C523,IDC!$A$20:$H$1596,8,0),0)</f>
        <v>-226.8</v>
      </c>
      <c r="M523" s="74">
        <f t="shared" si="13"/>
        <v>37800.000000000007</v>
      </c>
    </row>
    <row r="524" spans="1:13" customFormat="1">
      <c r="A524" t="s">
        <v>81</v>
      </c>
      <c r="B524" t="s">
        <v>11</v>
      </c>
      <c r="C524" s="51">
        <v>137685229660</v>
      </c>
      <c r="D524" s="1">
        <v>18511.7</v>
      </c>
      <c r="E524" s="1">
        <v>13501454.16</v>
      </c>
      <c r="F524" t="s">
        <v>1280</v>
      </c>
      <c r="I524" s="16">
        <f>-IFERROR(VLOOKUP(C524,SIRCUPA!$A$21:$H$186,8,0),0)</f>
        <v>0</v>
      </c>
      <c r="J524" s="68">
        <f>-IFERROR(VLOOKUP(C524,SIRTAC!$A$16:$H$1405,8,0),0)</f>
        <v>-190</v>
      </c>
      <c r="K524" s="68">
        <f>-IFERROR(VLOOKUP(C524,Gastos!$A$9:$J$1398,10,0),0)</f>
        <v>-184.3</v>
      </c>
      <c r="L524" s="68">
        <f>-IFERROR(VLOOKUP(C524,IDC!$A$20:$H$1596,8,0),0)</f>
        <v>-114</v>
      </c>
      <c r="M524" s="74">
        <f t="shared" si="13"/>
        <v>19000</v>
      </c>
    </row>
    <row r="525" spans="1:13" customFormat="1">
      <c r="A525" t="s">
        <v>81</v>
      </c>
      <c r="B525" t="s">
        <v>11</v>
      </c>
      <c r="C525" s="51">
        <v>137052357047</v>
      </c>
      <c r="D525" s="1">
        <v>14029.92</v>
      </c>
      <c r="E525" s="1">
        <v>13515484.08</v>
      </c>
      <c r="F525" t="s">
        <v>1280</v>
      </c>
      <c r="I525" s="16">
        <f>-IFERROR(VLOOKUP(C525,SIRCUPA!$A$21:$H$186,8,0),0)</f>
        <v>0</v>
      </c>
      <c r="J525" s="68">
        <f>-IFERROR(VLOOKUP(C525,SIRTAC!$A$16:$H$1405,8,0),0)</f>
        <v>-144</v>
      </c>
      <c r="K525" s="68">
        <f>-IFERROR(VLOOKUP(C525,Gastos!$A$9:$J$1398,10,0),0)</f>
        <v>-139.68</v>
      </c>
      <c r="L525" s="68">
        <f>-IFERROR(VLOOKUP(C525,IDC!$A$20:$H$1596,8,0),0)</f>
        <v>-86.4</v>
      </c>
      <c r="M525" s="74">
        <f t="shared" si="13"/>
        <v>14400</v>
      </c>
    </row>
    <row r="526" spans="1:13" customFormat="1">
      <c r="A526" t="s">
        <v>81</v>
      </c>
      <c r="B526" t="s">
        <v>11</v>
      </c>
      <c r="C526" s="51">
        <v>137685932216</v>
      </c>
      <c r="D526" s="1">
        <v>24747.22</v>
      </c>
      <c r="E526" s="1">
        <v>13540231.300000001</v>
      </c>
      <c r="F526" t="s">
        <v>1280</v>
      </c>
      <c r="I526" s="16">
        <f>-IFERROR(VLOOKUP(C526,SIRCUPA!$A$21:$H$186,8,0),0)</f>
        <v>0</v>
      </c>
      <c r="J526" s="68">
        <f>-IFERROR(VLOOKUP(C526,SIRTAC!$A$16:$H$1405,8,0),0)</f>
        <v>-254</v>
      </c>
      <c r="K526" s="68">
        <f>-IFERROR(VLOOKUP(C526,Gastos!$A$9:$J$1398,10,0),0)</f>
        <v>-246.38</v>
      </c>
      <c r="L526" s="68">
        <f>-IFERROR(VLOOKUP(C526,IDC!$A$20:$H$1596,8,0),0)</f>
        <v>-152.4</v>
      </c>
      <c r="M526" s="74">
        <f t="shared" si="13"/>
        <v>25400.000000000004</v>
      </c>
    </row>
    <row r="527" spans="1:13" customFormat="1">
      <c r="A527" t="s">
        <v>81</v>
      </c>
      <c r="B527" t="s">
        <v>11</v>
      </c>
      <c r="C527" s="51">
        <v>137052814137</v>
      </c>
      <c r="D527" s="1">
        <v>20362.87</v>
      </c>
      <c r="E527" s="1">
        <v>13560594.17</v>
      </c>
      <c r="F527" t="s">
        <v>1280</v>
      </c>
      <c r="I527" s="16">
        <f>-IFERROR(VLOOKUP(C527,SIRCUPA!$A$21:$H$186,8,0),0)</f>
        <v>0</v>
      </c>
      <c r="J527" s="68">
        <f>-IFERROR(VLOOKUP(C527,SIRTAC!$A$16:$H$1405,8,0),0)</f>
        <v>-209</v>
      </c>
      <c r="K527" s="68">
        <f>-IFERROR(VLOOKUP(C527,Gastos!$A$9:$J$1398,10,0),0)</f>
        <v>-202.73</v>
      </c>
      <c r="L527" s="68">
        <f>-IFERROR(VLOOKUP(C527,IDC!$A$20:$H$1596,8,0),0)</f>
        <v>-125.4</v>
      </c>
      <c r="M527" s="74">
        <f t="shared" si="13"/>
        <v>20900</v>
      </c>
    </row>
    <row r="528" spans="1:13" customFormat="1">
      <c r="A528" t="s">
        <v>81</v>
      </c>
      <c r="B528" t="s">
        <v>11</v>
      </c>
      <c r="C528" s="51">
        <v>137053159275</v>
      </c>
      <c r="D528" s="1">
        <v>50566.17</v>
      </c>
      <c r="E528" s="1">
        <v>13611160.34</v>
      </c>
      <c r="F528" t="s">
        <v>1280</v>
      </c>
      <c r="I528" s="16">
        <f>-IFERROR(VLOOKUP(C528,SIRCUPA!$A$21:$H$186,8,0),0)</f>
        <v>0</v>
      </c>
      <c r="J528" s="68">
        <f>-IFERROR(VLOOKUP(C528,SIRTAC!$A$16:$H$1405,8,0),0)</f>
        <v>-519</v>
      </c>
      <c r="K528" s="68">
        <f>-IFERROR(VLOOKUP(C528,Gastos!$A$9:$J$1398,10,0),0)</f>
        <v>-503.43</v>
      </c>
      <c r="L528" s="68">
        <f>-IFERROR(VLOOKUP(C528,IDC!$A$20:$H$1596,8,0),0)</f>
        <v>-311.39999999999998</v>
      </c>
      <c r="M528" s="74">
        <f t="shared" si="13"/>
        <v>51900</v>
      </c>
    </row>
    <row r="529" spans="1:13" customFormat="1">
      <c r="A529" t="s">
        <v>81</v>
      </c>
      <c r="B529" t="s">
        <v>11</v>
      </c>
      <c r="C529" s="51">
        <v>137053592771</v>
      </c>
      <c r="D529" s="1">
        <v>17927.12</v>
      </c>
      <c r="E529" s="1">
        <v>13634168.470000001</v>
      </c>
      <c r="F529" t="s">
        <v>1280</v>
      </c>
      <c r="I529" s="16">
        <f>-IFERROR(VLOOKUP(C529,SIRCUPA!$A$21:$H$186,8,0),0)</f>
        <v>0</v>
      </c>
      <c r="J529" s="68">
        <f>-IFERROR(VLOOKUP(C529,SIRTAC!$A$16:$H$1405,8,0),0)</f>
        <v>-184</v>
      </c>
      <c r="K529" s="68">
        <f>-IFERROR(VLOOKUP(C529,Gastos!$A$9:$J$1398,10,0),0)</f>
        <v>-178.48</v>
      </c>
      <c r="L529" s="68">
        <f>-IFERROR(VLOOKUP(C529,IDC!$A$20:$H$1596,8,0),0)</f>
        <v>-110.4</v>
      </c>
      <c r="M529" s="74">
        <f t="shared" si="13"/>
        <v>18400</v>
      </c>
    </row>
    <row r="530" spans="1:13" customFormat="1">
      <c r="A530" t="s">
        <v>81</v>
      </c>
      <c r="B530" t="s">
        <v>11</v>
      </c>
      <c r="C530" s="51">
        <v>137053991521</v>
      </c>
      <c r="D530" s="1">
        <v>43078.32</v>
      </c>
      <c r="E530" s="1">
        <v>13677246.789999999</v>
      </c>
      <c r="F530" t="s">
        <v>1280</v>
      </c>
      <c r="I530" s="16">
        <f>-IFERROR(VLOOKUP(C530,SIRCUPA!$A$21:$H$186,8,0),0)</f>
        <v>0</v>
      </c>
      <c r="J530" s="68">
        <f>-IFERROR(VLOOKUP(C530,SIRTAC!$A$16:$H$1405,8,0),0)</f>
        <v>-456</v>
      </c>
      <c r="K530" s="68">
        <f>-IFERROR(VLOOKUP(C530,Gastos!$A$9:$J$1398,10,0),0)</f>
        <v>-1792.08</v>
      </c>
      <c r="L530" s="68">
        <f>-IFERROR(VLOOKUP(C530,IDC!$A$20:$H$1596,8,0),0)</f>
        <v>-273.60000000000002</v>
      </c>
      <c r="M530" s="74">
        <f t="shared" si="13"/>
        <v>45600</v>
      </c>
    </row>
    <row r="531" spans="1:13" customFormat="1">
      <c r="A531" t="s">
        <v>81</v>
      </c>
      <c r="B531" t="s">
        <v>11</v>
      </c>
      <c r="C531" s="51">
        <v>137054667043</v>
      </c>
      <c r="D531" s="1">
        <v>41854.19</v>
      </c>
      <c r="E531" s="1">
        <v>13719100.98</v>
      </c>
      <c r="F531" t="s">
        <v>1280</v>
      </c>
      <c r="I531" s="16">
        <f>-IFERROR(VLOOKUP(C531,SIRCUPA!$A$21:$H$186,8,0),0)</f>
        <v>0</v>
      </c>
      <c r="J531" s="68">
        <f>-IFERROR(VLOOKUP(C531,SIRTAC!$A$16:$H$1405,8,0),0)</f>
        <v>-461</v>
      </c>
      <c r="K531" s="68">
        <f>-IFERROR(VLOOKUP(C531,Gastos!$A$9:$J$1398,10,0),0)</f>
        <v>-3508.21</v>
      </c>
      <c r="L531" s="68">
        <f>-IFERROR(VLOOKUP(C531,IDC!$A$20:$H$1596,8,0),0)</f>
        <v>-276.60000000000002</v>
      </c>
      <c r="M531" s="74">
        <f t="shared" si="13"/>
        <v>46100</v>
      </c>
    </row>
    <row r="532" spans="1:13" customFormat="1">
      <c r="A532" t="s">
        <v>81</v>
      </c>
      <c r="B532" t="s">
        <v>11</v>
      </c>
      <c r="C532" s="51">
        <v>137688726850</v>
      </c>
      <c r="D532" s="1">
        <v>34103.67</v>
      </c>
      <c r="E532" s="1">
        <v>13753204.65</v>
      </c>
      <c r="F532" t="s">
        <v>1280</v>
      </c>
      <c r="I532" s="16">
        <f>-IFERROR(VLOOKUP(C532,SIRCUPA!$A$21:$H$186,8,0),0)</f>
        <v>0</v>
      </c>
      <c r="J532" s="68">
        <f>-IFERROR(VLOOKUP(C532,SIRTAC!$A$16:$H$1405,8,0),0)</f>
        <v>-361</v>
      </c>
      <c r="K532" s="68">
        <f>-IFERROR(VLOOKUP(C532,Gastos!$A$9:$J$1398,10,0),0)</f>
        <v>-1418.73</v>
      </c>
      <c r="L532" s="68">
        <f>-IFERROR(VLOOKUP(C532,IDC!$A$20:$H$1596,8,0),0)</f>
        <v>-216.6</v>
      </c>
      <c r="M532" s="74">
        <f t="shared" si="13"/>
        <v>36100</v>
      </c>
    </row>
    <row r="533" spans="1:13" customFormat="1">
      <c r="A533" t="s">
        <v>89</v>
      </c>
      <c r="B533" t="s">
        <v>11</v>
      </c>
      <c r="C533" s="51">
        <v>137688911668</v>
      </c>
      <c r="D533" s="1">
        <v>4774.07</v>
      </c>
      <c r="E533" s="1">
        <v>13757978.720000001</v>
      </c>
      <c r="F533" t="s">
        <v>1280</v>
      </c>
      <c r="I533" s="16">
        <f>-IFERROR(VLOOKUP(C533,SIRCUPA!$A$21:$H$186,8,0),0)</f>
        <v>0</v>
      </c>
      <c r="J533" s="68">
        <f>-IFERROR(VLOOKUP(C533,SIRTAC!$A$16:$H$1405,8,0),0)</f>
        <v>-49</v>
      </c>
      <c r="K533" s="68">
        <f>-IFERROR(VLOOKUP(C533,Gastos!$A$9:$J$1398,10,0),0)</f>
        <v>-47.53</v>
      </c>
      <c r="L533" s="68">
        <f>-IFERROR(VLOOKUP(C533,IDC!$A$20:$H$1596,8,0),0)</f>
        <v>-29.4</v>
      </c>
      <c r="M533" s="74">
        <f t="shared" si="13"/>
        <v>4899.9999999999991</v>
      </c>
    </row>
    <row r="534" spans="1:13" customFormat="1">
      <c r="A534" t="s">
        <v>89</v>
      </c>
      <c r="B534" t="s">
        <v>11</v>
      </c>
      <c r="C534" s="51">
        <v>137055724405</v>
      </c>
      <c r="D534" s="1">
        <v>32833.910000000003</v>
      </c>
      <c r="E534" s="1">
        <v>13790812.630000001</v>
      </c>
      <c r="F534" t="s">
        <v>1280</v>
      </c>
      <c r="I534" s="16">
        <f>-IFERROR(VLOOKUP(C534,SIRCUPA!$A$21:$H$186,8,0),0)</f>
        <v>0</v>
      </c>
      <c r="J534" s="68">
        <f>-IFERROR(VLOOKUP(C534,SIRTAC!$A$16:$H$1405,8,0),0)</f>
        <v>-337</v>
      </c>
      <c r="K534" s="68">
        <f>-IFERROR(VLOOKUP(C534,Gastos!$A$9:$J$1398,10,0),0)</f>
        <v>-326.89</v>
      </c>
      <c r="L534" s="68">
        <f>-IFERROR(VLOOKUP(C534,IDC!$A$20:$H$1596,8,0),0)</f>
        <v>-202.2</v>
      </c>
      <c r="M534" s="74">
        <f t="shared" si="13"/>
        <v>33700</v>
      </c>
    </row>
    <row r="535" spans="1:13" customFormat="1">
      <c r="A535" t="s">
        <v>81</v>
      </c>
      <c r="B535" t="s">
        <v>88</v>
      </c>
      <c r="C535" s="51">
        <v>137048989753</v>
      </c>
      <c r="D535" s="1">
        <v>2721.62</v>
      </c>
      <c r="E535" s="1">
        <v>13378435.43</v>
      </c>
      <c r="F535" t="s">
        <v>1280</v>
      </c>
      <c r="I535" s="16">
        <f>-IFERROR(VLOOKUP(C535,SIRCUPA!$A$21:$H$186,8,0),0)</f>
        <v>-41.7</v>
      </c>
      <c r="J535" s="68">
        <f>-IFERROR(VLOOKUP(C535,SIRTAC!$A$16:$H$1405,8,0),0)</f>
        <v>0</v>
      </c>
      <c r="K535" s="68">
        <f>-IFERROR(VLOOKUP(C535,Gastos!$A$9:$J$1398,10,0),0)</f>
        <v>0</v>
      </c>
      <c r="L535" s="68">
        <f>-IFERROR(VLOOKUP(C535,IDC!$A$20:$H$1596,8,0),0)</f>
        <v>-16.68</v>
      </c>
      <c r="M535" s="74">
        <f t="shared" si="13"/>
        <v>2779.9999999999995</v>
      </c>
    </row>
    <row r="536" spans="1:13" customFormat="1">
      <c r="A536" t="s">
        <v>89</v>
      </c>
      <c r="B536" t="s">
        <v>11</v>
      </c>
      <c r="C536" s="51">
        <v>137689978402</v>
      </c>
      <c r="D536" s="1">
        <v>48085.23</v>
      </c>
      <c r="E536" s="1">
        <v>13838897.859999999</v>
      </c>
      <c r="F536" t="s">
        <v>1280</v>
      </c>
      <c r="I536" s="16">
        <f>-IFERROR(VLOOKUP(C536,SIRCUPA!$A$21:$H$186,8,0),0)</f>
        <v>0</v>
      </c>
      <c r="J536" s="68">
        <f>-IFERROR(VLOOKUP(C536,SIRTAC!$A$16:$H$1405,8,0),0)</f>
        <v>-509</v>
      </c>
      <c r="K536" s="68">
        <f>-IFERROR(VLOOKUP(C536,Gastos!$A$9:$J$1398,10,0),0)</f>
        <v>-2000.37</v>
      </c>
      <c r="L536" s="68">
        <f>-IFERROR(VLOOKUP(C536,IDC!$A$20:$H$1596,8,0),0)</f>
        <v>-305.39999999999998</v>
      </c>
      <c r="M536" s="74">
        <f t="shared" si="13"/>
        <v>50900.000000000007</v>
      </c>
    </row>
    <row r="537" spans="1:13" customFormat="1">
      <c r="A537" t="s">
        <v>89</v>
      </c>
      <c r="B537" t="s">
        <v>11</v>
      </c>
      <c r="C537" s="51">
        <v>137056843823</v>
      </c>
      <c r="D537" s="1">
        <v>40336.019999999997</v>
      </c>
      <c r="E537" s="1">
        <v>13879233.880000001</v>
      </c>
      <c r="F537" t="s">
        <v>1280</v>
      </c>
      <c r="I537" s="16">
        <f>-IFERROR(VLOOKUP(C537,SIRCUPA!$A$21:$H$186,8,0),0)</f>
        <v>0</v>
      </c>
      <c r="J537" s="68">
        <f>-IFERROR(VLOOKUP(C537,SIRTAC!$A$16:$H$1405,8,0),0)</f>
        <v>-414</v>
      </c>
      <c r="K537" s="68">
        <f>-IFERROR(VLOOKUP(C537,Gastos!$A$9:$J$1398,10,0),0)</f>
        <v>-401.58</v>
      </c>
      <c r="L537" s="68">
        <f>-IFERROR(VLOOKUP(C537,IDC!$A$20:$H$1596,8,0),0)</f>
        <v>-248.4</v>
      </c>
      <c r="M537" s="74">
        <f t="shared" si="13"/>
        <v>41400</v>
      </c>
    </row>
    <row r="538" spans="1:13" customFormat="1">
      <c r="A538" t="s">
        <v>89</v>
      </c>
      <c r="B538" t="s">
        <v>11</v>
      </c>
      <c r="C538" s="51">
        <v>137057370005</v>
      </c>
      <c r="D538" s="1">
        <v>41417.56</v>
      </c>
      <c r="E538" s="1">
        <v>13922677.970000001</v>
      </c>
      <c r="F538" t="s">
        <v>1280</v>
      </c>
      <c r="I538" s="16">
        <f>-IFERROR(VLOOKUP(C538,SIRCUPA!$A$21:$H$186,8,0),0)</f>
        <v>0</v>
      </c>
      <c r="J538" s="68">
        <f>-IFERROR(VLOOKUP(C538,SIRTAC!$A$16:$H$1405,8,0),0)</f>
        <v>-428</v>
      </c>
      <c r="K538" s="68">
        <f>-IFERROR(VLOOKUP(C538,Gastos!$A$9:$J$1398,10,0),0)</f>
        <v>-697.64</v>
      </c>
      <c r="L538" s="68">
        <f>-IFERROR(VLOOKUP(C538,IDC!$A$20:$H$1596,8,0),0)</f>
        <v>-256.8</v>
      </c>
      <c r="M538" s="74">
        <f t="shared" si="13"/>
        <v>42800</v>
      </c>
    </row>
    <row r="539" spans="1:13" customFormat="1">
      <c r="A539" t="s">
        <v>89</v>
      </c>
      <c r="B539" t="s">
        <v>11</v>
      </c>
      <c r="C539" s="51">
        <v>137057641201</v>
      </c>
      <c r="D539" s="1">
        <v>34879.94</v>
      </c>
      <c r="E539" s="1">
        <v>13957557.91</v>
      </c>
      <c r="F539" t="s">
        <v>1280</v>
      </c>
      <c r="I539" s="16">
        <f>-IFERROR(VLOOKUP(C539,SIRCUPA!$A$21:$H$186,8,0),0)</f>
        <v>0</v>
      </c>
      <c r="J539" s="68">
        <f>-IFERROR(VLOOKUP(C539,SIRTAC!$A$16:$H$1405,8,0),0)</f>
        <v>-358</v>
      </c>
      <c r="K539" s="68">
        <f>-IFERROR(VLOOKUP(C539,Gastos!$A$9:$J$1398,10,0),0)</f>
        <v>-347.26</v>
      </c>
      <c r="L539" s="68">
        <f>-IFERROR(VLOOKUP(C539,IDC!$A$20:$H$1596,8,0),0)</f>
        <v>-214.8</v>
      </c>
      <c r="M539" s="74">
        <f t="shared" si="13"/>
        <v>35800.000000000007</v>
      </c>
    </row>
    <row r="540" spans="1:13" customFormat="1">
      <c r="A540" t="s">
        <v>89</v>
      </c>
      <c r="B540" t="s">
        <v>11</v>
      </c>
      <c r="C540" s="51">
        <v>137057721637</v>
      </c>
      <c r="D540" s="1">
        <v>40547.519999999997</v>
      </c>
      <c r="E540" s="1">
        <v>13999857.84</v>
      </c>
      <c r="F540" t="s">
        <v>1280</v>
      </c>
      <c r="I540" s="16">
        <f>-IFERROR(VLOOKUP(C540,SIRCUPA!$A$21:$H$186,8,0),0)</f>
        <v>0</v>
      </c>
      <c r="J540" s="68">
        <f>-IFERROR(VLOOKUP(C540,SIRTAC!$A$16:$H$1405,8,0),0)</f>
        <v>-432</v>
      </c>
      <c r="K540" s="68">
        <f>-IFERROR(VLOOKUP(C540,Gastos!$A$9:$J$1398,10,0),0)</f>
        <v>-1961.28</v>
      </c>
      <c r="L540" s="68">
        <f>-IFERROR(VLOOKUP(C540,IDC!$A$20:$H$1596,8,0),0)</f>
        <v>-259.2</v>
      </c>
      <c r="M540" s="74">
        <f t="shared" si="13"/>
        <v>43199.999999999993</v>
      </c>
    </row>
    <row r="541" spans="1:13" customFormat="1">
      <c r="A541" t="s">
        <v>89</v>
      </c>
      <c r="B541" t="s">
        <v>11</v>
      </c>
      <c r="C541" s="51">
        <v>137057745919</v>
      </c>
      <c r="D541" s="1">
        <v>26419.89</v>
      </c>
      <c r="E541" s="1">
        <v>14026277.73</v>
      </c>
      <c r="F541" t="s">
        <v>1280</v>
      </c>
      <c r="I541" s="16">
        <f>-IFERROR(VLOOKUP(C541,SIRCUPA!$A$21:$H$186,8,0),0)</f>
        <v>0</v>
      </c>
      <c r="J541" s="68">
        <f>-IFERROR(VLOOKUP(C541,SIRTAC!$A$16:$H$1405,8,0),0)</f>
        <v>-291</v>
      </c>
      <c r="K541" s="68">
        <f>-IFERROR(VLOOKUP(C541,Gastos!$A$9:$J$1398,10,0),0)</f>
        <v>-2214.5100000000002</v>
      </c>
      <c r="L541" s="68">
        <f>-IFERROR(VLOOKUP(C541,IDC!$A$20:$H$1596,8,0),0)</f>
        <v>-174.6</v>
      </c>
      <c r="M541" s="74">
        <f t="shared" si="13"/>
        <v>29100</v>
      </c>
    </row>
    <row r="542" spans="1:13" customFormat="1">
      <c r="A542" t="s">
        <v>89</v>
      </c>
      <c r="B542" t="s">
        <v>11</v>
      </c>
      <c r="C542" s="51">
        <v>137691353480</v>
      </c>
      <c r="D542" s="1">
        <v>19486</v>
      </c>
      <c r="E542" s="1">
        <v>14045763.73</v>
      </c>
      <c r="F542" t="s">
        <v>1280</v>
      </c>
      <c r="I542" s="16">
        <f>-IFERROR(VLOOKUP(C542,SIRCUPA!$A$21:$H$186,8,0),0)</f>
        <v>0</v>
      </c>
      <c r="J542" s="68">
        <f>-IFERROR(VLOOKUP(C542,SIRTAC!$A$16:$H$1405,8,0),0)</f>
        <v>-200</v>
      </c>
      <c r="K542" s="68">
        <f>-IFERROR(VLOOKUP(C542,Gastos!$A$9:$J$1398,10,0),0)</f>
        <v>-194</v>
      </c>
      <c r="L542" s="68">
        <f>-IFERROR(VLOOKUP(C542,IDC!$A$20:$H$1596,8,0),0)</f>
        <v>-120</v>
      </c>
      <c r="M542" s="74">
        <f t="shared" si="13"/>
        <v>20000</v>
      </c>
    </row>
    <row r="543" spans="1:13" customFormat="1">
      <c r="A543" t="s">
        <v>89</v>
      </c>
      <c r="B543" t="s">
        <v>11</v>
      </c>
      <c r="C543" s="51">
        <v>137057923599</v>
      </c>
      <c r="D543" s="1">
        <v>40238.589999999997</v>
      </c>
      <c r="E543" s="1">
        <v>14086002.32</v>
      </c>
      <c r="F543" t="s">
        <v>1280</v>
      </c>
      <c r="I543" s="16">
        <f>-IFERROR(VLOOKUP(C543,SIRCUPA!$A$21:$H$186,8,0),0)</f>
        <v>0</v>
      </c>
      <c r="J543" s="68">
        <f>-IFERROR(VLOOKUP(C543,SIRTAC!$A$16:$H$1405,8,0),0)</f>
        <v>-413</v>
      </c>
      <c r="K543" s="68">
        <f>-IFERROR(VLOOKUP(C543,Gastos!$A$9:$J$1398,10,0),0)</f>
        <v>-400.61</v>
      </c>
      <c r="L543" s="68">
        <f>-IFERROR(VLOOKUP(C543,IDC!$A$20:$H$1596,8,0),0)</f>
        <v>-247.8</v>
      </c>
      <c r="M543" s="74">
        <f t="shared" si="13"/>
        <v>41300</v>
      </c>
    </row>
    <row r="544" spans="1:13" customFormat="1">
      <c r="A544" t="s">
        <v>89</v>
      </c>
      <c r="B544" t="s">
        <v>11</v>
      </c>
      <c r="C544" s="51">
        <v>137058045427</v>
      </c>
      <c r="D544" s="1">
        <v>47838.13</v>
      </c>
      <c r="E544" s="1">
        <v>14133840.449999999</v>
      </c>
      <c r="F544" t="s">
        <v>1280</v>
      </c>
      <c r="I544" s="16">
        <f>-IFERROR(VLOOKUP(C544,SIRCUPA!$A$21:$H$186,8,0),0)</f>
        <v>0</v>
      </c>
      <c r="J544" s="68">
        <f>-IFERROR(VLOOKUP(C544,SIRTAC!$A$16:$H$1405,8,0),0)</f>
        <v>-491</v>
      </c>
      <c r="K544" s="68">
        <f>-IFERROR(VLOOKUP(C544,Gastos!$A$9:$J$1398,10,0),0)</f>
        <v>-476.27</v>
      </c>
      <c r="L544" s="68">
        <f>-IFERROR(VLOOKUP(C544,IDC!$A$20:$H$1596,8,0),0)</f>
        <v>-294.60000000000002</v>
      </c>
      <c r="M544" s="74">
        <f t="shared" si="13"/>
        <v>49099.999999999993</v>
      </c>
    </row>
    <row r="545" spans="1:13" customFormat="1">
      <c r="A545" t="s">
        <v>81</v>
      </c>
      <c r="B545" t="s">
        <v>18</v>
      </c>
      <c r="C545" s="51">
        <v>137053262509</v>
      </c>
      <c r="D545" s="1">
        <v>5081.01</v>
      </c>
      <c r="E545" s="1">
        <v>13616241.35</v>
      </c>
      <c r="F545" t="s">
        <v>1280</v>
      </c>
      <c r="I545" s="16">
        <f>-IFERROR(VLOOKUP(C545,SIRCUPA!$A$21:$H$186,8,0),0)</f>
        <v>-77.849999999999994</v>
      </c>
      <c r="J545" s="68">
        <f>-IFERROR(VLOOKUP(C545,SIRTAC!$A$16:$H$1405,8,0),0)</f>
        <v>0</v>
      </c>
      <c r="K545" s="68">
        <f>-IFERROR(VLOOKUP(C545,Gastos!$A$9:$J$1398,10,0),0)</f>
        <v>0</v>
      </c>
      <c r="L545" s="68">
        <f>-IFERROR(VLOOKUP(C545,IDC!$A$20:$H$1596,8,0),0)</f>
        <v>-31.14</v>
      </c>
      <c r="M545" s="74">
        <f t="shared" si="13"/>
        <v>5190.0000000000009</v>
      </c>
    </row>
    <row r="546" spans="1:13" customFormat="1">
      <c r="A546" t="s">
        <v>89</v>
      </c>
      <c r="B546" t="s">
        <v>11</v>
      </c>
      <c r="C546" s="51">
        <v>137691630590</v>
      </c>
      <c r="D546" s="1">
        <v>4505.28</v>
      </c>
      <c r="E546" s="1">
        <v>14138345.73</v>
      </c>
      <c r="F546" t="s">
        <v>1280</v>
      </c>
      <c r="I546" s="16">
        <f>-IFERROR(VLOOKUP(C546,SIRCUPA!$A$21:$H$186,8,0),0)</f>
        <v>0</v>
      </c>
      <c r="J546" s="68">
        <f>-IFERROR(VLOOKUP(C546,SIRTAC!$A$16:$H$1405,8,0),0)</f>
        <v>-48</v>
      </c>
      <c r="K546" s="68">
        <f>-IFERROR(VLOOKUP(C546,Gastos!$A$9:$J$1398,10,0),0)</f>
        <v>-217.92</v>
      </c>
      <c r="L546" s="68">
        <f>-IFERROR(VLOOKUP(C546,IDC!$A$20:$H$1596,8,0),0)</f>
        <v>-28.8</v>
      </c>
      <c r="M546" s="74">
        <f t="shared" si="13"/>
        <v>4800</v>
      </c>
    </row>
    <row r="547" spans="1:13" customFormat="1">
      <c r="A547" t="s">
        <v>89</v>
      </c>
      <c r="B547" t="s">
        <v>11</v>
      </c>
      <c r="C547" s="51">
        <v>137691754334</v>
      </c>
      <c r="D547" s="1">
        <v>15588.8</v>
      </c>
      <c r="E547" s="1">
        <v>14153934.529999999</v>
      </c>
      <c r="F547" t="s">
        <v>1280</v>
      </c>
      <c r="I547" s="16">
        <f>-IFERROR(VLOOKUP(C547,SIRCUPA!$A$21:$H$186,8,0),0)</f>
        <v>0</v>
      </c>
      <c r="J547" s="68">
        <f>-IFERROR(VLOOKUP(C547,SIRTAC!$A$16:$H$1405,8,0),0)</f>
        <v>-160</v>
      </c>
      <c r="K547" s="68">
        <f>-IFERROR(VLOOKUP(C547,Gastos!$A$9:$J$1398,10,0),0)</f>
        <v>-155.19999999999999</v>
      </c>
      <c r="L547" s="68">
        <f>-IFERROR(VLOOKUP(C547,IDC!$A$20:$H$1596,8,0),0)</f>
        <v>-96</v>
      </c>
      <c r="M547" s="74">
        <f t="shared" si="13"/>
        <v>16000</v>
      </c>
    </row>
    <row r="548" spans="1:13" customFormat="1">
      <c r="A548" t="s">
        <v>89</v>
      </c>
      <c r="B548" t="s">
        <v>11</v>
      </c>
      <c r="C548" s="51">
        <v>137058507115</v>
      </c>
      <c r="D548" s="1">
        <v>23675.49</v>
      </c>
      <c r="E548" s="1">
        <v>14177610.02</v>
      </c>
      <c r="F548" t="s">
        <v>1280</v>
      </c>
      <c r="I548" s="16">
        <f>-IFERROR(VLOOKUP(C548,SIRCUPA!$A$21:$H$186,8,0),0)</f>
        <v>0</v>
      </c>
      <c r="J548" s="68">
        <f>-IFERROR(VLOOKUP(C548,SIRTAC!$A$16:$H$1405,8,0),0)</f>
        <v>-243</v>
      </c>
      <c r="K548" s="68">
        <f>-IFERROR(VLOOKUP(C548,Gastos!$A$9:$J$1398,10,0),0)</f>
        <v>-235.71</v>
      </c>
      <c r="L548" s="68">
        <f>-IFERROR(VLOOKUP(C548,IDC!$A$20:$H$1596,8,0),0)</f>
        <v>-145.80000000000001</v>
      </c>
      <c r="M548" s="74">
        <f t="shared" si="13"/>
        <v>24300</v>
      </c>
    </row>
    <row r="549" spans="1:13" customFormat="1">
      <c r="A549" t="s">
        <v>89</v>
      </c>
      <c r="B549" t="s">
        <v>11</v>
      </c>
      <c r="C549" s="51">
        <v>137692068996</v>
      </c>
      <c r="D549" s="1">
        <v>201644.59</v>
      </c>
      <c r="E549" s="1">
        <v>14379254.609999999</v>
      </c>
      <c r="F549" t="s">
        <v>1280</v>
      </c>
      <c r="I549" s="16">
        <f>-IFERROR(VLOOKUP(C549,SIRCUPA!$A$21:$H$186,8,0),0)</f>
        <v>0</v>
      </c>
      <c r="J549" s="68">
        <f>-IFERROR(VLOOKUP(C549,SIRTAC!$A$16:$H$1405,8,0),0)</f>
        <v>-2221</v>
      </c>
      <c r="K549" s="68">
        <f>-IFERROR(VLOOKUP(C549,Gastos!$A$9:$J$1398,10,0),0)</f>
        <v>-16901.810000000001</v>
      </c>
      <c r="L549" s="68">
        <f>-IFERROR(VLOOKUP(C549,IDC!$A$20:$H$1596,8,0),0)</f>
        <v>-1332.6</v>
      </c>
      <c r="M549" s="74">
        <f t="shared" si="13"/>
        <v>222100</v>
      </c>
    </row>
    <row r="550" spans="1:13" customFormat="1">
      <c r="A550" t="s">
        <v>89</v>
      </c>
      <c r="B550" t="s">
        <v>11</v>
      </c>
      <c r="C550" s="51">
        <v>137058637227</v>
      </c>
      <c r="D550" s="1">
        <v>42674.34</v>
      </c>
      <c r="E550" s="1">
        <v>14421928.949999999</v>
      </c>
      <c r="F550" t="s">
        <v>1280</v>
      </c>
      <c r="I550" s="16">
        <f>-IFERROR(VLOOKUP(C550,SIRCUPA!$A$21:$H$186,8,0),0)</f>
        <v>0</v>
      </c>
      <c r="J550" s="68">
        <f>-IFERROR(VLOOKUP(C550,SIRTAC!$A$16:$H$1405,8,0),0)</f>
        <v>-438</v>
      </c>
      <c r="K550" s="68">
        <f>-IFERROR(VLOOKUP(C550,Gastos!$A$9:$J$1398,10,0),0)</f>
        <v>-424.86</v>
      </c>
      <c r="L550" s="68">
        <f>-IFERROR(VLOOKUP(C550,IDC!$A$20:$H$1596,8,0),0)</f>
        <v>-262.8</v>
      </c>
      <c r="M550" s="74">
        <f t="shared" si="13"/>
        <v>43800</v>
      </c>
    </row>
    <row r="551" spans="1:13" customFormat="1">
      <c r="A551" t="s">
        <v>89</v>
      </c>
      <c r="B551" t="s">
        <v>11</v>
      </c>
      <c r="C551" s="51">
        <v>137058747509</v>
      </c>
      <c r="D551" s="1">
        <v>56513.68</v>
      </c>
      <c r="E551" s="1">
        <v>14478442.630000001</v>
      </c>
      <c r="F551" t="s">
        <v>1280</v>
      </c>
      <c r="I551" s="16">
        <f>-IFERROR(VLOOKUP(C551,SIRCUPA!$A$21:$H$186,8,0),0)</f>
        <v>0</v>
      </c>
      <c r="J551" s="68">
        <f>-IFERROR(VLOOKUP(C551,SIRTAC!$A$16:$H$1405,8,0),0)</f>
        <v>-584</v>
      </c>
      <c r="K551" s="68">
        <f>-IFERROR(VLOOKUP(C551,Gastos!$A$9:$J$1398,10,0),0)</f>
        <v>-951.92</v>
      </c>
      <c r="L551" s="68">
        <f>-IFERROR(VLOOKUP(C551,IDC!$A$20:$H$1596,8,0),0)</f>
        <v>-350.4</v>
      </c>
      <c r="M551" s="74">
        <f t="shared" si="13"/>
        <v>58400</v>
      </c>
    </row>
    <row r="552" spans="1:13" customFormat="1">
      <c r="A552" t="s">
        <v>89</v>
      </c>
      <c r="B552" t="s">
        <v>11</v>
      </c>
      <c r="C552" s="51">
        <v>137059550407</v>
      </c>
      <c r="D552" s="1">
        <v>33320.300000000003</v>
      </c>
      <c r="E552" s="1">
        <v>14511762.93</v>
      </c>
      <c r="F552" t="s">
        <v>1280</v>
      </c>
      <c r="I552" s="16">
        <f>-IFERROR(VLOOKUP(C552,SIRCUPA!$A$21:$H$186,8,0),0)</f>
        <v>0</v>
      </c>
      <c r="J552" s="68">
        <f>-IFERROR(VLOOKUP(C552,SIRTAC!$A$16:$H$1405,8,0),0)</f>
        <v>-355</v>
      </c>
      <c r="K552" s="68">
        <f>-IFERROR(VLOOKUP(C552,Gastos!$A$9:$J$1398,10,0),0)</f>
        <v>-1611.7</v>
      </c>
      <c r="L552" s="68">
        <f>-IFERROR(VLOOKUP(C552,IDC!$A$20:$H$1596,8,0),0)</f>
        <v>-213</v>
      </c>
      <c r="M552" s="74">
        <f t="shared" ref="M552:M615" si="14">+D552-I552-J552-K552-L552</f>
        <v>35500</v>
      </c>
    </row>
    <row r="553" spans="1:13" customFormat="1">
      <c r="A553" t="s">
        <v>89</v>
      </c>
      <c r="B553" t="s">
        <v>11</v>
      </c>
      <c r="C553" s="51">
        <v>137693029234</v>
      </c>
      <c r="D553" s="1">
        <v>21434.6</v>
      </c>
      <c r="E553" s="1">
        <v>14533197.529999999</v>
      </c>
      <c r="F553" t="s">
        <v>1280</v>
      </c>
      <c r="I553" s="16">
        <f>-IFERROR(VLOOKUP(C553,SIRCUPA!$A$21:$H$186,8,0),0)</f>
        <v>0</v>
      </c>
      <c r="J553" s="68">
        <f>-IFERROR(VLOOKUP(C553,SIRTAC!$A$16:$H$1405,8,0),0)</f>
        <v>-220</v>
      </c>
      <c r="K553" s="68">
        <f>-IFERROR(VLOOKUP(C553,Gastos!$A$9:$J$1398,10,0),0)</f>
        <v>-213.4</v>
      </c>
      <c r="L553" s="68">
        <f>-IFERROR(VLOOKUP(C553,IDC!$A$20:$H$1596,8,0),0)</f>
        <v>-132</v>
      </c>
      <c r="M553" s="74">
        <f t="shared" si="14"/>
        <v>22000</v>
      </c>
    </row>
    <row r="554" spans="1:13" customFormat="1">
      <c r="A554" t="s">
        <v>89</v>
      </c>
      <c r="B554" t="s">
        <v>90</v>
      </c>
      <c r="C554" s="51">
        <v>137056849773</v>
      </c>
      <c r="D554" s="1">
        <v>2026.53</v>
      </c>
      <c r="E554" s="1">
        <v>13881260.41</v>
      </c>
      <c r="F554" t="s">
        <v>1280</v>
      </c>
      <c r="I554" s="16">
        <f>-IFERROR(VLOOKUP(C554,SIRCUPA!$A$21:$H$186,8,0),0)</f>
        <v>-31.05</v>
      </c>
      <c r="J554" s="68">
        <f>-IFERROR(VLOOKUP(C554,SIRTAC!$A$16:$H$1405,8,0),0)</f>
        <v>0</v>
      </c>
      <c r="K554" s="68">
        <f>-IFERROR(VLOOKUP(C554,Gastos!$A$9:$J$1398,10,0),0)</f>
        <v>0</v>
      </c>
      <c r="L554" s="68">
        <f>-IFERROR(VLOOKUP(C554,IDC!$A$20:$H$1596,8,0),0)</f>
        <v>-12.42</v>
      </c>
      <c r="M554" s="74">
        <f t="shared" si="14"/>
        <v>2070</v>
      </c>
    </row>
    <row r="555" spans="1:13" customFormat="1">
      <c r="A555" t="s">
        <v>89</v>
      </c>
      <c r="B555" t="s">
        <v>11</v>
      </c>
      <c r="C555" s="51">
        <v>137060218899</v>
      </c>
      <c r="D555" s="1">
        <v>16075.95</v>
      </c>
      <c r="E555" s="1">
        <v>14549273.48</v>
      </c>
      <c r="F555" t="s">
        <v>1280</v>
      </c>
      <c r="I555" s="16">
        <f>-IFERROR(VLOOKUP(C555,SIRCUPA!$A$21:$H$186,8,0),0)</f>
        <v>0</v>
      </c>
      <c r="J555" s="68">
        <f>-IFERROR(VLOOKUP(C555,SIRTAC!$A$16:$H$1405,8,0),0)</f>
        <v>-165</v>
      </c>
      <c r="K555" s="68">
        <f>-IFERROR(VLOOKUP(C555,Gastos!$A$9:$J$1398,10,0),0)</f>
        <v>-160.05000000000001</v>
      </c>
      <c r="L555" s="68">
        <f>-IFERROR(VLOOKUP(C555,IDC!$A$20:$H$1596,8,0),0)</f>
        <v>-99</v>
      </c>
      <c r="M555" s="74">
        <f t="shared" si="14"/>
        <v>16500</v>
      </c>
    </row>
    <row r="556" spans="1:13" customFormat="1">
      <c r="A556" t="s">
        <v>89</v>
      </c>
      <c r="B556" t="s">
        <v>11</v>
      </c>
      <c r="C556" s="51">
        <v>137694142296</v>
      </c>
      <c r="D556" s="1">
        <v>79990.03</v>
      </c>
      <c r="E556" s="1">
        <v>14629263.51</v>
      </c>
      <c r="F556" t="s">
        <v>1280</v>
      </c>
      <c r="I556" s="16">
        <f>-IFERROR(VLOOKUP(C556,SIRCUPA!$A$21:$H$186,8,0),0)</f>
        <v>0</v>
      </c>
      <c r="J556" s="68">
        <f>-IFERROR(VLOOKUP(C556,SIRTAC!$A$16:$H$1405,8,0),0)</f>
        <v>-821</v>
      </c>
      <c r="K556" s="68">
        <f>-IFERROR(VLOOKUP(C556,Gastos!$A$9:$J$1398,10,0),0)</f>
        <v>-796.37</v>
      </c>
      <c r="L556" s="68">
        <f>-IFERROR(VLOOKUP(C556,IDC!$A$20:$H$1596,8,0),0)</f>
        <v>-492.6</v>
      </c>
      <c r="M556" s="74">
        <f t="shared" si="14"/>
        <v>82100</v>
      </c>
    </row>
    <row r="557" spans="1:13" customFormat="1">
      <c r="A557" t="s">
        <v>89</v>
      </c>
      <c r="B557" t="s">
        <v>91</v>
      </c>
      <c r="C557" s="51">
        <v>137691015632</v>
      </c>
      <c r="D557" s="1">
        <v>1752.41</v>
      </c>
      <c r="E557" s="1">
        <v>13959310.32</v>
      </c>
      <c r="F557" t="s">
        <v>1280</v>
      </c>
      <c r="I557" s="16">
        <f>-IFERROR(VLOOKUP(C557,SIRCUPA!$A$21:$H$186,8,0),0)</f>
        <v>-26.85</v>
      </c>
      <c r="J557" s="68">
        <f>-IFERROR(VLOOKUP(C557,SIRTAC!$A$16:$H$1405,8,0),0)</f>
        <v>0</v>
      </c>
      <c r="K557" s="68">
        <f>-IFERROR(VLOOKUP(C557,Gastos!$A$9:$J$1398,10,0),0)</f>
        <v>0</v>
      </c>
      <c r="L557" s="68">
        <f>-IFERROR(VLOOKUP(C557,IDC!$A$20:$H$1596,8,0),0)</f>
        <v>-10.74</v>
      </c>
      <c r="M557" s="74">
        <f t="shared" si="14"/>
        <v>1790</v>
      </c>
    </row>
    <row r="558" spans="1:13" customFormat="1">
      <c r="A558" t="s">
        <v>89</v>
      </c>
      <c r="B558" t="s">
        <v>11</v>
      </c>
      <c r="C558" s="51">
        <v>137694288196</v>
      </c>
      <c r="D558" s="1">
        <v>4676.6400000000003</v>
      </c>
      <c r="E558" s="1">
        <v>14637958.939999999</v>
      </c>
      <c r="F558" t="s">
        <v>1280</v>
      </c>
      <c r="I558" s="16">
        <f>-IFERROR(VLOOKUP(C558,SIRCUPA!$A$21:$H$186,8,0),0)</f>
        <v>0</v>
      </c>
      <c r="J558" s="68">
        <f>-IFERROR(VLOOKUP(C558,SIRTAC!$A$16:$H$1405,8,0),0)</f>
        <v>-48</v>
      </c>
      <c r="K558" s="68">
        <f>-IFERROR(VLOOKUP(C558,Gastos!$A$9:$J$1398,10,0),0)</f>
        <v>-46.56</v>
      </c>
      <c r="L558" s="68">
        <f>-IFERROR(VLOOKUP(C558,IDC!$A$20:$H$1596,8,0),0)</f>
        <v>-28.8</v>
      </c>
      <c r="M558" s="74">
        <f t="shared" si="14"/>
        <v>4800.0000000000009</v>
      </c>
    </row>
    <row r="559" spans="1:13" customFormat="1">
      <c r="A559" t="s">
        <v>89</v>
      </c>
      <c r="B559" t="s">
        <v>11</v>
      </c>
      <c r="C559" s="51">
        <v>137060803417</v>
      </c>
      <c r="D559" s="1">
        <v>160662.07</v>
      </c>
      <c r="E559" s="1">
        <v>14798621.01</v>
      </c>
      <c r="F559" t="s">
        <v>1280</v>
      </c>
      <c r="I559" s="16">
        <f>-IFERROR(VLOOKUP(C559,SIRCUPA!$A$21:$H$186,8,0),0)</f>
        <v>0</v>
      </c>
      <c r="J559" s="68">
        <f>-IFERROR(VLOOKUP(C559,SIRTAC!$A$16:$H$1405,8,0),0)</f>
        <v>-1649</v>
      </c>
      <c r="K559" s="68">
        <f>-IFERROR(VLOOKUP(C559,Gastos!$A$9:$J$1398,10,0),0)</f>
        <v>-1599.53</v>
      </c>
      <c r="L559" s="68">
        <f>-IFERROR(VLOOKUP(C559,IDC!$A$20:$H$1596,8,0),0)</f>
        <v>-989.4</v>
      </c>
      <c r="M559" s="74">
        <f t="shared" si="14"/>
        <v>164900</v>
      </c>
    </row>
    <row r="560" spans="1:13" customFormat="1">
      <c r="A560" t="s">
        <v>89</v>
      </c>
      <c r="B560" t="s">
        <v>11</v>
      </c>
      <c r="C560" s="51">
        <v>137061031397</v>
      </c>
      <c r="D560" s="1">
        <v>44622.94</v>
      </c>
      <c r="E560" s="1">
        <v>14843243.949999999</v>
      </c>
      <c r="F560" t="s">
        <v>1280</v>
      </c>
      <c r="I560" s="16">
        <f>-IFERROR(VLOOKUP(C560,SIRCUPA!$A$21:$H$186,8,0),0)</f>
        <v>0</v>
      </c>
      <c r="J560" s="68">
        <f>-IFERROR(VLOOKUP(C560,SIRTAC!$A$16:$H$1405,8,0),0)</f>
        <v>-458</v>
      </c>
      <c r="K560" s="68">
        <f>-IFERROR(VLOOKUP(C560,Gastos!$A$9:$J$1398,10,0),0)</f>
        <v>-444.26</v>
      </c>
      <c r="L560" s="68">
        <f>-IFERROR(VLOOKUP(C560,IDC!$A$20:$H$1596,8,0),0)</f>
        <v>-274.8</v>
      </c>
      <c r="M560" s="74">
        <f t="shared" si="14"/>
        <v>45800.000000000007</v>
      </c>
    </row>
    <row r="561" spans="1:13" customFormat="1">
      <c r="A561" t="s">
        <v>89</v>
      </c>
      <c r="B561" t="s">
        <v>11</v>
      </c>
      <c r="C561" s="51">
        <v>137694509248</v>
      </c>
      <c r="D561" s="1">
        <v>50079.02</v>
      </c>
      <c r="E561" s="1">
        <v>14893322.970000001</v>
      </c>
      <c r="F561" t="s">
        <v>1280</v>
      </c>
      <c r="I561" s="16">
        <f>-IFERROR(VLOOKUP(C561,SIRCUPA!$A$21:$H$186,8,0),0)</f>
        <v>0</v>
      </c>
      <c r="J561" s="68">
        <f>-IFERROR(VLOOKUP(C561,SIRTAC!$A$16:$H$1405,8,0),0)</f>
        <v>-514</v>
      </c>
      <c r="K561" s="68">
        <f>-IFERROR(VLOOKUP(C561,Gastos!$A$9:$J$1398,10,0),0)</f>
        <v>-498.58</v>
      </c>
      <c r="L561" s="68">
        <f>-IFERROR(VLOOKUP(C561,IDC!$A$20:$H$1596,8,0),0)</f>
        <v>-308.39999999999998</v>
      </c>
      <c r="M561" s="74">
        <f t="shared" si="14"/>
        <v>51400</v>
      </c>
    </row>
    <row r="562" spans="1:13" customFormat="1">
      <c r="A562" t="s">
        <v>89</v>
      </c>
      <c r="B562" t="s">
        <v>11</v>
      </c>
      <c r="C562" s="51">
        <v>137694716170</v>
      </c>
      <c r="D562" s="1">
        <v>14322.21</v>
      </c>
      <c r="E562" s="1">
        <v>14907645.18</v>
      </c>
      <c r="F562" t="s">
        <v>1280</v>
      </c>
      <c r="I562" s="16">
        <f>-IFERROR(VLOOKUP(C562,SIRCUPA!$A$21:$H$186,8,0),0)</f>
        <v>0</v>
      </c>
      <c r="J562" s="68">
        <f>-IFERROR(VLOOKUP(C562,SIRTAC!$A$16:$H$1405,8,0),0)</f>
        <v>-147</v>
      </c>
      <c r="K562" s="68">
        <f>-IFERROR(VLOOKUP(C562,Gastos!$A$9:$J$1398,10,0),0)</f>
        <v>-142.59</v>
      </c>
      <c r="L562" s="68">
        <f>-IFERROR(VLOOKUP(C562,IDC!$A$20:$H$1596,8,0),0)</f>
        <v>-88.2</v>
      </c>
      <c r="M562" s="74">
        <f t="shared" si="14"/>
        <v>14700</v>
      </c>
    </row>
    <row r="563" spans="1:13" customFormat="1">
      <c r="A563" t="s">
        <v>89</v>
      </c>
      <c r="B563" t="s">
        <v>11</v>
      </c>
      <c r="C563" s="51">
        <v>137061792333</v>
      </c>
      <c r="D563" s="1">
        <v>58263.14</v>
      </c>
      <c r="E563" s="1">
        <v>14965908.32</v>
      </c>
      <c r="F563" t="s">
        <v>1280</v>
      </c>
      <c r="I563" s="16">
        <f>-IFERROR(VLOOKUP(C563,SIRCUPA!$A$21:$H$186,8,0),0)</f>
        <v>0</v>
      </c>
      <c r="J563" s="68">
        <f>-IFERROR(VLOOKUP(C563,SIRTAC!$A$16:$H$1405,8,0),0)</f>
        <v>-598</v>
      </c>
      <c r="K563" s="68">
        <f>-IFERROR(VLOOKUP(C563,Gastos!$A$9:$J$1398,10,0),0)</f>
        <v>-580.05999999999995</v>
      </c>
      <c r="L563" s="68">
        <f>-IFERROR(VLOOKUP(C563,IDC!$A$20:$H$1596,8,0),0)</f>
        <v>-358.8</v>
      </c>
      <c r="M563" s="74">
        <f t="shared" si="14"/>
        <v>59800</v>
      </c>
    </row>
    <row r="564" spans="1:13" customFormat="1">
      <c r="A564" t="s">
        <v>89</v>
      </c>
      <c r="B564" t="s">
        <v>11</v>
      </c>
      <c r="C564" s="51">
        <v>137062018711</v>
      </c>
      <c r="D564" s="1">
        <v>9986.9</v>
      </c>
      <c r="E564" s="1">
        <v>14975895.220000001</v>
      </c>
      <c r="F564" t="s">
        <v>1280</v>
      </c>
      <c r="I564" s="16">
        <f>-IFERROR(VLOOKUP(C564,SIRCUPA!$A$21:$H$186,8,0),0)</f>
        <v>0</v>
      </c>
      <c r="J564" s="68">
        <f>-IFERROR(VLOOKUP(C564,SIRTAC!$A$16:$H$1405,8,0),0)</f>
        <v>-110</v>
      </c>
      <c r="K564" s="68">
        <f>-IFERROR(VLOOKUP(C564,Gastos!$A$9:$J$1398,10,0),0)</f>
        <v>-837.1</v>
      </c>
      <c r="L564" s="68">
        <f>-IFERROR(VLOOKUP(C564,IDC!$A$20:$H$1596,8,0),0)</f>
        <v>-66</v>
      </c>
      <c r="M564" s="74">
        <f t="shared" si="14"/>
        <v>11000</v>
      </c>
    </row>
    <row r="565" spans="1:13" customFormat="1">
      <c r="A565" t="s">
        <v>89</v>
      </c>
      <c r="B565" t="s">
        <v>11</v>
      </c>
      <c r="C565" s="51">
        <v>137695460966</v>
      </c>
      <c r="D565" s="1">
        <v>9386.69</v>
      </c>
      <c r="E565" s="1">
        <v>14985281.91</v>
      </c>
      <c r="F565" t="s">
        <v>1280</v>
      </c>
      <c r="I565" s="16">
        <f>-IFERROR(VLOOKUP(C565,SIRCUPA!$A$21:$H$186,8,0),0)</f>
        <v>0</v>
      </c>
      <c r="J565" s="68">
        <f>-IFERROR(VLOOKUP(C565,SIRTAC!$A$16:$H$1405,8,0),0)</f>
        <v>-97</v>
      </c>
      <c r="K565" s="68">
        <f>-IFERROR(VLOOKUP(C565,Gastos!$A$9:$J$1398,10,0),0)</f>
        <v>-158.11000000000001</v>
      </c>
      <c r="L565" s="68">
        <f>-IFERROR(VLOOKUP(C565,IDC!$A$20:$H$1596,8,0),0)</f>
        <v>-58.2</v>
      </c>
      <c r="M565" s="74">
        <f t="shared" si="14"/>
        <v>9700.0000000000018</v>
      </c>
    </row>
    <row r="566" spans="1:13" customFormat="1">
      <c r="A566" t="s">
        <v>89</v>
      </c>
      <c r="B566" t="s">
        <v>11</v>
      </c>
      <c r="C566" s="51">
        <v>137695742258</v>
      </c>
      <c r="D566" s="1">
        <v>4676.6400000000003</v>
      </c>
      <c r="E566" s="1">
        <v>14989958.550000001</v>
      </c>
      <c r="F566" t="s">
        <v>1280</v>
      </c>
      <c r="I566" s="16">
        <f>-IFERROR(VLOOKUP(C566,SIRCUPA!$A$21:$H$186,8,0),0)</f>
        <v>0</v>
      </c>
      <c r="J566" s="68">
        <f>-IFERROR(VLOOKUP(C566,SIRTAC!$A$16:$H$1405,8,0),0)</f>
        <v>-48</v>
      </c>
      <c r="K566" s="68">
        <f>-IFERROR(VLOOKUP(C566,Gastos!$A$9:$J$1398,10,0),0)</f>
        <v>-46.56</v>
      </c>
      <c r="L566" s="68">
        <f>-IFERROR(VLOOKUP(C566,IDC!$A$20:$H$1596,8,0),0)</f>
        <v>-28.8</v>
      </c>
      <c r="M566" s="74">
        <f t="shared" si="14"/>
        <v>4800.0000000000009</v>
      </c>
    </row>
    <row r="567" spans="1:13" customFormat="1">
      <c r="A567" t="s">
        <v>89</v>
      </c>
      <c r="B567" t="s">
        <v>11</v>
      </c>
      <c r="C567" s="51">
        <v>137695785864</v>
      </c>
      <c r="D567" s="1">
        <v>4092.06</v>
      </c>
      <c r="E567" s="1">
        <v>14994050.609999999</v>
      </c>
      <c r="F567" t="s">
        <v>1280</v>
      </c>
      <c r="I567" s="16">
        <f>-IFERROR(VLOOKUP(C567,SIRCUPA!$A$21:$H$186,8,0),0)</f>
        <v>0</v>
      </c>
      <c r="J567" s="68">
        <f>-IFERROR(VLOOKUP(C567,SIRTAC!$A$16:$H$1405,8,0),0)</f>
        <v>-42</v>
      </c>
      <c r="K567" s="68">
        <f>-IFERROR(VLOOKUP(C567,Gastos!$A$9:$J$1398,10,0),0)</f>
        <v>-40.74</v>
      </c>
      <c r="L567" s="68">
        <f>-IFERROR(VLOOKUP(C567,IDC!$A$20:$H$1596,8,0),0)</f>
        <v>-25.2</v>
      </c>
      <c r="M567" s="74">
        <f t="shared" si="14"/>
        <v>4199.9999999999991</v>
      </c>
    </row>
    <row r="568" spans="1:13" customFormat="1">
      <c r="A568" t="s">
        <v>89</v>
      </c>
      <c r="B568" t="s">
        <v>11</v>
      </c>
      <c r="C568" s="51">
        <v>137696623912</v>
      </c>
      <c r="D568" s="1">
        <v>9386.69</v>
      </c>
      <c r="E568" s="1">
        <v>15003437.300000001</v>
      </c>
      <c r="F568" t="s">
        <v>1280</v>
      </c>
      <c r="I568" s="16">
        <f>-IFERROR(VLOOKUP(C568,SIRCUPA!$A$21:$H$186,8,0),0)</f>
        <v>0</v>
      </c>
      <c r="J568" s="68">
        <f>-IFERROR(VLOOKUP(C568,SIRTAC!$A$16:$H$1405,8,0),0)</f>
        <v>-97</v>
      </c>
      <c r="K568" s="68">
        <f>-IFERROR(VLOOKUP(C568,Gastos!$A$9:$J$1398,10,0),0)</f>
        <v>-158.11000000000001</v>
      </c>
      <c r="L568" s="68">
        <f>-IFERROR(VLOOKUP(C568,IDC!$A$20:$H$1596,8,0),0)</f>
        <v>-58.2</v>
      </c>
      <c r="M568" s="74">
        <f t="shared" si="14"/>
        <v>9700.0000000000018</v>
      </c>
    </row>
    <row r="569" spans="1:13" customFormat="1">
      <c r="A569" t="s">
        <v>89</v>
      </c>
      <c r="B569" t="s">
        <v>11</v>
      </c>
      <c r="C569" s="51">
        <v>137697056830</v>
      </c>
      <c r="D569" s="1">
        <v>9450.7099999999991</v>
      </c>
      <c r="E569" s="1">
        <v>15012888.01</v>
      </c>
      <c r="F569" t="s">
        <v>1280</v>
      </c>
      <c r="I569" s="16">
        <f>-IFERROR(VLOOKUP(C569,SIRCUPA!$A$21:$H$186,8,0),0)</f>
        <v>0</v>
      </c>
      <c r="J569" s="68">
        <f>-IFERROR(VLOOKUP(C569,SIRTAC!$A$16:$H$1405,8,0),0)</f>
        <v>-97</v>
      </c>
      <c r="K569" s="68">
        <f>-IFERROR(VLOOKUP(C569,Gastos!$A$9:$J$1398,10,0),0)</f>
        <v>-94.09</v>
      </c>
      <c r="L569" s="68">
        <f>-IFERROR(VLOOKUP(C569,IDC!$A$20:$H$1596,8,0),0)</f>
        <v>-58.2</v>
      </c>
      <c r="M569" s="74">
        <f t="shared" si="14"/>
        <v>9700</v>
      </c>
    </row>
    <row r="570" spans="1:13" customFormat="1">
      <c r="A570" t="s">
        <v>89</v>
      </c>
      <c r="B570" t="s">
        <v>11</v>
      </c>
      <c r="C570" s="51">
        <v>137063694987</v>
      </c>
      <c r="D570" s="1">
        <v>30787.88</v>
      </c>
      <c r="E570" s="1">
        <v>15043675.890000001</v>
      </c>
      <c r="F570" t="s">
        <v>1280</v>
      </c>
      <c r="I570" s="16">
        <f>-IFERROR(VLOOKUP(C570,SIRCUPA!$A$21:$H$186,8,0),0)</f>
        <v>0</v>
      </c>
      <c r="J570" s="68">
        <f>-IFERROR(VLOOKUP(C570,SIRTAC!$A$16:$H$1405,8,0),0)</f>
        <v>-316</v>
      </c>
      <c r="K570" s="68">
        <f>-IFERROR(VLOOKUP(C570,Gastos!$A$9:$J$1398,10,0),0)</f>
        <v>-306.52</v>
      </c>
      <c r="L570" s="68">
        <f>-IFERROR(VLOOKUP(C570,IDC!$A$20:$H$1596,8,0),0)</f>
        <v>-189.6</v>
      </c>
      <c r="M570" s="74">
        <f t="shared" si="14"/>
        <v>31600</v>
      </c>
    </row>
    <row r="571" spans="1:13" customFormat="1">
      <c r="A571" t="s">
        <v>89</v>
      </c>
      <c r="B571" t="s">
        <v>11</v>
      </c>
      <c r="C571" s="51">
        <v>137697186668</v>
      </c>
      <c r="D571" s="1">
        <v>7794.4</v>
      </c>
      <c r="E571" s="1">
        <v>15051470.289999999</v>
      </c>
      <c r="F571" t="s">
        <v>1280</v>
      </c>
      <c r="I571" s="16">
        <f>-IFERROR(VLOOKUP(C571,SIRCUPA!$A$21:$H$186,8,0),0)</f>
        <v>0</v>
      </c>
      <c r="J571" s="68">
        <f>-IFERROR(VLOOKUP(C571,SIRTAC!$A$16:$H$1405,8,0),0)</f>
        <v>-80</v>
      </c>
      <c r="K571" s="68">
        <f>-IFERROR(VLOOKUP(C571,Gastos!$A$9:$J$1398,10,0),0)</f>
        <v>-77.599999999999994</v>
      </c>
      <c r="L571" s="68">
        <f>-IFERROR(VLOOKUP(C571,IDC!$A$20:$H$1596,8,0),0)</f>
        <v>-48</v>
      </c>
      <c r="M571" s="74">
        <f t="shared" si="14"/>
        <v>8000</v>
      </c>
    </row>
    <row r="572" spans="1:13" customFormat="1">
      <c r="A572" t="s">
        <v>89</v>
      </c>
      <c r="B572" t="s">
        <v>11</v>
      </c>
      <c r="C572" s="51">
        <v>137063936513</v>
      </c>
      <c r="D572" s="1">
        <v>7644.83</v>
      </c>
      <c r="E572" s="1">
        <v>15059115.119999999</v>
      </c>
      <c r="F572" t="s">
        <v>1280</v>
      </c>
      <c r="I572" s="16">
        <f>-IFERROR(VLOOKUP(C572,SIRCUPA!$A$21:$H$186,8,0),0)</f>
        <v>0</v>
      </c>
      <c r="J572" s="68">
        <f>-IFERROR(VLOOKUP(C572,SIRTAC!$A$16:$H$1405,8,0),0)</f>
        <v>-79</v>
      </c>
      <c r="K572" s="68">
        <f>-IFERROR(VLOOKUP(C572,Gastos!$A$9:$J$1398,10,0),0)</f>
        <v>-128.77000000000001</v>
      </c>
      <c r="L572" s="68">
        <f>-IFERROR(VLOOKUP(C572,IDC!$A$20:$H$1596,8,0),0)</f>
        <v>-47.4</v>
      </c>
      <c r="M572" s="74">
        <f t="shared" si="14"/>
        <v>7900</v>
      </c>
    </row>
    <row r="573" spans="1:13" customFormat="1">
      <c r="A573" t="s">
        <v>89</v>
      </c>
      <c r="B573" t="s">
        <v>92</v>
      </c>
      <c r="C573" s="51">
        <v>137694132400</v>
      </c>
      <c r="D573" s="1">
        <v>4018.79</v>
      </c>
      <c r="E573" s="1">
        <v>14633282.300000001</v>
      </c>
      <c r="F573" t="s">
        <v>1280</v>
      </c>
      <c r="I573" s="16">
        <f>-IFERROR(VLOOKUP(C573,SIRCUPA!$A$21:$H$186,8,0),0)</f>
        <v>-61.58</v>
      </c>
      <c r="J573" s="68">
        <f>-IFERROR(VLOOKUP(C573,SIRTAC!$A$16:$H$1405,8,0),0)</f>
        <v>0</v>
      </c>
      <c r="K573" s="68">
        <f>-IFERROR(VLOOKUP(C573,Gastos!$A$9:$J$1398,10,0),0)</f>
        <v>0</v>
      </c>
      <c r="L573" s="68">
        <f>-IFERROR(VLOOKUP(C573,IDC!$A$20:$H$1596,8,0),0)</f>
        <v>-24.63</v>
      </c>
      <c r="M573" s="74">
        <f t="shared" si="14"/>
        <v>4105</v>
      </c>
    </row>
    <row r="574" spans="1:13" customFormat="1">
      <c r="A574" t="s">
        <v>89</v>
      </c>
      <c r="B574" t="s">
        <v>11</v>
      </c>
      <c r="C574" s="51">
        <v>137063983389</v>
      </c>
      <c r="D574" s="1">
        <v>22408.9</v>
      </c>
      <c r="E574" s="1">
        <v>15081524.02</v>
      </c>
      <c r="F574" t="s">
        <v>1280</v>
      </c>
      <c r="I574" s="16">
        <f>-IFERROR(VLOOKUP(C574,SIRCUPA!$A$21:$H$186,8,0),0)</f>
        <v>0</v>
      </c>
      <c r="J574" s="68">
        <f>-IFERROR(VLOOKUP(C574,SIRTAC!$A$16:$H$1405,8,0),0)</f>
        <v>-230</v>
      </c>
      <c r="K574" s="68">
        <f>-IFERROR(VLOOKUP(C574,Gastos!$A$9:$J$1398,10,0),0)</f>
        <v>-223.1</v>
      </c>
      <c r="L574" s="68">
        <f>-IFERROR(VLOOKUP(C574,IDC!$A$20:$H$1596,8,0),0)</f>
        <v>-138</v>
      </c>
      <c r="M574" s="74">
        <f t="shared" si="14"/>
        <v>23000</v>
      </c>
    </row>
    <row r="575" spans="1:13" customFormat="1">
      <c r="A575" t="s">
        <v>89</v>
      </c>
      <c r="B575" t="s">
        <v>11</v>
      </c>
      <c r="C575" s="51">
        <v>137697604934</v>
      </c>
      <c r="D575" s="1">
        <v>9483.4599999999991</v>
      </c>
      <c r="E575" s="1">
        <v>15091007.48</v>
      </c>
      <c r="F575" t="s">
        <v>1280</v>
      </c>
      <c r="I575" s="16">
        <f>-IFERROR(VLOOKUP(C575,SIRCUPA!$A$21:$H$186,8,0),0)</f>
        <v>0</v>
      </c>
      <c r="J575" s="68">
        <f>-IFERROR(VLOOKUP(C575,SIRTAC!$A$16:$H$1405,8,0),0)</f>
        <v>-98</v>
      </c>
      <c r="K575" s="68">
        <f>-IFERROR(VLOOKUP(C575,Gastos!$A$9:$J$1398,10,0),0)</f>
        <v>-159.74</v>
      </c>
      <c r="L575" s="68">
        <f>-IFERROR(VLOOKUP(C575,IDC!$A$20:$H$1596,8,0),0)</f>
        <v>-58.8</v>
      </c>
      <c r="M575" s="74">
        <f t="shared" si="14"/>
        <v>9799.9999999999982</v>
      </c>
    </row>
    <row r="576" spans="1:13" customFormat="1">
      <c r="A576" t="s">
        <v>89</v>
      </c>
      <c r="B576" t="s">
        <v>11</v>
      </c>
      <c r="C576" s="51">
        <v>137064486565</v>
      </c>
      <c r="D576" s="1">
        <v>9079</v>
      </c>
      <c r="E576" s="1">
        <v>15100086.48</v>
      </c>
      <c r="F576" t="s">
        <v>1280</v>
      </c>
      <c r="I576" s="16">
        <f>-IFERROR(VLOOKUP(C576,SIRCUPA!$A$21:$H$186,8,0),0)</f>
        <v>0</v>
      </c>
      <c r="J576" s="68">
        <f>-IFERROR(VLOOKUP(C576,SIRTAC!$A$16:$H$1405,8,0),0)</f>
        <v>-100</v>
      </c>
      <c r="K576" s="68">
        <f>-IFERROR(VLOOKUP(C576,Gastos!$A$9:$J$1398,10,0),0)</f>
        <v>-761</v>
      </c>
      <c r="L576" s="68">
        <f>-IFERROR(VLOOKUP(C576,IDC!$A$20:$H$1596,8,0),0)</f>
        <v>-60</v>
      </c>
      <c r="M576" s="74">
        <f t="shared" si="14"/>
        <v>10000</v>
      </c>
    </row>
    <row r="577" spans="1:13" customFormat="1">
      <c r="A577" t="s">
        <v>89</v>
      </c>
      <c r="B577" t="s">
        <v>11</v>
      </c>
      <c r="C577" s="51">
        <v>137064461761</v>
      </c>
      <c r="D577" s="1">
        <v>18302.7</v>
      </c>
      <c r="E577" s="1">
        <v>15119857.68</v>
      </c>
      <c r="F577" t="s">
        <v>1280</v>
      </c>
      <c r="I577" s="16">
        <f>-IFERROR(VLOOKUP(C577,SIRCUPA!$A$21:$H$186,8,0),0)</f>
        <v>0</v>
      </c>
      <c r="J577" s="68">
        <f>-IFERROR(VLOOKUP(C577,SIRTAC!$A$16:$H$1405,8,0),0)</f>
        <v>-195</v>
      </c>
      <c r="K577" s="68">
        <f>-IFERROR(VLOOKUP(C577,Gastos!$A$9:$J$1398,10,0),0)</f>
        <v>-885.3</v>
      </c>
      <c r="L577" s="68">
        <f>-IFERROR(VLOOKUP(C577,IDC!$A$20:$H$1596,8,0),0)</f>
        <v>-117</v>
      </c>
      <c r="M577" s="74">
        <f t="shared" si="14"/>
        <v>19500</v>
      </c>
    </row>
    <row r="578" spans="1:13" customFormat="1">
      <c r="A578" t="s">
        <v>89</v>
      </c>
      <c r="B578" t="s">
        <v>11</v>
      </c>
      <c r="C578" s="51">
        <v>137697994520</v>
      </c>
      <c r="D578" s="1">
        <v>20752.59</v>
      </c>
      <c r="E578" s="1">
        <v>15140610.27</v>
      </c>
      <c r="F578" t="s">
        <v>1280</v>
      </c>
      <c r="I578" s="16">
        <f>-IFERROR(VLOOKUP(C578,SIRCUPA!$A$21:$H$186,8,0),0)</f>
        <v>0</v>
      </c>
      <c r="J578" s="68">
        <f>-IFERROR(VLOOKUP(C578,SIRTAC!$A$16:$H$1405,8,0),0)</f>
        <v>-213</v>
      </c>
      <c r="K578" s="68">
        <f>-IFERROR(VLOOKUP(C578,Gastos!$A$9:$J$1398,10,0),0)</f>
        <v>-206.61</v>
      </c>
      <c r="L578" s="68">
        <f>-IFERROR(VLOOKUP(C578,IDC!$A$20:$H$1596,8,0),0)</f>
        <v>-127.8</v>
      </c>
      <c r="M578" s="74">
        <f t="shared" si="14"/>
        <v>21300</v>
      </c>
    </row>
    <row r="579" spans="1:13" customFormat="1">
      <c r="A579" t="s">
        <v>89</v>
      </c>
      <c r="B579" t="s">
        <v>11</v>
      </c>
      <c r="C579" s="51">
        <v>137698157966</v>
      </c>
      <c r="D579" s="1">
        <v>11691.6</v>
      </c>
      <c r="E579" s="1">
        <v>15153344.5</v>
      </c>
      <c r="F579" t="s">
        <v>1280</v>
      </c>
      <c r="I579" s="16">
        <f>-IFERROR(VLOOKUP(C579,SIRCUPA!$A$21:$H$186,8,0),0)</f>
        <v>0</v>
      </c>
      <c r="J579" s="68">
        <f>-IFERROR(VLOOKUP(C579,SIRTAC!$A$16:$H$1405,8,0),0)</f>
        <v>-120</v>
      </c>
      <c r="K579" s="68">
        <f>-IFERROR(VLOOKUP(C579,Gastos!$A$9:$J$1398,10,0),0)</f>
        <v>-116.4</v>
      </c>
      <c r="L579" s="68">
        <f>-IFERROR(VLOOKUP(C579,IDC!$A$20:$H$1596,8,0),0)</f>
        <v>-72</v>
      </c>
      <c r="M579" s="74">
        <f t="shared" si="14"/>
        <v>12000</v>
      </c>
    </row>
    <row r="580" spans="1:13" customFormat="1">
      <c r="A580" t="s">
        <v>89</v>
      </c>
      <c r="B580" t="s">
        <v>11</v>
      </c>
      <c r="C580" s="51">
        <v>137796402012</v>
      </c>
      <c r="D580" s="1">
        <v>9548.14</v>
      </c>
      <c r="E580" s="1">
        <v>15162892.640000001</v>
      </c>
      <c r="F580" t="s">
        <v>1280</v>
      </c>
      <c r="I580" s="16">
        <f>-IFERROR(VLOOKUP(C580,SIRCUPA!$A$21:$H$186,8,0),0)</f>
        <v>0</v>
      </c>
      <c r="J580" s="68">
        <f>-IFERROR(VLOOKUP(C580,SIRTAC!$A$16:$H$1405,8,0),0)</f>
        <v>-98</v>
      </c>
      <c r="K580" s="68">
        <f>-IFERROR(VLOOKUP(C580,Gastos!$A$9:$J$1398,10,0),0)</f>
        <v>-95.06</v>
      </c>
      <c r="L580" s="68">
        <f>-IFERROR(VLOOKUP(C580,IDC!$A$20:$H$1596,8,0),0)</f>
        <v>-58.8</v>
      </c>
      <c r="M580" s="74">
        <f t="shared" si="14"/>
        <v>9799.9999999999982</v>
      </c>
    </row>
    <row r="581" spans="1:13" customFormat="1">
      <c r="A581" t="s">
        <v>89</v>
      </c>
      <c r="B581" t="s">
        <v>11</v>
      </c>
      <c r="C581" s="51">
        <v>137171793459</v>
      </c>
      <c r="D581" s="1">
        <v>9069.1200000000008</v>
      </c>
      <c r="E581" s="1">
        <v>15171961.76</v>
      </c>
      <c r="F581" t="s">
        <v>1280</v>
      </c>
      <c r="I581" s="16">
        <f>-IFERROR(VLOOKUP(C581,SIRCUPA!$A$21:$H$186,8,0),0)</f>
        <v>0</v>
      </c>
      <c r="J581" s="68">
        <f>-IFERROR(VLOOKUP(C581,SIRTAC!$A$16:$H$1405,8,0),0)</f>
        <v>-96</v>
      </c>
      <c r="K581" s="68">
        <f>-IFERROR(VLOOKUP(C581,Gastos!$A$9:$J$1398,10,0),0)</f>
        <v>-377.28</v>
      </c>
      <c r="L581" s="68">
        <f>-IFERROR(VLOOKUP(C581,IDC!$A$20:$H$1596,8,0),0)</f>
        <v>-57.6</v>
      </c>
      <c r="M581" s="74">
        <f t="shared" si="14"/>
        <v>9600.0000000000018</v>
      </c>
    </row>
    <row r="582" spans="1:13" customFormat="1">
      <c r="A582" t="s">
        <v>89</v>
      </c>
      <c r="B582" t="s">
        <v>11</v>
      </c>
      <c r="C582" s="51">
        <v>137171897863</v>
      </c>
      <c r="D582" s="1">
        <v>9069.1200000000008</v>
      </c>
      <c r="E582" s="1">
        <v>15181030.880000001</v>
      </c>
      <c r="F582" t="s">
        <v>1280</v>
      </c>
      <c r="I582" s="16">
        <f>-IFERROR(VLOOKUP(C582,SIRCUPA!$A$21:$H$186,8,0),0)</f>
        <v>0</v>
      </c>
      <c r="J582" s="68">
        <f>-IFERROR(VLOOKUP(C582,SIRTAC!$A$16:$H$1405,8,0),0)</f>
        <v>-96</v>
      </c>
      <c r="K582" s="68">
        <f>-IFERROR(VLOOKUP(C582,Gastos!$A$9:$J$1398,10,0),0)</f>
        <v>-377.28</v>
      </c>
      <c r="L582" s="68">
        <f>-IFERROR(VLOOKUP(C582,IDC!$A$20:$H$1596,8,0),0)</f>
        <v>-57.6</v>
      </c>
      <c r="M582" s="74">
        <f t="shared" si="14"/>
        <v>9600.0000000000018</v>
      </c>
    </row>
    <row r="583" spans="1:13" customFormat="1">
      <c r="A583" t="s">
        <v>89</v>
      </c>
      <c r="B583" t="s">
        <v>11</v>
      </c>
      <c r="C583" s="51">
        <v>137177682381</v>
      </c>
      <c r="D583" s="1">
        <v>32736.48</v>
      </c>
      <c r="E583" s="1">
        <v>15213767.359999999</v>
      </c>
      <c r="F583" t="s">
        <v>1280</v>
      </c>
      <c r="I583" s="16">
        <f>-IFERROR(VLOOKUP(C583,SIRCUPA!$A$21:$H$186,8,0),0)</f>
        <v>0</v>
      </c>
      <c r="J583" s="68">
        <f>-IFERROR(VLOOKUP(C583,SIRTAC!$A$16:$H$1405,8,0),0)</f>
        <v>-336</v>
      </c>
      <c r="K583" s="68">
        <f>-IFERROR(VLOOKUP(C583,Gastos!$A$9:$J$1398,10,0),0)</f>
        <v>-325.92</v>
      </c>
      <c r="L583" s="68">
        <f>-IFERROR(VLOOKUP(C583,IDC!$A$20:$H$1596,8,0),0)</f>
        <v>-201.6</v>
      </c>
      <c r="M583" s="74">
        <f t="shared" si="14"/>
        <v>33599.999999999993</v>
      </c>
    </row>
    <row r="584" spans="1:13" customFormat="1">
      <c r="A584" t="s">
        <v>89</v>
      </c>
      <c r="B584" t="s">
        <v>11</v>
      </c>
      <c r="C584" s="51">
        <v>137812067506</v>
      </c>
      <c r="D584" s="1">
        <v>38948.910000000003</v>
      </c>
      <c r="E584" s="1">
        <v>15252716.27</v>
      </c>
      <c r="F584" t="s">
        <v>1280</v>
      </c>
      <c r="I584" s="16">
        <f>-IFERROR(VLOOKUP(C584,SIRCUPA!$A$21:$H$186,8,0),0)</f>
        <v>0</v>
      </c>
      <c r="J584" s="68">
        <f>-IFERROR(VLOOKUP(C584,SIRTAC!$A$16:$H$1405,8,0),0)</f>
        <v>-429</v>
      </c>
      <c r="K584" s="68">
        <f>-IFERROR(VLOOKUP(C584,Gastos!$A$9:$J$1398,10,0),0)</f>
        <v>-3264.69</v>
      </c>
      <c r="L584" s="68">
        <f>-IFERROR(VLOOKUP(C584,IDC!$A$20:$H$1596,8,0),0)</f>
        <v>-257.39999999999998</v>
      </c>
      <c r="M584" s="74">
        <f t="shared" si="14"/>
        <v>42900.000000000007</v>
      </c>
    </row>
    <row r="585" spans="1:13" customFormat="1">
      <c r="A585" t="s">
        <v>89</v>
      </c>
      <c r="B585" t="s">
        <v>11</v>
      </c>
      <c r="C585" s="51">
        <v>137178342215</v>
      </c>
      <c r="D585" s="1">
        <v>4774.07</v>
      </c>
      <c r="E585" s="1">
        <v>15257490.34</v>
      </c>
      <c r="F585" t="s">
        <v>1280</v>
      </c>
      <c r="I585" s="16">
        <f>-IFERROR(VLOOKUP(C585,SIRCUPA!$A$21:$H$186,8,0),0)</f>
        <v>0</v>
      </c>
      <c r="J585" s="68">
        <f>-IFERROR(VLOOKUP(C585,SIRTAC!$A$16:$H$1405,8,0),0)</f>
        <v>-49</v>
      </c>
      <c r="K585" s="68">
        <f>-IFERROR(VLOOKUP(C585,Gastos!$A$9:$J$1398,10,0),0)</f>
        <v>-47.53</v>
      </c>
      <c r="L585" s="68">
        <f>-IFERROR(VLOOKUP(C585,IDC!$A$20:$H$1596,8,0),0)</f>
        <v>-29.4</v>
      </c>
      <c r="M585" s="74">
        <f t="shared" si="14"/>
        <v>4899.9999999999991</v>
      </c>
    </row>
    <row r="586" spans="1:13" customFormat="1">
      <c r="A586" t="s">
        <v>89</v>
      </c>
      <c r="B586" t="s">
        <v>11</v>
      </c>
      <c r="C586" s="51">
        <v>137813773910</v>
      </c>
      <c r="D586" s="1">
        <v>42700.44</v>
      </c>
      <c r="E586" s="1">
        <v>15300190.779999999</v>
      </c>
      <c r="F586" t="s">
        <v>1280</v>
      </c>
      <c r="I586" s="16">
        <f>-IFERROR(VLOOKUP(C586,SIRCUPA!$A$21:$H$186,8,0),0)</f>
        <v>0</v>
      </c>
      <c r="J586" s="68">
        <f>-IFERROR(VLOOKUP(C586,SIRTAC!$A$16:$H$1405,8,0),0)</f>
        <v>-452</v>
      </c>
      <c r="K586" s="68">
        <f>-IFERROR(VLOOKUP(C586,Gastos!$A$9:$J$1398,10,0),0)</f>
        <v>-1776.36</v>
      </c>
      <c r="L586" s="68">
        <f>-IFERROR(VLOOKUP(C586,IDC!$A$20:$H$1596,8,0),0)</f>
        <v>-271.2</v>
      </c>
      <c r="M586" s="74">
        <f t="shared" si="14"/>
        <v>45200</v>
      </c>
    </row>
    <row r="587" spans="1:13" customFormat="1">
      <c r="A587" t="s">
        <v>89</v>
      </c>
      <c r="B587" t="s">
        <v>11</v>
      </c>
      <c r="C587" s="51">
        <v>137814381636</v>
      </c>
      <c r="D587" s="1">
        <v>30035.200000000001</v>
      </c>
      <c r="E587" s="1">
        <v>15330225.98</v>
      </c>
      <c r="F587" t="s">
        <v>1280</v>
      </c>
      <c r="I587" s="16">
        <f>-IFERROR(VLOOKUP(C587,SIRCUPA!$A$21:$H$186,8,0),0)</f>
        <v>0</v>
      </c>
      <c r="J587" s="68">
        <f>-IFERROR(VLOOKUP(C587,SIRTAC!$A$16:$H$1405,8,0),0)</f>
        <v>-320</v>
      </c>
      <c r="K587" s="68">
        <f>-IFERROR(VLOOKUP(C587,Gastos!$A$9:$J$1398,10,0),0)</f>
        <v>-1452.8</v>
      </c>
      <c r="L587" s="68">
        <f>-IFERROR(VLOOKUP(C587,IDC!$A$20:$H$1596,8,0),0)</f>
        <v>-192</v>
      </c>
      <c r="M587" s="74">
        <f t="shared" si="14"/>
        <v>32000</v>
      </c>
    </row>
    <row r="588" spans="1:13" customFormat="1">
      <c r="A588" t="s">
        <v>89</v>
      </c>
      <c r="B588" t="s">
        <v>11</v>
      </c>
      <c r="C588" s="51">
        <v>137815445676</v>
      </c>
      <c r="D588" s="1">
        <v>4448.71</v>
      </c>
      <c r="E588" s="1">
        <v>15334674.689999999</v>
      </c>
      <c r="F588" t="s">
        <v>1280</v>
      </c>
      <c r="I588" s="16">
        <f>-IFERROR(VLOOKUP(C588,SIRCUPA!$A$21:$H$186,8,0),0)</f>
        <v>0</v>
      </c>
      <c r="J588" s="68">
        <f>-IFERROR(VLOOKUP(C588,SIRTAC!$A$16:$H$1405,8,0),0)</f>
        <v>-49</v>
      </c>
      <c r="K588" s="68">
        <f>-IFERROR(VLOOKUP(C588,Gastos!$A$9:$J$1398,10,0),0)</f>
        <v>-372.89</v>
      </c>
      <c r="L588" s="68">
        <f>-IFERROR(VLOOKUP(C588,IDC!$A$20:$H$1596,8,0),0)</f>
        <v>-29.4</v>
      </c>
      <c r="M588" s="74">
        <f t="shared" si="14"/>
        <v>4900</v>
      </c>
    </row>
    <row r="589" spans="1:13" customFormat="1">
      <c r="A589" t="s">
        <v>89</v>
      </c>
      <c r="B589" t="s">
        <v>11</v>
      </c>
      <c r="C589" s="51">
        <v>137815561874</v>
      </c>
      <c r="D589" s="1">
        <v>54481.51</v>
      </c>
      <c r="E589" s="1">
        <v>15389156.199999999</v>
      </c>
      <c r="F589" t="s">
        <v>1280</v>
      </c>
      <c r="I589" s="16">
        <f>-IFERROR(VLOOKUP(C589,SIRCUPA!$A$21:$H$186,8,0),0)</f>
        <v>0</v>
      </c>
      <c r="J589" s="68">
        <f>-IFERROR(VLOOKUP(C589,SIRTAC!$A$16:$H$1405,8,0),0)</f>
        <v>-563</v>
      </c>
      <c r="K589" s="68">
        <f>-IFERROR(VLOOKUP(C589,Gastos!$A$9:$J$1398,10,0),0)</f>
        <v>-917.69</v>
      </c>
      <c r="L589" s="68">
        <f>-IFERROR(VLOOKUP(C589,IDC!$A$20:$H$1596,8,0),0)</f>
        <v>-337.8</v>
      </c>
      <c r="M589" s="74">
        <f t="shared" si="14"/>
        <v>56300.000000000007</v>
      </c>
    </row>
    <row r="590" spans="1:13" customFormat="1">
      <c r="A590" t="s">
        <v>89</v>
      </c>
      <c r="B590" t="s">
        <v>11</v>
      </c>
      <c r="C590" s="51">
        <v>137815657922</v>
      </c>
      <c r="D590" s="1">
        <v>4092.06</v>
      </c>
      <c r="E590" s="1">
        <v>15398760.029999999</v>
      </c>
      <c r="F590" t="s">
        <v>1280</v>
      </c>
      <c r="I590" s="16">
        <f>-IFERROR(VLOOKUP(C590,SIRCUPA!$A$21:$H$186,8,0),0)</f>
        <v>0</v>
      </c>
      <c r="J590" s="68">
        <f>-IFERROR(VLOOKUP(C590,SIRTAC!$A$16:$H$1405,8,0),0)</f>
        <v>-42</v>
      </c>
      <c r="K590" s="68">
        <f>-IFERROR(VLOOKUP(C590,Gastos!$A$9:$J$1398,10,0),0)</f>
        <v>-40.74</v>
      </c>
      <c r="L590" s="68">
        <f>-IFERROR(VLOOKUP(C590,IDC!$A$20:$H$1596,8,0),0)</f>
        <v>-25.2</v>
      </c>
      <c r="M590" s="74">
        <f t="shared" si="14"/>
        <v>4199.9999999999991</v>
      </c>
    </row>
    <row r="591" spans="1:13" customFormat="1">
      <c r="A591" t="s">
        <v>89</v>
      </c>
      <c r="B591" t="s">
        <v>11</v>
      </c>
      <c r="C591" s="51">
        <v>137816314558</v>
      </c>
      <c r="D591" s="1">
        <v>28152.06</v>
      </c>
      <c r="E591" s="1">
        <v>15426912.09</v>
      </c>
      <c r="F591" t="s">
        <v>1280</v>
      </c>
      <c r="I591" s="16">
        <f>-IFERROR(VLOOKUP(C591,SIRCUPA!$A$21:$H$186,8,0),0)</f>
        <v>0</v>
      </c>
      <c r="J591" s="68">
        <f>-IFERROR(VLOOKUP(C591,SIRTAC!$A$16:$H$1405,8,0),0)</f>
        <v>-298</v>
      </c>
      <c r="K591" s="68">
        <f>-IFERROR(VLOOKUP(C591,Gastos!$A$9:$J$1398,10,0),0)</f>
        <v>-1171.1400000000001</v>
      </c>
      <c r="L591" s="68">
        <f>-IFERROR(VLOOKUP(C591,IDC!$A$20:$H$1596,8,0),0)</f>
        <v>-178.8</v>
      </c>
      <c r="M591" s="74">
        <f t="shared" si="14"/>
        <v>29800</v>
      </c>
    </row>
    <row r="592" spans="1:13" customFormat="1">
      <c r="A592" t="s">
        <v>89</v>
      </c>
      <c r="B592" t="s">
        <v>93</v>
      </c>
      <c r="C592" s="51">
        <v>137064470797</v>
      </c>
      <c r="D592" s="1">
        <v>1468.5</v>
      </c>
      <c r="E592" s="1">
        <v>15101554.98</v>
      </c>
      <c r="F592" t="s">
        <v>1280</v>
      </c>
      <c r="I592" s="16">
        <f>-IFERROR(VLOOKUP(C592,SIRCUPA!$A$21:$H$186,8,0),0)</f>
        <v>-22.5</v>
      </c>
      <c r="J592" s="68">
        <f>-IFERROR(VLOOKUP(C592,SIRTAC!$A$16:$H$1405,8,0),0)</f>
        <v>0</v>
      </c>
      <c r="K592" s="68">
        <f>-IFERROR(VLOOKUP(C592,Gastos!$A$9:$J$1398,10,0),0)</f>
        <v>0</v>
      </c>
      <c r="L592" s="68">
        <f>-IFERROR(VLOOKUP(C592,IDC!$A$20:$H$1596,8,0),0)</f>
        <v>-9</v>
      </c>
      <c r="M592" s="74">
        <f t="shared" si="14"/>
        <v>1500</v>
      </c>
    </row>
    <row r="593" spans="1:13" customFormat="1">
      <c r="A593" t="s">
        <v>89</v>
      </c>
      <c r="B593" t="s">
        <v>11</v>
      </c>
      <c r="C593" s="51">
        <v>137817891008</v>
      </c>
      <c r="D593" s="1">
        <v>17612.14</v>
      </c>
      <c r="E593" s="1">
        <v>15446306.01</v>
      </c>
      <c r="F593" t="s">
        <v>1280</v>
      </c>
      <c r="I593" s="16">
        <f>-IFERROR(VLOOKUP(C593,SIRCUPA!$A$21:$H$186,8,0),0)</f>
        <v>0</v>
      </c>
      <c r="J593" s="68">
        <f>-IFERROR(VLOOKUP(C593,SIRTAC!$A$16:$H$1405,8,0),0)</f>
        <v>-182</v>
      </c>
      <c r="K593" s="68">
        <f>-IFERROR(VLOOKUP(C593,Gastos!$A$9:$J$1398,10,0),0)</f>
        <v>-296.66000000000003</v>
      </c>
      <c r="L593" s="68">
        <f>-IFERROR(VLOOKUP(C593,IDC!$A$20:$H$1596,8,0),0)</f>
        <v>-109.2</v>
      </c>
      <c r="M593" s="74">
        <f t="shared" si="14"/>
        <v>18200</v>
      </c>
    </row>
    <row r="594" spans="1:13" customFormat="1">
      <c r="A594" t="s">
        <v>89</v>
      </c>
      <c r="B594" t="s">
        <v>11</v>
      </c>
      <c r="C594" s="51">
        <v>137818539048</v>
      </c>
      <c r="D594" s="1">
        <v>42322.559999999998</v>
      </c>
      <c r="E594" s="1">
        <v>15488628.57</v>
      </c>
      <c r="F594" t="s">
        <v>1280</v>
      </c>
      <c r="I594" s="16">
        <f>-IFERROR(VLOOKUP(C594,SIRCUPA!$A$21:$H$186,8,0),0)</f>
        <v>0</v>
      </c>
      <c r="J594" s="68">
        <f>-IFERROR(VLOOKUP(C594,SIRTAC!$A$16:$H$1405,8,0),0)</f>
        <v>-448</v>
      </c>
      <c r="K594" s="68">
        <f>-IFERROR(VLOOKUP(C594,Gastos!$A$9:$J$1398,10,0),0)</f>
        <v>-1760.64</v>
      </c>
      <c r="L594" s="68">
        <f>-IFERROR(VLOOKUP(C594,IDC!$A$20:$H$1596,8,0),0)</f>
        <v>-268.8</v>
      </c>
      <c r="M594" s="74">
        <f t="shared" si="14"/>
        <v>44800</v>
      </c>
    </row>
    <row r="595" spans="1:13" customFormat="1">
      <c r="A595" t="s">
        <v>89</v>
      </c>
      <c r="B595" t="s">
        <v>94</v>
      </c>
      <c r="C595" s="51">
        <v>137697947034</v>
      </c>
      <c r="D595" s="1">
        <v>1042.6300000000001</v>
      </c>
      <c r="E595" s="1">
        <v>15141652.9</v>
      </c>
      <c r="F595" t="s">
        <v>1280</v>
      </c>
      <c r="I595" s="16">
        <f>-IFERROR(VLOOKUP(C595,SIRCUPA!$A$21:$H$186,8,0),0)</f>
        <v>-15.98</v>
      </c>
      <c r="J595" s="68">
        <f>-IFERROR(VLOOKUP(C595,SIRTAC!$A$16:$H$1405,8,0),0)</f>
        <v>0</v>
      </c>
      <c r="K595" s="68">
        <f>-IFERROR(VLOOKUP(C595,Gastos!$A$9:$J$1398,10,0),0)</f>
        <v>0</v>
      </c>
      <c r="L595" s="68">
        <f>-IFERROR(VLOOKUP(C595,IDC!$A$20:$H$1596,8,0),0)</f>
        <v>-6.39</v>
      </c>
      <c r="M595" s="74">
        <f t="shared" si="14"/>
        <v>1065.0000000000002</v>
      </c>
    </row>
    <row r="596" spans="1:13" customFormat="1">
      <c r="A596" t="s">
        <v>89</v>
      </c>
      <c r="B596" t="s">
        <v>11</v>
      </c>
      <c r="C596" s="51">
        <v>137184969243</v>
      </c>
      <c r="D596" s="1">
        <v>45897.54</v>
      </c>
      <c r="E596" s="1">
        <v>15534526.109999999</v>
      </c>
      <c r="F596" t="s">
        <v>1280</v>
      </c>
      <c r="I596" s="16">
        <f>-IFERROR(VLOOKUP(C596,SIRCUPA!$A$21:$H$186,8,0),0)</f>
        <v>0</v>
      </c>
      <c r="J596" s="68">
        <f>-IFERROR(VLOOKUP(C596,SIRTAC!$A$16:$H$1405,8,0),0)</f>
        <v>-489</v>
      </c>
      <c r="K596" s="68">
        <f>-IFERROR(VLOOKUP(C596,Gastos!$A$9:$J$1398,10,0),0)</f>
        <v>-2220.06</v>
      </c>
      <c r="L596" s="68">
        <f>-IFERROR(VLOOKUP(C596,IDC!$A$20:$H$1596,8,0),0)</f>
        <v>-293.39999999999998</v>
      </c>
      <c r="M596" s="74">
        <f t="shared" si="14"/>
        <v>48900</v>
      </c>
    </row>
    <row r="597" spans="1:13" customFormat="1">
      <c r="A597" t="s">
        <v>89</v>
      </c>
      <c r="B597" t="s">
        <v>11</v>
      </c>
      <c r="C597" s="51">
        <v>137819965468</v>
      </c>
      <c r="D597" s="1">
        <v>8573.84</v>
      </c>
      <c r="E597" s="1">
        <v>15543099.949999999</v>
      </c>
      <c r="F597" t="s">
        <v>1280</v>
      </c>
      <c r="I597" s="16">
        <f>-IFERROR(VLOOKUP(C597,SIRCUPA!$A$21:$H$186,8,0),0)</f>
        <v>0</v>
      </c>
      <c r="J597" s="68">
        <f>-IFERROR(VLOOKUP(C597,SIRTAC!$A$16:$H$1405,8,0),0)</f>
        <v>-88</v>
      </c>
      <c r="K597" s="68">
        <f>-IFERROR(VLOOKUP(C597,Gastos!$A$9:$J$1398,10,0),0)</f>
        <v>-85.36</v>
      </c>
      <c r="L597" s="68">
        <f>-IFERROR(VLOOKUP(C597,IDC!$A$20:$H$1596,8,0),0)</f>
        <v>-52.8</v>
      </c>
      <c r="M597" s="74">
        <f t="shared" si="14"/>
        <v>8800</v>
      </c>
    </row>
    <row r="598" spans="1:13" customFormat="1">
      <c r="A598" t="s">
        <v>89</v>
      </c>
      <c r="B598" t="s">
        <v>11</v>
      </c>
      <c r="C598" s="51">
        <v>137821059358</v>
      </c>
      <c r="D598" s="1">
        <v>22432.54</v>
      </c>
      <c r="E598" s="1">
        <v>15565532.49</v>
      </c>
      <c r="F598" t="s">
        <v>1280</v>
      </c>
      <c r="I598" s="16">
        <f>-IFERROR(VLOOKUP(C598,SIRCUPA!$A$21:$H$186,8,0),0)</f>
        <v>0</v>
      </c>
      <c r="J598" s="68">
        <f>-IFERROR(VLOOKUP(C598,SIRTAC!$A$16:$H$1405,8,0),0)</f>
        <v>-239</v>
      </c>
      <c r="K598" s="68">
        <f>-IFERROR(VLOOKUP(C598,Gastos!$A$9:$J$1398,10,0),0)</f>
        <v>-1085.06</v>
      </c>
      <c r="L598" s="68">
        <f>-IFERROR(VLOOKUP(C598,IDC!$A$20:$H$1596,8,0),0)</f>
        <v>-143.4</v>
      </c>
      <c r="M598" s="74">
        <f t="shared" si="14"/>
        <v>23900.000000000004</v>
      </c>
    </row>
    <row r="599" spans="1:13" customFormat="1">
      <c r="A599" t="s">
        <v>89</v>
      </c>
      <c r="B599" t="s">
        <v>11</v>
      </c>
      <c r="C599" s="51">
        <v>137187141275</v>
      </c>
      <c r="D599" s="1">
        <v>16532.25</v>
      </c>
      <c r="E599" s="1">
        <v>15582064.74</v>
      </c>
      <c r="F599" t="s">
        <v>1280</v>
      </c>
      <c r="I599" s="16">
        <f>-IFERROR(VLOOKUP(C599,SIRCUPA!$A$21:$H$186,8,0),0)</f>
        <v>0</v>
      </c>
      <c r="J599" s="68">
        <f>-IFERROR(VLOOKUP(C599,SIRTAC!$A$16:$H$1405,8,0),0)</f>
        <v>-175</v>
      </c>
      <c r="K599" s="68">
        <f>-IFERROR(VLOOKUP(C599,Gastos!$A$9:$J$1398,10,0),0)</f>
        <v>-687.75</v>
      </c>
      <c r="L599" s="68">
        <f>-IFERROR(VLOOKUP(C599,IDC!$A$20:$H$1596,8,0),0)</f>
        <v>-105</v>
      </c>
      <c r="M599" s="74">
        <f t="shared" si="14"/>
        <v>17500</v>
      </c>
    </row>
    <row r="600" spans="1:13" customFormat="1">
      <c r="A600" t="s">
        <v>89</v>
      </c>
      <c r="B600" t="s">
        <v>11</v>
      </c>
      <c r="C600" s="51">
        <v>137187223345</v>
      </c>
      <c r="D600" s="1">
        <v>45629.01</v>
      </c>
      <c r="E600" s="1">
        <v>15627693.75</v>
      </c>
      <c r="F600" t="s">
        <v>1280</v>
      </c>
      <c r="I600" s="16">
        <f>-IFERROR(VLOOKUP(C600,SIRCUPA!$A$21:$H$186,8,0),0)</f>
        <v>0</v>
      </c>
      <c r="J600" s="68">
        <f>-IFERROR(VLOOKUP(C600,SIRTAC!$A$16:$H$1405,8,0),0)</f>
        <v>-483</v>
      </c>
      <c r="K600" s="68">
        <f>-IFERROR(VLOOKUP(C600,Gastos!$A$9:$J$1398,10,0),0)</f>
        <v>-1898.19</v>
      </c>
      <c r="L600" s="68">
        <f>-IFERROR(VLOOKUP(C600,IDC!$A$20:$H$1596,8,0),0)</f>
        <v>-289.8</v>
      </c>
      <c r="M600" s="74">
        <f t="shared" si="14"/>
        <v>48300.000000000007</v>
      </c>
    </row>
    <row r="601" spans="1:13" customFormat="1">
      <c r="A601" t="s">
        <v>89</v>
      </c>
      <c r="B601" t="s">
        <v>11</v>
      </c>
      <c r="C601" s="51">
        <v>137187632023</v>
      </c>
      <c r="D601" s="1">
        <v>9548.14</v>
      </c>
      <c r="E601" s="1">
        <v>15637241.890000001</v>
      </c>
      <c r="F601" t="s">
        <v>1280</v>
      </c>
      <c r="I601" s="16">
        <f>-IFERROR(VLOOKUP(C601,SIRCUPA!$A$21:$H$186,8,0),0)</f>
        <v>0</v>
      </c>
      <c r="J601" s="68">
        <f>-IFERROR(VLOOKUP(C601,SIRTAC!$A$16:$H$1405,8,0),0)</f>
        <v>-98</v>
      </c>
      <c r="K601" s="68">
        <f>-IFERROR(VLOOKUP(C601,Gastos!$A$9:$J$1398,10,0),0)</f>
        <v>-95.06</v>
      </c>
      <c r="L601" s="68">
        <f>-IFERROR(VLOOKUP(C601,IDC!$A$20:$H$1596,8,0),0)</f>
        <v>-58.8</v>
      </c>
      <c r="M601" s="74">
        <f t="shared" si="14"/>
        <v>9799.9999999999982</v>
      </c>
    </row>
    <row r="602" spans="1:13" customFormat="1">
      <c r="A602" t="s">
        <v>89</v>
      </c>
      <c r="B602" t="s">
        <v>11</v>
      </c>
      <c r="C602" s="51">
        <v>137188255017</v>
      </c>
      <c r="D602" s="1">
        <v>30495.59</v>
      </c>
      <c r="E602" s="1">
        <v>15667737.48</v>
      </c>
      <c r="F602" t="s">
        <v>1280</v>
      </c>
      <c r="I602" s="16">
        <f>-IFERROR(VLOOKUP(C602,SIRCUPA!$A$21:$H$186,8,0),0)</f>
        <v>0</v>
      </c>
      <c r="J602" s="68">
        <f>-IFERROR(VLOOKUP(C602,SIRTAC!$A$16:$H$1405,8,0),0)</f>
        <v>-313</v>
      </c>
      <c r="K602" s="68">
        <f>-IFERROR(VLOOKUP(C602,Gastos!$A$9:$J$1398,10,0),0)</f>
        <v>-303.61</v>
      </c>
      <c r="L602" s="68">
        <f>-IFERROR(VLOOKUP(C602,IDC!$A$20:$H$1596,8,0),0)</f>
        <v>-187.8</v>
      </c>
      <c r="M602" s="74">
        <f t="shared" si="14"/>
        <v>31300</v>
      </c>
    </row>
    <row r="603" spans="1:13" customFormat="1">
      <c r="A603" t="s">
        <v>97</v>
      </c>
      <c r="B603" t="s">
        <v>11</v>
      </c>
      <c r="C603" s="51">
        <v>137188599895</v>
      </c>
      <c r="D603" s="1">
        <v>82127.5</v>
      </c>
      <c r="E603" s="1">
        <v>15749864.98</v>
      </c>
      <c r="F603" t="s">
        <v>1280</v>
      </c>
      <c r="I603" s="16">
        <f>-IFERROR(VLOOKUP(C603,SIRCUPA!$A$21:$H$186,8,0),0)</f>
        <v>0</v>
      </c>
      <c r="J603" s="68">
        <f>-IFERROR(VLOOKUP(C603,SIRTAC!$A$16:$H$1405,8,0),0)</f>
        <v>-875</v>
      </c>
      <c r="K603" s="68">
        <f>-IFERROR(VLOOKUP(C603,Gastos!$A$9:$J$1398,10,0),0)</f>
        <v>-3972.5</v>
      </c>
      <c r="L603" s="68">
        <f>-IFERROR(VLOOKUP(C603,IDC!$A$20:$H$1596,8,0),0)</f>
        <v>-525</v>
      </c>
      <c r="M603" s="74">
        <f t="shared" si="14"/>
        <v>87500</v>
      </c>
    </row>
    <row r="604" spans="1:13" customFormat="1">
      <c r="A604" t="s">
        <v>97</v>
      </c>
      <c r="B604" t="s">
        <v>11</v>
      </c>
      <c r="C604" s="51">
        <v>137188753725</v>
      </c>
      <c r="D604" s="1">
        <v>34103.67</v>
      </c>
      <c r="E604" s="1">
        <v>15783968.65</v>
      </c>
      <c r="F604" t="s">
        <v>1280</v>
      </c>
      <c r="I604" s="16">
        <f>-IFERROR(VLOOKUP(C604,SIRCUPA!$A$21:$H$186,8,0),0)</f>
        <v>0</v>
      </c>
      <c r="J604" s="68">
        <f>-IFERROR(VLOOKUP(C604,SIRTAC!$A$16:$H$1405,8,0),0)</f>
        <v>-361</v>
      </c>
      <c r="K604" s="68">
        <f>-IFERROR(VLOOKUP(C604,Gastos!$A$9:$J$1398,10,0),0)</f>
        <v>-1418.73</v>
      </c>
      <c r="L604" s="68">
        <f>-IFERROR(VLOOKUP(C604,IDC!$A$20:$H$1596,8,0),0)</f>
        <v>-216.6</v>
      </c>
      <c r="M604" s="74">
        <f t="shared" si="14"/>
        <v>36100</v>
      </c>
    </row>
    <row r="605" spans="1:13" customFormat="1">
      <c r="A605" t="s">
        <v>97</v>
      </c>
      <c r="B605" t="s">
        <v>11</v>
      </c>
      <c r="C605" s="51">
        <v>137188881167</v>
      </c>
      <c r="D605" s="1">
        <v>8715.84</v>
      </c>
      <c r="E605" s="1">
        <v>15792684.49</v>
      </c>
      <c r="F605" t="s">
        <v>1280</v>
      </c>
      <c r="I605" s="16">
        <f>-IFERROR(VLOOKUP(C605,SIRCUPA!$A$21:$H$186,8,0),0)</f>
        <v>0</v>
      </c>
      <c r="J605" s="68">
        <f>-IFERROR(VLOOKUP(C605,SIRTAC!$A$16:$H$1405,8,0),0)</f>
        <v>-96</v>
      </c>
      <c r="K605" s="68">
        <f>-IFERROR(VLOOKUP(C605,Gastos!$A$9:$J$1398,10,0),0)</f>
        <v>-730.56</v>
      </c>
      <c r="L605" s="68">
        <f>-IFERROR(VLOOKUP(C605,IDC!$A$20:$H$1596,8,0),0)</f>
        <v>-57.6</v>
      </c>
      <c r="M605" s="74">
        <f t="shared" si="14"/>
        <v>9600</v>
      </c>
    </row>
    <row r="606" spans="1:13" customFormat="1">
      <c r="A606" t="s">
        <v>97</v>
      </c>
      <c r="B606" t="s">
        <v>11</v>
      </c>
      <c r="C606" s="51">
        <v>137823102664</v>
      </c>
      <c r="D606" s="1">
        <v>19744.23</v>
      </c>
      <c r="E606" s="1">
        <v>15812428.720000001</v>
      </c>
      <c r="F606" t="s">
        <v>1280</v>
      </c>
      <c r="I606" s="16">
        <f>-IFERROR(VLOOKUP(C606,SIRCUPA!$A$21:$H$186,8,0),0)</f>
        <v>0</v>
      </c>
      <c r="J606" s="68">
        <f>-IFERROR(VLOOKUP(C606,SIRTAC!$A$16:$H$1405,8,0),0)</f>
        <v>-209</v>
      </c>
      <c r="K606" s="68">
        <f>-IFERROR(VLOOKUP(C606,Gastos!$A$9:$J$1398,10,0),0)</f>
        <v>-821.37</v>
      </c>
      <c r="L606" s="68">
        <f>-IFERROR(VLOOKUP(C606,IDC!$A$20:$H$1596,8,0),0)</f>
        <v>-125.4</v>
      </c>
      <c r="M606" s="74">
        <f t="shared" si="14"/>
        <v>20900</v>
      </c>
    </row>
    <row r="607" spans="1:13" customFormat="1">
      <c r="A607" t="s">
        <v>89</v>
      </c>
      <c r="B607" t="s">
        <v>95</v>
      </c>
      <c r="C607" s="51">
        <v>137181617531</v>
      </c>
      <c r="D607" s="1">
        <v>5511.77</v>
      </c>
      <c r="E607" s="1">
        <v>15394667.970000001</v>
      </c>
      <c r="F607" t="s">
        <v>1280</v>
      </c>
      <c r="I607" s="16">
        <f>-IFERROR(VLOOKUP(C607,SIRCUPA!$A$21:$H$186,8,0),0)</f>
        <v>-84.45</v>
      </c>
      <c r="J607" s="68">
        <f>-IFERROR(VLOOKUP(C607,SIRTAC!$A$16:$H$1405,8,0),0)</f>
        <v>0</v>
      </c>
      <c r="K607" s="68">
        <f>-IFERROR(VLOOKUP(C607,Gastos!$A$9:$J$1398,10,0),0)</f>
        <v>0</v>
      </c>
      <c r="L607" s="68">
        <f>-IFERROR(VLOOKUP(C607,IDC!$A$20:$H$1596,8,0),0)</f>
        <v>-33.78</v>
      </c>
      <c r="M607" s="74">
        <f t="shared" si="14"/>
        <v>5630</v>
      </c>
    </row>
    <row r="608" spans="1:13" customFormat="1">
      <c r="A608" t="s">
        <v>97</v>
      </c>
      <c r="B608" t="s">
        <v>11</v>
      </c>
      <c r="C608" s="51">
        <v>137823153712</v>
      </c>
      <c r="D608" s="1">
        <v>4092.06</v>
      </c>
      <c r="E608" s="1">
        <v>15816520.779999999</v>
      </c>
      <c r="F608" t="s">
        <v>1280</v>
      </c>
      <c r="I608" s="16">
        <f>-IFERROR(VLOOKUP(C608,SIRCUPA!$A$21:$H$186,8,0),0)</f>
        <v>0</v>
      </c>
      <c r="J608" s="68">
        <f>-IFERROR(VLOOKUP(C608,SIRTAC!$A$16:$H$1405,8,0),0)</f>
        <v>-42</v>
      </c>
      <c r="K608" s="68">
        <f>-IFERROR(VLOOKUP(C608,Gastos!$A$9:$J$1398,10,0),0)</f>
        <v>-40.74</v>
      </c>
      <c r="L608" s="68">
        <f>-IFERROR(VLOOKUP(C608,IDC!$A$20:$H$1596,8,0),0)</f>
        <v>-25.2</v>
      </c>
      <c r="M608" s="74">
        <f t="shared" si="14"/>
        <v>4199.9999999999991</v>
      </c>
    </row>
    <row r="609" spans="1:13" customFormat="1">
      <c r="A609" t="s">
        <v>97</v>
      </c>
      <c r="B609" t="s">
        <v>11</v>
      </c>
      <c r="C609" s="51">
        <v>137825138680</v>
      </c>
      <c r="D609" s="1">
        <v>32497.68</v>
      </c>
      <c r="E609" s="1">
        <v>15849018.460000001</v>
      </c>
      <c r="F609" t="s">
        <v>1280</v>
      </c>
      <c r="I609" s="16">
        <f>-IFERROR(VLOOKUP(C609,SIRCUPA!$A$21:$H$186,8,0),0)</f>
        <v>0</v>
      </c>
      <c r="J609" s="68">
        <f>-IFERROR(VLOOKUP(C609,SIRTAC!$A$16:$H$1405,8,0),0)</f>
        <v>-344</v>
      </c>
      <c r="K609" s="68">
        <f>-IFERROR(VLOOKUP(C609,Gastos!$A$9:$J$1398,10,0),0)</f>
        <v>-1351.92</v>
      </c>
      <c r="L609" s="68">
        <f>-IFERROR(VLOOKUP(C609,IDC!$A$20:$H$1596,8,0),0)</f>
        <v>-206.4</v>
      </c>
      <c r="M609" s="74">
        <f t="shared" si="14"/>
        <v>34400</v>
      </c>
    </row>
    <row r="610" spans="1:13" customFormat="1">
      <c r="A610" t="s">
        <v>89</v>
      </c>
      <c r="B610" t="s">
        <v>96</v>
      </c>
      <c r="C610" s="51">
        <v>137183950129</v>
      </c>
      <c r="D610" s="1">
        <v>1781.78</v>
      </c>
      <c r="E610" s="1">
        <v>15428693.869999999</v>
      </c>
      <c r="F610" t="s">
        <v>1280</v>
      </c>
      <c r="I610" s="16">
        <f>-IFERROR(VLOOKUP(C610,SIRCUPA!$A$21:$H$186,8,0),0)</f>
        <v>-27.3</v>
      </c>
      <c r="J610" s="68">
        <f>-IFERROR(VLOOKUP(C610,SIRTAC!$A$16:$H$1405,8,0),0)</f>
        <v>0</v>
      </c>
      <c r="K610" s="68">
        <f>-IFERROR(VLOOKUP(C610,Gastos!$A$9:$J$1398,10,0),0)</f>
        <v>0</v>
      </c>
      <c r="L610" s="68">
        <f>-IFERROR(VLOOKUP(C610,IDC!$A$20:$H$1596,8,0),0)</f>
        <v>-10.92</v>
      </c>
      <c r="M610" s="74">
        <f t="shared" si="14"/>
        <v>1820</v>
      </c>
    </row>
    <row r="611" spans="1:13" customFormat="1">
      <c r="A611" t="s">
        <v>97</v>
      </c>
      <c r="B611" t="s">
        <v>11</v>
      </c>
      <c r="C611" s="51">
        <v>137825644378</v>
      </c>
      <c r="D611" s="1">
        <v>31957.040000000001</v>
      </c>
      <c r="E611" s="1">
        <v>15880975.5</v>
      </c>
      <c r="F611" t="s">
        <v>1280</v>
      </c>
      <c r="I611" s="16">
        <f>-IFERROR(VLOOKUP(C611,SIRCUPA!$A$21:$H$186,8,0),0)</f>
        <v>0</v>
      </c>
      <c r="J611" s="68">
        <f>-IFERROR(VLOOKUP(C611,SIRTAC!$A$16:$H$1405,8,0),0)</f>
        <v>-328</v>
      </c>
      <c r="K611" s="68">
        <f>-IFERROR(VLOOKUP(C611,Gastos!$A$9:$J$1398,10,0),0)</f>
        <v>-318.16000000000003</v>
      </c>
      <c r="L611" s="68">
        <f>-IFERROR(VLOOKUP(C611,IDC!$A$20:$H$1596,8,0),0)</f>
        <v>-196.8</v>
      </c>
      <c r="M611" s="74">
        <f t="shared" si="14"/>
        <v>32800</v>
      </c>
    </row>
    <row r="612" spans="1:13" customFormat="1">
      <c r="A612" t="s">
        <v>97</v>
      </c>
      <c r="B612" t="s">
        <v>11</v>
      </c>
      <c r="C612" s="51">
        <v>137192517701</v>
      </c>
      <c r="D612" s="1">
        <v>9450.7099999999991</v>
      </c>
      <c r="E612" s="1">
        <v>15890426.210000001</v>
      </c>
      <c r="F612" t="s">
        <v>1280</v>
      </c>
      <c r="I612" s="16">
        <f>-IFERROR(VLOOKUP(C612,SIRCUPA!$A$21:$H$186,8,0),0)</f>
        <v>0</v>
      </c>
      <c r="J612" s="68">
        <f>-IFERROR(VLOOKUP(C612,SIRTAC!$A$16:$H$1405,8,0),0)</f>
        <v>-97</v>
      </c>
      <c r="K612" s="68">
        <f>-IFERROR(VLOOKUP(C612,Gastos!$A$9:$J$1398,10,0),0)</f>
        <v>-94.09</v>
      </c>
      <c r="L612" s="68">
        <f>-IFERROR(VLOOKUP(C612,IDC!$A$20:$H$1596,8,0),0)</f>
        <v>-58.2</v>
      </c>
      <c r="M612" s="74">
        <f t="shared" si="14"/>
        <v>9700</v>
      </c>
    </row>
    <row r="613" spans="1:13" customFormat="1">
      <c r="A613" t="s">
        <v>97</v>
      </c>
      <c r="B613" t="s">
        <v>11</v>
      </c>
      <c r="C613" s="51">
        <v>137193138653</v>
      </c>
      <c r="D613" s="1">
        <v>32100.12</v>
      </c>
      <c r="E613" s="1">
        <v>15922526.33</v>
      </c>
      <c r="F613" t="s">
        <v>1280</v>
      </c>
      <c r="I613" s="16">
        <f>-IFERROR(VLOOKUP(C613,SIRCUPA!$A$21:$H$186,8,0),0)</f>
        <v>0</v>
      </c>
      <c r="J613" s="68">
        <f>-IFERROR(VLOOKUP(C613,SIRTAC!$A$16:$H$1405,8,0),0)</f>
        <v>-342</v>
      </c>
      <c r="K613" s="68">
        <f>-IFERROR(VLOOKUP(C613,Gastos!$A$9:$J$1398,10,0),0)</f>
        <v>-1552.68</v>
      </c>
      <c r="L613" s="68">
        <f>-IFERROR(VLOOKUP(C613,IDC!$A$20:$H$1596,8,0),0)</f>
        <v>-205.2</v>
      </c>
      <c r="M613" s="74">
        <f t="shared" si="14"/>
        <v>34199.999999999993</v>
      </c>
    </row>
    <row r="614" spans="1:13" customFormat="1">
      <c r="A614" t="s">
        <v>97</v>
      </c>
      <c r="B614" t="s">
        <v>11</v>
      </c>
      <c r="C614" s="51">
        <v>137193254909</v>
      </c>
      <c r="D614" s="1">
        <v>85211.94</v>
      </c>
      <c r="E614" s="1">
        <v>16007738.27</v>
      </c>
      <c r="F614" t="s">
        <v>1280</v>
      </c>
      <c r="I614" s="16">
        <f>-IFERROR(VLOOKUP(C614,SIRCUPA!$A$21:$H$186,8,0),0)</f>
        <v>0</v>
      </c>
      <c r="J614" s="68">
        <f>-IFERROR(VLOOKUP(C614,SIRTAC!$A$16:$H$1405,8,0),0)</f>
        <v>-902</v>
      </c>
      <c r="K614" s="68">
        <f>-IFERROR(VLOOKUP(C614,Gastos!$A$9:$J$1398,10,0),0)</f>
        <v>-3544.86</v>
      </c>
      <c r="L614" s="68">
        <f>-IFERROR(VLOOKUP(C614,IDC!$A$20:$H$1596,8,0),0)</f>
        <v>-541.20000000000005</v>
      </c>
      <c r="M614" s="74">
        <f t="shared" si="14"/>
        <v>90200</v>
      </c>
    </row>
    <row r="615" spans="1:13" customFormat="1">
      <c r="A615" t="s">
        <v>97</v>
      </c>
      <c r="B615" t="s">
        <v>11</v>
      </c>
      <c r="C615" s="51">
        <v>137827259984</v>
      </c>
      <c r="D615" s="1">
        <v>15493.08</v>
      </c>
      <c r="E615" s="1">
        <v>16023231.35</v>
      </c>
      <c r="F615" t="s">
        <v>1280</v>
      </c>
      <c r="I615" s="16">
        <f>-IFERROR(VLOOKUP(C615,SIRCUPA!$A$21:$H$186,8,0),0)</f>
        <v>0</v>
      </c>
      <c r="J615" s="68">
        <f>-IFERROR(VLOOKUP(C615,SIRTAC!$A$16:$H$1405,8,0),0)</f>
        <v>-164</v>
      </c>
      <c r="K615" s="68">
        <f>-IFERROR(VLOOKUP(C615,Gastos!$A$9:$J$1398,10,0),0)</f>
        <v>-644.52</v>
      </c>
      <c r="L615" s="68">
        <f>-IFERROR(VLOOKUP(C615,IDC!$A$20:$H$1596,8,0),0)</f>
        <v>-98.4</v>
      </c>
      <c r="M615" s="74">
        <f t="shared" si="14"/>
        <v>16400</v>
      </c>
    </row>
    <row r="616" spans="1:13" customFormat="1">
      <c r="A616" t="s">
        <v>97</v>
      </c>
      <c r="B616" t="s">
        <v>11</v>
      </c>
      <c r="C616" s="51">
        <v>137193951755</v>
      </c>
      <c r="D616" s="1">
        <v>35172.230000000003</v>
      </c>
      <c r="E616" s="1">
        <v>16058403.58</v>
      </c>
      <c r="F616" t="s">
        <v>1280</v>
      </c>
      <c r="I616" s="16">
        <f>-IFERROR(VLOOKUP(C616,SIRCUPA!$A$21:$H$186,8,0),0)</f>
        <v>0</v>
      </c>
      <c r="J616" s="68">
        <f>-IFERROR(VLOOKUP(C616,SIRTAC!$A$16:$H$1405,8,0),0)</f>
        <v>-361</v>
      </c>
      <c r="K616" s="68">
        <f>-IFERROR(VLOOKUP(C616,Gastos!$A$9:$J$1398,10,0),0)</f>
        <v>-350.17</v>
      </c>
      <c r="L616" s="68">
        <f>-IFERROR(VLOOKUP(C616,IDC!$A$20:$H$1596,8,0),0)</f>
        <v>-216.6</v>
      </c>
      <c r="M616" s="74">
        <f t="shared" ref="M616:M679" si="15">+D616-I616-J616-K616-L616</f>
        <v>36100</v>
      </c>
    </row>
    <row r="617" spans="1:13" customFormat="1">
      <c r="A617" t="s">
        <v>97</v>
      </c>
      <c r="B617" t="s">
        <v>11</v>
      </c>
      <c r="C617" s="51">
        <v>137828147806</v>
      </c>
      <c r="D617" s="1">
        <v>52514.77</v>
      </c>
      <c r="E617" s="1">
        <v>16110918.35</v>
      </c>
      <c r="F617" t="s">
        <v>1280</v>
      </c>
      <c r="I617" s="16">
        <f>-IFERROR(VLOOKUP(C617,SIRCUPA!$A$21:$H$186,8,0),0)</f>
        <v>0</v>
      </c>
      <c r="J617" s="68">
        <f>-IFERROR(VLOOKUP(C617,SIRTAC!$A$16:$H$1405,8,0),0)</f>
        <v>-539</v>
      </c>
      <c r="K617" s="68">
        <f>-IFERROR(VLOOKUP(C617,Gastos!$A$9:$J$1398,10,0),0)</f>
        <v>-522.83000000000004</v>
      </c>
      <c r="L617" s="68">
        <f>-IFERROR(VLOOKUP(C617,IDC!$A$20:$H$1596,8,0),0)</f>
        <v>-323.39999999999998</v>
      </c>
      <c r="M617" s="74">
        <f t="shared" si="15"/>
        <v>53900</v>
      </c>
    </row>
    <row r="618" spans="1:13" customFormat="1">
      <c r="A618" t="s">
        <v>97</v>
      </c>
      <c r="B618" t="s">
        <v>11</v>
      </c>
      <c r="C618" s="51">
        <v>137194238351</v>
      </c>
      <c r="D618" s="1">
        <v>52125.05</v>
      </c>
      <c r="E618" s="1">
        <v>16168320.210000001</v>
      </c>
      <c r="F618" t="s">
        <v>1280</v>
      </c>
      <c r="I618" s="16">
        <f>-IFERROR(VLOOKUP(C618,SIRCUPA!$A$21:$H$186,8,0),0)</f>
        <v>0</v>
      </c>
      <c r="J618" s="68">
        <f>-IFERROR(VLOOKUP(C618,SIRTAC!$A$16:$H$1405,8,0),0)</f>
        <v>-535</v>
      </c>
      <c r="K618" s="68">
        <f>-IFERROR(VLOOKUP(C618,Gastos!$A$9:$J$1398,10,0),0)</f>
        <v>-518.95000000000005</v>
      </c>
      <c r="L618" s="68">
        <f>-IFERROR(VLOOKUP(C618,IDC!$A$20:$H$1596,8,0),0)</f>
        <v>-321</v>
      </c>
      <c r="M618" s="74">
        <f t="shared" si="15"/>
        <v>53500</v>
      </c>
    </row>
    <row r="619" spans="1:13" customFormat="1">
      <c r="A619" t="s">
        <v>97</v>
      </c>
      <c r="B619" t="s">
        <v>11</v>
      </c>
      <c r="C619" s="51">
        <v>137828514220</v>
      </c>
      <c r="D619" s="1">
        <v>18219.41</v>
      </c>
      <c r="E619" s="1">
        <v>16189158.439999999</v>
      </c>
      <c r="F619" t="s">
        <v>1280</v>
      </c>
      <c r="I619" s="16">
        <f>-IFERROR(VLOOKUP(C619,SIRCUPA!$A$21:$H$186,8,0),0)</f>
        <v>0</v>
      </c>
      <c r="J619" s="68">
        <f>-IFERROR(VLOOKUP(C619,SIRTAC!$A$16:$H$1405,8,0),0)</f>
        <v>-187</v>
      </c>
      <c r="K619" s="68">
        <f>-IFERROR(VLOOKUP(C619,Gastos!$A$9:$J$1398,10,0),0)</f>
        <v>-181.39</v>
      </c>
      <c r="L619" s="68">
        <f>-IFERROR(VLOOKUP(C619,IDC!$A$20:$H$1596,8,0),0)</f>
        <v>-112.2</v>
      </c>
      <c r="M619" s="74">
        <f t="shared" si="15"/>
        <v>18700</v>
      </c>
    </row>
    <row r="620" spans="1:13" customFormat="1">
      <c r="A620" t="s">
        <v>97</v>
      </c>
      <c r="B620" t="s">
        <v>11</v>
      </c>
      <c r="C620" s="51">
        <v>137828669992</v>
      </c>
      <c r="D620" s="1">
        <v>29514.85</v>
      </c>
      <c r="E620" s="1">
        <v>16218673.289999999</v>
      </c>
      <c r="F620" t="s">
        <v>1280</v>
      </c>
      <c r="I620" s="16">
        <f>-IFERROR(VLOOKUP(C620,SIRCUPA!$A$21:$H$186,8,0),0)</f>
        <v>0</v>
      </c>
      <c r="J620" s="68">
        <f>-IFERROR(VLOOKUP(C620,SIRTAC!$A$16:$H$1405,8,0),0)</f>
        <v>-305</v>
      </c>
      <c r="K620" s="68">
        <f>-IFERROR(VLOOKUP(C620,Gastos!$A$9:$J$1398,10,0),0)</f>
        <v>-497.15</v>
      </c>
      <c r="L620" s="68">
        <f>-IFERROR(VLOOKUP(C620,IDC!$A$20:$H$1596,8,0),0)</f>
        <v>-183</v>
      </c>
      <c r="M620" s="74">
        <f t="shared" si="15"/>
        <v>30500</v>
      </c>
    </row>
    <row r="621" spans="1:13" customFormat="1">
      <c r="A621" t="s">
        <v>97</v>
      </c>
      <c r="B621" t="s">
        <v>11</v>
      </c>
      <c r="C621" s="51">
        <v>137194977689</v>
      </c>
      <c r="D621" s="1">
        <v>14517.07</v>
      </c>
      <c r="E621" s="1">
        <v>16234683.33</v>
      </c>
      <c r="F621" t="s">
        <v>1280</v>
      </c>
      <c r="I621" s="16">
        <f>-IFERROR(VLOOKUP(C621,SIRCUPA!$A$21:$H$186,8,0),0)</f>
        <v>0</v>
      </c>
      <c r="J621" s="68">
        <f>-IFERROR(VLOOKUP(C621,SIRTAC!$A$16:$H$1405,8,0),0)</f>
        <v>-149</v>
      </c>
      <c r="K621" s="68">
        <f>-IFERROR(VLOOKUP(C621,Gastos!$A$9:$J$1398,10,0),0)</f>
        <v>-144.53</v>
      </c>
      <c r="L621" s="68">
        <f>-IFERROR(VLOOKUP(C621,IDC!$A$20:$H$1596,8,0),0)</f>
        <v>-89.4</v>
      </c>
      <c r="M621" s="74">
        <f t="shared" si="15"/>
        <v>14900</v>
      </c>
    </row>
    <row r="622" spans="1:13" customFormat="1">
      <c r="A622" t="s">
        <v>97</v>
      </c>
      <c r="B622" t="s">
        <v>11</v>
      </c>
      <c r="C622" s="51">
        <v>137195240283</v>
      </c>
      <c r="D622" s="1">
        <v>5358.65</v>
      </c>
      <c r="E622" s="1">
        <v>16240041.98</v>
      </c>
      <c r="F622" t="s">
        <v>1280</v>
      </c>
      <c r="I622" s="16">
        <f>-IFERROR(VLOOKUP(C622,SIRCUPA!$A$21:$H$186,8,0),0)</f>
        <v>0</v>
      </c>
      <c r="J622" s="68">
        <f>-IFERROR(VLOOKUP(C622,SIRTAC!$A$16:$H$1405,8,0),0)</f>
        <v>-55</v>
      </c>
      <c r="K622" s="68">
        <f>-IFERROR(VLOOKUP(C622,Gastos!$A$9:$J$1398,10,0),0)</f>
        <v>-53.35</v>
      </c>
      <c r="L622" s="68">
        <f>-IFERROR(VLOOKUP(C622,IDC!$A$20:$H$1596,8,0),0)</f>
        <v>-33</v>
      </c>
      <c r="M622" s="74">
        <f t="shared" si="15"/>
        <v>5500</v>
      </c>
    </row>
    <row r="623" spans="1:13" customFormat="1">
      <c r="A623" t="s">
        <v>97</v>
      </c>
      <c r="B623" t="s">
        <v>11</v>
      </c>
      <c r="C623" s="51">
        <v>137195238631</v>
      </c>
      <c r="D623" s="1">
        <v>33613.35</v>
      </c>
      <c r="E623" s="1">
        <v>16273924.550000001</v>
      </c>
      <c r="F623" t="s">
        <v>1280</v>
      </c>
      <c r="I623" s="16">
        <f>-IFERROR(VLOOKUP(C623,SIRCUPA!$A$21:$H$186,8,0),0)</f>
        <v>0</v>
      </c>
      <c r="J623" s="68">
        <f>-IFERROR(VLOOKUP(C623,SIRTAC!$A$16:$H$1405,8,0),0)</f>
        <v>-345</v>
      </c>
      <c r="K623" s="68">
        <f>-IFERROR(VLOOKUP(C623,Gastos!$A$9:$J$1398,10,0),0)</f>
        <v>-334.65</v>
      </c>
      <c r="L623" s="68">
        <f>-IFERROR(VLOOKUP(C623,IDC!$A$20:$H$1596,8,0),0)</f>
        <v>-207</v>
      </c>
      <c r="M623" s="74">
        <f t="shared" si="15"/>
        <v>34500</v>
      </c>
    </row>
    <row r="624" spans="1:13" customFormat="1">
      <c r="A624" t="s">
        <v>97</v>
      </c>
      <c r="B624" t="s">
        <v>11</v>
      </c>
      <c r="C624" s="51">
        <v>137195257543</v>
      </c>
      <c r="D624" s="1">
        <v>103350.36</v>
      </c>
      <c r="E624" s="1">
        <v>16377274.91</v>
      </c>
      <c r="F624" t="s">
        <v>1280</v>
      </c>
      <c r="I624" s="16">
        <f>-IFERROR(VLOOKUP(C624,SIRCUPA!$A$21:$H$186,8,0),0)</f>
        <v>0</v>
      </c>
      <c r="J624" s="68">
        <f>-IFERROR(VLOOKUP(C624,SIRTAC!$A$16:$H$1405,8,0),0)</f>
        <v>-1068</v>
      </c>
      <c r="K624" s="68">
        <f>-IFERROR(VLOOKUP(C624,Gastos!$A$9:$J$1398,10,0),0)</f>
        <v>-1740.84</v>
      </c>
      <c r="L624" s="68">
        <f>-IFERROR(VLOOKUP(C624,IDC!$A$20:$H$1596,8,0),0)</f>
        <v>-640.79999999999995</v>
      </c>
      <c r="M624" s="74">
        <f t="shared" si="15"/>
        <v>106800</v>
      </c>
    </row>
    <row r="625" spans="1:13" customFormat="1">
      <c r="A625" t="s">
        <v>97</v>
      </c>
      <c r="B625" t="s">
        <v>11</v>
      </c>
      <c r="C625" s="51">
        <v>137829359830</v>
      </c>
      <c r="D625" s="1">
        <v>13055.62</v>
      </c>
      <c r="E625" s="1">
        <v>16390330.529999999</v>
      </c>
      <c r="F625" t="s">
        <v>1280</v>
      </c>
      <c r="I625" s="16">
        <f>-IFERROR(VLOOKUP(C625,SIRCUPA!$A$21:$H$186,8,0),0)</f>
        <v>0</v>
      </c>
      <c r="J625" s="68">
        <f>-IFERROR(VLOOKUP(C625,SIRTAC!$A$16:$H$1405,8,0),0)</f>
        <v>-134</v>
      </c>
      <c r="K625" s="68">
        <f>-IFERROR(VLOOKUP(C625,Gastos!$A$9:$J$1398,10,0),0)</f>
        <v>-129.97999999999999</v>
      </c>
      <c r="L625" s="68">
        <f>-IFERROR(VLOOKUP(C625,IDC!$A$20:$H$1596,8,0),0)</f>
        <v>-80.400000000000006</v>
      </c>
      <c r="M625" s="74">
        <f t="shared" si="15"/>
        <v>13400</v>
      </c>
    </row>
    <row r="626" spans="1:13" customFormat="1">
      <c r="A626" t="s">
        <v>97</v>
      </c>
      <c r="B626" t="s">
        <v>11</v>
      </c>
      <c r="C626" s="51">
        <v>137829503666</v>
      </c>
      <c r="D626" s="1">
        <v>20655.16</v>
      </c>
      <c r="E626" s="1">
        <v>16410985.689999999</v>
      </c>
      <c r="F626" t="s">
        <v>1280</v>
      </c>
      <c r="I626" s="16">
        <f>-IFERROR(VLOOKUP(C626,SIRCUPA!$A$21:$H$186,8,0),0)</f>
        <v>0</v>
      </c>
      <c r="J626" s="68">
        <f>-IFERROR(VLOOKUP(C626,SIRTAC!$A$16:$H$1405,8,0),0)</f>
        <v>-212</v>
      </c>
      <c r="K626" s="68">
        <f>-IFERROR(VLOOKUP(C626,Gastos!$A$9:$J$1398,10,0),0)</f>
        <v>-205.64</v>
      </c>
      <c r="L626" s="68">
        <f>-IFERROR(VLOOKUP(C626,IDC!$A$20:$H$1596,8,0),0)</f>
        <v>-127.2</v>
      </c>
      <c r="M626" s="74">
        <f t="shared" si="15"/>
        <v>21200</v>
      </c>
    </row>
    <row r="627" spans="1:13" customFormat="1">
      <c r="A627" t="s">
        <v>97</v>
      </c>
      <c r="B627" t="s">
        <v>11</v>
      </c>
      <c r="C627" s="51">
        <v>137195473277</v>
      </c>
      <c r="D627" s="1">
        <v>21726.89</v>
      </c>
      <c r="E627" s="1">
        <v>16433750.32</v>
      </c>
      <c r="F627" t="s">
        <v>1280</v>
      </c>
      <c r="I627" s="16">
        <f>-IFERROR(VLOOKUP(C627,SIRCUPA!$A$21:$H$186,8,0),0)</f>
        <v>0</v>
      </c>
      <c r="J627" s="68">
        <f>-IFERROR(VLOOKUP(C627,SIRTAC!$A$16:$H$1405,8,0),0)</f>
        <v>-223</v>
      </c>
      <c r="K627" s="68">
        <f>-IFERROR(VLOOKUP(C627,Gastos!$A$9:$J$1398,10,0),0)</f>
        <v>-216.31</v>
      </c>
      <c r="L627" s="68">
        <f>-IFERROR(VLOOKUP(C627,IDC!$A$20:$H$1596,8,0),0)</f>
        <v>-133.80000000000001</v>
      </c>
      <c r="M627" s="74">
        <f t="shared" si="15"/>
        <v>22300</v>
      </c>
    </row>
    <row r="628" spans="1:13" customFormat="1">
      <c r="A628" t="s">
        <v>97</v>
      </c>
      <c r="B628" t="s">
        <v>11</v>
      </c>
      <c r="C628" s="51">
        <v>137829747920</v>
      </c>
      <c r="D628" s="1">
        <v>10327.58</v>
      </c>
      <c r="E628" s="1">
        <v>16444077.9</v>
      </c>
      <c r="F628" t="s">
        <v>1280</v>
      </c>
      <c r="I628" s="16">
        <f>-IFERROR(VLOOKUP(C628,SIRCUPA!$A$21:$H$186,8,0),0)</f>
        <v>0</v>
      </c>
      <c r="J628" s="68">
        <f>-IFERROR(VLOOKUP(C628,SIRTAC!$A$16:$H$1405,8,0),0)</f>
        <v>-106</v>
      </c>
      <c r="K628" s="68">
        <f>-IFERROR(VLOOKUP(C628,Gastos!$A$9:$J$1398,10,0),0)</f>
        <v>-102.82</v>
      </c>
      <c r="L628" s="68">
        <f>-IFERROR(VLOOKUP(C628,IDC!$A$20:$H$1596,8,0),0)</f>
        <v>-63.6</v>
      </c>
      <c r="M628" s="74">
        <f t="shared" si="15"/>
        <v>10600</v>
      </c>
    </row>
    <row r="629" spans="1:13" customFormat="1">
      <c r="A629" t="s">
        <v>97</v>
      </c>
      <c r="B629" t="s">
        <v>11</v>
      </c>
      <c r="C629" s="51">
        <v>137196458579</v>
      </c>
      <c r="D629" s="1">
        <v>49933.32</v>
      </c>
      <c r="E629" s="1">
        <v>16494011.220000001</v>
      </c>
      <c r="F629" t="s">
        <v>1280</v>
      </c>
      <c r="I629" s="16">
        <f>-IFERROR(VLOOKUP(C629,SIRCUPA!$A$21:$H$186,8,0),0)</f>
        <v>0</v>
      </c>
      <c r="J629" s="68">
        <f>-IFERROR(VLOOKUP(C629,SIRTAC!$A$16:$H$1405,8,0),0)</f>
        <v>-516</v>
      </c>
      <c r="K629" s="68">
        <f>-IFERROR(VLOOKUP(C629,Gastos!$A$9:$J$1398,10,0),0)</f>
        <v>-841.08</v>
      </c>
      <c r="L629" s="68">
        <f>-IFERROR(VLOOKUP(C629,IDC!$A$20:$H$1596,8,0),0)</f>
        <v>-309.60000000000002</v>
      </c>
      <c r="M629" s="74">
        <f t="shared" si="15"/>
        <v>51600</v>
      </c>
    </row>
    <row r="630" spans="1:13" customFormat="1">
      <c r="A630" t="s">
        <v>97</v>
      </c>
      <c r="B630" t="s">
        <v>11</v>
      </c>
      <c r="C630" s="51">
        <v>137830863958</v>
      </c>
      <c r="D630" s="1">
        <v>163487.54</v>
      </c>
      <c r="E630" s="1">
        <v>16657498.76</v>
      </c>
      <c r="F630" t="s">
        <v>1280</v>
      </c>
      <c r="I630" s="16">
        <f>-IFERROR(VLOOKUP(C630,SIRCUPA!$A$21:$H$186,8,0),0)</f>
        <v>0</v>
      </c>
      <c r="J630" s="68">
        <f>-IFERROR(VLOOKUP(C630,SIRTAC!$A$16:$H$1405,8,0),0)</f>
        <v>-1678</v>
      </c>
      <c r="K630" s="68">
        <f>-IFERROR(VLOOKUP(C630,Gastos!$A$9:$J$1398,10,0),0)</f>
        <v>-1627.66</v>
      </c>
      <c r="L630" s="68">
        <f>-IFERROR(VLOOKUP(C630,IDC!$A$20:$H$1596,8,0),0)</f>
        <v>-1006.8</v>
      </c>
      <c r="M630" s="74">
        <f t="shared" si="15"/>
        <v>167800</v>
      </c>
    </row>
    <row r="631" spans="1:13" customFormat="1">
      <c r="A631" t="s">
        <v>97</v>
      </c>
      <c r="B631" t="s">
        <v>11</v>
      </c>
      <c r="C631" s="51">
        <v>137831029106</v>
      </c>
      <c r="D631" s="1">
        <v>8671.27</v>
      </c>
      <c r="E631" s="1">
        <v>16666170.029999999</v>
      </c>
      <c r="F631" t="s">
        <v>1280</v>
      </c>
      <c r="I631" s="16">
        <f>-IFERROR(VLOOKUP(C631,SIRCUPA!$A$21:$H$186,8,0),0)</f>
        <v>0</v>
      </c>
      <c r="J631" s="68">
        <f>-IFERROR(VLOOKUP(C631,SIRTAC!$A$16:$H$1405,8,0),0)</f>
        <v>-89</v>
      </c>
      <c r="K631" s="68">
        <f>-IFERROR(VLOOKUP(C631,Gastos!$A$9:$J$1398,10,0),0)</f>
        <v>-86.33</v>
      </c>
      <c r="L631" s="68">
        <f>-IFERROR(VLOOKUP(C631,IDC!$A$20:$H$1596,8,0),0)</f>
        <v>-53.4</v>
      </c>
      <c r="M631" s="74">
        <f t="shared" si="15"/>
        <v>8900</v>
      </c>
    </row>
    <row r="632" spans="1:13" customFormat="1">
      <c r="A632" t="s">
        <v>97</v>
      </c>
      <c r="B632" t="s">
        <v>11</v>
      </c>
      <c r="C632" s="51">
        <v>137197267481</v>
      </c>
      <c r="D632" s="1">
        <v>14805.81</v>
      </c>
      <c r="E632" s="1">
        <v>16680975.84</v>
      </c>
      <c r="F632" t="s">
        <v>1280</v>
      </c>
      <c r="I632" s="16">
        <f>-IFERROR(VLOOKUP(C632,SIRCUPA!$A$21:$H$186,8,0),0)</f>
        <v>0</v>
      </c>
      <c r="J632" s="68">
        <f>-IFERROR(VLOOKUP(C632,SIRTAC!$A$16:$H$1405,8,0),0)</f>
        <v>-153</v>
      </c>
      <c r="K632" s="68">
        <f>-IFERROR(VLOOKUP(C632,Gastos!$A$9:$J$1398,10,0),0)</f>
        <v>-249.39</v>
      </c>
      <c r="L632" s="68">
        <f>-IFERROR(VLOOKUP(C632,IDC!$A$20:$H$1596,8,0),0)</f>
        <v>-91.8</v>
      </c>
      <c r="M632" s="74">
        <f t="shared" si="15"/>
        <v>15299.999999999998</v>
      </c>
    </row>
    <row r="633" spans="1:13" customFormat="1">
      <c r="A633" t="s">
        <v>97</v>
      </c>
      <c r="B633" t="s">
        <v>98</v>
      </c>
      <c r="C633" s="51">
        <v>137194166731</v>
      </c>
      <c r="D633" s="1">
        <v>5276.81</v>
      </c>
      <c r="E633" s="1">
        <v>16116195.16</v>
      </c>
      <c r="F633" t="s">
        <v>1280</v>
      </c>
      <c r="I633" s="16">
        <f>-IFERROR(VLOOKUP(C633,SIRCUPA!$A$21:$H$186,8,0),0)</f>
        <v>-80.849999999999994</v>
      </c>
      <c r="J633" s="68">
        <f>-IFERROR(VLOOKUP(C633,SIRTAC!$A$16:$H$1405,8,0),0)</f>
        <v>0</v>
      </c>
      <c r="K633" s="68">
        <f>-IFERROR(VLOOKUP(C633,Gastos!$A$9:$J$1398,10,0),0)</f>
        <v>0</v>
      </c>
      <c r="L633" s="68">
        <f>-IFERROR(VLOOKUP(C633,IDC!$A$20:$H$1596,8,0),0)</f>
        <v>-32.340000000000003</v>
      </c>
      <c r="M633" s="74">
        <f t="shared" si="15"/>
        <v>5390.0000000000009</v>
      </c>
    </row>
    <row r="634" spans="1:13" customFormat="1">
      <c r="A634" t="s">
        <v>97</v>
      </c>
      <c r="B634" t="s">
        <v>11</v>
      </c>
      <c r="C634" s="51">
        <v>137831398946</v>
      </c>
      <c r="D634" s="1">
        <v>21434.6</v>
      </c>
      <c r="E634" s="1">
        <v>16702410.439999999</v>
      </c>
      <c r="F634" t="s">
        <v>1280</v>
      </c>
      <c r="I634" s="16">
        <f>-IFERROR(VLOOKUP(C634,SIRCUPA!$A$21:$H$186,8,0),0)</f>
        <v>0</v>
      </c>
      <c r="J634" s="68">
        <f>-IFERROR(VLOOKUP(C634,SIRTAC!$A$16:$H$1405,8,0),0)</f>
        <v>-220</v>
      </c>
      <c r="K634" s="68">
        <f>-IFERROR(VLOOKUP(C634,Gastos!$A$9:$J$1398,10,0),0)</f>
        <v>-213.4</v>
      </c>
      <c r="L634" s="68">
        <f>-IFERROR(VLOOKUP(C634,IDC!$A$20:$H$1596,8,0),0)</f>
        <v>-132</v>
      </c>
      <c r="M634" s="74">
        <f t="shared" si="15"/>
        <v>22000</v>
      </c>
    </row>
    <row r="635" spans="1:13" customFormat="1">
      <c r="A635" t="s">
        <v>97</v>
      </c>
      <c r="B635" t="s">
        <v>99</v>
      </c>
      <c r="C635" s="51">
        <v>137194236351</v>
      </c>
      <c r="D635" s="1">
        <v>2618.8200000000002</v>
      </c>
      <c r="E635" s="1">
        <v>16170939.029999999</v>
      </c>
      <c r="F635" t="s">
        <v>1280</v>
      </c>
      <c r="I635" s="16">
        <f>-IFERROR(VLOOKUP(C635,SIRCUPA!$A$21:$H$186,8,0),0)</f>
        <v>-40.130000000000003</v>
      </c>
      <c r="J635" s="68">
        <f>-IFERROR(VLOOKUP(C635,SIRTAC!$A$16:$H$1405,8,0),0)</f>
        <v>0</v>
      </c>
      <c r="K635" s="68">
        <f>-IFERROR(VLOOKUP(C635,Gastos!$A$9:$J$1398,10,0),0)</f>
        <v>0</v>
      </c>
      <c r="L635" s="68">
        <f>-IFERROR(VLOOKUP(C635,IDC!$A$20:$H$1596,8,0),0)</f>
        <v>-16.05</v>
      </c>
      <c r="M635" s="74">
        <f t="shared" si="15"/>
        <v>2675.0000000000005</v>
      </c>
    </row>
    <row r="636" spans="1:13" customFormat="1">
      <c r="A636" t="s">
        <v>97</v>
      </c>
      <c r="B636" t="s">
        <v>11</v>
      </c>
      <c r="C636" s="51">
        <v>137831433098</v>
      </c>
      <c r="D636" s="1">
        <v>14322.21</v>
      </c>
      <c r="E636" s="1">
        <v>16716732.65</v>
      </c>
      <c r="F636" t="s">
        <v>1280</v>
      </c>
      <c r="I636" s="16">
        <f>-IFERROR(VLOOKUP(C636,SIRCUPA!$A$21:$H$186,8,0),0)</f>
        <v>0</v>
      </c>
      <c r="J636" s="68">
        <f>-IFERROR(VLOOKUP(C636,SIRTAC!$A$16:$H$1405,8,0),0)</f>
        <v>-147</v>
      </c>
      <c r="K636" s="68">
        <f>-IFERROR(VLOOKUP(C636,Gastos!$A$9:$J$1398,10,0),0)</f>
        <v>-142.59</v>
      </c>
      <c r="L636" s="68">
        <f>-IFERROR(VLOOKUP(C636,IDC!$A$20:$H$1596,8,0),0)</f>
        <v>-88.2</v>
      </c>
      <c r="M636" s="74">
        <f t="shared" si="15"/>
        <v>14700</v>
      </c>
    </row>
    <row r="637" spans="1:13" customFormat="1">
      <c r="A637" t="s">
        <v>97</v>
      </c>
      <c r="B637" t="s">
        <v>11</v>
      </c>
      <c r="C637" s="51">
        <v>137272856787</v>
      </c>
      <c r="D637" s="1">
        <v>25331.8</v>
      </c>
      <c r="E637" s="1">
        <v>16742064.449999999</v>
      </c>
      <c r="F637" t="s">
        <v>1280</v>
      </c>
      <c r="I637" s="16">
        <f>-IFERROR(VLOOKUP(C637,SIRCUPA!$A$21:$H$186,8,0),0)</f>
        <v>0</v>
      </c>
      <c r="J637" s="68">
        <f>-IFERROR(VLOOKUP(C637,SIRTAC!$A$16:$H$1405,8,0),0)</f>
        <v>-260</v>
      </c>
      <c r="K637" s="68">
        <f>-IFERROR(VLOOKUP(C637,Gastos!$A$9:$J$1398,10,0),0)</f>
        <v>-252.2</v>
      </c>
      <c r="L637" s="68">
        <f>-IFERROR(VLOOKUP(C637,IDC!$A$20:$H$1596,8,0),0)</f>
        <v>-156</v>
      </c>
      <c r="M637" s="74">
        <f t="shared" si="15"/>
        <v>26000</v>
      </c>
    </row>
    <row r="638" spans="1:13" customFormat="1">
      <c r="A638" t="s">
        <v>97</v>
      </c>
      <c r="B638" t="s">
        <v>100</v>
      </c>
      <c r="C638" s="51">
        <v>137828683812</v>
      </c>
      <c r="D638" s="1">
        <v>1492.97</v>
      </c>
      <c r="E638" s="1">
        <v>16220166.26</v>
      </c>
      <c r="F638" t="s">
        <v>1280</v>
      </c>
      <c r="I638" s="16">
        <f>-IFERROR(VLOOKUP(C638,SIRCUPA!$A$21:$H$186,8,0),0)</f>
        <v>-22.88</v>
      </c>
      <c r="J638" s="68">
        <f>-IFERROR(VLOOKUP(C638,SIRTAC!$A$16:$H$1405,8,0),0)</f>
        <v>0</v>
      </c>
      <c r="K638" s="68">
        <f>-IFERROR(VLOOKUP(C638,Gastos!$A$9:$J$1398,10,0),0)</f>
        <v>0</v>
      </c>
      <c r="L638" s="68">
        <f>-IFERROR(VLOOKUP(C638,IDC!$A$20:$H$1596,8,0),0)</f>
        <v>-9.15</v>
      </c>
      <c r="M638" s="74">
        <f t="shared" si="15"/>
        <v>1525.0000000000002</v>
      </c>
    </row>
    <row r="639" spans="1:13" customFormat="1">
      <c r="A639" t="s">
        <v>97</v>
      </c>
      <c r="B639" t="s">
        <v>11</v>
      </c>
      <c r="C639" s="51">
        <v>137274462155</v>
      </c>
      <c r="D639" s="1">
        <v>55831.77</v>
      </c>
      <c r="E639" s="1">
        <v>16797896.219999999</v>
      </c>
      <c r="F639" t="s">
        <v>1280</v>
      </c>
      <c r="I639" s="16">
        <f>-IFERROR(VLOOKUP(C639,SIRCUPA!$A$21:$H$186,8,0),0)</f>
        <v>0</v>
      </c>
      <c r="J639" s="68">
        <f>-IFERROR(VLOOKUP(C639,SIRTAC!$A$16:$H$1405,8,0),0)</f>
        <v>-591</v>
      </c>
      <c r="K639" s="68">
        <f>-IFERROR(VLOOKUP(C639,Gastos!$A$9:$J$1398,10,0),0)</f>
        <v>-2322.63</v>
      </c>
      <c r="L639" s="68">
        <f>-IFERROR(VLOOKUP(C639,IDC!$A$20:$H$1596,8,0),0)</f>
        <v>-354.6</v>
      </c>
      <c r="M639" s="74">
        <f t="shared" si="15"/>
        <v>59099.999999999993</v>
      </c>
    </row>
    <row r="640" spans="1:13" customFormat="1">
      <c r="A640" t="s">
        <v>97</v>
      </c>
      <c r="B640" t="s">
        <v>11</v>
      </c>
      <c r="C640" s="51">
        <v>137915080182</v>
      </c>
      <c r="D640" s="1">
        <v>29758.05</v>
      </c>
      <c r="E640" s="1">
        <v>16827654.27</v>
      </c>
      <c r="F640" t="s">
        <v>1280</v>
      </c>
      <c r="I640" s="16">
        <f>-IFERROR(VLOOKUP(C640,SIRCUPA!$A$21:$H$186,8,0),0)</f>
        <v>0</v>
      </c>
      <c r="J640" s="68">
        <f>-IFERROR(VLOOKUP(C640,SIRTAC!$A$16:$H$1405,8,0),0)</f>
        <v>-315</v>
      </c>
      <c r="K640" s="68">
        <f>-IFERROR(VLOOKUP(C640,Gastos!$A$9:$J$1398,10,0),0)</f>
        <v>-1237.95</v>
      </c>
      <c r="L640" s="68">
        <f>-IFERROR(VLOOKUP(C640,IDC!$A$20:$H$1596,8,0),0)</f>
        <v>-189</v>
      </c>
      <c r="M640" s="74">
        <f t="shared" si="15"/>
        <v>31500</v>
      </c>
    </row>
    <row r="641" spans="1:13" customFormat="1">
      <c r="A641" t="s">
        <v>97</v>
      </c>
      <c r="B641" t="s">
        <v>101</v>
      </c>
      <c r="C641" s="51">
        <v>137829278598</v>
      </c>
      <c r="D641">
        <v>269.22000000000003</v>
      </c>
      <c r="E641" s="1">
        <v>16240311.199999999</v>
      </c>
      <c r="F641" t="s">
        <v>1280</v>
      </c>
      <c r="I641" s="16">
        <f>-IFERROR(VLOOKUP(C641,SIRCUPA!$A$21:$H$186,8,0),0)</f>
        <v>-4.13</v>
      </c>
      <c r="J641" s="68">
        <f>-IFERROR(VLOOKUP(C641,SIRTAC!$A$16:$H$1405,8,0),0)</f>
        <v>0</v>
      </c>
      <c r="K641" s="68">
        <f>-IFERROR(VLOOKUP(C641,Gastos!$A$9:$J$1398,10,0),0)</f>
        <v>0</v>
      </c>
      <c r="L641" s="68">
        <f>-IFERROR(VLOOKUP(C641,IDC!$A$20:$H$1596,8,0),0)</f>
        <v>-1.65</v>
      </c>
      <c r="M641" s="74">
        <f t="shared" si="15"/>
        <v>275</v>
      </c>
    </row>
    <row r="642" spans="1:13" customFormat="1">
      <c r="A642" t="s">
        <v>97</v>
      </c>
      <c r="B642" t="s">
        <v>11</v>
      </c>
      <c r="C642" s="51">
        <v>137917455156</v>
      </c>
      <c r="D642" s="1">
        <v>18138.240000000002</v>
      </c>
      <c r="E642" s="1">
        <v>16845792.510000002</v>
      </c>
      <c r="F642" t="s">
        <v>1280</v>
      </c>
      <c r="I642" s="16">
        <f>-IFERROR(VLOOKUP(C642,SIRCUPA!$A$21:$H$186,8,0),0)</f>
        <v>0</v>
      </c>
      <c r="J642" s="68">
        <f>-IFERROR(VLOOKUP(C642,SIRTAC!$A$16:$H$1405,8,0),0)</f>
        <v>-192</v>
      </c>
      <c r="K642" s="68">
        <f>-IFERROR(VLOOKUP(C642,Gastos!$A$9:$J$1398,10,0),0)</f>
        <v>-754.56</v>
      </c>
      <c r="L642" s="68">
        <f>-IFERROR(VLOOKUP(C642,IDC!$A$20:$H$1596,8,0),0)</f>
        <v>-115.2</v>
      </c>
      <c r="M642" s="74">
        <f t="shared" si="15"/>
        <v>19200.000000000004</v>
      </c>
    </row>
    <row r="643" spans="1:13" customFormat="1">
      <c r="A643" t="s">
        <v>97</v>
      </c>
      <c r="B643" t="s">
        <v>11</v>
      </c>
      <c r="C643" s="51">
        <v>137918261544</v>
      </c>
      <c r="D643" s="1">
        <v>47740.7</v>
      </c>
      <c r="E643" s="1">
        <v>16893533.210000001</v>
      </c>
      <c r="F643" t="s">
        <v>1280</v>
      </c>
      <c r="I643" s="16">
        <f>-IFERROR(VLOOKUP(C643,SIRCUPA!$A$21:$H$186,8,0),0)</f>
        <v>0</v>
      </c>
      <c r="J643" s="68">
        <f>-IFERROR(VLOOKUP(C643,SIRTAC!$A$16:$H$1405,8,0),0)</f>
        <v>-490</v>
      </c>
      <c r="K643" s="68">
        <f>-IFERROR(VLOOKUP(C643,Gastos!$A$9:$J$1398,10,0),0)</f>
        <v>-475.3</v>
      </c>
      <c r="L643" s="68">
        <f>-IFERROR(VLOOKUP(C643,IDC!$A$20:$H$1596,8,0),0)</f>
        <v>-294</v>
      </c>
      <c r="M643" s="74">
        <f t="shared" si="15"/>
        <v>49000</v>
      </c>
    </row>
    <row r="644" spans="1:13" customFormat="1">
      <c r="A644" t="s">
        <v>97</v>
      </c>
      <c r="B644" t="s">
        <v>11</v>
      </c>
      <c r="C644" s="51">
        <v>137284390157</v>
      </c>
      <c r="D644" s="1">
        <v>16757.96</v>
      </c>
      <c r="E644" s="1">
        <v>16915088.27</v>
      </c>
      <c r="F644" t="s">
        <v>1280</v>
      </c>
      <c r="I644" s="16">
        <f>-IFERROR(VLOOKUP(C644,SIRCUPA!$A$21:$H$186,8,0),0)</f>
        <v>0</v>
      </c>
      <c r="J644" s="68">
        <f>-IFERROR(VLOOKUP(C644,SIRTAC!$A$16:$H$1405,8,0),0)</f>
        <v>-172</v>
      </c>
      <c r="K644" s="68">
        <f>-IFERROR(VLOOKUP(C644,Gastos!$A$9:$J$1398,10,0),0)</f>
        <v>-166.84</v>
      </c>
      <c r="L644" s="68">
        <f>-IFERROR(VLOOKUP(C644,IDC!$A$20:$H$1596,8,0),0)</f>
        <v>-103.2</v>
      </c>
      <c r="M644" s="74">
        <f t="shared" si="15"/>
        <v>17200</v>
      </c>
    </row>
    <row r="645" spans="1:13" customFormat="1">
      <c r="A645" t="s">
        <v>97</v>
      </c>
      <c r="B645" t="s">
        <v>11</v>
      </c>
      <c r="C645" s="51">
        <v>137919655398</v>
      </c>
      <c r="D645" s="1">
        <v>4599.1400000000003</v>
      </c>
      <c r="E645" s="1">
        <v>16919687.41</v>
      </c>
      <c r="F645" t="s">
        <v>1280</v>
      </c>
      <c r="I645" s="16">
        <f>-IFERROR(VLOOKUP(C645,SIRCUPA!$A$21:$H$186,8,0),0)</f>
        <v>0</v>
      </c>
      <c r="J645" s="68">
        <f>-IFERROR(VLOOKUP(C645,SIRTAC!$A$16:$H$1405,8,0),0)</f>
        <v>-49</v>
      </c>
      <c r="K645" s="68">
        <f>-IFERROR(VLOOKUP(C645,Gastos!$A$9:$J$1398,10,0),0)</f>
        <v>-222.46</v>
      </c>
      <c r="L645" s="68">
        <f>-IFERROR(VLOOKUP(C645,IDC!$A$20:$H$1596,8,0),0)</f>
        <v>-29.4</v>
      </c>
      <c r="M645" s="74">
        <f t="shared" si="15"/>
        <v>4900</v>
      </c>
    </row>
    <row r="646" spans="1:13" customFormat="1">
      <c r="A646" t="s">
        <v>97</v>
      </c>
      <c r="B646" t="s">
        <v>102</v>
      </c>
      <c r="C646" s="51">
        <v>137829499784</v>
      </c>
      <c r="D646" s="1">
        <v>1037.74</v>
      </c>
      <c r="E646" s="1">
        <v>16412023.43</v>
      </c>
      <c r="F646" t="s">
        <v>1280</v>
      </c>
      <c r="I646" s="16">
        <f>-IFERROR(VLOOKUP(C646,SIRCUPA!$A$21:$H$186,8,0),0)</f>
        <v>-15.9</v>
      </c>
      <c r="J646" s="68">
        <f>-IFERROR(VLOOKUP(C646,SIRTAC!$A$16:$H$1405,8,0),0)</f>
        <v>0</v>
      </c>
      <c r="K646" s="68">
        <f>-IFERROR(VLOOKUP(C646,Gastos!$A$9:$J$1398,10,0),0)</f>
        <v>0</v>
      </c>
      <c r="L646" s="68">
        <f>-IFERROR(VLOOKUP(C646,IDC!$A$20:$H$1596,8,0),0)</f>
        <v>-6.36</v>
      </c>
      <c r="M646" s="74">
        <f t="shared" si="15"/>
        <v>1060</v>
      </c>
    </row>
    <row r="647" spans="1:13" customFormat="1">
      <c r="A647" t="s">
        <v>97</v>
      </c>
      <c r="B647" t="s">
        <v>11</v>
      </c>
      <c r="C647" s="51">
        <v>137919990346</v>
      </c>
      <c r="D647" s="1">
        <v>4448.71</v>
      </c>
      <c r="E647" s="1">
        <v>16924136.120000001</v>
      </c>
      <c r="F647" t="s">
        <v>1280</v>
      </c>
      <c r="I647" s="16">
        <f>-IFERROR(VLOOKUP(C647,SIRCUPA!$A$21:$H$186,8,0),0)</f>
        <v>0</v>
      </c>
      <c r="J647" s="68">
        <f>-IFERROR(VLOOKUP(C647,SIRTAC!$A$16:$H$1405,8,0),0)</f>
        <v>-49</v>
      </c>
      <c r="K647" s="68">
        <f>-IFERROR(VLOOKUP(C647,Gastos!$A$9:$J$1398,10,0),0)</f>
        <v>-372.89</v>
      </c>
      <c r="L647" s="68">
        <f>-IFERROR(VLOOKUP(C647,IDC!$A$20:$H$1596,8,0),0)</f>
        <v>-29.4</v>
      </c>
      <c r="M647" s="74">
        <f t="shared" si="15"/>
        <v>4900</v>
      </c>
    </row>
    <row r="648" spans="1:13" customFormat="1">
      <c r="A648" t="s">
        <v>97</v>
      </c>
      <c r="B648" t="s">
        <v>11</v>
      </c>
      <c r="C648" s="51">
        <v>137920602650</v>
      </c>
      <c r="D648" s="1">
        <v>73781.070000000007</v>
      </c>
      <c r="E648" s="1">
        <v>16997917.190000001</v>
      </c>
      <c r="F648" t="s">
        <v>1280</v>
      </c>
      <c r="I648" s="16">
        <f>-IFERROR(VLOOKUP(C648,SIRCUPA!$A$21:$H$186,8,0),0)</f>
        <v>0</v>
      </c>
      <c r="J648" s="68">
        <f>-IFERROR(VLOOKUP(C648,SIRTAC!$A$16:$H$1405,8,0),0)</f>
        <v>-781</v>
      </c>
      <c r="K648" s="68">
        <f>-IFERROR(VLOOKUP(C648,Gastos!$A$9:$J$1398,10,0),0)</f>
        <v>-3069.33</v>
      </c>
      <c r="L648" s="68">
        <f>-IFERROR(VLOOKUP(C648,IDC!$A$20:$H$1596,8,0),0)</f>
        <v>-468.6</v>
      </c>
      <c r="M648" s="74">
        <f t="shared" si="15"/>
        <v>78100.000000000015</v>
      </c>
    </row>
    <row r="649" spans="1:13" customFormat="1">
      <c r="A649" t="s">
        <v>97</v>
      </c>
      <c r="B649" t="s">
        <v>11</v>
      </c>
      <c r="C649" s="51">
        <v>137920760336</v>
      </c>
      <c r="D649" s="1">
        <v>38484.85</v>
      </c>
      <c r="E649" s="1">
        <v>17036402.039999999</v>
      </c>
      <c r="F649" t="s">
        <v>1280</v>
      </c>
      <c r="I649" s="16">
        <f>-IFERROR(VLOOKUP(C649,SIRCUPA!$A$21:$H$186,8,0),0)</f>
        <v>0</v>
      </c>
      <c r="J649" s="68">
        <f>-IFERROR(VLOOKUP(C649,SIRTAC!$A$16:$H$1405,8,0),0)</f>
        <v>-395</v>
      </c>
      <c r="K649" s="68">
        <f>-IFERROR(VLOOKUP(C649,Gastos!$A$9:$J$1398,10,0),0)</f>
        <v>-383.15</v>
      </c>
      <c r="L649" s="68">
        <f>-IFERROR(VLOOKUP(C649,IDC!$A$20:$H$1596,8,0),0)</f>
        <v>-237</v>
      </c>
      <c r="M649" s="74">
        <f t="shared" si="15"/>
        <v>39500</v>
      </c>
    </row>
    <row r="650" spans="1:13" customFormat="1">
      <c r="A650" t="s">
        <v>97</v>
      </c>
      <c r="B650" t="s">
        <v>11</v>
      </c>
      <c r="C650" s="51">
        <v>137286737407</v>
      </c>
      <c r="D650" s="1">
        <v>96163.41</v>
      </c>
      <c r="E650" s="1">
        <v>17134498.969999999</v>
      </c>
      <c r="F650" t="s">
        <v>1280</v>
      </c>
      <c r="I650" s="16">
        <f>-IFERROR(VLOOKUP(C650,SIRCUPA!$A$21:$H$186,8,0),0)</f>
        <v>0</v>
      </c>
      <c r="J650" s="68">
        <f>-IFERROR(VLOOKUP(C650,SIRTAC!$A$16:$H$1405,8,0),0)</f>
        <v>-987</v>
      </c>
      <c r="K650" s="68">
        <f>-IFERROR(VLOOKUP(C650,Gastos!$A$9:$J$1398,10,0),0)</f>
        <v>-957.39</v>
      </c>
      <c r="L650" s="68">
        <f>-IFERROR(VLOOKUP(C650,IDC!$A$20:$H$1596,8,0),0)</f>
        <v>-592.20000000000005</v>
      </c>
      <c r="M650" s="74">
        <f t="shared" si="15"/>
        <v>98700</v>
      </c>
    </row>
    <row r="651" spans="1:13" customFormat="1">
      <c r="A651" t="s">
        <v>97</v>
      </c>
      <c r="B651" t="s">
        <v>11</v>
      </c>
      <c r="C651" s="51">
        <v>137287058345</v>
      </c>
      <c r="D651" s="1">
        <v>71513.62</v>
      </c>
      <c r="E651" s="1">
        <v>17206012.59</v>
      </c>
      <c r="F651" t="s">
        <v>1280</v>
      </c>
      <c r="I651" s="16">
        <f>-IFERROR(VLOOKUP(C651,SIRCUPA!$A$21:$H$186,8,0),0)</f>
        <v>0</v>
      </c>
      <c r="J651" s="68">
        <f>-IFERROR(VLOOKUP(C651,SIRTAC!$A$16:$H$1405,8,0),0)</f>
        <v>-734</v>
      </c>
      <c r="K651" s="68">
        <f>-IFERROR(VLOOKUP(C651,Gastos!$A$9:$J$1398,10,0),0)</f>
        <v>-711.98</v>
      </c>
      <c r="L651" s="68">
        <f>-IFERROR(VLOOKUP(C651,IDC!$A$20:$H$1596,8,0),0)</f>
        <v>-440.4</v>
      </c>
      <c r="M651" s="74">
        <f t="shared" si="15"/>
        <v>73399.999999999985</v>
      </c>
    </row>
    <row r="652" spans="1:13" customFormat="1">
      <c r="A652" t="s">
        <v>97</v>
      </c>
      <c r="B652" t="s">
        <v>11</v>
      </c>
      <c r="C652" s="51">
        <v>137287882597</v>
      </c>
      <c r="D652" s="1">
        <v>106003.84</v>
      </c>
      <c r="E652" s="1">
        <v>17312016.43</v>
      </c>
      <c r="F652" t="s">
        <v>1280</v>
      </c>
      <c r="I652" s="16">
        <f>-IFERROR(VLOOKUP(C652,SIRCUPA!$A$21:$H$186,8,0),0)</f>
        <v>0</v>
      </c>
      <c r="J652" s="68">
        <f>-IFERROR(VLOOKUP(C652,SIRTAC!$A$16:$H$1405,8,0),0)</f>
        <v>-1088</v>
      </c>
      <c r="K652" s="68">
        <f>-IFERROR(VLOOKUP(C652,Gastos!$A$9:$J$1398,10,0),0)</f>
        <v>-1055.3599999999999</v>
      </c>
      <c r="L652" s="68">
        <f>-IFERROR(VLOOKUP(C652,IDC!$A$20:$H$1596,8,0),0)</f>
        <v>-652.79999999999995</v>
      </c>
      <c r="M652" s="74">
        <f t="shared" si="15"/>
        <v>108800</v>
      </c>
    </row>
    <row r="653" spans="1:13" customFormat="1">
      <c r="A653" t="s">
        <v>97</v>
      </c>
      <c r="B653" t="s">
        <v>11</v>
      </c>
      <c r="C653" s="51">
        <v>137287763759</v>
      </c>
      <c r="D653" s="1">
        <v>64914.85</v>
      </c>
      <c r="E653" s="1">
        <v>17376931.280000001</v>
      </c>
      <c r="F653" t="s">
        <v>1280</v>
      </c>
      <c r="I653" s="16">
        <f>-IFERROR(VLOOKUP(C653,SIRCUPA!$A$21:$H$186,8,0),0)</f>
        <v>0</v>
      </c>
      <c r="J653" s="68">
        <f>-IFERROR(VLOOKUP(C653,SIRTAC!$A$16:$H$1405,8,0),0)</f>
        <v>-715</v>
      </c>
      <c r="K653" s="68">
        <f>-IFERROR(VLOOKUP(C653,Gastos!$A$9:$J$1398,10,0),0)</f>
        <v>-5441.15</v>
      </c>
      <c r="L653" s="68">
        <f>-IFERROR(VLOOKUP(C653,IDC!$A$20:$H$1596,8,0),0)</f>
        <v>-429</v>
      </c>
      <c r="M653" s="74">
        <f t="shared" si="15"/>
        <v>71500</v>
      </c>
    </row>
    <row r="654" spans="1:13" customFormat="1">
      <c r="A654" t="s">
        <v>97</v>
      </c>
      <c r="B654" t="s">
        <v>11</v>
      </c>
      <c r="C654" s="51">
        <v>137288757543</v>
      </c>
      <c r="D654" s="1">
        <v>4599.1400000000003</v>
      </c>
      <c r="E654" s="1">
        <v>17381530.420000002</v>
      </c>
      <c r="F654" t="s">
        <v>1280</v>
      </c>
      <c r="I654" s="16">
        <f>-IFERROR(VLOOKUP(C654,SIRCUPA!$A$21:$H$186,8,0),0)</f>
        <v>0</v>
      </c>
      <c r="J654" s="68">
        <f>-IFERROR(VLOOKUP(C654,SIRTAC!$A$16:$H$1405,8,0),0)</f>
        <v>-49</v>
      </c>
      <c r="K654" s="68">
        <f>-IFERROR(VLOOKUP(C654,Gastos!$A$9:$J$1398,10,0),0)</f>
        <v>-222.46</v>
      </c>
      <c r="L654" s="68">
        <f>-IFERROR(VLOOKUP(C654,IDC!$A$20:$H$1596,8,0),0)</f>
        <v>-29.4</v>
      </c>
      <c r="M654" s="74">
        <f t="shared" si="15"/>
        <v>4900</v>
      </c>
    </row>
    <row r="655" spans="1:13" customFormat="1">
      <c r="A655" t="s">
        <v>97</v>
      </c>
      <c r="B655" t="s">
        <v>11</v>
      </c>
      <c r="C655" s="51">
        <v>137924517588</v>
      </c>
      <c r="D655" s="1">
        <v>37043</v>
      </c>
      <c r="E655" s="1">
        <v>17418573.420000002</v>
      </c>
      <c r="F655" t="s">
        <v>1280</v>
      </c>
      <c r="I655" s="16">
        <f>-IFERROR(VLOOKUP(C655,SIRCUPA!$A$21:$H$186,8,0),0)</f>
        <v>0</v>
      </c>
      <c r="J655" s="68">
        <f>-IFERROR(VLOOKUP(C655,SIRTAC!$A$16:$H$1405,8,0),0)</f>
        <v>-425</v>
      </c>
      <c r="K655" s="68">
        <f>-IFERROR(VLOOKUP(C655,Gastos!$A$9:$J$1398,10,0),0)</f>
        <v>-4777</v>
      </c>
      <c r="L655" s="68">
        <f>-IFERROR(VLOOKUP(C655,IDC!$A$20:$H$1596,8,0),0)</f>
        <v>-255</v>
      </c>
      <c r="M655" s="74">
        <f t="shared" si="15"/>
        <v>42500</v>
      </c>
    </row>
    <row r="656" spans="1:13" customFormat="1">
      <c r="A656" t="s">
        <v>97</v>
      </c>
      <c r="B656" t="s">
        <v>11</v>
      </c>
      <c r="C656" s="51">
        <v>137290068965</v>
      </c>
      <c r="D656" s="1">
        <v>9158.42</v>
      </c>
      <c r="E656" s="1">
        <v>17427731.84</v>
      </c>
      <c r="F656" t="s">
        <v>1280</v>
      </c>
      <c r="I656" s="16">
        <f>-IFERROR(VLOOKUP(C656,SIRCUPA!$A$21:$H$186,8,0),0)</f>
        <v>0</v>
      </c>
      <c r="J656" s="68">
        <f>-IFERROR(VLOOKUP(C656,SIRTAC!$A$16:$H$1405,8,0),0)</f>
        <v>-94</v>
      </c>
      <c r="K656" s="68">
        <f>-IFERROR(VLOOKUP(C656,Gastos!$A$9:$J$1398,10,0),0)</f>
        <v>-91.18</v>
      </c>
      <c r="L656" s="68">
        <f>-IFERROR(VLOOKUP(C656,IDC!$A$20:$H$1596,8,0),0)</f>
        <v>-56.4</v>
      </c>
      <c r="M656" s="74">
        <f t="shared" si="15"/>
        <v>9400</v>
      </c>
    </row>
    <row r="657" spans="1:13" customFormat="1">
      <c r="A657" t="s">
        <v>97</v>
      </c>
      <c r="B657" t="s">
        <v>11</v>
      </c>
      <c r="C657" s="51">
        <v>137926143226</v>
      </c>
      <c r="D657" s="1">
        <v>4357.92</v>
      </c>
      <c r="E657" s="1">
        <v>17432089.760000002</v>
      </c>
      <c r="F657" t="s">
        <v>1280</v>
      </c>
      <c r="I657" s="16">
        <f>-IFERROR(VLOOKUP(C657,SIRCUPA!$A$21:$H$186,8,0),0)</f>
        <v>0</v>
      </c>
      <c r="J657" s="68">
        <f>-IFERROR(VLOOKUP(C657,SIRTAC!$A$16:$H$1405,8,0),0)</f>
        <v>-48</v>
      </c>
      <c r="K657" s="68">
        <f>-IFERROR(VLOOKUP(C657,Gastos!$A$9:$J$1398,10,0),0)</f>
        <v>-365.28</v>
      </c>
      <c r="L657" s="68">
        <f>-IFERROR(VLOOKUP(C657,IDC!$A$20:$H$1596,8,0),0)</f>
        <v>-28.8</v>
      </c>
      <c r="M657" s="74">
        <f t="shared" si="15"/>
        <v>4800</v>
      </c>
    </row>
    <row r="658" spans="1:13" customFormat="1">
      <c r="A658" t="s">
        <v>97</v>
      </c>
      <c r="B658" t="s">
        <v>11</v>
      </c>
      <c r="C658" s="51">
        <v>137926389112</v>
      </c>
      <c r="D658" s="1">
        <v>29190.46</v>
      </c>
      <c r="E658" s="1">
        <v>17461515.18</v>
      </c>
      <c r="F658" t="s">
        <v>1280</v>
      </c>
      <c r="I658" s="16">
        <f>-IFERROR(VLOOKUP(C658,SIRCUPA!$A$21:$H$186,8,0),0)</f>
        <v>0</v>
      </c>
      <c r="J658" s="68">
        <f>-IFERROR(VLOOKUP(C658,SIRTAC!$A$16:$H$1405,8,0),0)</f>
        <v>-311</v>
      </c>
      <c r="K658" s="68">
        <f>-IFERROR(VLOOKUP(C658,Gastos!$A$9:$J$1398,10,0),0)</f>
        <v>-1411.94</v>
      </c>
      <c r="L658" s="68">
        <f>-IFERROR(VLOOKUP(C658,IDC!$A$20:$H$1596,8,0),0)</f>
        <v>-186.6</v>
      </c>
      <c r="M658" s="74">
        <f t="shared" si="15"/>
        <v>31099.999999999996</v>
      </c>
    </row>
    <row r="659" spans="1:13" customFormat="1">
      <c r="A659" t="s">
        <v>97</v>
      </c>
      <c r="B659" t="s">
        <v>11</v>
      </c>
      <c r="C659" s="51">
        <v>137291943369</v>
      </c>
      <c r="D659" s="1">
        <v>14029.92</v>
      </c>
      <c r="E659" s="1">
        <v>17475545.100000001</v>
      </c>
      <c r="F659" t="s">
        <v>1280</v>
      </c>
      <c r="I659" s="16">
        <f>-IFERROR(VLOOKUP(C659,SIRCUPA!$A$21:$H$186,8,0),0)</f>
        <v>0</v>
      </c>
      <c r="J659" s="68">
        <f>-IFERROR(VLOOKUP(C659,SIRTAC!$A$16:$H$1405,8,0),0)</f>
        <v>-144</v>
      </c>
      <c r="K659" s="68">
        <f>-IFERROR(VLOOKUP(C659,Gastos!$A$9:$J$1398,10,0),0)</f>
        <v>-139.68</v>
      </c>
      <c r="L659" s="68">
        <f>-IFERROR(VLOOKUP(C659,IDC!$A$20:$H$1596,8,0),0)</f>
        <v>-86.4</v>
      </c>
      <c r="M659" s="74">
        <f t="shared" si="15"/>
        <v>14400</v>
      </c>
    </row>
    <row r="660" spans="1:13" customFormat="1">
      <c r="A660" t="s">
        <v>97</v>
      </c>
      <c r="B660" t="s">
        <v>103</v>
      </c>
      <c r="C660" s="51">
        <v>137283589283</v>
      </c>
      <c r="D660" s="1">
        <v>4797.1000000000004</v>
      </c>
      <c r="E660" s="1">
        <v>16898330.309999999</v>
      </c>
      <c r="F660" t="s">
        <v>1280</v>
      </c>
      <c r="I660" s="16">
        <f>-IFERROR(VLOOKUP(C660,SIRCUPA!$A$21:$H$186,8,0),0)</f>
        <v>-73.5</v>
      </c>
      <c r="J660" s="68">
        <f>-IFERROR(VLOOKUP(C660,SIRTAC!$A$16:$H$1405,8,0),0)</f>
        <v>0</v>
      </c>
      <c r="K660" s="68">
        <f>-IFERROR(VLOOKUP(C660,Gastos!$A$9:$J$1398,10,0),0)</f>
        <v>0</v>
      </c>
      <c r="L660" s="68">
        <f>-IFERROR(VLOOKUP(C660,IDC!$A$20:$H$1596,8,0),0)</f>
        <v>-29.4</v>
      </c>
      <c r="M660" s="74">
        <f t="shared" si="15"/>
        <v>4900</v>
      </c>
    </row>
    <row r="661" spans="1:13" customFormat="1">
      <c r="A661" t="s">
        <v>97</v>
      </c>
      <c r="B661" t="s">
        <v>11</v>
      </c>
      <c r="C661" s="51">
        <v>137292138799</v>
      </c>
      <c r="D661" s="1">
        <v>4774.07</v>
      </c>
      <c r="E661" s="1">
        <v>17480319.170000002</v>
      </c>
      <c r="F661" t="s">
        <v>1280</v>
      </c>
      <c r="I661" s="16">
        <f>-IFERROR(VLOOKUP(C661,SIRCUPA!$A$21:$H$186,8,0),0)</f>
        <v>0</v>
      </c>
      <c r="J661" s="68">
        <f>-IFERROR(VLOOKUP(C661,SIRTAC!$A$16:$H$1405,8,0),0)</f>
        <v>-49</v>
      </c>
      <c r="K661" s="68">
        <f>-IFERROR(VLOOKUP(C661,Gastos!$A$9:$J$1398,10,0),0)</f>
        <v>-47.53</v>
      </c>
      <c r="L661" s="68">
        <f>-IFERROR(VLOOKUP(C661,IDC!$A$20:$H$1596,8,0),0)</f>
        <v>-29.4</v>
      </c>
      <c r="M661" s="74">
        <f t="shared" si="15"/>
        <v>4899.9999999999991</v>
      </c>
    </row>
    <row r="662" spans="1:13" customFormat="1">
      <c r="A662" t="s">
        <v>97</v>
      </c>
      <c r="B662" t="s">
        <v>11</v>
      </c>
      <c r="C662" s="51">
        <v>137926932048</v>
      </c>
      <c r="D662" s="1">
        <v>15588.8</v>
      </c>
      <c r="E662" s="1">
        <v>17495907.969999999</v>
      </c>
      <c r="F662" t="s">
        <v>1280</v>
      </c>
      <c r="I662" s="16">
        <f>-IFERROR(VLOOKUP(C662,SIRCUPA!$A$21:$H$186,8,0),0)</f>
        <v>0</v>
      </c>
      <c r="J662" s="68">
        <f>-IFERROR(VLOOKUP(C662,SIRTAC!$A$16:$H$1405,8,0),0)</f>
        <v>-160</v>
      </c>
      <c r="K662" s="68">
        <f>-IFERROR(VLOOKUP(C662,Gastos!$A$9:$J$1398,10,0),0)</f>
        <v>-155.19999999999999</v>
      </c>
      <c r="L662" s="68">
        <f>-IFERROR(VLOOKUP(C662,IDC!$A$20:$H$1596,8,0),0)</f>
        <v>-96</v>
      </c>
      <c r="M662" s="74">
        <f t="shared" si="15"/>
        <v>16000</v>
      </c>
    </row>
    <row r="663" spans="1:13" customFormat="1">
      <c r="A663" t="s">
        <v>105</v>
      </c>
      <c r="B663" t="s">
        <v>11</v>
      </c>
      <c r="C663" s="51">
        <v>137927636060</v>
      </c>
      <c r="D663" s="1">
        <v>44135.79</v>
      </c>
      <c r="E663" s="1">
        <v>17540043.760000002</v>
      </c>
      <c r="F663" t="s">
        <v>1280</v>
      </c>
      <c r="I663" s="16">
        <f>-IFERROR(VLOOKUP(C663,SIRCUPA!$A$21:$H$186,8,0),0)</f>
        <v>0</v>
      </c>
      <c r="J663" s="68">
        <f>-IFERROR(VLOOKUP(C663,SIRTAC!$A$16:$H$1405,8,0),0)</f>
        <v>-453</v>
      </c>
      <c r="K663" s="68">
        <f>-IFERROR(VLOOKUP(C663,Gastos!$A$9:$J$1398,10,0),0)</f>
        <v>-439.41</v>
      </c>
      <c r="L663" s="68">
        <f>-IFERROR(VLOOKUP(C663,IDC!$A$20:$H$1596,8,0),0)</f>
        <v>-271.8</v>
      </c>
      <c r="M663" s="74">
        <f t="shared" si="15"/>
        <v>45300.000000000007</v>
      </c>
    </row>
    <row r="664" spans="1:13" customFormat="1">
      <c r="A664" t="s">
        <v>105</v>
      </c>
      <c r="B664" t="s">
        <v>11</v>
      </c>
      <c r="C664" s="51">
        <v>137293936969</v>
      </c>
      <c r="D664" s="1">
        <v>11691.6</v>
      </c>
      <c r="E664" s="1">
        <v>17551735.359999999</v>
      </c>
      <c r="F664" t="s">
        <v>1280</v>
      </c>
      <c r="I664" s="16">
        <f>-IFERROR(VLOOKUP(C664,SIRCUPA!$A$21:$H$186,8,0),0)</f>
        <v>0</v>
      </c>
      <c r="J664" s="68">
        <f>-IFERROR(VLOOKUP(C664,SIRTAC!$A$16:$H$1405,8,0),0)</f>
        <v>-120</v>
      </c>
      <c r="K664" s="68">
        <f>-IFERROR(VLOOKUP(C664,Gastos!$A$9:$J$1398,10,0),0)</f>
        <v>-116.4</v>
      </c>
      <c r="L664" s="68">
        <f>-IFERROR(VLOOKUP(C664,IDC!$A$20:$H$1596,8,0),0)</f>
        <v>-72</v>
      </c>
      <c r="M664" s="74">
        <f t="shared" si="15"/>
        <v>12000</v>
      </c>
    </row>
    <row r="665" spans="1:13" customFormat="1">
      <c r="A665" t="s">
        <v>105</v>
      </c>
      <c r="B665" t="s">
        <v>11</v>
      </c>
      <c r="C665" s="51">
        <v>137928893544</v>
      </c>
      <c r="D665" s="1">
        <v>34879.94</v>
      </c>
      <c r="E665" s="1">
        <v>17586615.300000001</v>
      </c>
      <c r="F665" t="s">
        <v>1280</v>
      </c>
      <c r="I665" s="16">
        <f>-IFERROR(VLOOKUP(C665,SIRCUPA!$A$21:$H$186,8,0),0)</f>
        <v>0</v>
      </c>
      <c r="J665" s="68">
        <f>-IFERROR(VLOOKUP(C665,SIRTAC!$A$16:$H$1405,8,0),0)</f>
        <v>-358</v>
      </c>
      <c r="K665" s="68">
        <f>-IFERROR(VLOOKUP(C665,Gastos!$A$9:$J$1398,10,0),0)</f>
        <v>-347.26</v>
      </c>
      <c r="L665" s="68">
        <f>-IFERROR(VLOOKUP(C665,IDC!$A$20:$H$1596,8,0),0)</f>
        <v>-214.8</v>
      </c>
      <c r="M665" s="74">
        <f t="shared" si="15"/>
        <v>35800.000000000007</v>
      </c>
    </row>
    <row r="666" spans="1:13" customFormat="1">
      <c r="A666" t="s">
        <v>97</v>
      </c>
      <c r="B666" t="s">
        <v>104</v>
      </c>
      <c r="C666" s="51">
        <v>137920633474</v>
      </c>
      <c r="D666" s="1">
        <v>1933.52</v>
      </c>
      <c r="E666" s="1">
        <v>17038335.559999999</v>
      </c>
      <c r="F666" t="s">
        <v>1280</v>
      </c>
      <c r="I666" s="16">
        <f>-IFERROR(VLOOKUP(C666,SIRCUPA!$A$21:$H$186,8,0),0)</f>
        <v>-29.63</v>
      </c>
      <c r="J666" s="68">
        <f>-IFERROR(VLOOKUP(C666,SIRTAC!$A$16:$H$1405,8,0),0)</f>
        <v>0</v>
      </c>
      <c r="K666" s="68">
        <f>-IFERROR(VLOOKUP(C666,Gastos!$A$9:$J$1398,10,0),0)</f>
        <v>0</v>
      </c>
      <c r="L666" s="68">
        <f>-IFERROR(VLOOKUP(C666,IDC!$A$20:$H$1596,8,0),0)</f>
        <v>-11.85</v>
      </c>
      <c r="M666" s="74">
        <f t="shared" si="15"/>
        <v>1975</v>
      </c>
    </row>
    <row r="667" spans="1:13" customFormat="1">
      <c r="A667" t="s">
        <v>105</v>
      </c>
      <c r="B667" t="s">
        <v>11</v>
      </c>
      <c r="C667" s="51">
        <v>137929233114</v>
      </c>
      <c r="D667" s="1">
        <v>9353.2800000000007</v>
      </c>
      <c r="E667" s="1">
        <v>17595968.579999998</v>
      </c>
      <c r="F667" t="s">
        <v>1280</v>
      </c>
      <c r="I667" s="16">
        <f>-IFERROR(VLOOKUP(C667,SIRCUPA!$A$21:$H$186,8,0),0)</f>
        <v>0</v>
      </c>
      <c r="J667" s="68">
        <f>-IFERROR(VLOOKUP(C667,SIRTAC!$A$16:$H$1405,8,0),0)</f>
        <v>-96</v>
      </c>
      <c r="K667" s="68">
        <f>-IFERROR(VLOOKUP(C667,Gastos!$A$9:$J$1398,10,0),0)</f>
        <v>-93.12</v>
      </c>
      <c r="L667" s="68">
        <f>-IFERROR(VLOOKUP(C667,IDC!$A$20:$H$1596,8,0),0)</f>
        <v>-57.6</v>
      </c>
      <c r="M667" s="74">
        <f t="shared" si="15"/>
        <v>9600.0000000000018</v>
      </c>
    </row>
    <row r="668" spans="1:13" customFormat="1">
      <c r="A668" t="s">
        <v>105</v>
      </c>
      <c r="B668" t="s">
        <v>11</v>
      </c>
      <c r="C668" s="51">
        <v>137295139849</v>
      </c>
      <c r="D668" s="1">
        <v>9548.14</v>
      </c>
      <c r="E668" s="1">
        <v>17605516.719999999</v>
      </c>
      <c r="F668" t="s">
        <v>1280</v>
      </c>
      <c r="I668" s="16">
        <f>-IFERROR(VLOOKUP(C668,SIRCUPA!$A$21:$H$186,8,0),0)</f>
        <v>0</v>
      </c>
      <c r="J668" s="68">
        <f>-IFERROR(VLOOKUP(C668,SIRTAC!$A$16:$H$1405,8,0),0)</f>
        <v>-98</v>
      </c>
      <c r="K668" s="68">
        <f>-IFERROR(VLOOKUP(C668,Gastos!$A$9:$J$1398,10,0),0)</f>
        <v>-95.06</v>
      </c>
      <c r="L668" s="68">
        <f>-IFERROR(VLOOKUP(C668,IDC!$A$20:$H$1596,8,0),0)</f>
        <v>-58.8</v>
      </c>
      <c r="M668" s="74">
        <f t="shared" si="15"/>
        <v>9799.9999999999982</v>
      </c>
    </row>
    <row r="669" spans="1:13" customFormat="1">
      <c r="A669" t="s">
        <v>105</v>
      </c>
      <c r="B669" t="s">
        <v>11</v>
      </c>
      <c r="C669" s="51">
        <v>137930498598</v>
      </c>
      <c r="D669" s="1">
        <v>27085.54</v>
      </c>
      <c r="E669" s="1">
        <v>17632602.260000002</v>
      </c>
      <c r="F669" t="s">
        <v>1280</v>
      </c>
      <c r="I669" s="16">
        <f>-IFERROR(VLOOKUP(C669,SIRCUPA!$A$21:$H$186,8,0),0)</f>
        <v>0</v>
      </c>
      <c r="J669" s="68">
        <f>-IFERROR(VLOOKUP(C669,SIRTAC!$A$16:$H$1405,8,0),0)</f>
        <v>-278</v>
      </c>
      <c r="K669" s="68">
        <f>-IFERROR(VLOOKUP(C669,Gastos!$A$9:$J$1398,10,0),0)</f>
        <v>-269.66000000000003</v>
      </c>
      <c r="L669" s="68">
        <f>-IFERROR(VLOOKUP(C669,IDC!$A$20:$H$1596,8,0),0)</f>
        <v>-166.8</v>
      </c>
      <c r="M669" s="74">
        <f t="shared" si="15"/>
        <v>27800</v>
      </c>
    </row>
    <row r="670" spans="1:13" customFormat="1">
      <c r="A670" t="s">
        <v>105</v>
      </c>
      <c r="B670" t="s">
        <v>11</v>
      </c>
      <c r="C670" s="51">
        <v>137931462000</v>
      </c>
      <c r="D670" s="1">
        <v>18121.98</v>
      </c>
      <c r="E670" s="1">
        <v>17650724.239999998</v>
      </c>
      <c r="F670" t="s">
        <v>1280</v>
      </c>
      <c r="I670" s="16">
        <f>-IFERROR(VLOOKUP(C670,SIRCUPA!$A$21:$H$186,8,0),0)</f>
        <v>0</v>
      </c>
      <c r="J670" s="68">
        <f>-IFERROR(VLOOKUP(C670,SIRTAC!$A$16:$H$1405,8,0),0)</f>
        <v>-186</v>
      </c>
      <c r="K670" s="68">
        <f>-IFERROR(VLOOKUP(C670,Gastos!$A$9:$J$1398,10,0),0)</f>
        <v>-180.42</v>
      </c>
      <c r="L670" s="68">
        <f>-IFERROR(VLOOKUP(C670,IDC!$A$20:$H$1596,8,0),0)</f>
        <v>-111.6</v>
      </c>
      <c r="M670" s="74">
        <f t="shared" si="15"/>
        <v>18599.999999999996</v>
      </c>
    </row>
    <row r="671" spans="1:13" customFormat="1">
      <c r="A671" t="s">
        <v>106</v>
      </c>
      <c r="B671" t="s">
        <v>11</v>
      </c>
      <c r="C671" s="51">
        <v>137718027151</v>
      </c>
      <c r="D671" s="1">
        <v>26890.68</v>
      </c>
      <c r="E671" s="1">
        <v>13600610.279999999</v>
      </c>
      <c r="F671" t="s">
        <v>1280</v>
      </c>
      <c r="I671" s="16">
        <f>-IFERROR(VLOOKUP(C671,SIRCUPA!$A$21:$H$186,8,0),0)</f>
        <v>0</v>
      </c>
      <c r="J671" s="68">
        <f>-IFERROR(VLOOKUP(C671,SIRTAC!$A$16:$H$1405,8,0),0)</f>
        <v>-276</v>
      </c>
      <c r="K671" s="68">
        <f>-IFERROR(VLOOKUP(C671,Gastos!$A$9:$J$1398,10,0),0)</f>
        <v>-267.72000000000003</v>
      </c>
      <c r="L671" s="68">
        <f>-IFERROR(VLOOKUP(C671,IDC!$A$20:$H$1596,8,0),0)</f>
        <v>-165.6</v>
      </c>
      <c r="M671" s="74">
        <f t="shared" si="15"/>
        <v>27600</v>
      </c>
    </row>
    <row r="672" spans="1:13" customFormat="1">
      <c r="A672" t="s">
        <v>106</v>
      </c>
      <c r="B672" t="s">
        <v>11</v>
      </c>
      <c r="C672" s="51">
        <v>138364372438</v>
      </c>
      <c r="D672" s="1">
        <v>23675.49</v>
      </c>
      <c r="E672" s="1">
        <v>13624285.77</v>
      </c>
      <c r="F672" t="s">
        <v>1280</v>
      </c>
      <c r="I672" s="16">
        <f>-IFERROR(VLOOKUP(C672,SIRCUPA!$A$21:$H$186,8,0),0)</f>
        <v>0</v>
      </c>
      <c r="J672" s="68">
        <f>-IFERROR(VLOOKUP(C672,SIRTAC!$A$16:$H$1405,8,0),0)</f>
        <v>-243</v>
      </c>
      <c r="K672" s="68">
        <f>-IFERROR(VLOOKUP(C672,Gastos!$A$9:$J$1398,10,0),0)</f>
        <v>-235.71</v>
      </c>
      <c r="L672" s="68">
        <f>-IFERROR(VLOOKUP(C672,IDC!$A$20:$H$1596,8,0),0)</f>
        <v>-145.80000000000001</v>
      </c>
      <c r="M672" s="74">
        <f t="shared" si="15"/>
        <v>24300</v>
      </c>
    </row>
    <row r="673" spans="1:13" customFormat="1">
      <c r="A673" t="s">
        <v>106</v>
      </c>
      <c r="B673" t="s">
        <v>11</v>
      </c>
      <c r="C673" s="51">
        <v>137726653777</v>
      </c>
      <c r="D673" s="1">
        <v>9255.85</v>
      </c>
      <c r="E673" s="1">
        <v>13633541.619999999</v>
      </c>
      <c r="F673" t="s">
        <v>1280</v>
      </c>
      <c r="I673" s="16">
        <f>-IFERROR(VLOOKUP(C673,SIRCUPA!$A$21:$H$186,8,0),0)</f>
        <v>0</v>
      </c>
      <c r="J673" s="68">
        <f>-IFERROR(VLOOKUP(C673,SIRTAC!$A$16:$H$1405,8,0),0)</f>
        <v>-95</v>
      </c>
      <c r="K673" s="68">
        <f>-IFERROR(VLOOKUP(C673,Gastos!$A$9:$J$1398,10,0),0)</f>
        <v>-92.15</v>
      </c>
      <c r="L673" s="68">
        <f>-IFERROR(VLOOKUP(C673,IDC!$A$20:$H$1596,8,0),0)</f>
        <v>-57</v>
      </c>
      <c r="M673" s="74">
        <f t="shared" si="15"/>
        <v>9500</v>
      </c>
    </row>
    <row r="674" spans="1:13" customFormat="1">
      <c r="A674" t="s">
        <v>106</v>
      </c>
      <c r="B674" t="s">
        <v>11</v>
      </c>
      <c r="C674" s="51">
        <v>137727368801</v>
      </c>
      <c r="D674" s="1">
        <v>4774.07</v>
      </c>
      <c r="E674" s="1">
        <v>13638315.689999999</v>
      </c>
      <c r="F674" t="s">
        <v>1280</v>
      </c>
      <c r="I674" s="16">
        <f>-IFERROR(VLOOKUP(C674,SIRCUPA!$A$21:$H$186,8,0),0)</f>
        <v>0</v>
      </c>
      <c r="J674" s="68">
        <f>-IFERROR(VLOOKUP(C674,SIRTAC!$A$16:$H$1405,8,0),0)</f>
        <v>-49</v>
      </c>
      <c r="K674" s="68">
        <f>-IFERROR(VLOOKUP(C674,Gastos!$A$9:$J$1398,10,0),0)</f>
        <v>-47.53</v>
      </c>
      <c r="L674" s="68">
        <f>-IFERROR(VLOOKUP(C674,IDC!$A$20:$H$1596,8,0),0)</f>
        <v>-29.4</v>
      </c>
      <c r="M674" s="74">
        <f t="shared" si="15"/>
        <v>4899.9999999999991</v>
      </c>
    </row>
    <row r="675" spans="1:13" customFormat="1">
      <c r="A675" t="s">
        <v>97</v>
      </c>
      <c r="B675" t="s">
        <v>16</v>
      </c>
      <c r="C675" s="51">
        <v>137926260696</v>
      </c>
      <c r="D675">
        <v>234.96</v>
      </c>
      <c r="E675" s="1">
        <v>17432324.719999999</v>
      </c>
      <c r="F675" t="s">
        <v>1280</v>
      </c>
      <c r="I675" s="16">
        <f>-IFERROR(VLOOKUP(C675,SIRCUPA!$A$21:$H$186,8,0),0)</f>
        <v>-3.6</v>
      </c>
      <c r="J675" s="68">
        <f>-IFERROR(VLOOKUP(C675,SIRTAC!$A$16:$H$1405,8,0),0)</f>
        <v>0</v>
      </c>
      <c r="K675" s="68">
        <f>-IFERROR(VLOOKUP(C675,Gastos!$A$9:$J$1398,10,0),0)</f>
        <v>0</v>
      </c>
      <c r="L675" s="68">
        <f>-IFERROR(VLOOKUP(C675,IDC!$A$20:$H$1596,8,0),0)</f>
        <v>-1.44</v>
      </c>
      <c r="M675" s="74">
        <f t="shared" si="15"/>
        <v>240</v>
      </c>
    </row>
    <row r="676" spans="1:13" customFormat="1">
      <c r="A676" t="s">
        <v>106</v>
      </c>
      <c r="B676" t="s">
        <v>11</v>
      </c>
      <c r="C676" s="51">
        <v>138366452506</v>
      </c>
      <c r="D676" s="1">
        <v>12568.47</v>
      </c>
      <c r="E676" s="1">
        <v>13650884.16</v>
      </c>
      <c r="F676" t="s">
        <v>1280</v>
      </c>
      <c r="I676" s="16">
        <f>-IFERROR(VLOOKUP(C676,SIRCUPA!$A$21:$H$186,8,0),0)</f>
        <v>0</v>
      </c>
      <c r="J676" s="68">
        <f>-IFERROR(VLOOKUP(C676,SIRTAC!$A$16:$H$1405,8,0),0)</f>
        <v>-129</v>
      </c>
      <c r="K676" s="68">
        <f>-IFERROR(VLOOKUP(C676,Gastos!$A$9:$J$1398,10,0),0)</f>
        <v>-125.13</v>
      </c>
      <c r="L676" s="68">
        <f>-IFERROR(VLOOKUP(C676,IDC!$A$20:$H$1596,8,0),0)</f>
        <v>-77.400000000000006</v>
      </c>
      <c r="M676" s="74">
        <f t="shared" si="15"/>
        <v>12899.999999999998</v>
      </c>
    </row>
    <row r="677" spans="1:13" customFormat="1">
      <c r="A677" t="s">
        <v>106</v>
      </c>
      <c r="B677" t="s">
        <v>11</v>
      </c>
      <c r="C677" s="51">
        <v>137729187113</v>
      </c>
      <c r="D677" s="1">
        <v>13887.09</v>
      </c>
      <c r="E677" s="1">
        <v>13664771.25</v>
      </c>
      <c r="F677" t="s">
        <v>1280</v>
      </c>
      <c r="I677" s="16">
        <f>-IFERROR(VLOOKUP(C677,SIRCUPA!$A$21:$H$186,8,0),0)</f>
        <v>0</v>
      </c>
      <c r="J677" s="68">
        <f>-IFERROR(VLOOKUP(C677,SIRTAC!$A$16:$H$1405,8,0),0)</f>
        <v>-147</v>
      </c>
      <c r="K677" s="68">
        <f>-IFERROR(VLOOKUP(C677,Gastos!$A$9:$J$1398,10,0),0)</f>
        <v>-577.71</v>
      </c>
      <c r="L677" s="68">
        <f>-IFERROR(VLOOKUP(C677,IDC!$A$20:$H$1596,8,0),0)</f>
        <v>-88.2</v>
      </c>
      <c r="M677" s="74">
        <f t="shared" si="15"/>
        <v>14700</v>
      </c>
    </row>
    <row r="678" spans="1:13" customFormat="1">
      <c r="A678" t="s">
        <v>106</v>
      </c>
      <c r="B678" t="s">
        <v>11</v>
      </c>
      <c r="C678" s="51">
        <v>137732048829</v>
      </c>
      <c r="D678" s="1">
        <v>45248.3</v>
      </c>
      <c r="E678" s="1">
        <v>13710019.550000001</v>
      </c>
      <c r="F678" t="s">
        <v>1280</v>
      </c>
      <c r="I678" s="16">
        <f>-IFERROR(VLOOKUP(C678,SIRCUPA!$A$21:$H$186,8,0),0)</f>
        <v>0</v>
      </c>
      <c r="J678" s="68">
        <f>-IFERROR(VLOOKUP(C678,SIRTAC!$A$16:$H$1405,8,0),0)</f>
        <v>-478.97</v>
      </c>
      <c r="K678" s="68">
        <f>-IFERROR(VLOOKUP(C678,Gastos!$A$9:$J$1398,10,0),0)</f>
        <v>-1882.35</v>
      </c>
      <c r="L678" s="68">
        <f>-IFERROR(VLOOKUP(C678,IDC!$A$20:$H$1596,8,0),0)</f>
        <v>-287.38</v>
      </c>
      <c r="M678" s="74">
        <f t="shared" si="15"/>
        <v>47897</v>
      </c>
    </row>
    <row r="679" spans="1:13" customFormat="1">
      <c r="A679" t="s">
        <v>106</v>
      </c>
      <c r="B679" t="s">
        <v>11</v>
      </c>
      <c r="C679" s="51">
        <v>138370582356</v>
      </c>
      <c r="D679" s="1">
        <v>8128.68</v>
      </c>
      <c r="E679" s="1">
        <v>13718148.23</v>
      </c>
      <c r="F679" t="s">
        <v>1280</v>
      </c>
      <c r="I679" s="16">
        <f>-IFERROR(VLOOKUP(C679,SIRCUPA!$A$21:$H$186,8,0),0)</f>
        <v>0</v>
      </c>
      <c r="J679" s="68">
        <f>-IFERROR(VLOOKUP(C679,SIRTAC!$A$16:$H$1405,8,0),0)</f>
        <v>-84</v>
      </c>
      <c r="K679" s="68">
        <f>-IFERROR(VLOOKUP(C679,Gastos!$A$9:$J$1398,10,0),0)</f>
        <v>-136.91999999999999</v>
      </c>
      <c r="L679" s="68">
        <f>-IFERROR(VLOOKUP(C679,IDC!$A$20:$H$1596,8,0),0)</f>
        <v>-50.4</v>
      </c>
      <c r="M679" s="74">
        <f t="shared" si="15"/>
        <v>8400</v>
      </c>
    </row>
    <row r="680" spans="1:13" customFormat="1">
      <c r="A680" t="s">
        <v>106</v>
      </c>
      <c r="B680" t="s">
        <v>11</v>
      </c>
      <c r="C680" s="51">
        <v>137732395913</v>
      </c>
      <c r="D680" s="1">
        <v>4357.92</v>
      </c>
      <c r="E680" s="1">
        <v>13722506.15</v>
      </c>
      <c r="F680" t="s">
        <v>1280</v>
      </c>
      <c r="I680" s="16">
        <f>-IFERROR(VLOOKUP(C680,SIRCUPA!$A$21:$H$186,8,0),0)</f>
        <v>0</v>
      </c>
      <c r="J680" s="68">
        <f>-IFERROR(VLOOKUP(C680,SIRTAC!$A$16:$H$1405,8,0),0)</f>
        <v>-48</v>
      </c>
      <c r="K680" s="68">
        <f>-IFERROR(VLOOKUP(C680,Gastos!$A$9:$J$1398,10,0),0)</f>
        <v>-365.28</v>
      </c>
      <c r="L680" s="68">
        <f>-IFERROR(VLOOKUP(C680,IDC!$A$20:$H$1596,8,0),0)</f>
        <v>-28.8</v>
      </c>
      <c r="M680" s="74">
        <f t="shared" ref="M680:M743" si="16">+D680-I680-J680-K680-L680</f>
        <v>4800</v>
      </c>
    </row>
    <row r="681" spans="1:13" customFormat="1">
      <c r="A681" t="s">
        <v>106</v>
      </c>
      <c r="B681" t="s">
        <v>11</v>
      </c>
      <c r="C681" s="51">
        <v>138370811186</v>
      </c>
      <c r="D681" s="1">
        <v>23381.25</v>
      </c>
      <c r="E681" s="1">
        <v>13745887.4</v>
      </c>
      <c r="F681" t="s">
        <v>1280</v>
      </c>
      <c r="I681" s="16">
        <f>-IFERROR(VLOOKUP(C681,SIRCUPA!$A$21:$H$186,8,0),0)</f>
        <v>0</v>
      </c>
      <c r="J681" s="68">
        <f>-IFERROR(VLOOKUP(C681,SIRTAC!$A$16:$H$1405,8,0),0)</f>
        <v>-239.98</v>
      </c>
      <c r="K681" s="68">
        <f>-IFERROR(VLOOKUP(C681,Gastos!$A$9:$J$1398,10,0),0)</f>
        <v>-232.78</v>
      </c>
      <c r="L681" s="68">
        <f>-IFERROR(VLOOKUP(C681,IDC!$A$20:$H$1596,8,0),0)</f>
        <v>-143.99</v>
      </c>
      <c r="M681" s="74">
        <f t="shared" si="16"/>
        <v>23998</v>
      </c>
    </row>
    <row r="682" spans="1:13" customFormat="1">
      <c r="A682" t="s">
        <v>106</v>
      </c>
      <c r="B682" t="s">
        <v>11</v>
      </c>
      <c r="C682" s="51">
        <v>137733585351</v>
      </c>
      <c r="D682" s="1">
        <v>46762.5</v>
      </c>
      <c r="E682" s="1">
        <v>13792649.9</v>
      </c>
      <c r="F682" t="s">
        <v>1280</v>
      </c>
      <c r="I682" s="16">
        <f>-IFERROR(VLOOKUP(C682,SIRCUPA!$A$21:$H$186,8,0),0)</f>
        <v>0</v>
      </c>
      <c r="J682" s="68">
        <f>-IFERROR(VLOOKUP(C682,SIRTAC!$A$16:$H$1405,8,0),0)</f>
        <v>-479.96</v>
      </c>
      <c r="K682" s="68">
        <f>-IFERROR(VLOOKUP(C682,Gastos!$A$9:$J$1398,10,0),0)</f>
        <v>-465.56</v>
      </c>
      <c r="L682" s="68">
        <f>-IFERROR(VLOOKUP(C682,IDC!$A$20:$H$1596,8,0),0)</f>
        <v>-287.98</v>
      </c>
      <c r="M682" s="74">
        <f t="shared" si="16"/>
        <v>47996</v>
      </c>
    </row>
    <row r="683" spans="1:13" customFormat="1">
      <c r="A683" t="s">
        <v>106</v>
      </c>
      <c r="B683" t="s">
        <v>11</v>
      </c>
      <c r="C683" s="51">
        <v>137735636327</v>
      </c>
      <c r="D683" s="1">
        <v>23381.25</v>
      </c>
      <c r="E683" s="1">
        <v>13818379.77</v>
      </c>
      <c r="F683" t="s">
        <v>1280</v>
      </c>
      <c r="I683" s="16">
        <f>-IFERROR(VLOOKUP(C683,SIRCUPA!$A$21:$H$186,8,0),0)</f>
        <v>0</v>
      </c>
      <c r="J683" s="68">
        <f>-IFERROR(VLOOKUP(C683,SIRTAC!$A$16:$H$1405,8,0),0)</f>
        <v>-239.98</v>
      </c>
      <c r="K683" s="68">
        <f>-IFERROR(VLOOKUP(C683,Gastos!$A$9:$J$1398,10,0),0)</f>
        <v>-232.78</v>
      </c>
      <c r="L683" s="68">
        <f>-IFERROR(VLOOKUP(C683,IDC!$A$20:$H$1596,8,0),0)</f>
        <v>-143.99</v>
      </c>
      <c r="M683" s="74">
        <f t="shared" si="16"/>
        <v>23998</v>
      </c>
    </row>
    <row r="684" spans="1:13" customFormat="1">
      <c r="A684" t="s">
        <v>106</v>
      </c>
      <c r="B684" t="s">
        <v>11</v>
      </c>
      <c r="C684" s="51">
        <v>137735718137</v>
      </c>
      <c r="D684" s="1">
        <v>62826.68</v>
      </c>
      <c r="E684" s="1">
        <v>13881206.449999999</v>
      </c>
      <c r="F684" t="s">
        <v>1280</v>
      </c>
      <c r="I684" s="16">
        <f>-IFERROR(VLOOKUP(C684,SIRCUPA!$A$21:$H$186,8,0),0)</f>
        <v>0</v>
      </c>
      <c r="J684" s="68">
        <f>-IFERROR(VLOOKUP(C684,SIRTAC!$A$16:$H$1405,8,0),0)</f>
        <v>-692</v>
      </c>
      <c r="K684" s="68">
        <f>-IFERROR(VLOOKUP(C684,Gastos!$A$9:$J$1398,10,0),0)</f>
        <v>-5266.12</v>
      </c>
      <c r="L684" s="68">
        <f>-IFERROR(VLOOKUP(C684,IDC!$A$20:$H$1596,8,0),0)</f>
        <v>-415.2</v>
      </c>
      <c r="M684" s="74">
        <f t="shared" si="16"/>
        <v>69200</v>
      </c>
    </row>
    <row r="685" spans="1:13" customFormat="1">
      <c r="A685" t="s">
        <v>106</v>
      </c>
      <c r="B685" t="s">
        <v>11</v>
      </c>
      <c r="C685" s="51">
        <v>138375001336</v>
      </c>
      <c r="D685" s="1">
        <v>7626.36</v>
      </c>
      <c r="E685" s="1">
        <v>13888832.810000001</v>
      </c>
      <c r="F685" t="s">
        <v>1280</v>
      </c>
      <c r="I685" s="16">
        <f>-IFERROR(VLOOKUP(C685,SIRCUPA!$A$21:$H$186,8,0),0)</f>
        <v>0</v>
      </c>
      <c r="J685" s="68">
        <f>-IFERROR(VLOOKUP(C685,SIRTAC!$A$16:$H$1405,8,0),0)</f>
        <v>-84</v>
      </c>
      <c r="K685" s="68">
        <f>-IFERROR(VLOOKUP(C685,Gastos!$A$9:$J$1398,10,0),0)</f>
        <v>-639.24</v>
      </c>
      <c r="L685" s="68">
        <f>-IFERROR(VLOOKUP(C685,IDC!$A$20:$H$1596,8,0),0)</f>
        <v>-50.4</v>
      </c>
      <c r="M685" s="74">
        <f t="shared" si="16"/>
        <v>8400</v>
      </c>
    </row>
    <row r="686" spans="1:13" customFormat="1">
      <c r="A686" t="s">
        <v>106</v>
      </c>
      <c r="B686" t="s">
        <v>11</v>
      </c>
      <c r="C686" s="51">
        <v>137736891041</v>
      </c>
      <c r="D686" s="1">
        <v>8476.41</v>
      </c>
      <c r="E686" s="1">
        <v>13897309.220000001</v>
      </c>
      <c r="F686" t="s">
        <v>1280</v>
      </c>
      <c r="I686" s="16">
        <f>-IFERROR(VLOOKUP(C686,SIRCUPA!$A$21:$H$186,8,0),0)</f>
        <v>0</v>
      </c>
      <c r="J686" s="68">
        <f>-IFERROR(VLOOKUP(C686,SIRTAC!$A$16:$H$1405,8,0),0)</f>
        <v>-87</v>
      </c>
      <c r="K686" s="68">
        <f>-IFERROR(VLOOKUP(C686,Gastos!$A$9:$J$1398,10,0),0)</f>
        <v>-84.39</v>
      </c>
      <c r="L686" s="68">
        <f>-IFERROR(VLOOKUP(C686,IDC!$A$20:$H$1596,8,0),0)</f>
        <v>-52.2</v>
      </c>
      <c r="M686" s="74">
        <f t="shared" si="16"/>
        <v>8700</v>
      </c>
    </row>
    <row r="687" spans="1:13" customFormat="1">
      <c r="A687" t="s">
        <v>106</v>
      </c>
      <c r="B687" t="s">
        <v>11</v>
      </c>
      <c r="C687" s="51">
        <v>137737033763</v>
      </c>
      <c r="D687" s="1">
        <v>37119.86</v>
      </c>
      <c r="E687" s="1">
        <v>13934429.08</v>
      </c>
      <c r="F687" t="s">
        <v>1280</v>
      </c>
      <c r="I687" s="16">
        <f>-IFERROR(VLOOKUP(C687,SIRCUPA!$A$21:$H$186,8,0),0)</f>
        <v>0</v>
      </c>
      <c r="J687" s="68">
        <f>-IFERROR(VLOOKUP(C687,SIRTAC!$A$16:$H$1405,8,0),0)</f>
        <v>-380.99</v>
      </c>
      <c r="K687" s="68">
        <f>-IFERROR(VLOOKUP(C687,Gastos!$A$9:$J$1398,10,0),0)</f>
        <v>-369.56</v>
      </c>
      <c r="L687" s="68">
        <f>-IFERROR(VLOOKUP(C687,IDC!$A$20:$H$1596,8,0),0)</f>
        <v>-228.59</v>
      </c>
      <c r="M687" s="74">
        <f t="shared" si="16"/>
        <v>38098.999999999993</v>
      </c>
    </row>
    <row r="688" spans="1:13" customFormat="1">
      <c r="A688" t="s">
        <v>106</v>
      </c>
      <c r="B688" t="s">
        <v>11</v>
      </c>
      <c r="C688" s="51">
        <v>138375441034</v>
      </c>
      <c r="D688" s="1">
        <v>20752.59</v>
      </c>
      <c r="E688" s="1">
        <v>13955181.67</v>
      </c>
      <c r="F688" t="s">
        <v>1280</v>
      </c>
      <c r="I688" s="16">
        <f>-IFERROR(VLOOKUP(C688,SIRCUPA!$A$21:$H$186,8,0),0)</f>
        <v>0</v>
      </c>
      <c r="J688" s="68">
        <f>-IFERROR(VLOOKUP(C688,SIRTAC!$A$16:$H$1405,8,0),0)</f>
        <v>-213</v>
      </c>
      <c r="K688" s="68">
        <f>-IFERROR(VLOOKUP(C688,Gastos!$A$9:$J$1398,10,0),0)</f>
        <v>-206.61</v>
      </c>
      <c r="L688" s="68">
        <f>-IFERROR(VLOOKUP(C688,IDC!$A$20:$H$1596,8,0),0)</f>
        <v>-127.8</v>
      </c>
      <c r="M688" s="74">
        <f t="shared" si="16"/>
        <v>21300</v>
      </c>
    </row>
    <row r="689" spans="1:13" customFormat="1">
      <c r="A689" t="s">
        <v>106</v>
      </c>
      <c r="B689" t="s">
        <v>11</v>
      </c>
      <c r="C689" s="51">
        <v>138376025552</v>
      </c>
      <c r="D689" s="1">
        <v>24967.25</v>
      </c>
      <c r="E689" s="1">
        <v>13980148.92</v>
      </c>
      <c r="F689" t="s">
        <v>1280</v>
      </c>
      <c r="I689" s="16">
        <f>-IFERROR(VLOOKUP(C689,SIRCUPA!$A$21:$H$186,8,0),0)</f>
        <v>0</v>
      </c>
      <c r="J689" s="68">
        <f>-IFERROR(VLOOKUP(C689,SIRTAC!$A$16:$H$1405,8,0),0)</f>
        <v>-275</v>
      </c>
      <c r="K689" s="68">
        <f>-IFERROR(VLOOKUP(C689,Gastos!$A$9:$J$1398,10,0),0)</f>
        <v>-2092.75</v>
      </c>
      <c r="L689" s="68">
        <f>-IFERROR(VLOOKUP(C689,IDC!$A$20:$H$1596,8,0),0)</f>
        <v>-165</v>
      </c>
      <c r="M689" s="74">
        <f t="shared" si="16"/>
        <v>27500</v>
      </c>
    </row>
    <row r="690" spans="1:13" customFormat="1">
      <c r="A690" t="s">
        <v>106</v>
      </c>
      <c r="B690" t="s">
        <v>11</v>
      </c>
      <c r="C690" s="51">
        <v>137738555625</v>
      </c>
      <c r="D690" s="1">
        <v>4629.03</v>
      </c>
      <c r="E690" s="1">
        <v>13984777.949999999</v>
      </c>
      <c r="F690" t="s">
        <v>1280</v>
      </c>
      <c r="I690" s="16">
        <f>-IFERROR(VLOOKUP(C690,SIRCUPA!$A$21:$H$186,8,0),0)</f>
        <v>0</v>
      </c>
      <c r="J690" s="68">
        <f>-IFERROR(VLOOKUP(C690,SIRTAC!$A$16:$H$1405,8,0),0)</f>
        <v>-49</v>
      </c>
      <c r="K690" s="68">
        <f>-IFERROR(VLOOKUP(C690,Gastos!$A$9:$J$1398,10,0),0)</f>
        <v>-192.57</v>
      </c>
      <c r="L690" s="68">
        <f>-IFERROR(VLOOKUP(C690,IDC!$A$20:$H$1596,8,0),0)</f>
        <v>-29.4</v>
      </c>
      <c r="M690" s="74">
        <f t="shared" si="16"/>
        <v>4899.9999999999991</v>
      </c>
    </row>
    <row r="691" spans="1:13" customFormat="1">
      <c r="A691" t="s">
        <v>106</v>
      </c>
      <c r="B691" t="s">
        <v>11</v>
      </c>
      <c r="C691" s="51">
        <v>138377865080</v>
      </c>
      <c r="D691" s="1">
        <v>65278.1</v>
      </c>
      <c r="E691" s="1">
        <v>14050056.050000001</v>
      </c>
      <c r="F691" t="s">
        <v>1280</v>
      </c>
      <c r="I691" s="16">
        <f>-IFERROR(VLOOKUP(C691,SIRCUPA!$A$21:$H$186,8,0),0)</f>
        <v>0</v>
      </c>
      <c r="J691" s="68">
        <f>-IFERROR(VLOOKUP(C691,SIRTAC!$A$16:$H$1405,8,0),0)</f>
        <v>-670</v>
      </c>
      <c r="K691" s="68">
        <f>-IFERROR(VLOOKUP(C691,Gastos!$A$9:$J$1398,10,0),0)</f>
        <v>-649.9</v>
      </c>
      <c r="L691" s="68">
        <f>-IFERROR(VLOOKUP(C691,IDC!$A$20:$H$1596,8,0),0)</f>
        <v>-402</v>
      </c>
      <c r="M691" s="74">
        <f t="shared" si="16"/>
        <v>67000</v>
      </c>
    </row>
    <row r="692" spans="1:13" customFormat="1">
      <c r="A692" t="s">
        <v>106</v>
      </c>
      <c r="B692" t="s">
        <v>11</v>
      </c>
      <c r="C692" s="51">
        <v>137739858471</v>
      </c>
      <c r="D692" s="1">
        <v>60309.17</v>
      </c>
      <c r="E692" s="1">
        <v>14110365.220000001</v>
      </c>
      <c r="F692" t="s">
        <v>1280</v>
      </c>
      <c r="I692" s="16">
        <f>-IFERROR(VLOOKUP(C692,SIRCUPA!$A$21:$H$186,8,0),0)</f>
        <v>0</v>
      </c>
      <c r="J692" s="68">
        <f>-IFERROR(VLOOKUP(C692,SIRTAC!$A$16:$H$1405,8,0),0)</f>
        <v>-619</v>
      </c>
      <c r="K692" s="68">
        <f>-IFERROR(VLOOKUP(C692,Gastos!$A$9:$J$1398,10,0),0)</f>
        <v>-600.42999999999995</v>
      </c>
      <c r="L692" s="68">
        <f>-IFERROR(VLOOKUP(C692,IDC!$A$20:$H$1596,8,0),0)</f>
        <v>-371.4</v>
      </c>
      <c r="M692" s="74">
        <f t="shared" si="16"/>
        <v>61900</v>
      </c>
    </row>
    <row r="693" spans="1:13" customFormat="1">
      <c r="A693" t="s">
        <v>106</v>
      </c>
      <c r="B693" t="s">
        <v>11</v>
      </c>
      <c r="C693" s="51">
        <v>138378205560</v>
      </c>
      <c r="D693" s="1">
        <v>4676.6400000000003</v>
      </c>
      <c r="E693" s="1">
        <v>14121101.869999999</v>
      </c>
      <c r="F693" t="s">
        <v>1280</v>
      </c>
      <c r="I693" s="16">
        <f>-IFERROR(VLOOKUP(C693,SIRCUPA!$A$21:$H$186,8,0),0)</f>
        <v>0</v>
      </c>
      <c r="J693" s="68">
        <f>-IFERROR(VLOOKUP(C693,SIRTAC!$A$16:$H$1405,8,0),0)</f>
        <v>-48</v>
      </c>
      <c r="K693" s="68">
        <f>-IFERROR(VLOOKUP(C693,Gastos!$A$9:$J$1398,10,0),0)</f>
        <v>-46.56</v>
      </c>
      <c r="L693" s="68">
        <f>-IFERROR(VLOOKUP(C693,IDC!$A$20:$H$1596,8,0),0)</f>
        <v>-28.8</v>
      </c>
      <c r="M693" s="74">
        <f t="shared" si="16"/>
        <v>4800.0000000000009</v>
      </c>
    </row>
    <row r="694" spans="1:13" customFormat="1">
      <c r="A694" t="s">
        <v>106</v>
      </c>
      <c r="B694" t="s">
        <v>11</v>
      </c>
      <c r="C694" s="51">
        <v>138378705392</v>
      </c>
      <c r="D694" s="1">
        <v>45597.24</v>
      </c>
      <c r="E694" s="1">
        <v>14166699.109999999</v>
      </c>
      <c r="F694" t="s">
        <v>1280</v>
      </c>
      <c r="I694" s="16">
        <f>-IFERROR(VLOOKUP(C694,SIRCUPA!$A$21:$H$186,8,0),0)</f>
        <v>0</v>
      </c>
      <c r="J694" s="68">
        <f>-IFERROR(VLOOKUP(C694,SIRTAC!$A$16:$H$1405,8,0),0)</f>
        <v>-468</v>
      </c>
      <c r="K694" s="68">
        <f>-IFERROR(VLOOKUP(C694,Gastos!$A$9:$J$1398,10,0),0)</f>
        <v>-453.96</v>
      </c>
      <c r="L694" s="68">
        <f>-IFERROR(VLOOKUP(C694,IDC!$A$20:$H$1596,8,0),0)</f>
        <v>-280.8</v>
      </c>
      <c r="M694" s="74">
        <f t="shared" si="16"/>
        <v>46800</v>
      </c>
    </row>
    <row r="695" spans="1:13" customFormat="1">
      <c r="A695" t="s">
        <v>106</v>
      </c>
      <c r="B695" t="s">
        <v>11</v>
      </c>
      <c r="C695" s="51">
        <v>138379731852</v>
      </c>
      <c r="D695" s="1">
        <v>38449.29</v>
      </c>
      <c r="E695" s="1">
        <v>14205148.4</v>
      </c>
      <c r="F695" t="s">
        <v>1280</v>
      </c>
      <c r="I695" s="16">
        <f>-IFERROR(VLOOKUP(C695,SIRCUPA!$A$21:$H$186,8,0),0)</f>
        <v>0</v>
      </c>
      <c r="J695" s="68">
        <f>-IFERROR(VLOOKUP(C695,SIRTAC!$A$16:$H$1405,8,0),0)</f>
        <v>-407</v>
      </c>
      <c r="K695" s="68">
        <f>-IFERROR(VLOOKUP(C695,Gastos!$A$9:$J$1398,10,0),0)</f>
        <v>-1599.51</v>
      </c>
      <c r="L695" s="68">
        <f>-IFERROR(VLOOKUP(C695,IDC!$A$20:$H$1596,8,0),0)</f>
        <v>-244.2</v>
      </c>
      <c r="M695" s="74">
        <f t="shared" si="16"/>
        <v>40700</v>
      </c>
    </row>
    <row r="696" spans="1:13" customFormat="1">
      <c r="A696" t="s">
        <v>106</v>
      </c>
      <c r="B696" t="s">
        <v>11</v>
      </c>
      <c r="C696" s="51">
        <v>138380103176</v>
      </c>
      <c r="D696" s="1">
        <v>49884.160000000003</v>
      </c>
      <c r="E696" s="1">
        <v>14255032.560000001</v>
      </c>
      <c r="F696" t="s">
        <v>1280</v>
      </c>
      <c r="I696" s="16">
        <f>-IFERROR(VLOOKUP(C696,SIRCUPA!$A$21:$H$186,8,0),0)</f>
        <v>0</v>
      </c>
      <c r="J696" s="68">
        <f>-IFERROR(VLOOKUP(C696,SIRTAC!$A$16:$H$1405,8,0),0)</f>
        <v>-512</v>
      </c>
      <c r="K696" s="68">
        <f>-IFERROR(VLOOKUP(C696,Gastos!$A$9:$J$1398,10,0),0)</f>
        <v>-496.64</v>
      </c>
      <c r="L696" s="68">
        <f>-IFERROR(VLOOKUP(C696,IDC!$A$20:$H$1596,8,0),0)</f>
        <v>-307.2</v>
      </c>
      <c r="M696" s="74">
        <f t="shared" si="16"/>
        <v>51200</v>
      </c>
    </row>
    <row r="697" spans="1:13" customFormat="1">
      <c r="A697" t="s">
        <v>112</v>
      </c>
      <c r="B697" t="s">
        <v>11</v>
      </c>
      <c r="C697" s="51">
        <v>138380825924</v>
      </c>
      <c r="D697" s="1">
        <v>44328.7</v>
      </c>
      <c r="E697" s="1">
        <v>14299361.26</v>
      </c>
      <c r="F697" t="s">
        <v>1280</v>
      </c>
      <c r="I697" s="16">
        <f>-IFERROR(VLOOKUP(C697,SIRCUPA!$A$21:$H$186,8,0),0)</f>
        <v>0</v>
      </c>
      <c r="J697" s="68">
        <f>-IFERROR(VLOOKUP(C697,SIRTAC!$A$16:$H$1405,8,0),0)</f>
        <v>-454.98</v>
      </c>
      <c r="K697" s="68">
        <f>-IFERROR(VLOOKUP(C697,Gastos!$A$9:$J$1398,10,0),0)</f>
        <v>-441.33</v>
      </c>
      <c r="L697" s="68">
        <f>-IFERROR(VLOOKUP(C697,IDC!$A$20:$H$1596,8,0),0)</f>
        <v>-272.99</v>
      </c>
      <c r="M697" s="74">
        <f t="shared" si="16"/>
        <v>45498</v>
      </c>
    </row>
    <row r="698" spans="1:13" customFormat="1">
      <c r="A698" t="s">
        <v>112</v>
      </c>
      <c r="B698" t="s">
        <v>11</v>
      </c>
      <c r="C698" s="51">
        <v>138381183046</v>
      </c>
      <c r="D698" s="1">
        <v>4774.07</v>
      </c>
      <c r="E698" s="1">
        <v>14304135.33</v>
      </c>
      <c r="F698" t="s">
        <v>1280</v>
      </c>
      <c r="I698" s="16">
        <f>-IFERROR(VLOOKUP(C698,SIRCUPA!$A$21:$H$186,8,0),0)</f>
        <v>0</v>
      </c>
      <c r="J698" s="68">
        <f>-IFERROR(VLOOKUP(C698,SIRTAC!$A$16:$H$1405,8,0),0)</f>
        <v>-49</v>
      </c>
      <c r="K698" s="68">
        <f>-IFERROR(VLOOKUP(C698,Gastos!$A$9:$J$1398,10,0),0)</f>
        <v>-47.53</v>
      </c>
      <c r="L698" s="68">
        <f>-IFERROR(VLOOKUP(C698,IDC!$A$20:$H$1596,8,0),0)</f>
        <v>-29.4</v>
      </c>
      <c r="M698" s="74">
        <f t="shared" si="16"/>
        <v>4899.9999999999991</v>
      </c>
    </row>
    <row r="699" spans="1:13" customFormat="1">
      <c r="A699" t="s">
        <v>112</v>
      </c>
      <c r="B699" t="s">
        <v>11</v>
      </c>
      <c r="C699" s="51">
        <v>138382866740</v>
      </c>
      <c r="D699" s="1">
        <v>32831.96</v>
      </c>
      <c r="E699" s="1">
        <v>14336967.289999999</v>
      </c>
      <c r="F699" t="s">
        <v>1280</v>
      </c>
      <c r="I699" s="16">
        <f>-IFERROR(VLOOKUP(C699,SIRCUPA!$A$21:$H$186,8,0),0)</f>
        <v>0</v>
      </c>
      <c r="J699" s="68">
        <f>-IFERROR(VLOOKUP(C699,SIRTAC!$A$16:$H$1405,8,0),0)</f>
        <v>-336.98</v>
      </c>
      <c r="K699" s="68">
        <f>-IFERROR(VLOOKUP(C699,Gastos!$A$9:$J$1398,10,0),0)</f>
        <v>-326.87</v>
      </c>
      <c r="L699" s="68">
        <f>-IFERROR(VLOOKUP(C699,IDC!$A$20:$H$1596,8,0),0)</f>
        <v>-202.19</v>
      </c>
      <c r="M699" s="74">
        <f t="shared" si="16"/>
        <v>33698.000000000007</v>
      </c>
    </row>
    <row r="700" spans="1:13" customFormat="1">
      <c r="A700" t="s">
        <v>112</v>
      </c>
      <c r="B700" t="s">
        <v>11</v>
      </c>
      <c r="C700" s="51">
        <v>138386617202</v>
      </c>
      <c r="D700" s="1">
        <v>3870.8</v>
      </c>
      <c r="E700" s="1">
        <v>14340838.09</v>
      </c>
      <c r="F700" t="s">
        <v>1280</v>
      </c>
      <c r="I700" s="16">
        <f>-IFERROR(VLOOKUP(C700,SIRCUPA!$A$21:$H$186,8,0),0)</f>
        <v>0</v>
      </c>
      <c r="J700" s="68">
        <f>-IFERROR(VLOOKUP(C700,SIRTAC!$A$16:$H$1405,8,0),0)</f>
        <v>-40</v>
      </c>
      <c r="K700" s="68">
        <f>-IFERROR(VLOOKUP(C700,Gastos!$A$9:$J$1398,10,0),0)</f>
        <v>-65.2</v>
      </c>
      <c r="L700" s="68">
        <f>-IFERROR(VLOOKUP(C700,IDC!$A$20:$H$1596,8,0),0)</f>
        <v>-24</v>
      </c>
      <c r="M700" s="74">
        <f t="shared" si="16"/>
        <v>4000</v>
      </c>
    </row>
    <row r="701" spans="1:13" customFormat="1">
      <c r="A701" t="s">
        <v>112</v>
      </c>
      <c r="B701" t="s">
        <v>11</v>
      </c>
      <c r="C701" s="51">
        <v>137748725081</v>
      </c>
      <c r="D701" s="1">
        <v>18316.84</v>
      </c>
      <c r="E701" s="1">
        <v>14359154.93</v>
      </c>
      <c r="F701" t="s">
        <v>1280</v>
      </c>
      <c r="I701" s="16">
        <f>-IFERROR(VLOOKUP(C701,SIRCUPA!$A$21:$H$186,8,0),0)</f>
        <v>0</v>
      </c>
      <c r="J701" s="68">
        <f>-IFERROR(VLOOKUP(C701,SIRTAC!$A$16:$H$1405,8,0),0)</f>
        <v>-188</v>
      </c>
      <c r="K701" s="68">
        <f>-IFERROR(VLOOKUP(C701,Gastos!$A$9:$J$1398,10,0),0)</f>
        <v>-182.36</v>
      </c>
      <c r="L701" s="68">
        <f>-IFERROR(VLOOKUP(C701,IDC!$A$20:$H$1596,8,0),0)</f>
        <v>-112.8</v>
      </c>
      <c r="M701" s="74">
        <f t="shared" si="16"/>
        <v>18800</v>
      </c>
    </row>
    <row r="702" spans="1:13" customFormat="1">
      <c r="A702" t="s">
        <v>112</v>
      </c>
      <c r="B702" t="s">
        <v>11</v>
      </c>
      <c r="C702" s="51">
        <v>137748780603</v>
      </c>
      <c r="D702" s="1">
        <v>19146.509999999998</v>
      </c>
      <c r="E702" s="1">
        <v>14378301.439999999</v>
      </c>
      <c r="F702" t="s">
        <v>1280</v>
      </c>
      <c r="I702" s="16">
        <f>-IFERROR(VLOOKUP(C702,SIRCUPA!$A$21:$H$186,8,0),0)</f>
        <v>0</v>
      </c>
      <c r="J702" s="68">
        <f>-IFERROR(VLOOKUP(C702,SIRTAC!$A$16:$H$1405,8,0),0)</f>
        <v>-203.99</v>
      </c>
      <c r="K702" s="68">
        <f>-IFERROR(VLOOKUP(C702,Gastos!$A$9:$J$1398,10,0),0)</f>
        <v>-926.11</v>
      </c>
      <c r="L702" s="68">
        <f>-IFERROR(VLOOKUP(C702,IDC!$A$20:$H$1596,8,0),0)</f>
        <v>-122.39</v>
      </c>
      <c r="M702" s="74">
        <f t="shared" si="16"/>
        <v>20399</v>
      </c>
    </row>
    <row r="703" spans="1:13" customFormat="1">
      <c r="A703" t="s">
        <v>112</v>
      </c>
      <c r="B703" t="s">
        <v>11</v>
      </c>
      <c r="C703" s="51">
        <v>138386893506</v>
      </c>
      <c r="D703" s="1">
        <v>18579.84</v>
      </c>
      <c r="E703" s="1">
        <v>14396881.279999999</v>
      </c>
      <c r="F703" t="s">
        <v>1280</v>
      </c>
      <c r="I703" s="16">
        <f>-IFERROR(VLOOKUP(C703,SIRCUPA!$A$21:$H$186,8,0),0)</f>
        <v>0</v>
      </c>
      <c r="J703" s="68">
        <f>-IFERROR(VLOOKUP(C703,SIRTAC!$A$16:$H$1405,8,0),0)</f>
        <v>-192</v>
      </c>
      <c r="K703" s="68">
        <f>-IFERROR(VLOOKUP(C703,Gastos!$A$9:$J$1398,10,0),0)</f>
        <v>-312.95999999999998</v>
      </c>
      <c r="L703" s="68">
        <f>-IFERROR(VLOOKUP(C703,IDC!$A$20:$H$1596,8,0),0)</f>
        <v>-115.2</v>
      </c>
      <c r="M703" s="74">
        <f t="shared" si="16"/>
        <v>19200</v>
      </c>
    </row>
    <row r="704" spans="1:13" customFormat="1">
      <c r="A704" t="s">
        <v>106</v>
      </c>
      <c r="B704" t="s">
        <v>110</v>
      </c>
      <c r="C704" s="51">
        <v>138371875180</v>
      </c>
      <c r="D704" s="1">
        <v>2348.62</v>
      </c>
      <c r="E704" s="1">
        <v>13794998.52</v>
      </c>
      <c r="F704" t="s">
        <v>1280</v>
      </c>
      <c r="I704" s="16">
        <f>-IFERROR(VLOOKUP(C704,SIRCUPA!$A$21:$H$186,8,0),0)</f>
        <v>-35.99</v>
      </c>
      <c r="J704" s="68">
        <f>-IFERROR(VLOOKUP(C704,SIRTAC!$A$16:$H$1405,8,0),0)</f>
        <v>0</v>
      </c>
      <c r="K704" s="68">
        <f>-IFERROR(VLOOKUP(C704,Gastos!$A$9:$J$1398,10,0),0)</f>
        <v>0</v>
      </c>
      <c r="L704" s="68">
        <f>-IFERROR(VLOOKUP(C704,IDC!$A$20:$H$1596,8,0),0)</f>
        <v>-14.39</v>
      </c>
      <c r="M704" s="74">
        <f t="shared" si="16"/>
        <v>2398.9999999999995</v>
      </c>
    </row>
    <row r="705" spans="1:13" customFormat="1">
      <c r="A705" t="s">
        <v>112</v>
      </c>
      <c r="B705" t="s">
        <v>11</v>
      </c>
      <c r="C705" s="51">
        <v>137748840969</v>
      </c>
      <c r="D705" s="1">
        <v>16614.57</v>
      </c>
      <c r="E705" s="1">
        <v>14413495.85</v>
      </c>
      <c r="F705" t="s">
        <v>1280</v>
      </c>
      <c r="I705" s="16">
        <f>-IFERROR(VLOOKUP(C705,SIRCUPA!$A$21:$H$186,8,0),0)</f>
        <v>0</v>
      </c>
      <c r="J705" s="68">
        <f>-IFERROR(VLOOKUP(C705,SIRTAC!$A$16:$H$1405,8,0),0)</f>
        <v>-183</v>
      </c>
      <c r="K705" s="68">
        <f>-IFERROR(VLOOKUP(C705,Gastos!$A$9:$J$1398,10,0),0)</f>
        <v>-1392.63</v>
      </c>
      <c r="L705" s="68">
        <f>-IFERROR(VLOOKUP(C705,IDC!$A$20:$H$1596,8,0),0)</f>
        <v>-109.8</v>
      </c>
      <c r="M705" s="74">
        <f t="shared" si="16"/>
        <v>18300</v>
      </c>
    </row>
    <row r="706" spans="1:13" customFormat="1">
      <c r="A706" t="s">
        <v>112</v>
      </c>
      <c r="B706" t="s">
        <v>11</v>
      </c>
      <c r="C706" s="51">
        <v>138387393028</v>
      </c>
      <c r="D706" s="1">
        <v>33126.199999999997</v>
      </c>
      <c r="E706" s="1">
        <v>14446622.050000001</v>
      </c>
      <c r="F706" t="s">
        <v>1280</v>
      </c>
      <c r="I706" s="16">
        <f>-IFERROR(VLOOKUP(C706,SIRCUPA!$A$21:$H$186,8,0),0)</f>
        <v>0</v>
      </c>
      <c r="J706" s="68">
        <f>-IFERROR(VLOOKUP(C706,SIRTAC!$A$16:$H$1405,8,0),0)</f>
        <v>-340</v>
      </c>
      <c r="K706" s="68">
        <f>-IFERROR(VLOOKUP(C706,Gastos!$A$9:$J$1398,10,0),0)</f>
        <v>-329.8</v>
      </c>
      <c r="L706" s="68">
        <f>-IFERROR(VLOOKUP(C706,IDC!$A$20:$H$1596,8,0),0)</f>
        <v>-204</v>
      </c>
      <c r="M706" s="74">
        <f t="shared" si="16"/>
        <v>34000</v>
      </c>
    </row>
    <row r="707" spans="1:13" customFormat="1">
      <c r="A707" t="s">
        <v>112</v>
      </c>
      <c r="B707" t="s">
        <v>11</v>
      </c>
      <c r="C707" s="51">
        <v>137862760785</v>
      </c>
      <c r="D707" s="1">
        <v>12178.75</v>
      </c>
      <c r="E707" s="1">
        <v>14458800.800000001</v>
      </c>
      <c r="F707" t="s">
        <v>1280</v>
      </c>
      <c r="I707" s="16">
        <f>-IFERROR(VLOOKUP(C707,SIRCUPA!$A$21:$H$186,8,0),0)</f>
        <v>0</v>
      </c>
      <c r="J707" s="68">
        <f>-IFERROR(VLOOKUP(C707,SIRTAC!$A$16:$H$1405,8,0),0)</f>
        <v>-125</v>
      </c>
      <c r="K707" s="68">
        <f>-IFERROR(VLOOKUP(C707,Gastos!$A$9:$J$1398,10,0),0)</f>
        <v>-121.25</v>
      </c>
      <c r="L707" s="68">
        <f>-IFERROR(VLOOKUP(C707,IDC!$A$20:$H$1596,8,0),0)</f>
        <v>-75</v>
      </c>
      <c r="M707" s="74">
        <f t="shared" si="16"/>
        <v>12500</v>
      </c>
    </row>
    <row r="708" spans="1:13" customFormat="1">
      <c r="A708" t="s">
        <v>112</v>
      </c>
      <c r="B708" t="s">
        <v>11</v>
      </c>
      <c r="C708" s="51">
        <v>137866056777</v>
      </c>
      <c r="D708" s="1">
        <v>14419.64</v>
      </c>
      <c r="E708" s="1">
        <v>14473220.439999999</v>
      </c>
      <c r="F708" t="s">
        <v>1280</v>
      </c>
      <c r="I708" s="16">
        <f>-IFERROR(VLOOKUP(C708,SIRCUPA!$A$21:$H$186,8,0),0)</f>
        <v>0</v>
      </c>
      <c r="J708" s="68">
        <f>-IFERROR(VLOOKUP(C708,SIRTAC!$A$16:$H$1405,8,0),0)</f>
        <v>-148</v>
      </c>
      <c r="K708" s="68">
        <f>-IFERROR(VLOOKUP(C708,Gastos!$A$9:$J$1398,10,0),0)</f>
        <v>-143.56</v>
      </c>
      <c r="L708" s="68">
        <f>-IFERROR(VLOOKUP(C708,IDC!$A$20:$H$1596,8,0),0)</f>
        <v>-88.8</v>
      </c>
      <c r="M708" s="74">
        <f t="shared" si="16"/>
        <v>14799.999999999998</v>
      </c>
    </row>
    <row r="709" spans="1:13" customFormat="1">
      <c r="A709" t="s">
        <v>112</v>
      </c>
      <c r="B709" t="s">
        <v>11</v>
      </c>
      <c r="C709" s="51">
        <v>138506489490</v>
      </c>
      <c r="D709" s="1">
        <v>4871.5</v>
      </c>
      <c r="E709" s="1">
        <v>14478091.939999999</v>
      </c>
      <c r="F709" t="s">
        <v>1280</v>
      </c>
      <c r="I709" s="16">
        <f>-IFERROR(VLOOKUP(C709,SIRCUPA!$A$21:$H$186,8,0),0)</f>
        <v>0</v>
      </c>
      <c r="J709" s="68">
        <f>-IFERROR(VLOOKUP(C709,SIRTAC!$A$16:$H$1405,8,0),0)</f>
        <v>-50</v>
      </c>
      <c r="K709" s="68">
        <f>-IFERROR(VLOOKUP(C709,Gastos!$A$9:$J$1398,10,0),0)</f>
        <v>-48.5</v>
      </c>
      <c r="L709" s="68">
        <f>-IFERROR(VLOOKUP(C709,IDC!$A$20:$H$1596,8,0),0)</f>
        <v>-30</v>
      </c>
      <c r="M709" s="74">
        <f t="shared" si="16"/>
        <v>5000</v>
      </c>
    </row>
    <row r="710" spans="1:13" customFormat="1">
      <c r="A710" t="s">
        <v>112</v>
      </c>
      <c r="B710" t="s">
        <v>11</v>
      </c>
      <c r="C710" s="51">
        <v>138507536394</v>
      </c>
      <c r="D710" s="1">
        <v>9743</v>
      </c>
      <c r="E710" s="1">
        <v>14487834.939999999</v>
      </c>
      <c r="F710" t="s">
        <v>1280</v>
      </c>
      <c r="I710" s="16">
        <f>-IFERROR(VLOOKUP(C710,SIRCUPA!$A$21:$H$186,8,0),0)</f>
        <v>0</v>
      </c>
      <c r="J710" s="68">
        <f>-IFERROR(VLOOKUP(C710,SIRTAC!$A$16:$H$1405,8,0),0)</f>
        <v>-100</v>
      </c>
      <c r="K710" s="68">
        <f>-IFERROR(VLOOKUP(C710,Gastos!$A$9:$J$1398,10,0),0)</f>
        <v>-97</v>
      </c>
      <c r="L710" s="68">
        <f>-IFERROR(VLOOKUP(C710,IDC!$A$20:$H$1596,8,0),0)</f>
        <v>-60</v>
      </c>
      <c r="M710" s="74">
        <f t="shared" si="16"/>
        <v>10000</v>
      </c>
    </row>
    <row r="711" spans="1:13" customFormat="1">
      <c r="A711" t="s">
        <v>112</v>
      </c>
      <c r="B711" t="s">
        <v>11</v>
      </c>
      <c r="C711" s="51">
        <v>137875762085</v>
      </c>
      <c r="D711" s="1">
        <v>9743</v>
      </c>
      <c r="E711" s="1">
        <v>14498556.939999999</v>
      </c>
      <c r="F711" t="s">
        <v>1280</v>
      </c>
      <c r="I711" s="16">
        <f>-IFERROR(VLOOKUP(C711,SIRCUPA!$A$21:$H$186,8,0),0)</f>
        <v>0</v>
      </c>
      <c r="J711" s="68">
        <f>-IFERROR(VLOOKUP(C711,SIRTAC!$A$16:$H$1405,8,0),0)</f>
        <v>-100</v>
      </c>
      <c r="K711" s="68">
        <f>-IFERROR(VLOOKUP(C711,Gastos!$A$9:$J$1398,10,0),0)</f>
        <v>-97</v>
      </c>
      <c r="L711" s="68">
        <f>-IFERROR(VLOOKUP(C711,IDC!$A$20:$H$1596,8,0),0)</f>
        <v>-60</v>
      </c>
      <c r="M711" s="74">
        <f t="shared" si="16"/>
        <v>10000</v>
      </c>
    </row>
    <row r="712" spans="1:13" customFormat="1">
      <c r="A712" t="s">
        <v>112</v>
      </c>
      <c r="B712" t="s">
        <v>11</v>
      </c>
      <c r="C712" s="51">
        <v>138515609406</v>
      </c>
      <c r="D712" s="1">
        <v>20405.52</v>
      </c>
      <c r="E712" s="1">
        <v>14518962.460000001</v>
      </c>
      <c r="F712" t="s">
        <v>1280</v>
      </c>
      <c r="I712" s="16">
        <f>-IFERROR(VLOOKUP(C712,SIRCUPA!$A$21:$H$186,8,0),0)</f>
        <v>0</v>
      </c>
      <c r="J712" s="68">
        <f>-IFERROR(VLOOKUP(C712,SIRTAC!$A$16:$H$1405,8,0),0)</f>
        <v>-216</v>
      </c>
      <c r="K712" s="68">
        <f>-IFERROR(VLOOKUP(C712,Gastos!$A$9:$J$1398,10,0),0)</f>
        <v>-848.88</v>
      </c>
      <c r="L712" s="68">
        <f>-IFERROR(VLOOKUP(C712,IDC!$A$20:$H$1596,8,0),0)</f>
        <v>-129.6</v>
      </c>
      <c r="M712" s="74">
        <f t="shared" si="16"/>
        <v>21600</v>
      </c>
    </row>
    <row r="713" spans="1:13" customFormat="1">
      <c r="A713" t="s">
        <v>112</v>
      </c>
      <c r="B713" t="s">
        <v>11</v>
      </c>
      <c r="C713" s="51">
        <v>137878494033</v>
      </c>
      <c r="D713" s="1">
        <v>5358.65</v>
      </c>
      <c r="E713" s="1">
        <v>14524321.109999999</v>
      </c>
      <c r="F713" t="s">
        <v>1280</v>
      </c>
      <c r="I713" s="16">
        <f>-IFERROR(VLOOKUP(C713,SIRCUPA!$A$21:$H$186,8,0),0)</f>
        <v>0</v>
      </c>
      <c r="J713" s="68">
        <f>-IFERROR(VLOOKUP(C713,SIRTAC!$A$16:$H$1405,8,0),0)</f>
        <v>-55</v>
      </c>
      <c r="K713" s="68">
        <f>-IFERROR(VLOOKUP(C713,Gastos!$A$9:$J$1398,10,0),0)</f>
        <v>-53.35</v>
      </c>
      <c r="L713" s="68">
        <f>-IFERROR(VLOOKUP(C713,IDC!$A$20:$H$1596,8,0),0)</f>
        <v>-33</v>
      </c>
      <c r="M713" s="74">
        <f t="shared" si="16"/>
        <v>5500</v>
      </c>
    </row>
    <row r="714" spans="1:13" customFormat="1">
      <c r="A714" t="s">
        <v>112</v>
      </c>
      <c r="B714" t="s">
        <v>11</v>
      </c>
      <c r="C714" s="51">
        <v>137879551043</v>
      </c>
      <c r="D714" s="1">
        <v>4539.5</v>
      </c>
      <c r="E714" s="1">
        <v>14528860.609999999</v>
      </c>
      <c r="F714" t="s">
        <v>1280</v>
      </c>
      <c r="I714" s="16">
        <f>-IFERROR(VLOOKUP(C714,SIRCUPA!$A$21:$H$186,8,0),0)</f>
        <v>0</v>
      </c>
      <c r="J714" s="68">
        <f>-IFERROR(VLOOKUP(C714,SIRTAC!$A$16:$H$1405,8,0),0)</f>
        <v>-50</v>
      </c>
      <c r="K714" s="68">
        <f>-IFERROR(VLOOKUP(C714,Gastos!$A$9:$J$1398,10,0),0)</f>
        <v>-380.5</v>
      </c>
      <c r="L714" s="68">
        <f>-IFERROR(VLOOKUP(C714,IDC!$A$20:$H$1596,8,0),0)</f>
        <v>-30</v>
      </c>
      <c r="M714" s="74">
        <f t="shared" si="16"/>
        <v>5000</v>
      </c>
    </row>
    <row r="715" spans="1:13" customFormat="1">
      <c r="A715" t="s">
        <v>106</v>
      </c>
      <c r="B715" t="s">
        <v>111</v>
      </c>
      <c r="C715" s="51">
        <v>137739797245</v>
      </c>
      <c r="D715" s="1">
        <v>6060.01</v>
      </c>
      <c r="E715" s="1">
        <v>14116425.23</v>
      </c>
      <c r="F715" t="s">
        <v>1280</v>
      </c>
      <c r="I715" s="16">
        <f>-IFERROR(VLOOKUP(C715,SIRCUPA!$A$21:$H$186,8,0),0)</f>
        <v>-92.85</v>
      </c>
      <c r="J715" s="68">
        <f>-IFERROR(VLOOKUP(C715,SIRTAC!$A$16:$H$1405,8,0),0)</f>
        <v>0</v>
      </c>
      <c r="K715" s="68">
        <f>-IFERROR(VLOOKUP(C715,Gastos!$A$9:$J$1398,10,0),0)</f>
        <v>0</v>
      </c>
      <c r="L715" s="68">
        <f>-IFERROR(VLOOKUP(C715,IDC!$A$20:$H$1596,8,0),0)</f>
        <v>-37.14</v>
      </c>
      <c r="M715" s="74">
        <f t="shared" si="16"/>
        <v>6190.0000000000009</v>
      </c>
    </row>
    <row r="716" spans="1:13" customFormat="1">
      <c r="A716" t="s">
        <v>112</v>
      </c>
      <c r="B716" t="s">
        <v>11</v>
      </c>
      <c r="C716" s="51">
        <v>137881102495</v>
      </c>
      <c r="D716" s="1">
        <v>4774.07</v>
      </c>
      <c r="E716" s="1">
        <v>14533634.68</v>
      </c>
      <c r="F716" t="s">
        <v>1280</v>
      </c>
      <c r="I716" s="16">
        <f>-IFERROR(VLOOKUP(C716,SIRCUPA!$A$21:$H$186,8,0),0)</f>
        <v>0</v>
      </c>
      <c r="J716" s="68">
        <f>-IFERROR(VLOOKUP(C716,SIRTAC!$A$16:$H$1405,8,0),0)</f>
        <v>-49</v>
      </c>
      <c r="K716" s="68">
        <f>-IFERROR(VLOOKUP(C716,Gastos!$A$9:$J$1398,10,0),0)</f>
        <v>-47.53</v>
      </c>
      <c r="L716" s="68">
        <f>-IFERROR(VLOOKUP(C716,IDC!$A$20:$H$1596,8,0),0)</f>
        <v>-29.4</v>
      </c>
      <c r="M716" s="74">
        <f t="shared" si="16"/>
        <v>4899.9999999999991</v>
      </c>
    </row>
    <row r="717" spans="1:13" customFormat="1">
      <c r="A717" t="s">
        <v>112</v>
      </c>
      <c r="B717" t="s">
        <v>11</v>
      </c>
      <c r="C717" s="51">
        <v>137881181395</v>
      </c>
      <c r="D717" s="1">
        <v>25317.96</v>
      </c>
      <c r="E717" s="1">
        <v>14558952.640000001</v>
      </c>
      <c r="F717" t="s">
        <v>1280</v>
      </c>
      <c r="I717" s="16">
        <f>-IFERROR(VLOOKUP(C717,SIRCUPA!$A$21:$H$186,8,0),0)</f>
        <v>0</v>
      </c>
      <c r="J717" s="68">
        <f>-IFERROR(VLOOKUP(C717,SIRTAC!$A$16:$H$1405,8,0),0)</f>
        <v>-268</v>
      </c>
      <c r="K717" s="68">
        <f>-IFERROR(VLOOKUP(C717,Gastos!$A$9:$J$1398,10,0),0)</f>
        <v>-1053.24</v>
      </c>
      <c r="L717" s="68">
        <f>-IFERROR(VLOOKUP(C717,IDC!$A$20:$H$1596,8,0),0)</f>
        <v>-160.80000000000001</v>
      </c>
      <c r="M717" s="74">
        <f t="shared" si="16"/>
        <v>26800</v>
      </c>
    </row>
    <row r="718" spans="1:13" customFormat="1">
      <c r="A718" t="s">
        <v>112</v>
      </c>
      <c r="B718" t="s">
        <v>11</v>
      </c>
      <c r="C718" s="51">
        <v>137881574967</v>
      </c>
      <c r="D718" s="1">
        <v>4871.5</v>
      </c>
      <c r="E718" s="1">
        <v>14563824.140000001</v>
      </c>
      <c r="F718" t="s">
        <v>1280</v>
      </c>
      <c r="I718" s="16">
        <f>-IFERROR(VLOOKUP(C718,SIRCUPA!$A$21:$H$186,8,0),0)</f>
        <v>0</v>
      </c>
      <c r="J718" s="68">
        <f>-IFERROR(VLOOKUP(C718,SIRTAC!$A$16:$H$1405,8,0),0)</f>
        <v>-50</v>
      </c>
      <c r="K718" s="68">
        <f>-IFERROR(VLOOKUP(C718,Gastos!$A$9:$J$1398,10,0),0)</f>
        <v>-48.5</v>
      </c>
      <c r="L718" s="68">
        <f>-IFERROR(VLOOKUP(C718,IDC!$A$20:$H$1596,8,0),0)</f>
        <v>-30</v>
      </c>
      <c r="M718" s="74">
        <f t="shared" si="16"/>
        <v>5000</v>
      </c>
    </row>
    <row r="719" spans="1:13" customFormat="1">
      <c r="A719" t="s">
        <v>112</v>
      </c>
      <c r="B719" t="s">
        <v>11</v>
      </c>
      <c r="C719" s="51">
        <v>137881925783</v>
      </c>
      <c r="D719" s="1">
        <v>4448.71</v>
      </c>
      <c r="E719" s="1">
        <v>14568272.85</v>
      </c>
      <c r="F719" t="s">
        <v>1280</v>
      </c>
      <c r="I719" s="16">
        <f>-IFERROR(VLOOKUP(C719,SIRCUPA!$A$21:$H$186,8,0),0)</f>
        <v>0</v>
      </c>
      <c r="J719" s="68">
        <f>-IFERROR(VLOOKUP(C719,SIRTAC!$A$16:$H$1405,8,0),0)</f>
        <v>-49</v>
      </c>
      <c r="K719" s="68">
        <f>-IFERROR(VLOOKUP(C719,Gastos!$A$9:$J$1398,10,0),0)</f>
        <v>-372.89</v>
      </c>
      <c r="L719" s="68">
        <f>-IFERROR(VLOOKUP(C719,IDC!$A$20:$H$1596,8,0),0)</f>
        <v>-29.4</v>
      </c>
      <c r="M719" s="74">
        <f t="shared" si="16"/>
        <v>4900</v>
      </c>
    </row>
    <row r="720" spans="1:13" customFormat="1">
      <c r="A720" t="s">
        <v>112</v>
      </c>
      <c r="B720" t="s">
        <v>11</v>
      </c>
      <c r="C720" s="51">
        <v>137882122931</v>
      </c>
      <c r="D720" s="1">
        <v>4629.03</v>
      </c>
      <c r="E720" s="1">
        <v>14572901.880000001</v>
      </c>
      <c r="F720" t="s">
        <v>1280</v>
      </c>
      <c r="I720" s="16">
        <f>-IFERROR(VLOOKUP(C720,SIRCUPA!$A$21:$H$186,8,0),0)</f>
        <v>0</v>
      </c>
      <c r="J720" s="68">
        <f>-IFERROR(VLOOKUP(C720,SIRTAC!$A$16:$H$1405,8,0),0)</f>
        <v>-49</v>
      </c>
      <c r="K720" s="68">
        <f>-IFERROR(VLOOKUP(C720,Gastos!$A$9:$J$1398,10,0),0)</f>
        <v>-192.57</v>
      </c>
      <c r="L720" s="68">
        <f>-IFERROR(VLOOKUP(C720,IDC!$A$20:$H$1596,8,0),0)</f>
        <v>-29.4</v>
      </c>
      <c r="M720" s="74">
        <f t="shared" si="16"/>
        <v>4899.9999999999991</v>
      </c>
    </row>
    <row r="721" spans="1:13" customFormat="1">
      <c r="A721" t="s">
        <v>112</v>
      </c>
      <c r="B721" t="s">
        <v>11</v>
      </c>
      <c r="C721" s="51">
        <v>138521571152</v>
      </c>
      <c r="D721" s="1">
        <v>7557.6</v>
      </c>
      <c r="E721" s="1">
        <v>14580459.48</v>
      </c>
      <c r="F721" t="s">
        <v>1280</v>
      </c>
      <c r="I721" s="16">
        <f>-IFERROR(VLOOKUP(C721,SIRCUPA!$A$21:$H$186,8,0),0)</f>
        <v>0</v>
      </c>
      <c r="J721" s="68">
        <f>-IFERROR(VLOOKUP(C721,SIRTAC!$A$16:$H$1405,8,0),0)</f>
        <v>-80</v>
      </c>
      <c r="K721" s="68">
        <f>-IFERROR(VLOOKUP(C721,Gastos!$A$9:$J$1398,10,0),0)</f>
        <v>-314.39999999999998</v>
      </c>
      <c r="L721" s="68">
        <f>-IFERROR(VLOOKUP(C721,IDC!$A$20:$H$1596,8,0),0)</f>
        <v>-48</v>
      </c>
      <c r="M721" s="74">
        <f t="shared" si="16"/>
        <v>8000</v>
      </c>
    </row>
    <row r="722" spans="1:13" customFormat="1">
      <c r="A722" t="s">
        <v>112</v>
      </c>
      <c r="B722" t="s">
        <v>11</v>
      </c>
      <c r="C722" s="51">
        <v>137883296031</v>
      </c>
      <c r="D722" s="1">
        <v>14711.93</v>
      </c>
      <c r="E722" s="1">
        <v>14595171.41</v>
      </c>
      <c r="F722" t="s">
        <v>1280</v>
      </c>
      <c r="I722" s="16">
        <f>-IFERROR(VLOOKUP(C722,SIRCUPA!$A$21:$H$186,8,0),0)</f>
        <v>0</v>
      </c>
      <c r="J722" s="68">
        <f>-IFERROR(VLOOKUP(C722,SIRTAC!$A$16:$H$1405,8,0),0)</f>
        <v>-151</v>
      </c>
      <c r="K722" s="68">
        <f>-IFERROR(VLOOKUP(C722,Gastos!$A$9:$J$1398,10,0),0)</f>
        <v>-146.47</v>
      </c>
      <c r="L722" s="68">
        <f>-IFERROR(VLOOKUP(C722,IDC!$A$20:$H$1596,8,0),0)</f>
        <v>-90.6</v>
      </c>
      <c r="M722" s="74">
        <f t="shared" si="16"/>
        <v>15100</v>
      </c>
    </row>
    <row r="723" spans="1:13" customFormat="1">
      <c r="A723" t="s">
        <v>112</v>
      </c>
      <c r="B723" t="s">
        <v>11</v>
      </c>
      <c r="C723" s="51">
        <v>138522879906</v>
      </c>
      <c r="D723" s="1">
        <v>7307.25</v>
      </c>
      <c r="E723" s="1">
        <v>14602478.66</v>
      </c>
      <c r="F723" t="s">
        <v>1280</v>
      </c>
      <c r="I723" s="16">
        <f>-IFERROR(VLOOKUP(C723,SIRCUPA!$A$21:$H$186,8,0),0)</f>
        <v>0</v>
      </c>
      <c r="J723" s="68">
        <f>-IFERROR(VLOOKUP(C723,SIRTAC!$A$16:$H$1405,8,0),0)</f>
        <v>-75</v>
      </c>
      <c r="K723" s="68">
        <f>-IFERROR(VLOOKUP(C723,Gastos!$A$9:$J$1398,10,0),0)</f>
        <v>-72.75</v>
      </c>
      <c r="L723" s="68">
        <f>-IFERROR(VLOOKUP(C723,IDC!$A$20:$H$1596,8,0),0)</f>
        <v>-45</v>
      </c>
      <c r="M723" s="74">
        <f t="shared" si="16"/>
        <v>7500</v>
      </c>
    </row>
    <row r="724" spans="1:13" customFormat="1">
      <c r="A724" t="s">
        <v>112</v>
      </c>
      <c r="B724" t="s">
        <v>11</v>
      </c>
      <c r="C724" s="51">
        <v>138523156838</v>
      </c>
      <c r="D724" s="1">
        <v>21337.17</v>
      </c>
      <c r="E724" s="1">
        <v>14624182.949999999</v>
      </c>
      <c r="F724" t="s">
        <v>1280</v>
      </c>
      <c r="I724" s="16">
        <f>-IFERROR(VLOOKUP(C724,SIRCUPA!$A$21:$H$186,8,0),0)</f>
        <v>0</v>
      </c>
      <c r="J724" s="68">
        <f>-IFERROR(VLOOKUP(C724,SIRTAC!$A$16:$H$1405,8,0),0)</f>
        <v>-219</v>
      </c>
      <c r="K724" s="68">
        <f>-IFERROR(VLOOKUP(C724,Gastos!$A$9:$J$1398,10,0),0)</f>
        <v>-212.43</v>
      </c>
      <c r="L724" s="68">
        <f>-IFERROR(VLOOKUP(C724,IDC!$A$20:$H$1596,8,0),0)</f>
        <v>-131.4</v>
      </c>
      <c r="M724" s="74">
        <f t="shared" si="16"/>
        <v>21900</v>
      </c>
    </row>
    <row r="725" spans="1:13" customFormat="1">
      <c r="A725" t="s">
        <v>112</v>
      </c>
      <c r="B725" t="s">
        <v>11</v>
      </c>
      <c r="C725" s="51">
        <v>138523183892</v>
      </c>
      <c r="D725" s="1">
        <v>4774.07</v>
      </c>
      <c r="E725" s="1">
        <v>14630029.02</v>
      </c>
      <c r="F725" t="s">
        <v>1280</v>
      </c>
      <c r="I725" s="16">
        <f>-IFERROR(VLOOKUP(C725,SIRCUPA!$A$21:$H$186,8,0),0)</f>
        <v>0</v>
      </c>
      <c r="J725" s="68">
        <f>-IFERROR(VLOOKUP(C725,SIRTAC!$A$16:$H$1405,8,0),0)</f>
        <v>-49</v>
      </c>
      <c r="K725" s="68">
        <f>-IFERROR(VLOOKUP(C725,Gastos!$A$9:$J$1398,10,0),0)</f>
        <v>-47.53</v>
      </c>
      <c r="L725" s="68">
        <f>-IFERROR(VLOOKUP(C725,IDC!$A$20:$H$1596,8,0),0)</f>
        <v>-29.4</v>
      </c>
      <c r="M725" s="74">
        <f t="shared" si="16"/>
        <v>4899.9999999999991</v>
      </c>
    </row>
    <row r="726" spans="1:13" customFormat="1">
      <c r="A726" t="s">
        <v>112</v>
      </c>
      <c r="B726" t="s">
        <v>11</v>
      </c>
      <c r="C726" s="51">
        <v>138523355880</v>
      </c>
      <c r="D726" s="1">
        <v>4774.07</v>
      </c>
      <c r="E726" s="1">
        <v>14634803.09</v>
      </c>
      <c r="F726" t="s">
        <v>1280</v>
      </c>
      <c r="I726" s="16">
        <f>-IFERROR(VLOOKUP(C726,SIRCUPA!$A$21:$H$186,8,0),0)</f>
        <v>0</v>
      </c>
      <c r="J726" s="68">
        <f>-IFERROR(VLOOKUP(C726,SIRTAC!$A$16:$H$1405,8,0),0)</f>
        <v>-49</v>
      </c>
      <c r="K726" s="68">
        <f>-IFERROR(VLOOKUP(C726,Gastos!$A$9:$J$1398,10,0),0)</f>
        <v>-47.53</v>
      </c>
      <c r="L726" s="68">
        <f>-IFERROR(VLOOKUP(C726,IDC!$A$20:$H$1596,8,0),0)</f>
        <v>-29.4</v>
      </c>
      <c r="M726" s="74">
        <f t="shared" si="16"/>
        <v>4899.9999999999991</v>
      </c>
    </row>
    <row r="727" spans="1:13" customFormat="1">
      <c r="A727" t="s">
        <v>112</v>
      </c>
      <c r="B727" t="s">
        <v>11</v>
      </c>
      <c r="C727" s="51">
        <v>138523750984</v>
      </c>
      <c r="D727" s="1">
        <v>10717.3</v>
      </c>
      <c r="E727" s="1">
        <v>14645520.390000001</v>
      </c>
      <c r="F727" t="s">
        <v>1280</v>
      </c>
      <c r="I727" s="16">
        <f>-IFERROR(VLOOKUP(C727,SIRCUPA!$A$21:$H$186,8,0),0)</f>
        <v>0</v>
      </c>
      <c r="J727" s="68">
        <f>-IFERROR(VLOOKUP(C727,SIRTAC!$A$16:$H$1405,8,0),0)</f>
        <v>-110</v>
      </c>
      <c r="K727" s="68">
        <f>-IFERROR(VLOOKUP(C727,Gastos!$A$9:$J$1398,10,0),0)</f>
        <v>-106.7</v>
      </c>
      <c r="L727" s="68">
        <f>-IFERROR(VLOOKUP(C727,IDC!$A$20:$H$1596,8,0),0)</f>
        <v>-66</v>
      </c>
      <c r="M727" s="74">
        <f t="shared" si="16"/>
        <v>11000</v>
      </c>
    </row>
    <row r="728" spans="1:13" customFormat="1">
      <c r="A728" t="s">
        <v>112</v>
      </c>
      <c r="B728" t="s">
        <v>11</v>
      </c>
      <c r="C728" s="51">
        <v>138523835674</v>
      </c>
      <c r="D728" s="1">
        <v>2435.75</v>
      </c>
      <c r="E728" s="1">
        <v>14647956.140000001</v>
      </c>
      <c r="F728" t="s">
        <v>1280</v>
      </c>
      <c r="I728" s="16">
        <f>-IFERROR(VLOOKUP(C728,SIRCUPA!$A$21:$H$186,8,0),0)</f>
        <v>0</v>
      </c>
      <c r="J728" s="68">
        <f>-IFERROR(VLOOKUP(C728,SIRTAC!$A$16:$H$1405,8,0),0)</f>
        <v>-25</v>
      </c>
      <c r="K728" s="68">
        <f>-IFERROR(VLOOKUP(C728,Gastos!$A$9:$J$1398,10,0),0)</f>
        <v>-24.25</v>
      </c>
      <c r="L728" s="68">
        <f>-IFERROR(VLOOKUP(C728,IDC!$A$20:$H$1596,8,0),0)</f>
        <v>-15</v>
      </c>
      <c r="M728" s="74">
        <f t="shared" si="16"/>
        <v>2500</v>
      </c>
    </row>
    <row r="729" spans="1:13" customFormat="1">
      <c r="A729" t="s">
        <v>112</v>
      </c>
      <c r="B729" t="s">
        <v>11</v>
      </c>
      <c r="C729" s="51">
        <v>137885651617</v>
      </c>
      <c r="D729" s="1">
        <v>4774.07</v>
      </c>
      <c r="E729" s="1">
        <v>14652730.210000001</v>
      </c>
      <c r="F729" t="s">
        <v>1280</v>
      </c>
      <c r="I729" s="16">
        <f>-IFERROR(VLOOKUP(C729,SIRCUPA!$A$21:$H$186,8,0),0)</f>
        <v>0</v>
      </c>
      <c r="J729" s="68">
        <f>-IFERROR(VLOOKUP(C729,SIRTAC!$A$16:$H$1405,8,0),0)</f>
        <v>-49</v>
      </c>
      <c r="K729" s="68">
        <f>-IFERROR(VLOOKUP(C729,Gastos!$A$9:$J$1398,10,0),0)</f>
        <v>-47.53</v>
      </c>
      <c r="L729" s="68">
        <f>-IFERROR(VLOOKUP(C729,IDC!$A$20:$H$1596,8,0),0)</f>
        <v>-29.4</v>
      </c>
      <c r="M729" s="74">
        <f t="shared" si="16"/>
        <v>4899.9999999999991</v>
      </c>
    </row>
    <row r="730" spans="1:13" customFormat="1">
      <c r="A730" t="s">
        <v>112</v>
      </c>
      <c r="B730" t="s">
        <v>11</v>
      </c>
      <c r="C730" s="51">
        <v>138525332522</v>
      </c>
      <c r="D730" s="1">
        <v>4676.6400000000003</v>
      </c>
      <c r="E730" s="1">
        <v>14657406.85</v>
      </c>
      <c r="F730" t="s">
        <v>1280</v>
      </c>
      <c r="I730" s="16">
        <f>-IFERROR(VLOOKUP(C730,SIRCUPA!$A$21:$H$186,8,0),0)</f>
        <v>0</v>
      </c>
      <c r="J730" s="68">
        <f>-IFERROR(VLOOKUP(C730,SIRTAC!$A$16:$H$1405,8,0),0)</f>
        <v>-48</v>
      </c>
      <c r="K730" s="68">
        <f>-IFERROR(VLOOKUP(C730,Gastos!$A$9:$J$1398,10,0),0)</f>
        <v>-46.56</v>
      </c>
      <c r="L730" s="68">
        <f>-IFERROR(VLOOKUP(C730,IDC!$A$20:$H$1596,8,0),0)</f>
        <v>-28.8</v>
      </c>
      <c r="M730" s="74">
        <f t="shared" si="16"/>
        <v>4800.0000000000009</v>
      </c>
    </row>
    <row r="731" spans="1:13" customFormat="1">
      <c r="A731" t="s">
        <v>112</v>
      </c>
      <c r="B731" t="s">
        <v>11</v>
      </c>
      <c r="C731" s="51">
        <v>138525274966</v>
      </c>
      <c r="D731" s="1">
        <v>9353.2800000000007</v>
      </c>
      <c r="E731" s="1">
        <v>14666760.130000001</v>
      </c>
      <c r="F731" t="s">
        <v>1280</v>
      </c>
      <c r="I731" s="16">
        <f>-IFERROR(VLOOKUP(C731,SIRCUPA!$A$21:$H$186,8,0),0)</f>
        <v>0</v>
      </c>
      <c r="J731" s="68">
        <f>-IFERROR(VLOOKUP(C731,SIRTAC!$A$16:$H$1405,8,0),0)</f>
        <v>-96</v>
      </c>
      <c r="K731" s="68">
        <f>-IFERROR(VLOOKUP(C731,Gastos!$A$9:$J$1398,10,0),0)</f>
        <v>-93.12</v>
      </c>
      <c r="L731" s="68">
        <f>-IFERROR(VLOOKUP(C731,IDC!$A$20:$H$1596,8,0),0)</f>
        <v>-57.6</v>
      </c>
      <c r="M731" s="74">
        <f t="shared" si="16"/>
        <v>9600.0000000000018</v>
      </c>
    </row>
    <row r="732" spans="1:13" customFormat="1">
      <c r="A732" t="s">
        <v>112</v>
      </c>
      <c r="B732" t="s">
        <v>11</v>
      </c>
      <c r="C732" s="51">
        <v>137886337273</v>
      </c>
      <c r="D732" s="1">
        <v>4539.5</v>
      </c>
      <c r="E732" s="1">
        <v>14671299.630000001</v>
      </c>
      <c r="F732" t="s">
        <v>1280</v>
      </c>
      <c r="I732" s="16">
        <f>-IFERROR(VLOOKUP(C732,SIRCUPA!$A$21:$H$186,8,0),0)</f>
        <v>0</v>
      </c>
      <c r="J732" s="68">
        <f>-IFERROR(VLOOKUP(C732,SIRTAC!$A$16:$H$1405,8,0),0)</f>
        <v>-50</v>
      </c>
      <c r="K732" s="68">
        <f>-IFERROR(VLOOKUP(C732,Gastos!$A$9:$J$1398,10,0),0)</f>
        <v>-380.5</v>
      </c>
      <c r="L732" s="68">
        <f>-IFERROR(VLOOKUP(C732,IDC!$A$20:$H$1596,8,0),0)</f>
        <v>-30</v>
      </c>
      <c r="M732" s="74">
        <f t="shared" si="16"/>
        <v>5000</v>
      </c>
    </row>
    <row r="733" spans="1:13" customFormat="1">
      <c r="A733" t="s">
        <v>112</v>
      </c>
      <c r="B733" t="s">
        <v>113</v>
      </c>
      <c r="C733" s="51">
        <v>138507542274</v>
      </c>
      <c r="D733">
        <v>979</v>
      </c>
      <c r="E733" s="1">
        <v>14488813.939999999</v>
      </c>
      <c r="F733" t="s">
        <v>1280</v>
      </c>
      <c r="I733" s="16">
        <f>-IFERROR(VLOOKUP(C733,SIRCUPA!$A$21:$H$186,8,0),0)</f>
        <v>-15</v>
      </c>
      <c r="J733" s="68">
        <f>-IFERROR(VLOOKUP(C733,SIRTAC!$A$16:$H$1405,8,0),0)</f>
        <v>0</v>
      </c>
      <c r="K733" s="68">
        <f>-IFERROR(VLOOKUP(C733,Gastos!$A$9:$J$1398,10,0),0)</f>
        <v>0</v>
      </c>
      <c r="L733" s="68">
        <f>-IFERROR(VLOOKUP(C733,IDC!$A$20:$H$1596,8,0),0)</f>
        <v>-6</v>
      </c>
      <c r="M733" s="74">
        <f t="shared" si="16"/>
        <v>1000</v>
      </c>
    </row>
    <row r="734" spans="1:13" customFormat="1">
      <c r="A734" t="s">
        <v>112</v>
      </c>
      <c r="B734" t="s">
        <v>11</v>
      </c>
      <c r="C734" s="51">
        <v>138527208218</v>
      </c>
      <c r="D734" s="1">
        <v>4871.5</v>
      </c>
      <c r="E734" s="1">
        <v>14676171.130000001</v>
      </c>
      <c r="F734" t="s">
        <v>1280</v>
      </c>
      <c r="I734" s="16">
        <f>-IFERROR(VLOOKUP(C734,SIRCUPA!$A$21:$H$186,8,0),0)</f>
        <v>0</v>
      </c>
      <c r="J734" s="68">
        <f>-IFERROR(VLOOKUP(C734,SIRTAC!$A$16:$H$1405,8,0),0)</f>
        <v>-50</v>
      </c>
      <c r="K734" s="68">
        <f>-IFERROR(VLOOKUP(C734,Gastos!$A$9:$J$1398,10,0),0)</f>
        <v>-48.5</v>
      </c>
      <c r="L734" s="68">
        <f>-IFERROR(VLOOKUP(C734,IDC!$A$20:$H$1596,8,0),0)</f>
        <v>-30</v>
      </c>
      <c r="M734" s="74">
        <f t="shared" si="16"/>
        <v>5000</v>
      </c>
    </row>
    <row r="735" spans="1:13" customFormat="1">
      <c r="A735" t="s">
        <v>112</v>
      </c>
      <c r="B735" t="s">
        <v>11</v>
      </c>
      <c r="C735" s="51">
        <v>137888300955</v>
      </c>
      <c r="D735" s="1">
        <v>4774.07</v>
      </c>
      <c r="E735" s="1">
        <v>14680945.199999999</v>
      </c>
      <c r="F735" t="s">
        <v>1280</v>
      </c>
      <c r="I735" s="16">
        <f>-IFERROR(VLOOKUP(C735,SIRCUPA!$A$21:$H$186,8,0),0)</f>
        <v>0</v>
      </c>
      <c r="J735" s="68">
        <f>-IFERROR(VLOOKUP(C735,SIRTAC!$A$16:$H$1405,8,0),0)</f>
        <v>-49</v>
      </c>
      <c r="K735" s="68">
        <f>-IFERROR(VLOOKUP(C735,Gastos!$A$9:$J$1398,10,0),0)</f>
        <v>-47.53</v>
      </c>
      <c r="L735" s="68">
        <f>-IFERROR(VLOOKUP(C735,IDC!$A$20:$H$1596,8,0),0)</f>
        <v>-29.4</v>
      </c>
      <c r="M735" s="74">
        <f t="shared" si="16"/>
        <v>4899.9999999999991</v>
      </c>
    </row>
    <row r="736" spans="1:13" customFormat="1">
      <c r="A736" t="s">
        <v>112</v>
      </c>
      <c r="B736" t="s">
        <v>11</v>
      </c>
      <c r="C736" s="51">
        <v>137888265807</v>
      </c>
      <c r="D736" s="1">
        <v>9743</v>
      </c>
      <c r="E736" s="1">
        <v>14690688.199999999</v>
      </c>
      <c r="F736" t="s">
        <v>1280</v>
      </c>
      <c r="I736" s="16">
        <f>-IFERROR(VLOOKUP(C736,SIRCUPA!$A$21:$H$186,8,0),0)</f>
        <v>0</v>
      </c>
      <c r="J736" s="68">
        <f>-IFERROR(VLOOKUP(C736,SIRTAC!$A$16:$H$1405,8,0),0)</f>
        <v>-100</v>
      </c>
      <c r="K736" s="68">
        <f>-IFERROR(VLOOKUP(C736,Gastos!$A$9:$J$1398,10,0),0)</f>
        <v>-97</v>
      </c>
      <c r="L736" s="68">
        <f>-IFERROR(VLOOKUP(C736,IDC!$A$20:$H$1596,8,0),0)</f>
        <v>-60</v>
      </c>
      <c r="M736" s="74">
        <f t="shared" si="16"/>
        <v>10000</v>
      </c>
    </row>
    <row r="737" spans="1:13" customFormat="1">
      <c r="A737" t="s">
        <v>112</v>
      </c>
      <c r="B737" t="s">
        <v>11</v>
      </c>
      <c r="C737" s="51">
        <v>137888580429</v>
      </c>
      <c r="D737" s="1">
        <v>40547.519999999997</v>
      </c>
      <c r="E737" s="1">
        <v>14731235.720000001</v>
      </c>
      <c r="F737" t="s">
        <v>1280</v>
      </c>
      <c r="I737" s="16">
        <f>-IFERROR(VLOOKUP(C737,SIRCUPA!$A$21:$H$186,8,0),0)</f>
        <v>0</v>
      </c>
      <c r="J737" s="68">
        <f>-IFERROR(VLOOKUP(C737,SIRTAC!$A$16:$H$1405,8,0),0)</f>
        <v>-432</v>
      </c>
      <c r="K737" s="68">
        <f>-IFERROR(VLOOKUP(C737,Gastos!$A$9:$J$1398,10,0),0)</f>
        <v>-1961.28</v>
      </c>
      <c r="L737" s="68">
        <f>-IFERROR(VLOOKUP(C737,IDC!$A$20:$H$1596,8,0),0)</f>
        <v>-259.2</v>
      </c>
      <c r="M737" s="74">
        <f t="shared" si="16"/>
        <v>43199.999999999993</v>
      </c>
    </row>
    <row r="738" spans="1:13" customFormat="1">
      <c r="A738" t="s">
        <v>112</v>
      </c>
      <c r="B738" t="s">
        <v>11</v>
      </c>
      <c r="C738" s="51">
        <v>138527881428</v>
      </c>
      <c r="D738" s="1">
        <v>9743</v>
      </c>
      <c r="E738" s="1">
        <v>14740978.720000001</v>
      </c>
      <c r="F738" t="s">
        <v>1280</v>
      </c>
      <c r="I738" s="16">
        <f>-IFERROR(VLOOKUP(C738,SIRCUPA!$A$21:$H$186,8,0),0)</f>
        <v>0</v>
      </c>
      <c r="J738" s="68">
        <f>-IFERROR(VLOOKUP(C738,SIRTAC!$A$16:$H$1405,8,0),0)</f>
        <v>-100</v>
      </c>
      <c r="K738" s="68">
        <f>-IFERROR(VLOOKUP(C738,Gastos!$A$9:$J$1398,10,0),0)</f>
        <v>-97</v>
      </c>
      <c r="L738" s="68">
        <f>-IFERROR(VLOOKUP(C738,IDC!$A$20:$H$1596,8,0),0)</f>
        <v>-60</v>
      </c>
      <c r="M738" s="74">
        <f t="shared" si="16"/>
        <v>10000</v>
      </c>
    </row>
    <row r="739" spans="1:13" customFormat="1">
      <c r="A739" t="s">
        <v>112</v>
      </c>
      <c r="B739" t="s">
        <v>11</v>
      </c>
      <c r="C739" s="51">
        <v>138527945930</v>
      </c>
      <c r="D739" s="1">
        <v>4676.6400000000003</v>
      </c>
      <c r="E739" s="1">
        <v>14745655.359999999</v>
      </c>
      <c r="F739" t="s">
        <v>1280</v>
      </c>
      <c r="I739" s="16">
        <f>-IFERROR(VLOOKUP(C739,SIRCUPA!$A$21:$H$186,8,0),0)</f>
        <v>0</v>
      </c>
      <c r="J739" s="68">
        <f>-IFERROR(VLOOKUP(C739,SIRTAC!$A$16:$H$1405,8,0),0)</f>
        <v>-48</v>
      </c>
      <c r="K739" s="68">
        <f>-IFERROR(VLOOKUP(C739,Gastos!$A$9:$J$1398,10,0),0)</f>
        <v>-46.56</v>
      </c>
      <c r="L739" s="68">
        <f>-IFERROR(VLOOKUP(C739,IDC!$A$20:$H$1596,8,0),0)</f>
        <v>-28.8</v>
      </c>
      <c r="M739" s="74">
        <f t="shared" si="16"/>
        <v>4800.0000000000009</v>
      </c>
    </row>
    <row r="740" spans="1:13" customFormat="1">
      <c r="A740" t="s">
        <v>112</v>
      </c>
      <c r="B740" t="s">
        <v>11</v>
      </c>
      <c r="C740" s="51">
        <v>137888937331</v>
      </c>
      <c r="D740" s="1">
        <v>45597.24</v>
      </c>
      <c r="E740" s="1">
        <v>14791252.6</v>
      </c>
      <c r="F740" t="s">
        <v>1280</v>
      </c>
      <c r="I740" s="16">
        <f>-IFERROR(VLOOKUP(C740,SIRCUPA!$A$21:$H$186,8,0),0)</f>
        <v>0</v>
      </c>
      <c r="J740" s="68">
        <f>-IFERROR(VLOOKUP(C740,SIRTAC!$A$16:$H$1405,8,0),0)</f>
        <v>-468</v>
      </c>
      <c r="K740" s="68">
        <f>-IFERROR(VLOOKUP(C740,Gastos!$A$9:$J$1398,10,0),0)</f>
        <v>-453.96</v>
      </c>
      <c r="L740" s="68">
        <f>-IFERROR(VLOOKUP(C740,IDC!$A$20:$H$1596,8,0),0)</f>
        <v>-280.8</v>
      </c>
      <c r="M740" s="74">
        <f t="shared" si="16"/>
        <v>46800</v>
      </c>
    </row>
    <row r="741" spans="1:13" customFormat="1">
      <c r="A741" t="s">
        <v>112</v>
      </c>
      <c r="B741" t="s">
        <v>11</v>
      </c>
      <c r="C741" s="51">
        <v>138528055052</v>
      </c>
      <c r="D741" s="1">
        <v>2338.3200000000002</v>
      </c>
      <c r="E741" s="1">
        <v>14793590.92</v>
      </c>
      <c r="F741" t="s">
        <v>1280</v>
      </c>
      <c r="I741" s="16">
        <f>-IFERROR(VLOOKUP(C741,SIRCUPA!$A$21:$H$186,8,0),0)</f>
        <v>0</v>
      </c>
      <c r="J741" s="68">
        <f>-IFERROR(VLOOKUP(C741,SIRTAC!$A$16:$H$1405,8,0),0)</f>
        <v>-24</v>
      </c>
      <c r="K741" s="68">
        <f>-IFERROR(VLOOKUP(C741,Gastos!$A$9:$J$1398,10,0),0)</f>
        <v>-23.28</v>
      </c>
      <c r="L741" s="68">
        <f>-IFERROR(VLOOKUP(C741,IDC!$A$20:$H$1596,8,0),0)</f>
        <v>-14.4</v>
      </c>
      <c r="M741" s="74">
        <f t="shared" si="16"/>
        <v>2400.0000000000005</v>
      </c>
    </row>
    <row r="742" spans="1:13" customFormat="1">
      <c r="A742" t="s">
        <v>112</v>
      </c>
      <c r="B742" t="s">
        <v>11</v>
      </c>
      <c r="C742" s="51">
        <v>138528129514</v>
      </c>
      <c r="D742" s="1">
        <v>4871.5</v>
      </c>
      <c r="E742" s="1">
        <v>14798462.42</v>
      </c>
      <c r="F742" t="s">
        <v>1280</v>
      </c>
      <c r="I742" s="16">
        <f>-IFERROR(VLOOKUP(C742,SIRCUPA!$A$21:$H$186,8,0),0)</f>
        <v>0</v>
      </c>
      <c r="J742" s="68">
        <f>-IFERROR(VLOOKUP(C742,SIRTAC!$A$16:$H$1405,8,0),0)</f>
        <v>-50</v>
      </c>
      <c r="K742" s="68">
        <f>-IFERROR(VLOOKUP(C742,Gastos!$A$9:$J$1398,10,0),0)</f>
        <v>-48.5</v>
      </c>
      <c r="L742" s="68">
        <f>-IFERROR(VLOOKUP(C742,IDC!$A$20:$H$1596,8,0),0)</f>
        <v>-30</v>
      </c>
      <c r="M742" s="74">
        <f t="shared" si="16"/>
        <v>5000</v>
      </c>
    </row>
    <row r="743" spans="1:13" customFormat="1">
      <c r="A743" t="s">
        <v>112</v>
      </c>
      <c r="B743" t="s">
        <v>11</v>
      </c>
      <c r="C743" s="51">
        <v>138528213452</v>
      </c>
      <c r="D743" s="1">
        <v>4676.6400000000003</v>
      </c>
      <c r="E743" s="1">
        <v>14803139.060000001</v>
      </c>
      <c r="F743" t="s">
        <v>1280</v>
      </c>
      <c r="I743" s="16">
        <f>-IFERROR(VLOOKUP(C743,SIRCUPA!$A$21:$H$186,8,0),0)</f>
        <v>0</v>
      </c>
      <c r="J743" s="68">
        <f>-IFERROR(VLOOKUP(C743,SIRTAC!$A$16:$H$1405,8,0),0)</f>
        <v>-48</v>
      </c>
      <c r="K743" s="68">
        <f>-IFERROR(VLOOKUP(C743,Gastos!$A$9:$J$1398,10,0),0)</f>
        <v>-46.56</v>
      </c>
      <c r="L743" s="68">
        <f>-IFERROR(VLOOKUP(C743,IDC!$A$20:$H$1596,8,0),0)</f>
        <v>-28.8</v>
      </c>
      <c r="M743" s="74">
        <f t="shared" si="16"/>
        <v>4800.0000000000009</v>
      </c>
    </row>
    <row r="744" spans="1:13" customFormat="1">
      <c r="A744" t="s">
        <v>112</v>
      </c>
      <c r="B744" t="s">
        <v>11</v>
      </c>
      <c r="C744" s="51">
        <v>138528194054</v>
      </c>
      <c r="D744" s="1">
        <v>4871.5</v>
      </c>
      <c r="E744" s="1">
        <v>14808010.560000001</v>
      </c>
      <c r="F744" t="s">
        <v>1280</v>
      </c>
      <c r="I744" s="16">
        <f>-IFERROR(VLOOKUP(C744,SIRCUPA!$A$21:$H$186,8,0),0)</f>
        <v>0</v>
      </c>
      <c r="J744" s="68">
        <f>-IFERROR(VLOOKUP(C744,SIRTAC!$A$16:$H$1405,8,0),0)</f>
        <v>-50</v>
      </c>
      <c r="K744" s="68">
        <f>-IFERROR(VLOOKUP(C744,Gastos!$A$9:$J$1398,10,0),0)</f>
        <v>-48.5</v>
      </c>
      <c r="L744" s="68">
        <f>-IFERROR(VLOOKUP(C744,IDC!$A$20:$H$1596,8,0),0)</f>
        <v>-30</v>
      </c>
      <c r="M744" s="74">
        <f t="shared" ref="M744:M807" si="17">+D744-I744-J744-K744-L744</f>
        <v>5000</v>
      </c>
    </row>
    <row r="745" spans="1:13" customFormat="1">
      <c r="A745" t="s">
        <v>112</v>
      </c>
      <c r="B745" t="s">
        <v>11</v>
      </c>
      <c r="C745" s="51">
        <v>137889297597</v>
      </c>
      <c r="D745" s="1">
        <v>4774.07</v>
      </c>
      <c r="E745" s="1">
        <v>14812784.630000001</v>
      </c>
      <c r="F745" t="s">
        <v>1280</v>
      </c>
      <c r="I745" s="16">
        <f>-IFERROR(VLOOKUP(C745,SIRCUPA!$A$21:$H$186,8,0),0)</f>
        <v>0</v>
      </c>
      <c r="J745" s="68">
        <f>-IFERROR(VLOOKUP(C745,SIRTAC!$A$16:$H$1405,8,0),0)</f>
        <v>-49</v>
      </c>
      <c r="K745" s="68">
        <f>-IFERROR(VLOOKUP(C745,Gastos!$A$9:$J$1398,10,0),0)</f>
        <v>-47.53</v>
      </c>
      <c r="L745" s="68">
        <f>-IFERROR(VLOOKUP(C745,IDC!$A$20:$H$1596,8,0),0)</f>
        <v>-29.4</v>
      </c>
      <c r="M745" s="74">
        <f t="shared" si="17"/>
        <v>4899.9999999999991</v>
      </c>
    </row>
    <row r="746" spans="1:13" customFormat="1">
      <c r="A746" t="s">
        <v>112</v>
      </c>
      <c r="B746" t="s">
        <v>16</v>
      </c>
      <c r="C746" s="51">
        <v>137883804495</v>
      </c>
      <c r="D746">
        <v>367.12</v>
      </c>
      <c r="E746" s="1">
        <v>14602845.779999999</v>
      </c>
      <c r="F746" t="s">
        <v>1280</v>
      </c>
      <c r="I746" s="16">
        <f>-IFERROR(VLOOKUP(C746,SIRCUPA!$A$21:$H$186,8,0),0)</f>
        <v>-5.63</v>
      </c>
      <c r="J746" s="68">
        <f>-IFERROR(VLOOKUP(C746,SIRTAC!$A$16:$H$1405,8,0),0)</f>
        <v>0</v>
      </c>
      <c r="K746" s="68">
        <f>-IFERROR(VLOOKUP(C746,Gastos!$A$9:$J$1398,10,0),0)</f>
        <v>0</v>
      </c>
      <c r="L746" s="68">
        <f>-IFERROR(VLOOKUP(C746,IDC!$A$20:$H$1596,8,0),0)</f>
        <v>-2.25</v>
      </c>
      <c r="M746" s="74">
        <f t="shared" si="17"/>
        <v>375</v>
      </c>
    </row>
    <row r="747" spans="1:13" customFormat="1">
      <c r="A747" t="s">
        <v>112</v>
      </c>
      <c r="B747" t="s">
        <v>11</v>
      </c>
      <c r="C747" s="51">
        <v>138528391464</v>
      </c>
      <c r="D747" s="1">
        <v>5358.65</v>
      </c>
      <c r="E747" s="1">
        <v>14818143.279999999</v>
      </c>
      <c r="F747" t="s">
        <v>1280</v>
      </c>
      <c r="I747" s="16">
        <f>-IFERROR(VLOOKUP(C747,SIRCUPA!$A$21:$H$186,8,0),0)</f>
        <v>0</v>
      </c>
      <c r="J747" s="68">
        <f>-IFERROR(VLOOKUP(C747,SIRTAC!$A$16:$H$1405,8,0),0)</f>
        <v>-55</v>
      </c>
      <c r="K747" s="68">
        <f>-IFERROR(VLOOKUP(C747,Gastos!$A$9:$J$1398,10,0),0)</f>
        <v>-53.35</v>
      </c>
      <c r="L747" s="68">
        <f>-IFERROR(VLOOKUP(C747,IDC!$A$20:$H$1596,8,0),0)</f>
        <v>-33</v>
      </c>
      <c r="M747" s="74">
        <f t="shared" si="17"/>
        <v>5500</v>
      </c>
    </row>
    <row r="748" spans="1:13" customFormat="1">
      <c r="A748" t="s">
        <v>112</v>
      </c>
      <c r="B748" t="s">
        <v>114</v>
      </c>
      <c r="C748" s="51">
        <v>137883883605</v>
      </c>
      <c r="D748" s="1">
        <v>1072</v>
      </c>
      <c r="E748" s="1">
        <v>14625254.949999999</v>
      </c>
      <c r="F748" t="s">
        <v>1280</v>
      </c>
      <c r="I748" s="16">
        <f>-IFERROR(VLOOKUP(C748,SIRCUPA!$A$21:$H$186,8,0),0)</f>
        <v>-16.43</v>
      </c>
      <c r="J748" s="68">
        <f>-IFERROR(VLOOKUP(C748,SIRTAC!$A$16:$H$1405,8,0),0)</f>
        <v>0</v>
      </c>
      <c r="K748" s="68">
        <f>-IFERROR(VLOOKUP(C748,Gastos!$A$9:$J$1398,10,0),0)</f>
        <v>0</v>
      </c>
      <c r="L748" s="68">
        <f>-IFERROR(VLOOKUP(C748,IDC!$A$20:$H$1596,8,0),0)</f>
        <v>-6.57</v>
      </c>
      <c r="M748" s="74">
        <f t="shared" si="17"/>
        <v>1095</v>
      </c>
    </row>
    <row r="749" spans="1:13" customFormat="1">
      <c r="A749" t="s">
        <v>112</v>
      </c>
      <c r="B749" t="s">
        <v>11</v>
      </c>
      <c r="C749" s="51">
        <v>137889879715</v>
      </c>
      <c r="D749" s="1">
        <v>9548.14</v>
      </c>
      <c r="E749" s="1">
        <v>14827691.42</v>
      </c>
      <c r="F749" t="s">
        <v>1280</v>
      </c>
      <c r="I749" s="16">
        <f>-IFERROR(VLOOKUP(C749,SIRCUPA!$A$21:$H$186,8,0),0)</f>
        <v>0</v>
      </c>
      <c r="J749" s="68">
        <f>-IFERROR(VLOOKUP(C749,SIRTAC!$A$16:$H$1405,8,0),0)</f>
        <v>-98</v>
      </c>
      <c r="K749" s="68">
        <f>-IFERROR(VLOOKUP(C749,Gastos!$A$9:$J$1398,10,0),0)</f>
        <v>-95.06</v>
      </c>
      <c r="L749" s="68">
        <f>-IFERROR(VLOOKUP(C749,IDC!$A$20:$H$1596,8,0),0)</f>
        <v>-58.8</v>
      </c>
      <c r="M749" s="74">
        <f t="shared" si="17"/>
        <v>9799.9999999999982</v>
      </c>
    </row>
    <row r="750" spans="1:13" customFormat="1">
      <c r="A750" t="s">
        <v>112</v>
      </c>
      <c r="B750" t="s">
        <v>11</v>
      </c>
      <c r="C750" s="51">
        <v>138529185350</v>
      </c>
      <c r="D750" s="1">
        <v>14614.5</v>
      </c>
      <c r="E750" s="1">
        <v>14842305.92</v>
      </c>
      <c r="F750" t="s">
        <v>1280</v>
      </c>
      <c r="I750" s="16">
        <f>-IFERROR(VLOOKUP(C750,SIRCUPA!$A$21:$H$186,8,0),0)</f>
        <v>0</v>
      </c>
      <c r="J750" s="68">
        <f>-IFERROR(VLOOKUP(C750,SIRTAC!$A$16:$H$1405,8,0),0)</f>
        <v>-150</v>
      </c>
      <c r="K750" s="68">
        <f>-IFERROR(VLOOKUP(C750,Gastos!$A$9:$J$1398,10,0),0)</f>
        <v>-145.5</v>
      </c>
      <c r="L750" s="68">
        <f>-IFERROR(VLOOKUP(C750,IDC!$A$20:$H$1596,8,0),0)</f>
        <v>-90</v>
      </c>
      <c r="M750" s="74">
        <f t="shared" si="17"/>
        <v>15000</v>
      </c>
    </row>
    <row r="751" spans="1:13" customFormat="1">
      <c r="A751" t="s">
        <v>112</v>
      </c>
      <c r="B751" t="s">
        <v>11</v>
      </c>
      <c r="C751" s="51">
        <v>137890291451</v>
      </c>
      <c r="D751" s="1">
        <v>44915.23</v>
      </c>
      <c r="E751" s="1">
        <v>14887221.15</v>
      </c>
      <c r="F751" t="s">
        <v>1280</v>
      </c>
      <c r="I751" s="16">
        <f>-IFERROR(VLOOKUP(C751,SIRCUPA!$A$21:$H$186,8,0),0)</f>
        <v>0</v>
      </c>
      <c r="J751" s="68">
        <f>-IFERROR(VLOOKUP(C751,SIRTAC!$A$16:$H$1405,8,0),0)</f>
        <v>-461</v>
      </c>
      <c r="K751" s="68">
        <f>-IFERROR(VLOOKUP(C751,Gastos!$A$9:$J$1398,10,0),0)</f>
        <v>-447.17</v>
      </c>
      <c r="L751" s="68">
        <f>-IFERROR(VLOOKUP(C751,IDC!$A$20:$H$1596,8,0),0)</f>
        <v>-276.60000000000002</v>
      </c>
      <c r="M751" s="74">
        <f t="shared" si="17"/>
        <v>46100</v>
      </c>
    </row>
    <row r="752" spans="1:13" customFormat="1">
      <c r="A752" t="s">
        <v>112</v>
      </c>
      <c r="B752" t="s">
        <v>11</v>
      </c>
      <c r="C752" s="51">
        <v>137890414465</v>
      </c>
      <c r="D752" s="1">
        <v>10717.3</v>
      </c>
      <c r="E752" s="1">
        <v>14897938.449999999</v>
      </c>
      <c r="F752" t="s">
        <v>1280</v>
      </c>
      <c r="I752" s="16">
        <f>-IFERROR(VLOOKUP(C752,SIRCUPA!$A$21:$H$186,8,0),0)</f>
        <v>0</v>
      </c>
      <c r="J752" s="68">
        <f>-IFERROR(VLOOKUP(C752,SIRTAC!$A$16:$H$1405,8,0),0)</f>
        <v>-110</v>
      </c>
      <c r="K752" s="68">
        <f>-IFERROR(VLOOKUP(C752,Gastos!$A$9:$J$1398,10,0),0)</f>
        <v>-106.7</v>
      </c>
      <c r="L752" s="68">
        <f>-IFERROR(VLOOKUP(C752,IDC!$A$20:$H$1596,8,0),0)</f>
        <v>-66</v>
      </c>
      <c r="M752" s="74">
        <f t="shared" si="17"/>
        <v>11000</v>
      </c>
    </row>
    <row r="753" spans="1:13" customFormat="1">
      <c r="A753" t="s">
        <v>112</v>
      </c>
      <c r="B753" t="s">
        <v>11</v>
      </c>
      <c r="C753" s="51">
        <v>138529603148</v>
      </c>
      <c r="D753" s="1">
        <v>21633.63</v>
      </c>
      <c r="E753" s="1">
        <v>14919572.08</v>
      </c>
      <c r="F753" t="s">
        <v>1280</v>
      </c>
      <c r="I753" s="16">
        <f>-IFERROR(VLOOKUP(C753,SIRCUPA!$A$21:$H$186,8,0),0)</f>
        <v>0</v>
      </c>
      <c r="J753" s="68">
        <f>-IFERROR(VLOOKUP(C753,SIRTAC!$A$16:$H$1405,8,0),0)</f>
        <v>-229</v>
      </c>
      <c r="K753" s="68">
        <f>-IFERROR(VLOOKUP(C753,Gastos!$A$9:$J$1398,10,0),0)</f>
        <v>-899.97</v>
      </c>
      <c r="L753" s="68">
        <f>-IFERROR(VLOOKUP(C753,IDC!$A$20:$H$1596,8,0),0)</f>
        <v>-137.4</v>
      </c>
      <c r="M753" s="74">
        <f t="shared" si="17"/>
        <v>22900.000000000004</v>
      </c>
    </row>
    <row r="754" spans="1:13" customFormat="1">
      <c r="A754" t="s">
        <v>112</v>
      </c>
      <c r="B754" t="s">
        <v>11</v>
      </c>
      <c r="C754" s="51">
        <v>137890542783</v>
      </c>
      <c r="D754" s="1">
        <v>4871.5</v>
      </c>
      <c r="E754" s="1">
        <v>14924443.58</v>
      </c>
      <c r="F754" t="s">
        <v>1280</v>
      </c>
      <c r="I754" s="16">
        <f>-IFERROR(VLOOKUP(C754,SIRCUPA!$A$21:$H$186,8,0),0)</f>
        <v>0</v>
      </c>
      <c r="J754" s="68">
        <f>-IFERROR(VLOOKUP(C754,SIRTAC!$A$16:$H$1405,8,0),0)</f>
        <v>-50</v>
      </c>
      <c r="K754" s="68">
        <f>-IFERROR(VLOOKUP(C754,Gastos!$A$9:$J$1398,10,0),0)</f>
        <v>-48.5</v>
      </c>
      <c r="L754" s="68">
        <f>-IFERROR(VLOOKUP(C754,IDC!$A$20:$H$1596,8,0),0)</f>
        <v>-30</v>
      </c>
      <c r="M754" s="74">
        <f t="shared" si="17"/>
        <v>5000</v>
      </c>
    </row>
    <row r="755" spans="1:13" customFormat="1">
      <c r="A755" t="s">
        <v>112</v>
      </c>
      <c r="B755" t="s">
        <v>11</v>
      </c>
      <c r="C755" s="51">
        <v>138529709640</v>
      </c>
      <c r="D755" s="1">
        <v>4505.28</v>
      </c>
      <c r="E755" s="1">
        <v>14928948.859999999</v>
      </c>
      <c r="F755" t="s">
        <v>1280</v>
      </c>
      <c r="I755" s="16">
        <f>-IFERROR(VLOOKUP(C755,SIRCUPA!$A$21:$H$186,8,0),0)</f>
        <v>0</v>
      </c>
      <c r="J755" s="68">
        <f>-IFERROR(VLOOKUP(C755,SIRTAC!$A$16:$H$1405,8,0),0)</f>
        <v>-48</v>
      </c>
      <c r="K755" s="68">
        <f>-IFERROR(VLOOKUP(C755,Gastos!$A$9:$J$1398,10,0),0)</f>
        <v>-217.92</v>
      </c>
      <c r="L755" s="68">
        <f>-IFERROR(VLOOKUP(C755,IDC!$A$20:$H$1596,8,0),0)</f>
        <v>-28.8</v>
      </c>
      <c r="M755" s="74">
        <f t="shared" si="17"/>
        <v>4800</v>
      </c>
    </row>
    <row r="756" spans="1:13" customFormat="1">
      <c r="A756" t="s">
        <v>112</v>
      </c>
      <c r="B756" t="s">
        <v>11</v>
      </c>
      <c r="C756" s="51">
        <v>138529964152</v>
      </c>
      <c r="D756" s="1">
        <v>9743</v>
      </c>
      <c r="E756" s="1">
        <v>14938691.859999999</v>
      </c>
      <c r="F756" t="s">
        <v>1280</v>
      </c>
      <c r="I756" s="16">
        <f>-IFERROR(VLOOKUP(C756,SIRCUPA!$A$21:$H$186,8,0),0)</f>
        <v>0</v>
      </c>
      <c r="J756" s="68">
        <f>-IFERROR(VLOOKUP(C756,SIRTAC!$A$16:$H$1405,8,0),0)</f>
        <v>-100</v>
      </c>
      <c r="K756" s="68">
        <f>-IFERROR(VLOOKUP(C756,Gastos!$A$9:$J$1398,10,0),0)</f>
        <v>-97</v>
      </c>
      <c r="L756" s="68">
        <f>-IFERROR(VLOOKUP(C756,IDC!$A$20:$H$1596,8,0),0)</f>
        <v>-60</v>
      </c>
      <c r="M756" s="74">
        <f t="shared" si="17"/>
        <v>10000</v>
      </c>
    </row>
    <row r="757" spans="1:13" customFormat="1">
      <c r="A757" t="s">
        <v>112</v>
      </c>
      <c r="B757" t="s">
        <v>11</v>
      </c>
      <c r="C757" s="51">
        <v>138530250704</v>
      </c>
      <c r="D757" s="1">
        <v>54414.720000000001</v>
      </c>
      <c r="E757" s="1">
        <v>14993106.58</v>
      </c>
      <c r="F757" t="s">
        <v>1280</v>
      </c>
      <c r="I757" s="16">
        <f>-IFERROR(VLOOKUP(C757,SIRCUPA!$A$21:$H$186,8,0),0)</f>
        <v>0</v>
      </c>
      <c r="J757" s="68">
        <f>-IFERROR(VLOOKUP(C757,SIRTAC!$A$16:$H$1405,8,0),0)</f>
        <v>-576</v>
      </c>
      <c r="K757" s="68">
        <f>-IFERROR(VLOOKUP(C757,Gastos!$A$9:$J$1398,10,0),0)</f>
        <v>-2263.6799999999998</v>
      </c>
      <c r="L757" s="68">
        <f>-IFERROR(VLOOKUP(C757,IDC!$A$20:$H$1596,8,0),0)</f>
        <v>-345.6</v>
      </c>
      <c r="M757" s="74">
        <f t="shared" si="17"/>
        <v>57600</v>
      </c>
    </row>
    <row r="758" spans="1:13" customFormat="1">
      <c r="A758" t="s">
        <v>112</v>
      </c>
      <c r="B758" t="s">
        <v>11</v>
      </c>
      <c r="C758" s="51">
        <v>137891309225</v>
      </c>
      <c r="D758" s="1">
        <v>35659.379999999997</v>
      </c>
      <c r="E758" s="1">
        <v>15028765.960000001</v>
      </c>
      <c r="F758" t="s">
        <v>1280</v>
      </c>
      <c r="I758" s="16">
        <f>-IFERROR(VLOOKUP(C758,SIRCUPA!$A$21:$H$186,8,0),0)</f>
        <v>0</v>
      </c>
      <c r="J758" s="68">
        <f>-IFERROR(VLOOKUP(C758,SIRTAC!$A$16:$H$1405,8,0),0)</f>
        <v>-366</v>
      </c>
      <c r="K758" s="68">
        <f>-IFERROR(VLOOKUP(C758,Gastos!$A$9:$J$1398,10,0),0)</f>
        <v>-355.02</v>
      </c>
      <c r="L758" s="68">
        <f>-IFERROR(VLOOKUP(C758,IDC!$A$20:$H$1596,8,0),0)</f>
        <v>-219.6</v>
      </c>
      <c r="M758" s="74">
        <f t="shared" si="17"/>
        <v>36599.999999999993</v>
      </c>
    </row>
    <row r="759" spans="1:13" customFormat="1">
      <c r="A759" t="s">
        <v>112</v>
      </c>
      <c r="B759" t="s">
        <v>11</v>
      </c>
      <c r="C759" s="51">
        <v>137891544975</v>
      </c>
      <c r="D759" s="1">
        <v>4676.6400000000003</v>
      </c>
      <c r="E759" s="1">
        <v>15033442.6</v>
      </c>
      <c r="F759" t="s">
        <v>1280</v>
      </c>
      <c r="I759" s="16">
        <f>-IFERROR(VLOOKUP(C759,SIRCUPA!$A$21:$H$186,8,0),0)</f>
        <v>0</v>
      </c>
      <c r="J759" s="68">
        <f>-IFERROR(VLOOKUP(C759,SIRTAC!$A$16:$H$1405,8,0),0)</f>
        <v>-48</v>
      </c>
      <c r="K759" s="68">
        <f>-IFERROR(VLOOKUP(C759,Gastos!$A$9:$J$1398,10,0),0)</f>
        <v>-46.56</v>
      </c>
      <c r="L759" s="68">
        <f>-IFERROR(VLOOKUP(C759,IDC!$A$20:$H$1596,8,0),0)</f>
        <v>-28.8</v>
      </c>
      <c r="M759" s="74">
        <f t="shared" si="17"/>
        <v>4800.0000000000009</v>
      </c>
    </row>
    <row r="760" spans="1:13" customFormat="1">
      <c r="A760" t="s">
        <v>112</v>
      </c>
      <c r="B760" t="s">
        <v>11</v>
      </c>
      <c r="C760" s="51">
        <v>138530623524</v>
      </c>
      <c r="D760" s="1">
        <v>2435.75</v>
      </c>
      <c r="E760" s="1">
        <v>15035878.35</v>
      </c>
      <c r="F760" t="s">
        <v>1280</v>
      </c>
      <c r="I760" s="16">
        <f>-IFERROR(VLOOKUP(C760,SIRCUPA!$A$21:$H$186,8,0),0)</f>
        <v>0</v>
      </c>
      <c r="J760" s="68">
        <f>-IFERROR(VLOOKUP(C760,SIRTAC!$A$16:$H$1405,8,0),0)</f>
        <v>-25</v>
      </c>
      <c r="K760" s="68">
        <f>-IFERROR(VLOOKUP(C760,Gastos!$A$9:$J$1398,10,0),0)</f>
        <v>-24.25</v>
      </c>
      <c r="L760" s="68">
        <f>-IFERROR(VLOOKUP(C760,IDC!$A$20:$H$1596,8,0),0)</f>
        <v>-15</v>
      </c>
      <c r="M760" s="74">
        <f t="shared" si="17"/>
        <v>2500</v>
      </c>
    </row>
    <row r="761" spans="1:13" customFormat="1">
      <c r="A761" t="s">
        <v>112</v>
      </c>
      <c r="B761" t="s">
        <v>11</v>
      </c>
      <c r="C761" s="51">
        <v>137891888729</v>
      </c>
      <c r="D761" s="1">
        <v>10717.3</v>
      </c>
      <c r="E761" s="1">
        <v>15046595.65</v>
      </c>
      <c r="F761" t="s">
        <v>1280</v>
      </c>
      <c r="I761" s="16">
        <f>-IFERROR(VLOOKUP(C761,SIRCUPA!$A$21:$H$186,8,0),0)</f>
        <v>0</v>
      </c>
      <c r="J761" s="68">
        <f>-IFERROR(VLOOKUP(C761,SIRTAC!$A$16:$H$1405,8,0),0)</f>
        <v>-110</v>
      </c>
      <c r="K761" s="68">
        <f>-IFERROR(VLOOKUP(C761,Gastos!$A$9:$J$1398,10,0),0)</f>
        <v>-106.7</v>
      </c>
      <c r="L761" s="68">
        <f>-IFERROR(VLOOKUP(C761,IDC!$A$20:$H$1596,8,0),0)</f>
        <v>-66</v>
      </c>
      <c r="M761" s="74">
        <f t="shared" si="17"/>
        <v>11000</v>
      </c>
    </row>
    <row r="762" spans="1:13" customFormat="1">
      <c r="A762" t="s">
        <v>112</v>
      </c>
      <c r="B762" t="s">
        <v>11</v>
      </c>
      <c r="C762" s="51">
        <v>137891966741</v>
      </c>
      <c r="D762" s="1">
        <v>4838.5</v>
      </c>
      <c r="E762" s="1">
        <v>15051434.15</v>
      </c>
      <c r="F762" t="s">
        <v>1280</v>
      </c>
      <c r="I762" s="16">
        <f>-IFERROR(VLOOKUP(C762,SIRCUPA!$A$21:$H$186,8,0),0)</f>
        <v>0</v>
      </c>
      <c r="J762" s="68">
        <f>-IFERROR(VLOOKUP(C762,SIRTAC!$A$16:$H$1405,8,0),0)</f>
        <v>-50</v>
      </c>
      <c r="K762" s="68">
        <f>-IFERROR(VLOOKUP(C762,Gastos!$A$9:$J$1398,10,0),0)</f>
        <v>-81.5</v>
      </c>
      <c r="L762" s="68">
        <f>-IFERROR(VLOOKUP(C762,IDC!$A$20:$H$1596,8,0),0)</f>
        <v>-30</v>
      </c>
      <c r="M762" s="74">
        <f t="shared" si="17"/>
        <v>5000</v>
      </c>
    </row>
    <row r="763" spans="1:13" customFormat="1">
      <c r="A763" t="s">
        <v>112</v>
      </c>
      <c r="B763" t="s">
        <v>11</v>
      </c>
      <c r="C763" s="51">
        <v>137891994961</v>
      </c>
      <c r="D763" s="1">
        <v>14614.5</v>
      </c>
      <c r="E763" s="1">
        <v>15066048.65</v>
      </c>
      <c r="F763" t="s">
        <v>1280</v>
      </c>
      <c r="I763" s="16">
        <f>-IFERROR(VLOOKUP(C763,SIRCUPA!$A$21:$H$186,8,0),0)</f>
        <v>0</v>
      </c>
      <c r="J763" s="68">
        <f>-IFERROR(VLOOKUP(C763,SIRTAC!$A$16:$H$1405,8,0),0)</f>
        <v>-150</v>
      </c>
      <c r="K763" s="68">
        <f>-IFERROR(VLOOKUP(C763,Gastos!$A$9:$J$1398,10,0),0)</f>
        <v>-145.5</v>
      </c>
      <c r="L763" s="68">
        <f>-IFERROR(VLOOKUP(C763,IDC!$A$20:$H$1596,8,0),0)</f>
        <v>-90</v>
      </c>
      <c r="M763" s="74">
        <f t="shared" si="17"/>
        <v>15000</v>
      </c>
    </row>
    <row r="764" spans="1:13" customFormat="1">
      <c r="A764" t="s">
        <v>112</v>
      </c>
      <c r="B764" t="s">
        <v>11</v>
      </c>
      <c r="C764" s="51">
        <v>138531133564</v>
      </c>
      <c r="D764" s="1">
        <v>17732.259999999998</v>
      </c>
      <c r="E764" s="1">
        <v>15083780.91</v>
      </c>
      <c r="F764" t="s">
        <v>1280</v>
      </c>
      <c r="I764" s="16">
        <f>-IFERROR(VLOOKUP(C764,SIRCUPA!$A$21:$H$186,8,0),0)</f>
        <v>0</v>
      </c>
      <c r="J764" s="68">
        <f>-IFERROR(VLOOKUP(C764,SIRTAC!$A$16:$H$1405,8,0),0)</f>
        <v>-182</v>
      </c>
      <c r="K764" s="68">
        <f>-IFERROR(VLOOKUP(C764,Gastos!$A$9:$J$1398,10,0),0)</f>
        <v>-176.54</v>
      </c>
      <c r="L764" s="68">
        <f>-IFERROR(VLOOKUP(C764,IDC!$A$20:$H$1596,8,0),0)</f>
        <v>-109.2</v>
      </c>
      <c r="M764" s="74">
        <f t="shared" si="17"/>
        <v>18200</v>
      </c>
    </row>
    <row r="765" spans="1:13" customFormat="1">
      <c r="A765" t="s">
        <v>112</v>
      </c>
      <c r="B765" t="s">
        <v>11</v>
      </c>
      <c r="C765" s="51">
        <v>138531264710</v>
      </c>
      <c r="D765" s="1">
        <v>13153.05</v>
      </c>
      <c r="E765" s="1">
        <v>15097824.85</v>
      </c>
      <c r="F765" t="s">
        <v>1280</v>
      </c>
      <c r="I765" s="16">
        <f>-IFERROR(VLOOKUP(C765,SIRCUPA!$A$21:$H$186,8,0),0)</f>
        <v>0</v>
      </c>
      <c r="J765" s="68">
        <f>-IFERROR(VLOOKUP(C765,SIRTAC!$A$16:$H$1405,8,0),0)</f>
        <v>-135</v>
      </c>
      <c r="K765" s="68">
        <f>-IFERROR(VLOOKUP(C765,Gastos!$A$9:$J$1398,10,0),0)</f>
        <v>-130.94999999999999</v>
      </c>
      <c r="L765" s="68">
        <f>-IFERROR(VLOOKUP(C765,IDC!$A$20:$H$1596,8,0),0)</f>
        <v>-81</v>
      </c>
      <c r="M765" s="74">
        <f t="shared" si="17"/>
        <v>13500</v>
      </c>
    </row>
    <row r="766" spans="1:13" customFormat="1">
      <c r="A766" t="s">
        <v>112</v>
      </c>
      <c r="B766" t="s">
        <v>11</v>
      </c>
      <c r="C766" s="51">
        <v>138531301154</v>
      </c>
      <c r="D766" s="1">
        <v>32151.9</v>
      </c>
      <c r="E766" s="1">
        <v>15129976.75</v>
      </c>
      <c r="F766" t="s">
        <v>1280</v>
      </c>
      <c r="I766" s="16">
        <f>-IFERROR(VLOOKUP(C766,SIRCUPA!$A$21:$H$186,8,0),0)</f>
        <v>0</v>
      </c>
      <c r="J766" s="68">
        <f>-IFERROR(VLOOKUP(C766,SIRTAC!$A$16:$H$1405,8,0),0)</f>
        <v>-330</v>
      </c>
      <c r="K766" s="68">
        <f>-IFERROR(VLOOKUP(C766,Gastos!$A$9:$J$1398,10,0),0)</f>
        <v>-320.10000000000002</v>
      </c>
      <c r="L766" s="68">
        <f>-IFERROR(VLOOKUP(C766,IDC!$A$20:$H$1596,8,0),0)</f>
        <v>-198</v>
      </c>
      <c r="M766" s="74">
        <f t="shared" si="17"/>
        <v>33000</v>
      </c>
    </row>
    <row r="767" spans="1:13" customFormat="1">
      <c r="A767" t="s">
        <v>112</v>
      </c>
      <c r="B767" t="s">
        <v>11</v>
      </c>
      <c r="C767" s="51">
        <v>138531468148</v>
      </c>
      <c r="D767" s="1">
        <v>10035.290000000001</v>
      </c>
      <c r="E767" s="1">
        <v>15140012.039999999</v>
      </c>
      <c r="F767" t="s">
        <v>1280</v>
      </c>
      <c r="I767" s="16">
        <f>-IFERROR(VLOOKUP(C767,SIRCUPA!$A$21:$H$186,8,0),0)</f>
        <v>0</v>
      </c>
      <c r="J767" s="68">
        <f>-IFERROR(VLOOKUP(C767,SIRTAC!$A$16:$H$1405,8,0),0)</f>
        <v>-103</v>
      </c>
      <c r="K767" s="68">
        <f>-IFERROR(VLOOKUP(C767,Gastos!$A$9:$J$1398,10,0),0)</f>
        <v>-99.91</v>
      </c>
      <c r="L767" s="68">
        <f>-IFERROR(VLOOKUP(C767,IDC!$A$20:$H$1596,8,0),0)</f>
        <v>-61.8</v>
      </c>
      <c r="M767" s="74">
        <f t="shared" si="17"/>
        <v>10300</v>
      </c>
    </row>
    <row r="768" spans="1:13" customFormat="1">
      <c r="A768" t="s">
        <v>112</v>
      </c>
      <c r="B768" t="s">
        <v>11</v>
      </c>
      <c r="C768" s="51">
        <v>138531411036</v>
      </c>
      <c r="D768" s="1">
        <v>35026.080000000002</v>
      </c>
      <c r="E768" s="1">
        <v>15175038.119999999</v>
      </c>
      <c r="F768" t="s">
        <v>1280</v>
      </c>
      <c r="I768" s="16">
        <f>-IFERROR(VLOOKUP(C768,SIRCUPA!$A$21:$H$186,8,0),0)</f>
        <v>0</v>
      </c>
      <c r="J768" s="68">
        <f>-IFERROR(VLOOKUP(C768,SIRTAC!$A$16:$H$1405,8,0),0)</f>
        <v>-359.5</v>
      </c>
      <c r="K768" s="68">
        <f>-IFERROR(VLOOKUP(C768,Gastos!$A$9:$J$1398,10,0),0)</f>
        <v>-348.72</v>
      </c>
      <c r="L768" s="68">
        <f>-IFERROR(VLOOKUP(C768,IDC!$A$20:$H$1596,8,0),0)</f>
        <v>-215.7</v>
      </c>
      <c r="M768" s="74">
        <f t="shared" si="17"/>
        <v>35950</v>
      </c>
    </row>
    <row r="769" spans="1:13" customFormat="1">
      <c r="A769" t="s">
        <v>112</v>
      </c>
      <c r="B769" t="s">
        <v>11</v>
      </c>
      <c r="C769" s="51">
        <v>137892466823</v>
      </c>
      <c r="D769" s="1">
        <v>20168.009999999998</v>
      </c>
      <c r="E769" s="1">
        <v>15195206.130000001</v>
      </c>
      <c r="F769" t="s">
        <v>1280</v>
      </c>
      <c r="I769" s="16">
        <f>-IFERROR(VLOOKUP(C769,SIRCUPA!$A$21:$H$186,8,0),0)</f>
        <v>0</v>
      </c>
      <c r="J769" s="68">
        <f>-IFERROR(VLOOKUP(C769,SIRTAC!$A$16:$H$1405,8,0),0)</f>
        <v>-207</v>
      </c>
      <c r="K769" s="68">
        <f>-IFERROR(VLOOKUP(C769,Gastos!$A$9:$J$1398,10,0),0)</f>
        <v>-200.79</v>
      </c>
      <c r="L769" s="68">
        <f>-IFERROR(VLOOKUP(C769,IDC!$A$20:$H$1596,8,0),0)</f>
        <v>-124.2</v>
      </c>
      <c r="M769" s="74">
        <f t="shared" si="17"/>
        <v>20700</v>
      </c>
    </row>
    <row r="770" spans="1:13" customFormat="1">
      <c r="A770" t="s">
        <v>112</v>
      </c>
      <c r="B770" t="s">
        <v>11</v>
      </c>
      <c r="C770" s="51">
        <v>137892552965</v>
      </c>
      <c r="D770" s="1">
        <v>5358.65</v>
      </c>
      <c r="E770" s="1">
        <v>15200564.779999999</v>
      </c>
      <c r="F770" t="s">
        <v>1280</v>
      </c>
      <c r="I770" s="16">
        <f>-IFERROR(VLOOKUP(C770,SIRCUPA!$A$21:$H$186,8,0),0)</f>
        <v>0</v>
      </c>
      <c r="J770" s="68">
        <f>-IFERROR(VLOOKUP(C770,SIRTAC!$A$16:$H$1405,8,0),0)</f>
        <v>-55</v>
      </c>
      <c r="K770" s="68">
        <f>-IFERROR(VLOOKUP(C770,Gastos!$A$9:$J$1398,10,0),0)</f>
        <v>-53.35</v>
      </c>
      <c r="L770" s="68">
        <f>-IFERROR(VLOOKUP(C770,IDC!$A$20:$H$1596,8,0),0)</f>
        <v>-33</v>
      </c>
      <c r="M770" s="74">
        <f t="shared" si="17"/>
        <v>5500</v>
      </c>
    </row>
    <row r="771" spans="1:13" customFormat="1">
      <c r="A771" t="s">
        <v>112</v>
      </c>
      <c r="B771" t="s">
        <v>11</v>
      </c>
      <c r="C771" s="51">
        <v>138532020272</v>
      </c>
      <c r="D771" s="1">
        <v>7414.94</v>
      </c>
      <c r="E771" s="1">
        <v>15207979.720000001</v>
      </c>
      <c r="F771" t="s">
        <v>1280</v>
      </c>
      <c r="I771" s="16">
        <f>-IFERROR(VLOOKUP(C771,SIRCUPA!$A$21:$H$186,8,0),0)</f>
        <v>0</v>
      </c>
      <c r="J771" s="68">
        <f>-IFERROR(VLOOKUP(C771,SIRTAC!$A$16:$H$1405,8,0),0)</f>
        <v>-79</v>
      </c>
      <c r="K771" s="68">
        <f>-IFERROR(VLOOKUP(C771,Gastos!$A$9:$J$1398,10,0),0)</f>
        <v>-358.66</v>
      </c>
      <c r="L771" s="68">
        <f>-IFERROR(VLOOKUP(C771,IDC!$A$20:$H$1596,8,0),0)</f>
        <v>-47.4</v>
      </c>
      <c r="M771" s="74">
        <f t="shared" si="17"/>
        <v>7899.9999999999991</v>
      </c>
    </row>
    <row r="772" spans="1:13" customFormat="1">
      <c r="A772" t="s">
        <v>112</v>
      </c>
      <c r="B772" t="s">
        <v>11</v>
      </c>
      <c r="C772" s="51">
        <v>137892926953</v>
      </c>
      <c r="D772" s="1">
        <v>14614.5</v>
      </c>
      <c r="E772" s="1">
        <v>15222594.220000001</v>
      </c>
      <c r="F772" t="s">
        <v>1280</v>
      </c>
      <c r="I772" s="16">
        <f>-IFERROR(VLOOKUP(C772,SIRCUPA!$A$21:$H$186,8,0),0)</f>
        <v>0</v>
      </c>
      <c r="J772" s="68">
        <f>-IFERROR(VLOOKUP(C772,SIRTAC!$A$16:$H$1405,8,0),0)</f>
        <v>-150</v>
      </c>
      <c r="K772" s="68">
        <f>-IFERROR(VLOOKUP(C772,Gastos!$A$9:$J$1398,10,0),0)</f>
        <v>-145.5</v>
      </c>
      <c r="L772" s="68">
        <f>-IFERROR(VLOOKUP(C772,IDC!$A$20:$H$1596,8,0),0)</f>
        <v>-90</v>
      </c>
      <c r="M772" s="74">
        <f t="shared" si="17"/>
        <v>15000</v>
      </c>
    </row>
    <row r="773" spans="1:13" customFormat="1">
      <c r="A773" t="s">
        <v>112</v>
      </c>
      <c r="B773" t="s">
        <v>11</v>
      </c>
      <c r="C773" s="51">
        <v>137892927031</v>
      </c>
      <c r="D773" s="1">
        <v>4871.5</v>
      </c>
      <c r="E773" s="1">
        <v>15227465.720000001</v>
      </c>
      <c r="F773" t="s">
        <v>1280</v>
      </c>
      <c r="I773" s="16">
        <f>-IFERROR(VLOOKUP(C773,SIRCUPA!$A$21:$H$186,8,0),0)</f>
        <v>0</v>
      </c>
      <c r="J773" s="68">
        <f>-IFERROR(VLOOKUP(C773,SIRTAC!$A$16:$H$1405,8,0),0)</f>
        <v>-50</v>
      </c>
      <c r="K773" s="68">
        <f>-IFERROR(VLOOKUP(C773,Gastos!$A$9:$J$1398,10,0),0)</f>
        <v>-48.5</v>
      </c>
      <c r="L773" s="68">
        <f>-IFERROR(VLOOKUP(C773,IDC!$A$20:$H$1596,8,0),0)</f>
        <v>-30</v>
      </c>
      <c r="M773" s="74">
        <f t="shared" si="17"/>
        <v>5000</v>
      </c>
    </row>
    <row r="774" spans="1:13" customFormat="1">
      <c r="A774" t="s">
        <v>112</v>
      </c>
      <c r="B774" t="s">
        <v>11</v>
      </c>
      <c r="C774" s="51">
        <v>138532396696</v>
      </c>
      <c r="D774" s="1">
        <v>4871.5</v>
      </c>
      <c r="E774" s="1">
        <v>15232337.220000001</v>
      </c>
      <c r="F774" t="s">
        <v>1280</v>
      </c>
      <c r="I774" s="16">
        <f>-IFERROR(VLOOKUP(C774,SIRCUPA!$A$21:$H$186,8,0),0)</f>
        <v>0</v>
      </c>
      <c r="J774" s="68">
        <f>-IFERROR(VLOOKUP(C774,SIRTAC!$A$16:$H$1405,8,0),0)</f>
        <v>-50</v>
      </c>
      <c r="K774" s="68">
        <f>-IFERROR(VLOOKUP(C774,Gastos!$A$9:$J$1398,10,0),0)</f>
        <v>-48.5</v>
      </c>
      <c r="L774" s="68">
        <f>-IFERROR(VLOOKUP(C774,IDC!$A$20:$H$1596,8,0),0)</f>
        <v>-30</v>
      </c>
      <c r="M774" s="74">
        <f t="shared" si="17"/>
        <v>5000</v>
      </c>
    </row>
    <row r="775" spans="1:13" customFormat="1">
      <c r="A775" t="s">
        <v>112</v>
      </c>
      <c r="B775" t="s">
        <v>11</v>
      </c>
      <c r="C775" s="51">
        <v>137893308257</v>
      </c>
      <c r="D775" s="1">
        <v>4774.07</v>
      </c>
      <c r="E775" s="1">
        <v>15237111.289999999</v>
      </c>
      <c r="F775" t="s">
        <v>1280</v>
      </c>
      <c r="I775" s="16">
        <f>-IFERROR(VLOOKUP(C775,SIRCUPA!$A$21:$H$186,8,0),0)</f>
        <v>0</v>
      </c>
      <c r="J775" s="68">
        <f>-IFERROR(VLOOKUP(C775,SIRTAC!$A$16:$H$1405,8,0),0)</f>
        <v>-49</v>
      </c>
      <c r="K775" s="68">
        <f>-IFERROR(VLOOKUP(C775,Gastos!$A$9:$J$1398,10,0),0)</f>
        <v>-47.53</v>
      </c>
      <c r="L775" s="68">
        <f>-IFERROR(VLOOKUP(C775,IDC!$A$20:$H$1596,8,0),0)</f>
        <v>-29.4</v>
      </c>
      <c r="M775" s="74">
        <f t="shared" si="17"/>
        <v>4899.9999999999991</v>
      </c>
    </row>
    <row r="776" spans="1:13" customFormat="1">
      <c r="A776" t="s">
        <v>112</v>
      </c>
      <c r="B776" t="s">
        <v>11</v>
      </c>
      <c r="C776" s="51">
        <v>138532436086</v>
      </c>
      <c r="D776" s="1">
        <v>19082.939999999999</v>
      </c>
      <c r="E776" s="1">
        <v>15256194.23</v>
      </c>
      <c r="F776" t="s">
        <v>1280</v>
      </c>
      <c r="I776" s="16">
        <f>-IFERROR(VLOOKUP(C776,SIRCUPA!$A$21:$H$186,8,0),0)</f>
        <v>0</v>
      </c>
      <c r="J776" s="68">
        <f>-IFERROR(VLOOKUP(C776,SIRTAC!$A$16:$H$1405,8,0),0)</f>
        <v>-202</v>
      </c>
      <c r="K776" s="68">
        <f>-IFERROR(VLOOKUP(C776,Gastos!$A$9:$J$1398,10,0),0)</f>
        <v>-793.86</v>
      </c>
      <c r="L776" s="68">
        <f>-IFERROR(VLOOKUP(C776,IDC!$A$20:$H$1596,8,0),0)</f>
        <v>-121.2</v>
      </c>
      <c r="M776" s="74">
        <f t="shared" si="17"/>
        <v>20200</v>
      </c>
    </row>
    <row r="777" spans="1:13" customFormat="1">
      <c r="A777" t="s">
        <v>112</v>
      </c>
      <c r="B777" t="s">
        <v>11</v>
      </c>
      <c r="C777" s="51">
        <v>137893744373</v>
      </c>
      <c r="D777" s="1">
        <v>7014.96</v>
      </c>
      <c r="E777" s="1">
        <v>15263209.189999999</v>
      </c>
      <c r="F777" t="s">
        <v>1280</v>
      </c>
      <c r="I777" s="16">
        <f>-IFERROR(VLOOKUP(C777,SIRCUPA!$A$21:$H$186,8,0),0)</f>
        <v>0</v>
      </c>
      <c r="J777" s="68">
        <f>-IFERROR(VLOOKUP(C777,SIRTAC!$A$16:$H$1405,8,0),0)</f>
        <v>-72</v>
      </c>
      <c r="K777" s="68">
        <f>-IFERROR(VLOOKUP(C777,Gastos!$A$9:$J$1398,10,0),0)</f>
        <v>-69.84</v>
      </c>
      <c r="L777" s="68">
        <f>-IFERROR(VLOOKUP(C777,IDC!$A$20:$H$1596,8,0),0)</f>
        <v>-43.2</v>
      </c>
      <c r="M777" s="74">
        <f t="shared" si="17"/>
        <v>7200</v>
      </c>
    </row>
    <row r="778" spans="1:13" customFormat="1">
      <c r="A778" t="s">
        <v>112</v>
      </c>
      <c r="B778" t="s">
        <v>11</v>
      </c>
      <c r="C778" s="51">
        <v>138533100352</v>
      </c>
      <c r="D778" s="1">
        <v>9743</v>
      </c>
      <c r="E778" s="1">
        <v>15272952.189999999</v>
      </c>
      <c r="F778" t="s">
        <v>1280</v>
      </c>
      <c r="I778" s="16">
        <f>-IFERROR(VLOOKUP(C778,SIRCUPA!$A$21:$H$186,8,0),0)</f>
        <v>0</v>
      </c>
      <c r="J778" s="68">
        <f>-IFERROR(VLOOKUP(C778,SIRTAC!$A$16:$H$1405,8,0),0)</f>
        <v>-100</v>
      </c>
      <c r="K778" s="68">
        <f>-IFERROR(VLOOKUP(C778,Gastos!$A$9:$J$1398,10,0),0)</f>
        <v>-97</v>
      </c>
      <c r="L778" s="68">
        <f>-IFERROR(VLOOKUP(C778,IDC!$A$20:$H$1596,8,0),0)</f>
        <v>-60</v>
      </c>
      <c r="M778" s="74">
        <f t="shared" si="17"/>
        <v>10000</v>
      </c>
    </row>
    <row r="779" spans="1:13" customFormat="1">
      <c r="A779" t="s">
        <v>112</v>
      </c>
      <c r="B779" t="s">
        <v>11</v>
      </c>
      <c r="C779" s="51">
        <v>137893863741</v>
      </c>
      <c r="D779" s="1">
        <v>30398.16</v>
      </c>
      <c r="E779" s="1">
        <v>15303350.35</v>
      </c>
      <c r="F779" t="s">
        <v>1280</v>
      </c>
      <c r="I779" s="16">
        <f>-IFERROR(VLOOKUP(C779,SIRCUPA!$A$21:$H$186,8,0),0)</f>
        <v>0</v>
      </c>
      <c r="J779" s="68">
        <f>-IFERROR(VLOOKUP(C779,SIRTAC!$A$16:$H$1405,8,0),0)</f>
        <v>-312</v>
      </c>
      <c r="K779" s="68">
        <f>-IFERROR(VLOOKUP(C779,Gastos!$A$9:$J$1398,10,0),0)</f>
        <v>-302.64</v>
      </c>
      <c r="L779" s="68">
        <f>-IFERROR(VLOOKUP(C779,IDC!$A$20:$H$1596,8,0),0)</f>
        <v>-187.2</v>
      </c>
      <c r="M779" s="74">
        <f t="shared" si="17"/>
        <v>31200</v>
      </c>
    </row>
    <row r="780" spans="1:13" customFormat="1">
      <c r="A780" t="s">
        <v>112</v>
      </c>
      <c r="B780" t="s">
        <v>11</v>
      </c>
      <c r="C780" s="51">
        <v>137893950695</v>
      </c>
      <c r="D780" s="1">
        <v>9743</v>
      </c>
      <c r="E780" s="1">
        <v>15313093.35</v>
      </c>
      <c r="F780" t="s">
        <v>1280</v>
      </c>
      <c r="I780" s="16">
        <f>-IFERROR(VLOOKUP(C780,SIRCUPA!$A$21:$H$186,8,0),0)</f>
        <v>0</v>
      </c>
      <c r="J780" s="68">
        <f>-IFERROR(VLOOKUP(C780,SIRTAC!$A$16:$H$1405,8,0),0)</f>
        <v>-100</v>
      </c>
      <c r="K780" s="68">
        <f>-IFERROR(VLOOKUP(C780,Gastos!$A$9:$J$1398,10,0),0)</f>
        <v>-97</v>
      </c>
      <c r="L780" s="68">
        <f>-IFERROR(VLOOKUP(C780,IDC!$A$20:$H$1596,8,0),0)</f>
        <v>-60</v>
      </c>
      <c r="M780" s="74">
        <f t="shared" si="17"/>
        <v>10000</v>
      </c>
    </row>
    <row r="781" spans="1:13" customFormat="1">
      <c r="A781" t="s">
        <v>112</v>
      </c>
      <c r="B781" t="s">
        <v>11</v>
      </c>
      <c r="C781" s="51">
        <v>137894038283</v>
      </c>
      <c r="D781" s="1">
        <v>4676.6400000000003</v>
      </c>
      <c r="E781" s="1">
        <v>15317769.99</v>
      </c>
      <c r="F781" t="s">
        <v>1280</v>
      </c>
      <c r="I781" s="16">
        <f>-IFERROR(VLOOKUP(C781,SIRCUPA!$A$21:$H$186,8,0),0)</f>
        <v>0</v>
      </c>
      <c r="J781" s="68">
        <f>-IFERROR(VLOOKUP(C781,SIRTAC!$A$16:$H$1405,8,0),0)</f>
        <v>-48</v>
      </c>
      <c r="K781" s="68">
        <f>-IFERROR(VLOOKUP(C781,Gastos!$A$9:$J$1398,10,0),0)</f>
        <v>-46.56</v>
      </c>
      <c r="L781" s="68">
        <f>-IFERROR(VLOOKUP(C781,IDC!$A$20:$H$1596,8,0),0)</f>
        <v>-28.8</v>
      </c>
      <c r="M781" s="74">
        <f t="shared" si="17"/>
        <v>4800.0000000000009</v>
      </c>
    </row>
    <row r="782" spans="1:13" customFormat="1">
      <c r="A782" t="s">
        <v>112</v>
      </c>
      <c r="B782" t="s">
        <v>11</v>
      </c>
      <c r="C782" s="51">
        <v>137893963885</v>
      </c>
      <c r="D782" s="1">
        <v>4871.5</v>
      </c>
      <c r="E782" s="1">
        <v>15322641.49</v>
      </c>
      <c r="F782" t="s">
        <v>1280</v>
      </c>
      <c r="I782" s="16">
        <f>-IFERROR(VLOOKUP(C782,SIRCUPA!$A$21:$H$186,8,0),0)</f>
        <v>0</v>
      </c>
      <c r="J782" s="68">
        <f>-IFERROR(VLOOKUP(C782,SIRTAC!$A$16:$H$1405,8,0),0)</f>
        <v>-50</v>
      </c>
      <c r="K782" s="68">
        <f>-IFERROR(VLOOKUP(C782,Gastos!$A$9:$J$1398,10,0),0)</f>
        <v>-48.5</v>
      </c>
      <c r="L782" s="68">
        <f>-IFERROR(VLOOKUP(C782,IDC!$A$20:$H$1596,8,0),0)</f>
        <v>-30</v>
      </c>
      <c r="M782" s="74">
        <f t="shared" si="17"/>
        <v>5000</v>
      </c>
    </row>
    <row r="783" spans="1:13" customFormat="1">
      <c r="A783" t="s">
        <v>112</v>
      </c>
      <c r="B783" t="s">
        <v>11</v>
      </c>
      <c r="C783" s="51">
        <v>138533430762</v>
      </c>
      <c r="D783" s="1">
        <v>51540.47</v>
      </c>
      <c r="E783" s="1">
        <v>15374181.960000001</v>
      </c>
      <c r="F783" t="s">
        <v>1280</v>
      </c>
      <c r="I783" s="16">
        <f>-IFERROR(VLOOKUP(C783,SIRCUPA!$A$21:$H$186,8,0),0)</f>
        <v>0</v>
      </c>
      <c r="J783" s="68">
        <f>-IFERROR(VLOOKUP(C783,SIRTAC!$A$16:$H$1405,8,0),0)</f>
        <v>-529</v>
      </c>
      <c r="K783" s="68">
        <f>-IFERROR(VLOOKUP(C783,Gastos!$A$9:$J$1398,10,0),0)</f>
        <v>-513.13</v>
      </c>
      <c r="L783" s="68">
        <f>-IFERROR(VLOOKUP(C783,IDC!$A$20:$H$1596,8,0),0)</f>
        <v>-317.39999999999998</v>
      </c>
      <c r="M783" s="74">
        <f t="shared" si="17"/>
        <v>52900</v>
      </c>
    </row>
    <row r="784" spans="1:13" customFormat="1">
      <c r="A784" t="s">
        <v>112</v>
      </c>
      <c r="B784" t="s">
        <v>11</v>
      </c>
      <c r="C784" s="51">
        <v>138533495288</v>
      </c>
      <c r="D784" s="1">
        <v>4676.6400000000003</v>
      </c>
      <c r="E784" s="1">
        <v>15378858.6</v>
      </c>
      <c r="F784" t="s">
        <v>1280</v>
      </c>
      <c r="I784" s="16">
        <f>-IFERROR(VLOOKUP(C784,SIRCUPA!$A$21:$H$186,8,0),0)</f>
        <v>0</v>
      </c>
      <c r="J784" s="68">
        <f>-IFERROR(VLOOKUP(C784,SIRTAC!$A$16:$H$1405,8,0),0)</f>
        <v>-48</v>
      </c>
      <c r="K784" s="68">
        <f>-IFERROR(VLOOKUP(C784,Gastos!$A$9:$J$1398,10,0),0)</f>
        <v>-46.56</v>
      </c>
      <c r="L784" s="68">
        <f>-IFERROR(VLOOKUP(C784,IDC!$A$20:$H$1596,8,0),0)</f>
        <v>-28.8</v>
      </c>
      <c r="M784" s="74">
        <f t="shared" si="17"/>
        <v>4800.0000000000009</v>
      </c>
    </row>
    <row r="785" spans="1:13" customFormat="1">
      <c r="A785" t="s">
        <v>112</v>
      </c>
      <c r="B785" t="s">
        <v>11</v>
      </c>
      <c r="C785" s="51">
        <v>137894380257</v>
      </c>
      <c r="D785" s="1">
        <v>4676.6400000000003</v>
      </c>
      <c r="E785" s="1">
        <v>15383535.24</v>
      </c>
      <c r="F785" t="s">
        <v>1280</v>
      </c>
      <c r="I785" s="16">
        <f>-IFERROR(VLOOKUP(C785,SIRCUPA!$A$21:$H$186,8,0),0)</f>
        <v>0</v>
      </c>
      <c r="J785" s="68">
        <f>-IFERROR(VLOOKUP(C785,SIRTAC!$A$16:$H$1405,8,0),0)</f>
        <v>-48</v>
      </c>
      <c r="K785" s="68">
        <f>-IFERROR(VLOOKUP(C785,Gastos!$A$9:$J$1398,10,0),0)</f>
        <v>-46.56</v>
      </c>
      <c r="L785" s="68">
        <f>-IFERROR(VLOOKUP(C785,IDC!$A$20:$H$1596,8,0),0)</f>
        <v>-28.8</v>
      </c>
      <c r="M785" s="74">
        <f t="shared" si="17"/>
        <v>4800.0000000000009</v>
      </c>
    </row>
    <row r="786" spans="1:13" customFormat="1">
      <c r="A786" t="s">
        <v>112</v>
      </c>
      <c r="B786" t="s">
        <v>115</v>
      </c>
      <c r="C786" s="51">
        <v>138531210626</v>
      </c>
      <c r="D786">
        <v>890.89</v>
      </c>
      <c r="E786" s="1">
        <v>15084671.800000001</v>
      </c>
      <c r="F786" t="s">
        <v>1280</v>
      </c>
      <c r="I786" s="16">
        <f>-IFERROR(VLOOKUP(C786,SIRCUPA!$A$21:$H$186,8,0),0)</f>
        <v>-13.65</v>
      </c>
      <c r="J786" s="68">
        <f>-IFERROR(VLOOKUP(C786,SIRTAC!$A$16:$H$1405,8,0),0)</f>
        <v>0</v>
      </c>
      <c r="K786" s="68">
        <f>-IFERROR(VLOOKUP(C786,Gastos!$A$9:$J$1398,10,0),0)</f>
        <v>0</v>
      </c>
      <c r="L786" s="68">
        <f>-IFERROR(VLOOKUP(C786,IDC!$A$20:$H$1596,8,0),0)</f>
        <v>-5.46</v>
      </c>
      <c r="M786" s="74">
        <f t="shared" si="17"/>
        <v>910</v>
      </c>
    </row>
    <row r="787" spans="1:13" customFormat="1">
      <c r="A787" t="s">
        <v>112</v>
      </c>
      <c r="B787" t="s">
        <v>11</v>
      </c>
      <c r="C787" s="51">
        <v>137894534529</v>
      </c>
      <c r="D787" s="1">
        <v>127349.32</v>
      </c>
      <c r="E787" s="1">
        <v>15510884.560000001</v>
      </c>
      <c r="F787" t="s">
        <v>1280</v>
      </c>
      <c r="I787" s="16">
        <f>-IFERROR(VLOOKUP(C787,SIRCUPA!$A$21:$H$186,8,0),0)</f>
        <v>0</v>
      </c>
      <c r="J787" s="68">
        <f>-IFERROR(VLOOKUP(C787,SIRTAC!$A$16:$H$1405,8,0),0)</f>
        <v>-1316</v>
      </c>
      <c r="K787" s="68">
        <f>-IFERROR(VLOOKUP(C787,Gastos!$A$9:$J$1398,10,0),0)</f>
        <v>-2145.08</v>
      </c>
      <c r="L787" s="68">
        <f>-IFERROR(VLOOKUP(C787,IDC!$A$20:$H$1596,8,0),0)</f>
        <v>-789.6</v>
      </c>
      <c r="M787" s="74">
        <f t="shared" si="17"/>
        <v>131600</v>
      </c>
    </row>
    <row r="788" spans="1:13" customFormat="1">
      <c r="A788" t="s">
        <v>112</v>
      </c>
      <c r="B788" t="s">
        <v>11</v>
      </c>
      <c r="C788" s="51">
        <v>137894549499</v>
      </c>
      <c r="D788" s="1">
        <v>4871.5</v>
      </c>
      <c r="E788" s="1">
        <v>15515756.060000001</v>
      </c>
      <c r="F788" t="s">
        <v>1280</v>
      </c>
      <c r="I788" s="16">
        <f>-IFERROR(VLOOKUP(C788,SIRCUPA!$A$21:$H$186,8,0),0)</f>
        <v>0</v>
      </c>
      <c r="J788" s="68">
        <f>-IFERROR(VLOOKUP(C788,SIRTAC!$A$16:$H$1405,8,0),0)</f>
        <v>-50</v>
      </c>
      <c r="K788" s="68">
        <f>-IFERROR(VLOOKUP(C788,Gastos!$A$9:$J$1398,10,0),0)</f>
        <v>-48.5</v>
      </c>
      <c r="L788" s="68">
        <f>-IFERROR(VLOOKUP(C788,IDC!$A$20:$H$1596,8,0),0)</f>
        <v>-30</v>
      </c>
      <c r="M788" s="74">
        <f t="shared" si="17"/>
        <v>5000</v>
      </c>
    </row>
    <row r="789" spans="1:13" customFormat="1">
      <c r="A789" t="s">
        <v>112</v>
      </c>
      <c r="B789" t="s">
        <v>11</v>
      </c>
      <c r="C789" s="51">
        <v>137894672723</v>
      </c>
      <c r="D789" s="1">
        <v>14614.5</v>
      </c>
      <c r="E789" s="1">
        <v>15530615.310000001</v>
      </c>
      <c r="F789" t="s">
        <v>1280</v>
      </c>
      <c r="I789" s="16">
        <f>-IFERROR(VLOOKUP(C789,SIRCUPA!$A$21:$H$186,8,0),0)</f>
        <v>0</v>
      </c>
      <c r="J789" s="68">
        <f>-IFERROR(VLOOKUP(C789,SIRTAC!$A$16:$H$1405,8,0),0)</f>
        <v>-150</v>
      </c>
      <c r="K789" s="68">
        <f>-IFERROR(VLOOKUP(C789,Gastos!$A$9:$J$1398,10,0),0)</f>
        <v>-145.5</v>
      </c>
      <c r="L789" s="68">
        <f>-IFERROR(VLOOKUP(C789,IDC!$A$20:$H$1596,8,0),0)</f>
        <v>-90</v>
      </c>
      <c r="M789" s="74">
        <f t="shared" si="17"/>
        <v>15000</v>
      </c>
    </row>
    <row r="790" spans="1:13" customFormat="1">
      <c r="A790" t="s">
        <v>112</v>
      </c>
      <c r="B790" t="s">
        <v>11</v>
      </c>
      <c r="C790" s="51">
        <v>137894766465</v>
      </c>
      <c r="D790" s="1">
        <v>50955.89</v>
      </c>
      <c r="E790" s="1">
        <v>15581571.199999999</v>
      </c>
      <c r="F790" t="s">
        <v>1280</v>
      </c>
      <c r="I790" s="16">
        <f>-IFERROR(VLOOKUP(C790,SIRCUPA!$A$21:$H$186,8,0),0)</f>
        <v>0</v>
      </c>
      <c r="J790" s="68">
        <f>-IFERROR(VLOOKUP(C790,SIRTAC!$A$16:$H$1405,8,0),0)</f>
        <v>-523</v>
      </c>
      <c r="K790" s="68">
        <f>-IFERROR(VLOOKUP(C790,Gastos!$A$9:$J$1398,10,0),0)</f>
        <v>-507.31</v>
      </c>
      <c r="L790" s="68">
        <f>-IFERROR(VLOOKUP(C790,IDC!$A$20:$H$1596,8,0),0)</f>
        <v>-313.8</v>
      </c>
      <c r="M790" s="74">
        <f t="shared" si="17"/>
        <v>52300</v>
      </c>
    </row>
    <row r="791" spans="1:13" customFormat="1">
      <c r="A791" t="s">
        <v>112</v>
      </c>
      <c r="B791" t="s">
        <v>11</v>
      </c>
      <c r="C791" s="51">
        <v>138533953280</v>
      </c>
      <c r="D791" s="1">
        <v>24357.5</v>
      </c>
      <c r="E791" s="1">
        <v>15605928.699999999</v>
      </c>
      <c r="F791" t="s">
        <v>1280</v>
      </c>
      <c r="I791" s="16">
        <f>-IFERROR(VLOOKUP(C791,SIRCUPA!$A$21:$H$186,8,0),0)</f>
        <v>0</v>
      </c>
      <c r="J791" s="68">
        <f>-IFERROR(VLOOKUP(C791,SIRTAC!$A$16:$H$1405,8,0),0)</f>
        <v>-250</v>
      </c>
      <c r="K791" s="68">
        <f>-IFERROR(VLOOKUP(C791,Gastos!$A$9:$J$1398,10,0),0)</f>
        <v>-242.5</v>
      </c>
      <c r="L791" s="68">
        <f>-IFERROR(VLOOKUP(C791,IDC!$A$20:$H$1596,8,0),0)</f>
        <v>-150</v>
      </c>
      <c r="M791" s="74">
        <f t="shared" si="17"/>
        <v>25000</v>
      </c>
    </row>
    <row r="792" spans="1:13" customFormat="1">
      <c r="A792" t="s">
        <v>112</v>
      </c>
      <c r="B792" t="s">
        <v>11</v>
      </c>
      <c r="C792" s="51">
        <v>137894899763</v>
      </c>
      <c r="D792" s="1">
        <v>4871.5</v>
      </c>
      <c r="E792" s="1">
        <v>15610800.199999999</v>
      </c>
      <c r="F792" t="s">
        <v>1280</v>
      </c>
      <c r="I792" s="16">
        <f>-IFERROR(VLOOKUP(C792,SIRCUPA!$A$21:$H$186,8,0),0)</f>
        <v>0</v>
      </c>
      <c r="J792" s="68">
        <f>-IFERROR(VLOOKUP(C792,SIRTAC!$A$16:$H$1405,8,0),0)</f>
        <v>-50</v>
      </c>
      <c r="K792" s="68">
        <f>-IFERROR(VLOOKUP(C792,Gastos!$A$9:$J$1398,10,0),0)</f>
        <v>-48.5</v>
      </c>
      <c r="L792" s="68">
        <f>-IFERROR(VLOOKUP(C792,IDC!$A$20:$H$1596,8,0),0)</f>
        <v>-30</v>
      </c>
      <c r="M792" s="74">
        <f t="shared" si="17"/>
        <v>5000</v>
      </c>
    </row>
    <row r="793" spans="1:13" customFormat="1">
      <c r="A793" t="s">
        <v>112</v>
      </c>
      <c r="B793" t="s">
        <v>11</v>
      </c>
      <c r="C793" s="51">
        <v>138534165884</v>
      </c>
      <c r="D793" s="1">
        <v>4676.6400000000003</v>
      </c>
      <c r="E793" s="1">
        <v>15615476.84</v>
      </c>
      <c r="F793" t="s">
        <v>1280</v>
      </c>
      <c r="I793" s="16">
        <f>-IFERROR(VLOOKUP(C793,SIRCUPA!$A$21:$H$186,8,0),0)</f>
        <v>0</v>
      </c>
      <c r="J793" s="68">
        <f>-IFERROR(VLOOKUP(C793,SIRTAC!$A$16:$H$1405,8,0),0)</f>
        <v>-48</v>
      </c>
      <c r="K793" s="68">
        <f>-IFERROR(VLOOKUP(C793,Gastos!$A$9:$J$1398,10,0),0)</f>
        <v>-46.56</v>
      </c>
      <c r="L793" s="68">
        <f>-IFERROR(VLOOKUP(C793,IDC!$A$20:$H$1596,8,0),0)</f>
        <v>-28.8</v>
      </c>
      <c r="M793" s="74">
        <f t="shared" si="17"/>
        <v>4800.0000000000009</v>
      </c>
    </row>
    <row r="794" spans="1:13" customFormat="1">
      <c r="A794" t="s">
        <v>112</v>
      </c>
      <c r="B794" t="s">
        <v>11</v>
      </c>
      <c r="C794" s="51">
        <v>138534343360</v>
      </c>
      <c r="D794" s="1">
        <v>4676.6400000000003</v>
      </c>
      <c r="E794" s="1">
        <v>15620153.48</v>
      </c>
      <c r="F794" t="s">
        <v>1280</v>
      </c>
      <c r="I794" s="16">
        <f>-IFERROR(VLOOKUP(C794,SIRCUPA!$A$21:$H$186,8,0),0)</f>
        <v>0</v>
      </c>
      <c r="J794" s="68">
        <f>-IFERROR(VLOOKUP(C794,SIRTAC!$A$16:$H$1405,8,0),0)</f>
        <v>-48</v>
      </c>
      <c r="K794" s="68">
        <f>-IFERROR(VLOOKUP(C794,Gastos!$A$9:$J$1398,10,0),0)</f>
        <v>-46.56</v>
      </c>
      <c r="L794" s="68">
        <f>-IFERROR(VLOOKUP(C794,IDC!$A$20:$H$1596,8,0),0)</f>
        <v>-28.8</v>
      </c>
      <c r="M794" s="74">
        <f t="shared" si="17"/>
        <v>4800.0000000000009</v>
      </c>
    </row>
    <row r="795" spans="1:13" customFormat="1">
      <c r="A795" t="s">
        <v>112</v>
      </c>
      <c r="B795" t="s">
        <v>11</v>
      </c>
      <c r="C795" s="51">
        <v>138534337942</v>
      </c>
      <c r="D795" s="1">
        <v>7307.25</v>
      </c>
      <c r="E795" s="1">
        <v>15627460.73</v>
      </c>
      <c r="F795" t="s">
        <v>1280</v>
      </c>
      <c r="I795" s="16">
        <f>-IFERROR(VLOOKUP(C795,SIRCUPA!$A$21:$H$186,8,0),0)</f>
        <v>0</v>
      </c>
      <c r="J795" s="68">
        <f>-IFERROR(VLOOKUP(C795,SIRTAC!$A$16:$H$1405,8,0),0)</f>
        <v>-75</v>
      </c>
      <c r="K795" s="68">
        <f>-IFERROR(VLOOKUP(C795,Gastos!$A$9:$J$1398,10,0),0)</f>
        <v>-72.75</v>
      </c>
      <c r="L795" s="68">
        <f>-IFERROR(VLOOKUP(C795,IDC!$A$20:$H$1596,8,0),0)</f>
        <v>-45</v>
      </c>
      <c r="M795" s="74">
        <f t="shared" si="17"/>
        <v>7500</v>
      </c>
    </row>
    <row r="796" spans="1:13" customFormat="1">
      <c r="A796" t="s">
        <v>112</v>
      </c>
      <c r="B796" t="s">
        <v>11</v>
      </c>
      <c r="C796" s="51">
        <v>137895364073</v>
      </c>
      <c r="D796" s="1">
        <v>4534.5600000000004</v>
      </c>
      <c r="E796" s="1">
        <v>15631995.289999999</v>
      </c>
      <c r="F796" t="s">
        <v>1280</v>
      </c>
      <c r="I796" s="16">
        <f>-IFERROR(VLOOKUP(C796,SIRCUPA!$A$21:$H$186,8,0),0)</f>
        <v>0</v>
      </c>
      <c r="J796" s="68">
        <f>-IFERROR(VLOOKUP(C796,SIRTAC!$A$16:$H$1405,8,0),0)</f>
        <v>-48</v>
      </c>
      <c r="K796" s="68">
        <f>-IFERROR(VLOOKUP(C796,Gastos!$A$9:$J$1398,10,0),0)</f>
        <v>-188.64</v>
      </c>
      <c r="L796" s="68">
        <f>-IFERROR(VLOOKUP(C796,IDC!$A$20:$H$1596,8,0),0)</f>
        <v>-28.8</v>
      </c>
      <c r="M796" s="74">
        <f t="shared" si="17"/>
        <v>4800.0000000000009</v>
      </c>
    </row>
    <row r="797" spans="1:13" customFormat="1">
      <c r="A797" t="s">
        <v>112</v>
      </c>
      <c r="B797" t="s">
        <v>11</v>
      </c>
      <c r="C797" s="51">
        <v>138534631434</v>
      </c>
      <c r="D797" s="1">
        <v>7307.25</v>
      </c>
      <c r="E797" s="1">
        <v>15639302.539999999</v>
      </c>
      <c r="F797" t="s">
        <v>1280</v>
      </c>
      <c r="I797" s="16">
        <f>-IFERROR(VLOOKUP(C797,SIRCUPA!$A$21:$H$186,8,0),0)</f>
        <v>0</v>
      </c>
      <c r="J797" s="68">
        <f>-IFERROR(VLOOKUP(C797,SIRTAC!$A$16:$H$1405,8,0),0)</f>
        <v>-75</v>
      </c>
      <c r="K797" s="68">
        <f>-IFERROR(VLOOKUP(C797,Gastos!$A$9:$J$1398,10,0),0)</f>
        <v>-72.75</v>
      </c>
      <c r="L797" s="68">
        <f>-IFERROR(VLOOKUP(C797,IDC!$A$20:$H$1596,8,0),0)</f>
        <v>-45</v>
      </c>
      <c r="M797" s="74">
        <f t="shared" si="17"/>
        <v>7500</v>
      </c>
    </row>
    <row r="798" spans="1:13" customFormat="1">
      <c r="A798" t="s">
        <v>112</v>
      </c>
      <c r="B798" t="s">
        <v>11</v>
      </c>
      <c r="C798" s="51">
        <v>138534793054</v>
      </c>
      <c r="D798" s="1">
        <v>10717.3</v>
      </c>
      <c r="E798" s="1">
        <v>15650019.84</v>
      </c>
      <c r="F798" t="s">
        <v>1280</v>
      </c>
      <c r="I798" s="16">
        <f>-IFERROR(VLOOKUP(C798,SIRCUPA!$A$21:$H$186,8,0),0)</f>
        <v>0</v>
      </c>
      <c r="J798" s="68">
        <f>-IFERROR(VLOOKUP(C798,SIRTAC!$A$16:$H$1405,8,0),0)</f>
        <v>-110</v>
      </c>
      <c r="K798" s="68">
        <f>-IFERROR(VLOOKUP(C798,Gastos!$A$9:$J$1398,10,0),0)</f>
        <v>-106.7</v>
      </c>
      <c r="L798" s="68">
        <f>-IFERROR(VLOOKUP(C798,IDC!$A$20:$H$1596,8,0),0)</f>
        <v>-66</v>
      </c>
      <c r="M798" s="74">
        <f t="shared" si="17"/>
        <v>11000</v>
      </c>
    </row>
    <row r="799" spans="1:13" customFormat="1">
      <c r="A799" t="s">
        <v>112</v>
      </c>
      <c r="B799" t="s">
        <v>11</v>
      </c>
      <c r="C799" s="51">
        <v>137895836485</v>
      </c>
      <c r="D799" s="1">
        <v>4871.5</v>
      </c>
      <c r="E799" s="1">
        <v>15654891.34</v>
      </c>
      <c r="F799" t="s">
        <v>1280</v>
      </c>
      <c r="I799" s="16">
        <f>-IFERROR(VLOOKUP(C799,SIRCUPA!$A$21:$H$186,8,0),0)</f>
        <v>0</v>
      </c>
      <c r="J799" s="68">
        <f>-IFERROR(VLOOKUP(C799,SIRTAC!$A$16:$H$1405,8,0),0)</f>
        <v>-50</v>
      </c>
      <c r="K799" s="68">
        <f>-IFERROR(VLOOKUP(C799,Gastos!$A$9:$J$1398,10,0),0)</f>
        <v>-48.5</v>
      </c>
      <c r="L799" s="68">
        <f>-IFERROR(VLOOKUP(C799,IDC!$A$20:$H$1596,8,0),0)</f>
        <v>-30</v>
      </c>
      <c r="M799" s="74">
        <f t="shared" si="17"/>
        <v>5000</v>
      </c>
    </row>
    <row r="800" spans="1:13" customFormat="1">
      <c r="A800" t="s">
        <v>112</v>
      </c>
      <c r="B800" t="s">
        <v>11</v>
      </c>
      <c r="C800" s="51">
        <v>138534996160</v>
      </c>
      <c r="D800" s="1">
        <v>4871.5</v>
      </c>
      <c r="E800" s="1">
        <v>15659762.84</v>
      </c>
      <c r="F800" t="s">
        <v>1280</v>
      </c>
      <c r="I800" s="16">
        <f>-IFERROR(VLOOKUP(C800,SIRCUPA!$A$21:$H$186,8,0),0)</f>
        <v>0</v>
      </c>
      <c r="J800" s="68">
        <f>-IFERROR(VLOOKUP(C800,SIRTAC!$A$16:$H$1405,8,0),0)</f>
        <v>-50</v>
      </c>
      <c r="K800" s="68">
        <f>-IFERROR(VLOOKUP(C800,Gastos!$A$9:$J$1398,10,0),0)</f>
        <v>-48.5</v>
      </c>
      <c r="L800" s="68">
        <f>-IFERROR(VLOOKUP(C800,IDC!$A$20:$H$1596,8,0),0)</f>
        <v>-30</v>
      </c>
      <c r="M800" s="74">
        <f t="shared" si="17"/>
        <v>5000</v>
      </c>
    </row>
    <row r="801" spans="1:13" customFormat="1">
      <c r="A801" t="s">
        <v>112</v>
      </c>
      <c r="B801" t="s">
        <v>11</v>
      </c>
      <c r="C801" s="51">
        <v>138534978934</v>
      </c>
      <c r="D801" s="1">
        <v>4838.5</v>
      </c>
      <c r="E801" s="1">
        <v>15664601.34</v>
      </c>
      <c r="F801" t="s">
        <v>1280</v>
      </c>
      <c r="I801" s="16">
        <f>-IFERROR(VLOOKUP(C801,SIRCUPA!$A$21:$H$186,8,0),0)</f>
        <v>0</v>
      </c>
      <c r="J801" s="68">
        <f>-IFERROR(VLOOKUP(C801,SIRTAC!$A$16:$H$1405,8,0),0)</f>
        <v>-50</v>
      </c>
      <c r="K801" s="68">
        <f>-IFERROR(VLOOKUP(C801,Gastos!$A$9:$J$1398,10,0),0)</f>
        <v>-81.5</v>
      </c>
      <c r="L801" s="68">
        <f>-IFERROR(VLOOKUP(C801,IDC!$A$20:$H$1596,8,0),0)</f>
        <v>-30</v>
      </c>
      <c r="M801" s="74">
        <f t="shared" si="17"/>
        <v>5000</v>
      </c>
    </row>
    <row r="802" spans="1:13" customFormat="1">
      <c r="A802" t="s">
        <v>112</v>
      </c>
      <c r="B802" t="s">
        <v>11</v>
      </c>
      <c r="C802" s="51">
        <v>137895887285</v>
      </c>
      <c r="D802" s="1">
        <v>9743</v>
      </c>
      <c r="E802" s="1">
        <v>15674344.34</v>
      </c>
      <c r="F802" t="s">
        <v>1280</v>
      </c>
      <c r="I802" s="16">
        <f>-IFERROR(VLOOKUP(C802,SIRCUPA!$A$21:$H$186,8,0),0)</f>
        <v>0</v>
      </c>
      <c r="J802" s="68">
        <f>-IFERROR(VLOOKUP(C802,SIRTAC!$A$16:$H$1405,8,0),0)</f>
        <v>-100</v>
      </c>
      <c r="K802" s="68">
        <f>-IFERROR(VLOOKUP(C802,Gastos!$A$9:$J$1398,10,0),0)</f>
        <v>-97</v>
      </c>
      <c r="L802" s="68">
        <f>-IFERROR(VLOOKUP(C802,IDC!$A$20:$H$1596,8,0),0)</f>
        <v>-60</v>
      </c>
      <c r="M802" s="74">
        <f t="shared" si="17"/>
        <v>10000</v>
      </c>
    </row>
    <row r="803" spans="1:13" customFormat="1">
      <c r="A803" t="s">
        <v>112</v>
      </c>
      <c r="B803" t="s">
        <v>11</v>
      </c>
      <c r="C803" s="51">
        <v>138535116146</v>
      </c>
      <c r="D803" s="1">
        <v>4871.5</v>
      </c>
      <c r="E803" s="1">
        <v>15679215.84</v>
      </c>
      <c r="F803" t="s">
        <v>1280</v>
      </c>
      <c r="I803" s="16">
        <f>-IFERROR(VLOOKUP(C803,SIRCUPA!$A$21:$H$186,8,0),0)</f>
        <v>0</v>
      </c>
      <c r="J803" s="68">
        <f>-IFERROR(VLOOKUP(C803,SIRTAC!$A$16:$H$1405,8,0),0)</f>
        <v>-50</v>
      </c>
      <c r="K803" s="68">
        <f>-IFERROR(VLOOKUP(C803,Gastos!$A$9:$J$1398,10,0),0)</f>
        <v>-48.5</v>
      </c>
      <c r="L803" s="68">
        <f>-IFERROR(VLOOKUP(C803,IDC!$A$20:$H$1596,8,0),0)</f>
        <v>-30</v>
      </c>
      <c r="M803" s="74">
        <f t="shared" si="17"/>
        <v>5000</v>
      </c>
    </row>
    <row r="804" spans="1:13" customFormat="1">
      <c r="A804" t="s">
        <v>112</v>
      </c>
      <c r="B804" t="s">
        <v>11</v>
      </c>
      <c r="C804" s="51">
        <v>138535053938</v>
      </c>
      <c r="D804" s="1">
        <v>4676.6400000000003</v>
      </c>
      <c r="E804" s="1">
        <v>15684137.23</v>
      </c>
      <c r="F804" t="s">
        <v>1280</v>
      </c>
      <c r="I804" s="16">
        <f>-IFERROR(VLOOKUP(C804,SIRCUPA!$A$21:$H$186,8,0),0)</f>
        <v>0</v>
      </c>
      <c r="J804" s="68">
        <f>-IFERROR(VLOOKUP(C804,SIRTAC!$A$16:$H$1405,8,0),0)</f>
        <v>-48</v>
      </c>
      <c r="K804" s="68">
        <f>-IFERROR(VLOOKUP(C804,Gastos!$A$9:$J$1398,10,0),0)</f>
        <v>-46.56</v>
      </c>
      <c r="L804" s="68">
        <f>-IFERROR(VLOOKUP(C804,IDC!$A$20:$H$1596,8,0),0)</f>
        <v>-28.8</v>
      </c>
      <c r="M804" s="74">
        <f t="shared" si="17"/>
        <v>4800.0000000000009</v>
      </c>
    </row>
    <row r="805" spans="1:13" customFormat="1">
      <c r="A805" t="s">
        <v>112</v>
      </c>
      <c r="B805" t="s">
        <v>11</v>
      </c>
      <c r="C805" s="51">
        <v>138535089536</v>
      </c>
      <c r="D805" s="1">
        <v>15491.37</v>
      </c>
      <c r="E805" s="1">
        <v>15699628.6</v>
      </c>
      <c r="F805" t="s">
        <v>1280</v>
      </c>
      <c r="I805" s="16">
        <f>-IFERROR(VLOOKUP(C805,SIRCUPA!$A$21:$H$186,8,0),0)</f>
        <v>0</v>
      </c>
      <c r="J805" s="68">
        <f>-IFERROR(VLOOKUP(C805,SIRTAC!$A$16:$H$1405,8,0),0)</f>
        <v>-159</v>
      </c>
      <c r="K805" s="68">
        <f>-IFERROR(VLOOKUP(C805,Gastos!$A$9:$J$1398,10,0),0)</f>
        <v>-154.22999999999999</v>
      </c>
      <c r="L805" s="68">
        <f>-IFERROR(VLOOKUP(C805,IDC!$A$20:$H$1596,8,0),0)</f>
        <v>-95.4</v>
      </c>
      <c r="M805" s="74">
        <f t="shared" si="17"/>
        <v>15900</v>
      </c>
    </row>
    <row r="806" spans="1:13" customFormat="1">
      <c r="A806" t="s">
        <v>112</v>
      </c>
      <c r="B806" t="s">
        <v>11</v>
      </c>
      <c r="C806" s="51">
        <v>137896094497</v>
      </c>
      <c r="D806" s="1">
        <v>9743</v>
      </c>
      <c r="E806" s="1">
        <v>15709371.6</v>
      </c>
      <c r="F806" t="s">
        <v>1280</v>
      </c>
      <c r="I806" s="16">
        <f>-IFERROR(VLOOKUP(C806,SIRCUPA!$A$21:$H$186,8,0),0)</f>
        <v>0</v>
      </c>
      <c r="J806" s="68">
        <f>-IFERROR(VLOOKUP(C806,SIRTAC!$A$16:$H$1405,8,0),0)</f>
        <v>-100</v>
      </c>
      <c r="K806" s="68">
        <f>-IFERROR(VLOOKUP(C806,Gastos!$A$9:$J$1398,10,0),0)</f>
        <v>-97</v>
      </c>
      <c r="L806" s="68">
        <f>-IFERROR(VLOOKUP(C806,IDC!$A$20:$H$1596,8,0),0)</f>
        <v>-60</v>
      </c>
      <c r="M806" s="74">
        <f t="shared" si="17"/>
        <v>10000</v>
      </c>
    </row>
    <row r="807" spans="1:13" customFormat="1">
      <c r="A807" t="s">
        <v>118</v>
      </c>
      <c r="B807" t="s">
        <v>11</v>
      </c>
      <c r="C807" s="51">
        <v>137896413189</v>
      </c>
      <c r="D807" s="1">
        <v>9353.2800000000007</v>
      </c>
      <c r="E807" s="1">
        <v>15718724.880000001</v>
      </c>
      <c r="F807" t="s">
        <v>1280</v>
      </c>
      <c r="I807" s="16">
        <f>-IFERROR(VLOOKUP(C807,SIRCUPA!$A$21:$H$186,8,0),0)</f>
        <v>0</v>
      </c>
      <c r="J807" s="68">
        <f>-IFERROR(VLOOKUP(C807,SIRTAC!$A$16:$H$1405,8,0),0)</f>
        <v>-96</v>
      </c>
      <c r="K807" s="68">
        <f>-IFERROR(VLOOKUP(C807,Gastos!$A$9:$J$1398,10,0),0)</f>
        <v>-93.12</v>
      </c>
      <c r="L807" s="68">
        <f>-IFERROR(VLOOKUP(C807,IDC!$A$20:$H$1596,8,0),0)</f>
        <v>-57.6</v>
      </c>
      <c r="M807" s="74">
        <f t="shared" si="17"/>
        <v>9600.0000000000018</v>
      </c>
    </row>
    <row r="808" spans="1:13" customFormat="1">
      <c r="A808" t="s">
        <v>118</v>
      </c>
      <c r="B808" t="s">
        <v>11</v>
      </c>
      <c r="C808" s="51">
        <v>138535507900</v>
      </c>
      <c r="D808" s="1">
        <v>4871.5</v>
      </c>
      <c r="E808" s="1">
        <v>15723596.380000001</v>
      </c>
      <c r="F808" t="s">
        <v>1280</v>
      </c>
      <c r="I808" s="16">
        <f>-IFERROR(VLOOKUP(C808,SIRCUPA!$A$21:$H$186,8,0),0)</f>
        <v>0</v>
      </c>
      <c r="J808" s="68">
        <f>-IFERROR(VLOOKUP(C808,SIRTAC!$A$16:$H$1405,8,0),0)</f>
        <v>-50</v>
      </c>
      <c r="K808" s="68">
        <f>-IFERROR(VLOOKUP(C808,Gastos!$A$9:$J$1398,10,0),0)</f>
        <v>-48.5</v>
      </c>
      <c r="L808" s="68">
        <f>-IFERROR(VLOOKUP(C808,IDC!$A$20:$H$1596,8,0),0)</f>
        <v>-30</v>
      </c>
      <c r="M808" s="74">
        <f t="shared" ref="M808:M871" si="18">+D808-I808-J808-K808-L808</f>
        <v>5000</v>
      </c>
    </row>
    <row r="809" spans="1:13" customFormat="1">
      <c r="A809" t="s">
        <v>118</v>
      </c>
      <c r="B809" t="s">
        <v>11</v>
      </c>
      <c r="C809" s="51">
        <v>137896500919</v>
      </c>
      <c r="D809" s="1">
        <v>4871.5</v>
      </c>
      <c r="E809" s="1">
        <v>15728467.880000001</v>
      </c>
      <c r="F809" t="s">
        <v>1280</v>
      </c>
      <c r="I809" s="16">
        <f>-IFERROR(VLOOKUP(C809,SIRCUPA!$A$21:$H$186,8,0),0)</f>
        <v>0</v>
      </c>
      <c r="J809" s="68">
        <f>-IFERROR(VLOOKUP(C809,SIRTAC!$A$16:$H$1405,8,0),0)</f>
        <v>-50</v>
      </c>
      <c r="K809" s="68">
        <f>-IFERROR(VLOOKUP(C809,Gastos!$A$9:$J$1398,10,0),0)</f>
        <v>-48.5</v>
      </c>
      <c r="L809" s="68">
        <f>-IFERROR(VLOOKUP(C809,IDC!$A$20:$H$1596,8,0),0)</f>
        <v>-30</v>
      </c>
      <c r="M809" s="74">
        <f t="shared" si="18"/>
        <v>5000</v>
      </c>
    </row>
    <row r="810" spans="1:13" customFormat="1">
      <c r="A810" t="s">
        <v>112</v>
      </c>
      <c r="B810" t="s">
        <v>116</v>
      </c>
      <c r="C810" s="51">
        <v>138533691820</v>
      </c>
      <c r="D810">
        <v>244.75</v>
      </c>
      <c r="E810" s="1">
        <v>15516000.810000001</v>
      </c>
      <c r="F810" t="s">
        <v>1280</v>
      </c>
      <c r="I810" s="16">
        <f>-IFERROR(VLOOKUP(C810,SIRCUPA!$A$21:$H$186,8,0),0)</f>
        <v>-3.75</v>
      </c>
      <c r="J810" s="68">
        <f>-IFERROR(VLOOKUP(C810,SIRTAC!$A$16:$H$1405,8,0),0)</f>
        <v>0</v>
      </c>
      <c r="K810" s="68">
        <f>-IFERROR(VLOOKUP(C810,Gastos!$A$9:$J$1398,10,0),0)</f>
        <v>0</v>
      </c>
      <c r="L810" s="68">
        <f>-IFERROR(VLOOKUP(C810,IDC!$A$20:$H$1596,8,0),0)</f>
        <v>-1.5</v>
      </c>
      <c r="M810" s="74">
        <f t="shared" si="18"/>
        <v>250</v>
      </c>
    </row>
    <row r="811" spans="1:13" customFormat="1">
      <c r="A811" t="s">
        <v>118</v>
      </c>
      <c r="B811" t="s">
        <v>11</v>
      </c>
      <c r="C811" s="51">
        <v>138535706824</v>
      </c>
      <c r="D811" s="1">
        <v>4838.5</v>
      </c>
      <c r="E811" s="1">
        <v>15733306.380000001</v>
      </c>
      <c r="F811" t="s">
        <v>1280</v>
      </c>
      <c r="I811" s="16">
        <f>-IFERROR(VLOOKUP(C811,SIRCUPA!$A$21:$H$186,8,0),0)</f>
        <v>0</v>
      </c>
      <c r="J811" s="68">
        <f>-IFERROR(VLOOKUP(C811,SIRTAC!$A$16:$H$1405,8,0),0)</f>
        <v>-50</v>
      </c>
      <c r="K811" s="68">
        <f>-IFERROR(VLOOKUP(C811,Gastos!$A$9:$J$1398,10,0),0)</f>
        <v>-81.5</v>
      </c>
      <c r="L811" s="68">
        <f>-IFERROR(VLOOKUP(C811,IDC!$A$20:$H$1596,8,0),0)</f>
        <v>-30</v>
      </c>
      <c r="M811" s="74">
        <f t="shared" si="18"/>
        <v>5000</v>
      </c>
    </row>
    <row r="812" spans="1:13" customFormat="1">
      <c r="A812" t="s">
        <v>118</v>
      </c>
      <c r="B812" t="s">
        <v>11</v>
      </c>
      <c r="C812" s="51">
        <v>137896651907</v>
      </c>
      <c r="D812" s="1">
        <v>12178.75</v>
      </c>
      <c r="E812" s="1">
        <v>15745485.130000001</v>
      </c>
      <c r="F812" t="s">
        <v>1280</v>
      </c>
      <c r="I812" s="16">
        <f>-IFERROR(VLOOKUP(C812,SIRCUPA!$A$21:$H$186,8,0),0)</f>
        <v>0</v>
      </c>
      <c r="J812" s="68">
        <f>-IFERROR(VLOOKUP(C812,SIRTAC!$A$16:$H$1405,8,0),0)</f>
        <v>-125</v>
      </c>
      <c r="K812" s="68">
        <f>-IFERROR(VLOOKUP(C812,Gastos!$A$9:$J$1398,10,0),0)</f>
        <v>-121.25</v>
      </c>
      <c r="L812" s="68">
        <f>-IFERROR(VLOOKUP(C812,IDC!$A$20:$H$1596,8,0),0)</f>
        <v>-75</v>
      </c>
      <c r="M812" s="74">
        <f t="shared" si="18"/>
        <v>12500</v>
      </c>
    </row>
    <row r="813" spans="1:13" customFormat="1">
      <c r="A813" t="s">
        <v>118</v>
      </c>
      <c r="B813" t="s">
        <v>11</v>
      </c>
      <c r="C813" s="51">
        <v>138535920782</v>
      </c>
      <c r="D813" s="1">
        <v>14614.5</v>
      </c>
      <c r="E813" s="1">
        <v>15760099.630000001</v>
      </c>
      <c r="F813" t="s">
        <v>1280</v>
      </c>
      <c r="I813" s="16">
        <f>-IFERROR(VLOOKUP(C813,SIRCUPA!$A$21:$H$186,8,0),0)</f>
        <v>0</v>
      </c>
      <c r="J813" s="68">
        <f>-IFERROR(VLOOKUP(C813,SIRTAC!$A$16:$H$1405,8,0),0)</f>
        <v>-150</v>
      </c>
      <c r="K813" s="68">
        <f>-IFERROR(VLOOKUP(C813,Gastos!$A$9:$J$1398,10,0),0)</f>
        <v>-145.5</v>
      </c>
      <c r="L813" s="68">
        <f>-IFERROR(VLOOKUP(C813,IDC!$A$20:$H$1596,8,0),0)</f>
        <v>-90</v>
      </c>
      <c r="M813" s="74">
        <f t="shared" si="18"/>
        <v>15000</v>
      </c>
    </row>
    <row r="814" spans="1:13" customFormat="1">
      <c r="A814" t="s">
        <v>118</v>
      </c>
      <c r="B814" t="s">
        <v>11</v>
      </c>
      <c r="C814" s="51">
        <v>137896807477</v>
      </c>
      <c r="D814" s="1">
        <v>8367.36</v>
      </c>
      <c r="E814" s="1">
        <v>15768466.99</v>
      </c>
      <c r="F814" t="s">
        <v>1280</v>
      </c>
      <c r="I814" s="16">
        <f>-IFERROR(VLOOKUP(C814,SIRCUPA!$A$21:$H$186,8,0),0)</f>
        <v>0</v>
      </c>
      <c r="J814" s="68">
        <f>-IFERROR(VLOOKUP(C814,SIRTAC!$A$16:$H$1405,8,0),0)</f>
        <v>-96</v>
      </c>
      <c r="K814" s="68">
        <f>-IFERROR(VLOOKUP(C814,Gastos!$A$9:$J$1398,10,0),0)</f>
        <v>-1079.04</v>
      </c>
      <c r="L814" s="68">
        <f>-IFERROR(VLOOKUP(C814,IDC!$A$20:$H$1596,8,0),0)</f>
        <v>-57.6</v>
      </c>
      <c r="M814" s="74">
        <f t="shared" si="18"/>
        <v>9600.0000000000018</v>
      </c>
    </row>
    <row r="815" spans="1:13" customFormat="1">
      <c r="A815" t="s">
        <v>118</v>
      </c>
      <c r="B815" t="s">
        <v>11</v>
      </c>
      <c r="C815" s="51">
        <v>137896837169</v>
      </c>
      <c r="D815" s="1">
        <v>4871.5</v>
      </c>
      <c r="E815" s="1">
        <v>15773338.49</v>
      </c>
      <c r="F815" t="s">
        <v>1280</v>
      </c>
      <c r="I815" s="16">
        <f>-IFERROR(VLOOKUP(C815,SIRCUPA!$A$21:$H$186,8,0),0)</f>
        <v>0</v>
      </c>
      <c r="J815" s="68">
        <f>-IFERROR(VLOOKUP(C815,SIRTAC!$A$16:$H$1405,8,0),0)</f>
        <v>-50</v>
      </c>
      <c r="K815" s="68">
        <f>-IFERROR(VLOOKUP(C815,Gastos!$A$9:$J$1398,10,0),0)</f>
        <v>-48.5</v>
      </c>
      <c r="L815" s="68">
        <f>-IFERROR(VLOOKUP(C815,IDC!$A$20:$H$1596,8,0),0)</f>
        <v>-30</v>
      </c>
      <c r="M815" s="74">
        <f t="shared" si="18"/>
        <v>5000</v>
      </c>
    </row>
    <row r="816" spans="1:13" customFormat="1">
      <c r="A816" t="s">
        <v>118</v>
      </c>
      <c r="B816" t="s">
        <v>11</v>
      </c>
      <c r="C816" s="51">
        <v>137896861447</v>
      </c>
      <c r="D816" s="1">
        <v>4774.07</v>
      </c>
      <c r="E816" s="1">
        <v>15778112.560000001</v>
      </c>
      <c r="F816" t="s">
        <v>1280</v>
      </c>
      <c r="I816" s="16">
        <f>-IFERROR(VLOOKUP(C816,SIRCUPA!$A$21:$H$186,8,0),0)</f>
        <v>0</v>
      </c>
      <c r="J816" s="68">
        <f>-IFERROR(VLOOKUP(C816,SIRTAC!$A$16:$H$1405,8,0),0)</f>
        <v>-49</v>
      </c>
      <c r="K816" s="68">
        <f>-IFERROR(VLOOKUP(C816,Gastos!$A$9:$J$1398,10,0),0)</f>
        <v>-47.53</v>
      </c>
      <c r="L816" s="68">
        <f>-IFERROR(VLOOKUP(C816,IDC!$A$20:$H$1596,8,0),0)</f>
        <v>-29.4</v>
      </c>
      <c r="M816" s="74">
        <f t="shared" si="18"/>
        <v>4899.9999999999991</v>
      </c>
    </row>
    <row r="817" spans="1:13" customFormat="1">
      <c r="A817" t="s">
        <v>118</v>
      </c>
      <c r="B817" t="s">
        <v>11</v>
      </c>
      <c r="C817" s="51">
        <v>137896976563</v>
      </c>
      <c r="D817" s="1">
        <v>4676.6400000000003</v>
      </c>
      <c r="E817" s="1">
        <v>15782789.199999999</v>
      </c>
      <c r="F817" t="s">
        <v>1280</v>
      </c>
      <c r="I817" s="16">
        <f>-IFERROR(VLOOKUP(C817,SIRCUPA!$A$21:$H$186,8,0),0)</f>
        <v>0</v>
      </c>
      <c r="J817" s="68">
        <f>-IFERROR(VLOOKUP(C817,SIRTAC!$A$16:$H$1405,8,0),0)</f>
        <v>-48</v>
      </c>
      <c r="K817" s="68">
        <f>-IFERROR(VLOOKUP(C817,Gastos!$A$9:$J$1398,10,0),0)</f>
        <v>-46.56</v>
      </c>
      <c r="L817" s="68">
        <f>-IFERROR(VLOOKUP(C817,IDC!$A$20:$H$1596,8,0),0)</f>
        <v>-28.8</v>
      </c>
      <c r="M817" s="74">
        <f t="shared" si="18"/>
        <v>4800.0000000000009</v>
      </c>
    </row>
    <row r="818" spans="1:13" customFormat="1">
      <c r="A818" t="s">
        <v>118</v>
      </c>
      <c r="B818" t="s">
        <v>11</v>
      </c>
      <c r="C818" s="51">
        <v>137896955087</v>
      </c>
      <c r="D818" s="1">
        <v>42869.2</v>
      </c>
      <c r="E818" s="1">
        <v>15825658.4</v>
      </c>
      <c r="F818" t="s">
        <v>1280</v>
      </c>
      <c r="I818" s="16">
        <f>-IFERROR(VLOOKUP(C818,SIRCUPA!$A$21:$H$186,8,0),0)</f>
        <v>0</v>
      </c>
      <c r="J818" s="68">
        <f>-IFERROR(VLOOKUP(C818,SIRTAC!$A$16:$H$1405,8,0),0)</f>
        <v>-440</v>
      </c>
      <c r="K818" s="68">
        <f>-IFERROR(VLOOKUP(C818,Gastos!$A$9:$J$1398,10,0),0)</f>
        <v>-426.8</v>
      </c>
      <c r="L818" s="68">
        <f>-IFERROR(VLOOKUP(C818,IDC!$A$20:$H$1596,8,0),0)</f>
        <v>-264</v>
      </c>
      <c r="M818" s="74">
        <f t="shared" si="18"/>
        <v>44000</v>
      </c>
    </row>
    <row r="819" spans="1:13" customFormat="1">
      <c r="A819" t="s">
        <v>118</v>
      </c>
      <c r="B819" t="s">
        <v>11</v>
      </c>
      <c r="C819" s="51">
        <v>138536070026</v>
      </c>
      <c r="D819" s="1">
        <v>28450.38</v>
      </c>
      <c r="E819" s="1">
        <v>15854108.779999999</v>
      </c>
      <c r="F819" t="s">
        <v>1280</v>
      </c>
      <c r="I819" s="16">
        <f>-IFERROR(VLOOKUP(C819,SIRCUPA!$A$21:$H$186,8,0),0)</f>
        <v>0</v>
      </c>
      <c r="J819" s="68">
        <f>-IFERROR(VLOOKUP(C819,SIRTAC!$A$16:$H$1405,8,0),0)</f>
        <v>-294</v>
      </c>
      <c r="K819" s="68">
        <f>-IFERROR(VLOOKUP(C819,Gastos!$A$9:$J$1398,10,0),0)</f>
        <v>-479.22</v>
      </c>
      <c r="L819" s="68">
        <f>-IFERROR(VLOOKUP(C819,IDC!$A$20:$H$1596,8,0),0)</f>
        <v>-176.4</v>
      </c>
      <c r="M819" s="74">
        <f t="shared" si="18"/>
        <v>29400.000000000004</v>
      </c>
    </row>
    <row r="820" spans="1:13" customFormat="1">
      <c r="A820" t="s">
        <v>118</v>
      </c>
      <c r="B820" t="s">
        <v>11</v>
      </c>
      <c r="C820" s="51">
        <v>137897183137</v>
      </c>
      <c r="D820" s="1">
        <v>68207.34</v>
      </c>
      <c r="E820" s="1">
        <v>15922316.119999999</v>
      </c>
      <c r="F820" t="s">
        <v>1280</v>
      </c>
      <c r="I820" s="16">
        <f>-IFERROR(VLOOKUP(C820,SIRCUPA!$A$21:$H$186,8,0),0)</f>
        <v>0</v>
      </c>
      <c r="J820" s="68">
        <f>-IFERROR(VLOOKUP(C820,SIRTAC!$A$16:$H$1405,8,0),0)</f>
        <v>-722</v>
      </c>
      <c r="K820" s="68">
        <f>-IFERROR(VLOOKUP(C820,Gastos!$A$9:$J$1398,10,0),0)</f>
        <v>-2837.46</v>
      </c>
      <c r="L820" s="68">
        <f>-IFERROR(VLOOKUP(C820,IDC!$A$20:$H$1596,8,0),0)</f>
        <v>-433.2</v>
      </c>
      <c r="M820" s="74">
        <f t="shared" si="18"/>
        <v>72200</v>
      </c>
    </row>
    <row r="821" spans="1:13" customFormat="1">
      <c r="A821" t="s">
        <v>118</v>
      </c>
      <c r="B821" t="s">
        <v>11</v>
      </c>
      <c r="C821" s="51">
        <v>138536451722</v>
      </c>
      <c r="D821" s="1">
        <v>4871.5</v>
      </c>
      <c r="E821" s="1">
        <v>15927187.619999999</v>
      </c>
      <c r="F821" t="s">
        <v>1280</v>
      </c>
      <c r="I821" s="16">
        <f>-IFERROR(VLOOKUP(C821,SIRCUPA!$A$21:$H$186,8,0),0)</f>
        <v>0</v>
      </c>
      <c r="J821" s="68">
        <f>-IFERROR(VLOOKUP(C821,SIRTAC!$A$16:$H$1405,8,0),0)</f>
        <v>-50</v>
      </c>
      <c r="K821" s="68">
        <f>-IFERROR(VLOOKUP(C821,Gastos!$A$9:$J$1398,10,0),0)</f>
        <v>-48.5</v>
      </c>
      <c r="L821" s="68">
        <f>-IFERROR(VLOOKUP(C821,IDC!$A$20:$H$1596,8,0),0)</f>
        <v>-30</v>
      </c>
      <c r="M821" s="74">
        <f t="shared" si="18"/>
        <v>5000</v>
      </c>
    </row>
    <row r="822" spans="1:13" customFormat="1">
      <c r="A822" t="s">
        <v>118</v>
      </c>
      <c r="B822" t="s">
        <v>11</v>
      </c>
      <c r="C822" s="51">
        <v>138536523088</v>
      </c>
      <c r="D822" s="1">
        <v>76872.27</v>
      </c>
      <c r="E822" s="1">
        <v>16004059.890000001</v>
      </c>
      <c r="F822" t="s">
        <v>1280</v>
      </c>
      <c r="I822" s="16">
        <f>-IFERROR(VLOOKUP(C822,SIRCUPA!$A$21:$H$186,8,0),0)</f>
        <v>0</v>
      </c>
      <c r="J822" s="68">
        <f>-IFERROR(VLOOKUP(C822,SIRTAC!$A$16:$H$1405,8,0),0)</f>
        <v>-789</v>
      </c>
      <c r="K822" s="68">
        <f>-IFERROR(VLOOKUP(C822,Gastos!$A$9:$J$1398,10,0),0)</f>
        <v>-765.33</v>
      </c>
      <c r="L822" s="68">
        <f>-IFERROR(VLOOKUP(C822,IDC!$A$20:$H$1596,8,0),0)</f>
        <v>-473.4</v>
      </c>
      <c r="M822" s="74">
        <f t="shared" si="18"/>
        <v>78900</v>
      </c>
    </row>
    <row r="823" spans="1:13" customFormat="1">
      <c r="A823" t="s">
        <v>118</v>
      </c>
      <c r="B823" t="s">
        <v>11</v>
      </c>
      <c r="C823" s="51">
        <v>138536523820</v>
      </c>
      <c r="D823" s="1">
        <v>75800.539999999994</v>
      </c>
      <c r="E823" s="1">
        <v>16083722.58</v>
      </c>
      <c r="F823" t="s">
        <v>1280</v>
      </c>
      <c r="I823" s="16">
        <f>-IFERROR(VLOOKUP(C823,SIRCUPA!$A$21:$H$186,8,0),0)</f>
        <v>0</v>
      </c>
      <c r="J823" s="68">
        <f>-IFERROR(VLOOKUP(C823,SIRTAC!$A$16:$H$1405,8,0),0)</f>
        <v>-778</v>
      </c>
      <c r="K823" s="68">
        <f>-IFERROR(VLOOKUP(C823,Gastos!$A$9:$J$1398,10,0),0)</f>
        <v>-754.66</v>
      </c>
      <c r="L823" s="68">
        <f>-IFERROR(VLOOKUP(C823,IDC!$A$20:$H$1596,8,0),0)</f>
        <v>-466.8</v>
      </c>
      <c r="M823" s="74">
        <f t="shared" si="18"/>
        <v>77800</v>
      </c>
    </row>
    <row r="824" spans="1:13" customFormat="1">
      <c r="A824" t="s">
        <v>118</v>
      </c>
      <c r="B824" t="s">
        <v>11</v>
      </c>
      <c r="C824" s="51">
        <v>137897499495</v>
      </c>
      <c r="D824" s="1">
        <v>4676.6400000000003</v>
      </c>
      <c r="E824" s="1">
        <v>16088399.220000001</v>
      </c>
      <c r="F824" t="s">
        <v>1280</v>
      </c>
      <c r="I824" s="16">
        <f>-IFERROR(VLOOKUP(C824,SIRCUPA!$A$21:$H$186,8,0),0)</f>
        <v>0</v>
      </c>
      <c r="J824" s="68">
        <f>-IFERROR(VLOOKUP(C824,SIRTAC!$A$16:$H$1405,8,0),0)</f>
        <v>-48</v>
      </c>
      <c r="K824" s="68">
        <f>-IFERROR(VLOOKUP(C824,Gastos!$A$9:$J$1398,10,0),0)</f>
        <v>-46.56</v>
      </c>
      <c r="L824" s="68">
        <f>-IFERROR(VLOOKUP(C824,IDC!$A$20:$H$1596,8,0),0)</f>
        <v>-28.8</v>
      </c>
      <c r="M824" s="74">
        <f t="shared" si="18"/>
        <v>4800.0000000000009</v>
      </c>
    </row>
    <row r="825" spans="1:13" customFormat="1">
      <c r="A825" t="s">
        <v>118</v>
      </c>
      <c r="B825" t="s">
        <v>11</v>
      </c>
      <c r="C825" s="51">
        <v>138536694508</v>
      </c>
      <c r="D825" s="1">
        <v>9079</v>
      </c>
      <c r="E825" s="1">
        <v>16097478.220000001</v>
      </c>
      <c r="F825" t="s">
        <v>1280</v>
      </c>
      <c r="I825" s="16">
        <f>-IFERROR(VLOOKUP(C825,SIRCUPA!$A$21:$H$186,8,0),0)</f>
        <v>0</v>
      </c>
      <c r="J825" s="68">
        <f>-IFERROR(VLOOKUP(C825,SIRTAC!$A$16:$H$1405,8,0),0)</f>
        <v>-100</v>
      </c>
      <c r="K825" s="68">
        <f>-IFERROR(VLOOKUP(C825,Gastos!$A$9:$J$1398,10,0),0)</f>
        <v>-761</v>
      </c>
      <c r="L825" s="68">
        <f>-IFERROR(VLOOKUP(C825,IDC!$A$20:$H$1596,8,0),0)</f>
        <v>-60</v>
      </c>
      <c r="M825" s="74">
        <f t="shared" si="18"/>
        <v>10000</v>
      </c>
    </row>
    <row r="826" spans="1:13" customFormat="1">
      <c r="A826" t="s">
        <v>112</v>
      </c>
      <c r="B826" t="s">
        <v>117</v>
      </c>
      <c r="C826" s="51">
        <v>138534987942</v>
      </c>
      <c r="D826">
        <v>244.75</v>
      </c>
      <c r="E826" s="1">
        <v>15679460.59</v>
      </c>
      <c r="F826" t="s">
        <v>1280</v>
      </c>
      <c r="I826" s="16">
        <f>-IFERROR(VLOOKUP(C826,SIRCUPA!$A$21:$H$186,8,0),0)</f>
        <v>-3.75</v>
      </c>
      <c r="J826" s="68">
        <f>-IFERROR(VLOOKUP(C826,SIRTAC!$A$16:$H$1405,8,0),0)</f>
        <v>0</v>
      </c>
      <c r="K826" s="68">
        <f>-IFERROR(VLOOKUP(C826,Gastos!$A$9:$J$1398,10,0),0)</f>
        <v>0</v>
      </c>
      <c r="L826" s="68">
        <f>-IFERROR(VLOOKUP(C826,IDC!$A$20:$H$1596,8,0),0)</f>
        <v>-1.5</v>
      </c>
      <c r="M826" s="74">
        <f t="shared" si="18"/>
        <v>250</v>
      </c>
    </row>
    <row r="827" spans="1:13" customFormat="1">
      <c r="A827" t="s">
        <v>118</v>
      </c>
      <c r="B827" t="s">
        <v>11</v>
      </c>
      <c r="C827" s="51">
        <v>138536621798</v>
      </c>
      <c r="D827" s="1">
        <v>4871.5</v>
      </c>
      <c r="E827" s="1">
        <v>16103328.720000001</v>
      </c>
      <c r="F827" t="s">
        <v>1280</v>
      </c>
      <c r="I827" s="16">
        <f>-IFERROR(VLOOKUP(C827,SIRCUPA!$A$21:$H$186,8,0),0)</f>
        <v>0</v>
      </c>
      <c r="J827" s="68">
        <f>-IFERROR(VLOOKUP(C827,SIRTAC!$A$16:$H$1405,8,0),0)</f>
        <v>-50</v>
      </c>
      <c r="K827" s="68">
        <f>-IFERROR(VLOOKUP(C827,Gastos!$A$9:$J$1398,10,0),0)</f>
        <v>-48.5</v>
      </c>
      <c r="L827" s="68">
        <f>-IFERROR(VLOOKUP(C827,IDC!$A$20:$H$1596,8,0),0)</f>
        <v>-30</v>
      </c>
      <c r="M827" s="74">
        <f t="shared" si="18"/>
        <v>5000</v>
      </c>
    </row>
    <row r="828" spans="1:13" customFormat="1">
      <c r="A828" t="s">
        <v>118</v>
      </c>
      <c r="B828" t="s">
        <v>11</v>
      </c>
      <c r="C828" s="51">
        <v>138536804822</v>
      </c>
      <c r="D828" s="1">
        <v>4741.7299999999996</v>
      </c>
      <c r="E828" s="1">
        <v>16108070.449999999</v>
      </c>
      <c r="F828" t="s">
        <v>1280</v>
      </c>
      <c r="I828" s="16">
        <f>-IFERROR(VLOOKUP(C828,SIRCUPA!$A$21:$H$186,8,0),0)</f>
        <v>0</v>
      </c>
      <c r="J828" s="68">
        <f>-IFERROR(VLOOKUP(C828,SIRTAC!$A$16:$H$1405,8,0),0)</f>
        <v>-49</v>
      </c>
      <c r="K828" s="68">
        <f>-IFERROR(VLOOKUP(C828,Gastos!$A$9:$J$1398,10,0),0)</f>
        <v>-79.87</v>
      </c>
      <c r="L828" s="68">
        <f>-IFERROR(VLOOKUP(C828,IDC!$A$20:$H$1596,8,0),0)</f>
        <v>-29.4</v>
      </c>
      <c r="M828" s="74">
        <f t="shared" si="18"/>
        <v>4899.9999999999991</v>
      </c>
    </row>
    <row r="829" spans="1:13" customFormat="1">
      <c r="A829" t="s">
        <v>118</v>
      </c>
      <c r="B829" t="s">
        <v>11</v>
      </c>
      <c r="C829" s="51">
        <v>137897818889</v>
      </c>
      <c r="D829" s="1">
        <v>7209.82</v>
      </c>
      <c r="E829" s="1">
        <v>16115280.27</v>
      </c>
      <c r="F829" t="s">
        <v>1280</v>
      </c>
      <c r="I829" s="16">
        <f>-IFERROR(VLOOKUP(C829,SIRCUPA!$A$21:$H$186,8,0),0)</f>
        <v>0</v>
      </c>
      <c r="J829" s="68">
        <f>-IFERROR(VLOOKUP(C829,SIRTAC!$A$16:$H$1405,8,0),0)</f>
        <v>-74</v>
      </c>
      <c r="K829" s="68">
        <f>-IFERROR(VLOOKUP(C829,Gastos!$A$9:$J$1398,10,0),0)</f>
        <v>-71.78</v>
      </c>
      <c r="L829" s="68">
        <f>-IFERROR(VLOOKUP(C829,IDC!$A$20:$H$1596,8,0),0)</f>
        <v>-44.4</v>
      </c>
      <c r="M829" s="74">
        <f t="shared" si="18"/>
        <v>7399.9999999999991</v>
      </c>
    </row>
    <row r="830" spans="1:13" customFormat="1">
      <c r="A830" t="s">
        <v>118</v>
      </c>
      <c r="B830" t="s">
        <v>11</v>
      </c>
      <c r="C830" s="51">
        <v>137897873121</v>
      </c>
      <c r="D830" s="1">
        <v>4871.5</v>
      </c>
      <c r="E830" s="1">
        <v>16120151.77</v>
      </c>
      <c r="F830" t="s">
        <v>1280</v>
      </c>
      <c r="I830" s="16">
        <f>-IFERROR(VLOOKUP(C830,SIRCUPA!$A$21:$H$186,8,0),0)</f>
        <v>0</v>
      </c>
      <c r="J830" s="68">
        <f>-IFERROR(VLOOKUP(C830,SIRTAC!$A$16:$H$1405,8,0),0)</f>
        <v>-50</v>
      </c>
      <c r="K830" s="68">
        <f>-IFERROR(VLOOKUP(C830,Gastos!$A$9:$J$1398,10,0),0)</f>
        <v>-48.5</v>
      </c>
      <c r="L830" s="68">
        <f>-IFERROR(VLOOKUP(C830,IDC!$A$20:$H$1596,8,0),0)</f>
        <v>-30</v>
      </c>
      <c r="M830" s="74">
        <f t="shared" si="18"/>
        <v>5000</v>
      </c>
    </row>
    <row r="831" spans="1:13" customFormat="1">
      <c r="A831" t="s">
        <v>118</v>
      </c>
      <c r="B831" t="s">
        <v>11</v>
      </c>
      <c r="C831" s="51">
        <v>138536945536</v>
      </c>
      <c r="D831" s="1">
        <v>4676.6400000000003</v>
      </c>
      <c r="E831" s="1">
        <v>16124828.41</v>
      </c>
      <c r="F831" t="s">
        <v>1280</v>
      </c>
      <c r="I831" s="16">
        <f>-IFERROR(VLOOKUP(C831,SIRCUPA!$A$21:$H$186,8,0),0)</f>
        <v>0</v>
      </c>
      <c r="J831" s="68">
        <f>-IFERROR(VLOOKUP(C831,SIRTAC!$A$16:$H$1405,8,0),0)</f>
        <v>-48</v>
      </c>
      <c r="K831" s="68">
        <f>-IFERROR(VLOOKUP(C831,Gastos!$A$9:$J$1398,10,0),0)</f>
        <v>-46.56</v>
      </c>
      <c r="L831" s="68">
        <f>-IFERROR(VLOOKUP(C831,IDC!$A$20:$H$1596,8,0),0)</f>
        <v>-28.8</v>
      </c>
      <c r="M831" s="74">
        <f t="shared" si="18"/>
        <v>4800.0000000000009</v>
      </c>
    </row>
    <row r="832" spans="1:13" customFormat="1">
      <c r="A832" t="s">
        <v>118</v>
      </c>
      <c r="B832" t="s">
        <v>11</v>
      </c>
      <c r="C832" s="51">
        <v>138537038742</v>
      </c>
      <c r="D832" s="1">
        <v>4774.07</v>
      </c>
      <c r="E832" s="1">
        <v>16129602.48</v>
      </c>
      <c r="F832" t="s">
        <v>1280</v>
      </c>
      <c r="I832" s="16">
        <f>-IFERROR(VLOOKUP(C832,SIRCUPA!$A$21:$H$186,8,0),0)</f>
        <v>0</v>
      </c>
      <c r="J832" s="68">
        <f>-IFERROR(VLOOKUP(C832,SIRTAC!$A$16:$H$1405,8,0),0)</f>
        <v>-49</v>
      </c>
      <c r="K832" s="68">
        <f>-IFERROR(VLOOKUP(C832,Gastos!$A$9:$J$1398,10,0),0)</f>
        <v>-47.53</v>
      </c>
      <c r="L832" s="68">
        <f>-IFERROR(VLOOKUP(C832,IDC!$A$20:$H$1596,8,0),0)</f>
        <v>-29.4</v>
      </c>
      <c r="M832" s="74">
        <f t="shared" si="18"/>
        <v>4899.9999999999991</v>
      </c>
    </row>
    <row r="833" spans="1:13" customFormat="1">
      <c r="A833" t="s">
        <v>118</v>
      </c>
      <c r="B833" t="s">
        <v>11</v>
      </c>
      <c r="C833" s="51">
        <v>137897957069</v>
      </c>
      <c r="D833" s="1">
        <v>4676.6400000000003</v>
      </c>
      <c r="E833" s="1">
        <v>16134279.119999999</v>
      </c>
      <c r="F833" t="s">
        <v>1280</v>
      </c>
      <c r="I833" s="16">
        <f>-IFERROR(VLOOKUP(C833,SIRCUPA!$A$21:$H$186,8,0),0)</f>
        <v>0</v>
      </c>
      <c r="J833" s="68">
        <f>-IFERROR(VLOOKUP(C833,SIRTAC!$A$16:$H$1405,8,0),0)</f>
        <v>-48</v>
      </c>
      <c r="K833" s="68">
        <f>-IFERROR(VLOOKUP(C833,Gastos!$A$9:$J$1398,10,0),0)</f>
        <v>-46.56</v>
      </c>
      <c r="L833" s="68">
        <f>-IFERROR(VLOOKUP(C833,IDC!$A$20:$H$1596,8,0),0)</f>
        <v>-28.8</v>
      </c>
      <c r="M833" s="74">
        <f t="shared" si="18"/>
        <v>4800.0000000000009</v>
      </c>
    </row>
    <row r="834" spans="1:13" customFormat="1">
      <c r="A834" t="s">
        <v>118</v>
      </c>
      <c r="B834" t="s">
        <v>11</v>
      </c>
      <c r="C834" s="51">
        <v>137898000905</v>
      </c>
      <c r="D834" s="1">
        <v>4676.6400000000003</v>
      </c>
      <c r="E834" s="1">
        <v>16138955.76</v>
      </c>
      <c r="F834" t="s">
        <v>1280</v>
      </c>
      <c r="I834" s="16">
        <f>-IFERROR(VLOOKUP(C834,SIRCUPA!$A$21:$H$186,8,0),0)</f>
        <v>0</v>
      </c>
      <c r="J834" s="68">
        <f>-IFERROR(VLOOKUP(C834,SIRTAC!$A$16:$H$1405,8,0),0)</f>
        <v>-48</v>
      </c>
      <c r="K834" s="68">
        <f>-IFERROR(VLOOKUP(C834,Gastos!$A$9:$J$1398,10,0),0)</f>
        <v>-46.56</v>
      </c>
      <c r="L834" s="68">
        <f>-IFERROR(VLOOKUP(C834,IDC!$A$20:$H$1596,8,0),0)</f>
        <v>-28.8</v>
      </c>
      <c r="M834" s="74">
        <f t="shared" si="18"/>
        <v>4800.0000000000009</v>
      </c>
    </row>
    <row r="835" spans="1:13" customFormat="1">
      <c r="A835" t="s">
        <v>118</v>
      </c>
      <c r="B835" t="s">
        <v>11</v>
      </c>
      <c r="C835" s="51">
        <v>137898074457</v>
      </c>
      <c r="D835" s="1">
        <v>4676.6400000000003</v>
      </c>
      <c r="E835" s="1">
        <v>16143632.4</v>
      </c>
      <c r="F835" t="s">
        <v>1280</v>
      </c>
      <c r="I835" s="16">
        <f>-IFERROR(VLOOKUP(C835,SIRCUPA!$A$21:$H$186,8,0),0)</f>
        <v>0</v>
      </c>
      <c r="J835" s="68">
        <f>-IFERROR(VLOOKUP(C835,SIRTAC!$A$16:$H$1405,8,0),0)</f>
        <v>-48</v>
      </c>
      <c r="K835" s="68">
        <f>-IFERROR(VLOOKUP(C835,Gastos!$A$9:$J$1398,10,0),0)</f>
        <v>-46.56</v>
      </c>
      <c r="L835" s="68">
        <f>-IFERROR(VLOOKUP(C835,IDC!$A$20:$H$1596,8,0),0)</f>
        <v>-28.8</v>
      </c>
      <c r="M835" s="74">
        <f t="shared" si="18"/>
        <v>4800.0000000000009</v>
      </c>
    </row>
    <row r="836" spans="1:13" customFormat="1">
      <c r="A836" t="s">
        <v>118</v>
      </c>
      <c r="B836" t="s">
        <v>11</v>
      </c>
      <c r="C836" s="51">
        <v>138537226196</v>
      </c>
      <c r="D836" s="1">
        <v>4838.5</v>
      </c>
      <c r="E836" s="1">
        <v>16148470.9</v>
      </c>
      <c r="F836" t="s">
        <v>1280</v>
      </c>
      <c r="I836" s="16">
        <f>-IFERROR(VLOOKUP(C836,SIRCUPA!$A$21:$H$186,8,0),0)</f>
        <v>0</v>
      </c>
      <c r="J836" s="68">
        <f>-IFERROR(VLOOKUP(C836,SIRTAC!$A$16:$H$1405,8,0),0)</f>
        <v>-50</v>
      </c>
      <c r="K836" s="68">
        <f>-IFERROR(VLOOKUP(C836,Gastos!$A$9:$J$1398,10,0),0)</f>
        <v>-81.5</v>
      </c>
      <c r="L836" s="68">
        <f>-IFERROR(VLOOKUP(C836,IDC!$A$20:$H$1596,8,0),0)</f>
        <v>-30</v>
      </c>
      <c r="M836" s="74">
        <f t="shared" si="18"/>
        <v>5000</v>
      </c>
    </row>
    <row r="837" spans="1:13" customFormat="1">
      <c r="A837" t="s">
        <v>118</v>
      </c>
      <c r="B837" t="s">
        <v>11</v>
      </c>
      <c r="C837" s="51">
        <v>138537157486</v>
      </c>
      <c r="D837" s="1">
        <v>4676.6400000000003</v>
      </c>
      <c r="E837" s="1">
        <v>16153147.539999999</v>
      </c>
      <c r="F837" t="s">
        <v>1280</v>
      </c>
      <c r="I837" s="16">
        <f>-IFERROR(VLOOKUP(C837,SIRCUPA!$A$21:$H$186,8,0),0)</f>
        <v>0</v>
      </c>
      <c r="J837" s="68">
        <f>-IFERROR(VLOOKUP(C837,SIRTAC!$A$16:$H$1405,8,0),0)</f>
        <v>-48</v>
      </c>
      <c r="K837" s="68">
        <f>-IFERROR(VLOOKUP(C837,Gastos!$A$9:$J$1398,10,0),0)</f>
        <v>-46.56</v>
      </c>
      <c r="L837" s="68">
        <f>-IFERROR(VLOOKUP(C837,IDC!$A$20:$H$1596,8,0),0)</f>
        <v>-28.8</v>
      </c>
      <c r="M837" s="74">
        <f t="shared" si="18"/>
        <v>4800.0000000000009</v>
      </c>
    </row>
    <row r="838" spans="1:13" customFormat="1">
      <c r="A838" t="s">
        <v>118</v>
      </c>
      <c r="B838" t="s">
        <v>11</v>
      </c>
      <c r="C838" s="51">
        <v>137898095891</v>
      </c>
      <c r="D838" s="1">
        <v>7307.25</v>
      </c>
      <c r="E838" s="1">
        <v>16160454.789999999</v>
      </c>
      <c r="F838" t="s">
        <v>1280</v>
      </c>
      <c r="I838" s="16">
        <f>-IFERROR(VLOOKUP(C838,SIRCUPA!$A$21:$H$186,8,0),0)</f>
        <v>0</v>
      </c>
      <c r="J838" s="68">
        <f>-IFERROR(VLOOKUP(C838,SIRTAC!$A$16:$H$1405,8,0),0)</f>
        <v>-75</v>
      </c>
      <c r="K838" s="68">
        <f>-IFERROR(VLOOKUP(C838,Gastos!$A$9:$J$1398,10,0),0)</f>
        <v>-72.75</v>
      </c>
      <c r="L838" s="68">
        <f>-IFERROR(VLOOKUP(C838,IDC!$A$20:$H$1596,8,0),0)</f>
        <v>-45</v>
      </c>
      <c r="M838" s="74">
        <f t="shared" si="18"/>
        <v>7500</v>
      </c>
    </row>
    <row r="839" spans="1:13" customFormat="1">
      <c r="A839" t="s">
        <v>118</v>
      </c>
      <c r="B839" t="s">
        <v>11</v>
      </c>
      <c r="C839" s="51">
        <v>137898141923</v>
      </c>
      <c r="D839" s="1">
        <v>4676.6400000000003</v>
      </c>
      <c r="E839" s="1">
        <v>16165131.43</v>
      </c>
      <c r="F839" t="s">
        <v>1280</v>
      </c>
      <c r="I839" s="16">
        <f>-IFERROR(VLOOKUP(C839,SIRCUPA!$A$21:$H$186,8,0),0)</f>
        <v>0</v>
      </c>
      <c r="J839" s="68">
        <f>-IFERROR(VLOOKUP(C839,SIRTAC!$A$16:$H$1405,8,0),0)</f>
        <v>-48</v>
      </c>
      <c r="K839" s="68">
        <f>-IFERROR(VLOOKUP(C839,Gastos!$A$9:$J$1398,10,0),0)</f>
        <v>-46.56</v>
      </c>
      <c r="L839" s="68">
        <f>-IFERROR(VLOOKUP(C839,IDC!$A$20:$H$1596,8,0),0)</f>
        <v>-28.8</v>
      </c>
      <c r="M839" s="74">
        <f t="shared" si="18"/>
        <v>4800.0000000000009</v>
      </c>
    </row>
    <row r="840" spans="1:13" customFormat="1">
      <c r="A840" t="s">
        <v>118</v>
      </c>
      <c r="B840" t="s">
        <v>11</v>
      </c>
      <c r="C840" s="51">
        <v>138537259896</v>
      </c>
      <c r="D840" s="1">
        <v>2338.3200000000002</v>
      </c>
      <c r="E840" s="1">
        <v>16167469.75</v>
      </c>
      <c r="F840" t="s">
        <v>1280</v>
      </c>
      <c r="I840" s="16">
        <f>-IFERROR(VLOOKUP(C840,SIRCUPA!$A$21:$H$186,8,0),0)</f>
        <v>0</v>
      </c>
      <c r="J840" s="68">
        <f>-IFERROR(VLOOKUP(C840,SIRTAC!$A$16:$H$1405,8,0),0)</f>
        <v>-24</v>
      </c>
      <c r="K840" s="68">
        <f>-IFERROR(VLOOKUP(C840,Gastos!$A$9:$J$1398,10,0),0)</f>
        <v>-23.28</v>
      </c>
      <c r="L840" s="68">
        <f>-IFERROR(VLOOKUP(C840,IDC!$A$20:$H$1596,8,0),0)</f>
        <v>-14.4</v>
      </c>
      <c r="M840" s="74">
        <f t="shared" si="18"/>
        <v>2400.0000000000005</v>
      </c>
    </row>
    <row r="841" spans="1:13" customFormat="1">
      <c r="A841" t="s">
        <v>118</v>
      </c>
      <c r="B841" t="s">
        <v>11</v>
      </c>
      <c r="C841" s="51">
        <v>138537415846</v>
      </c>
      <c r="D841" s="1">
        <v>4774.07</v>
      </c>
      <c r="E841" s="1">
        <v>16172243.82</v>
      </c>
      <c r="F841" t="s">
        <v>1280</v>
      </c>
      <c r="I841" s="16">
        <f>-IFERROR(VLOOKUP(C841,SIRCUPA!$A$21:$H$186,8,0),0)</f>
        <v>0</v>
      </c>
      <c r="J841" s="68">
        <f>-IFERROR(VLOOKUP(C841,SIRTAC!$A$16:$H$1405,8,0),0)</f>
        <v>-49</v>
      </c>
      <c r="K841" s="68">
        <f>-IFERROR(VLOOKUP(C841,Gastos!$A$9:$J$1398,10,0),0)</f>
        <v>-47.53</v>
      </c>
      <c r="L841" s="68">
        <f>-IFERROR(VLOOKUP(C841,IDC!$A$20:$H$1596,8,0),0)</f>
        <v>-29.4</v>
      </c>
      <c r="M841" s="74">
        <f t="shared" si="18"/>
        <v>4899.9999999999991</v>
      </c>
    </row>
    <row r="842" spans="1:13" customFormat="1">
      <c r="A842" t="s">
        <v>118</v>
      </c>
      <c r="B842" t="s">
        <v>11</v>
      </c>
      <c r="C842" s="51">
        <v>137898434267</v>
      </c>
      <c r="D842" s="1">
        <v>4871.5</v>
      </c>
      <c r="E842" s="1">
        <v>16177115.32</v>
      </c>
      <c r="F842" t="s">
        <v>1280</v>
      </c>
      <c r="I842" s="16">
        <f>-IFERROR(VLOOKUP(C842,SIRCUPA!$A$21:$H$186,8,0),0)</f>
        <v>0</v>
      </c>
      <c r="J842" s="68">
        <f>-IFERROR(VLOOKUP(C842,SIRTAC!$A$16:$H$1405,8,0),0)</f>
        <v>-50</v>
      </c>
      <c r="K842" s="68">
        <f>-IFERROR(VLOOKUP(C842,Gastos!$A$9:$J$1398,10,0),0)</f>
        <v>-48.5</v>
      </c>
      <c r="L842" s="68">
        <f>-IFERROR(VLOOKUP(C842,IDC!$A$20:$H$1596,8,0),0)</f>
        <v>-30</v>
      </c>
      <c r="M842" s="74">
        <f t="shared" si="18"/>
        <v>5000</v>
      </c>
    </row>
    <row r="843" spans="1:13" customFormat="1">
      <c r="A843" t="s">
        <v>118</v>
      </c>
      <c r="B843" t="s">
        <v>11</v>
      </c>
      <c r="C843" s="51">
        <v>137898470195</v>
      </c>
      <c r="D843" s="1">
        <v>9743</v>
      </c>
      <c r="E843" s="1">
        <v>16186858.32</v>
      </c>
      <c r="F843" t="s">
        <v>1280</v>
      </c>
      <c r="I843" s="16">
        <f>-IFERROR(VLOOKUP(C843,SIRCUPA!$A$21:$H$186,8,0),0)</f>
        <v>0</v>
      </c>
      <c r="J843" s="68">
        <f>-IFERROR(VLOOKUP(C843,SIRTAC!$A$16:$H$1405,8,0),0)</f>
        <v>-100</v>
      </c>
      <c r="K843" s="68">
        <f>-IFERROR(VLOOKUP(C843,Gastos!$A$9:$J$1398,10,0),0)</f>
        <v>-97</v>
      </c>
      <c r="L843" s="68">
        <f>-IFERROR(VLOOKUP(C843,IDC!$A$20:$H$1596,8,0),0)</f>
        <v>-60</v>
      </c>
      <c r="M843" s="74">
        <f t="shared" si="18"/>
        <v>10000</v>
      </c>
    </row>
    <row r="844" spans="1:13" customFormat="1">
      <c r="A844" t="s">
        <v>118</v>
      </c>
      <c r="B844" t="s">
        <v>11</v>
      </c>
      <c r="C844" s="51">
        <v>138537549358</v>
      </c>
      <c r="D844" s="1">
        <v>4871.5</v>
      </c>
      <c r="E844" s="1">
        <v>16191729.82</v>
      </c>
      <c r="F844" t="s">
        <v>1280</v>
      </c>
      <c r="I844" s="16">
        <f>-IFERROR(VLOOKUP(C844,SIRCUPA!$A$21:$H$186,8,0),0)</f>
        <v>0</v>
      </c>
      <c r="J844" s="68">
        <f>-IFERROR(VLOOKUP(C844,SIRTAC!$A$16:$H$1405,8,0),0)</f>
        <v>-50</v>
      </c>
      <c r="K844" s="68">
        <f>-IFERROR(VLOOKUP(C844,Gastos!$A$9:$J$1398,10,0),0)</f>
        <v>-48.5</v>
      </c>
      <c r="L844" s="68">
        <f>-IFERROR(VLOOKUP(C844,IDC!$A$20:$H$1596,8,0),0)</f>
        <v>-30</v>
      </c>
      <c r="M844" s="74">
        <f t="shared" si="18"/>
        <v>5000</v>
      </c>
    </row>
    <row r="845" spans="1:13" customFormat="1">
      <c r="A845" t="s">
        <v>118</v>
      </c>
      <c r="B845" t="s">
        <v>119</v>
      </c>
      <c r="C845" s="51">
        <v>138536531052</v>
      </c>
      <c r="D845" s="1">
        <v>3862.15</v>
      </c>
      <c r="E845" s="1">
        <v>16007922.039999999</v>
      </c>
      <c r="F845" t="s">
        <v>1280</v>
      </c>
      <c r="I845" s="16">
        <f>-IFERROR(VLOOKUP(C845,SIRCUPA!$A$21:$H$186,8,0),0)</f>
        <v>-59.18</v>
      </c>
      <c r="J845" s="68">
        <f>-IFERROR(VLOOKUP(C845,SIRTAC!$A$16:$H$1405,8,0),0)</f>
        <v>0</v>
      </c>
      <c r="K845" s="68">
        <f>-IFERROR(VLOOKUP(C845,Gastos!$A$9:$J$1398,10,0),0)</f>
        <v>0</v>
      </c>
      <c r="L845" s="68">
        <f>-IFERROR(VLOOKUP(C845,IDC!$A$20:$H$1596,8,0),0)</f>
        <v>-23.67</v>
      </c>
      <c r="M845" s="74">
        <f t="shared" si="18"/>
        <v>3945</v>
      </c>
    </row>
    <row r="846" spans="1:13" customFormat="1">
      <c r="A846" t="s">
        <v>118</v>
      </c>
      <c r="B846" t="s">
        <v>11</v>
      </c>
      <c r="C846" s="51">
        <v>137898593083</v>
      </c>
      <c r="D846" s="1">
        <v>7172.41</v>
      </c>
      <c r="E846" s="1">
        <v>16199146.98</v>
      </c>
      <c r="F846" t="s">
        <v>1280</v>
      </c>
      <c r="I846" s="16">
        <f>-IFERROR(VLOOKUP(C846,SIRCUPA!$A$21:$H$186,8,0),0)</f>
        <v>0</v>
      </c>
      <c r="J846" s="68">
        <f>-IFERROR(VLOOKUP(C846,SIRTAC!$A$16:$H$1405,8,0),0)</f>
        <v>-79</v>
      </c>
      <c r="K846" s="68">
        <f>-IFERROR(VLOOKUP(C846,Gastos!$A$9:$J$1398,10,0),0)</f>
        <v>-601.19000000000005</v>
      </c>
      <c r="L846" s="68">
        <f>-IFERROR(VLOOKUP(C846,IDC!$A$20:$H$1596,8,0),0)</f>
        <v>-47.4</v>
      </c>
      <c r="M846" s="74">
        <f t="shared" si="18"/>
        <v>7900</v>
      </c>
    </row>
    <row r="847" spans="1:13" customFormat="1">
      <c r="A847" t="s">
        <v>118</v>
      </c>
      <c r="B847" t="s">
        <v>11</v>
      </c>
      <c r="C847" s="51">
        <v>138537858578</v>
      </c>
      <c r="D847" s="1">
        <v>4871.5</v>
      </c>
      <c r="E847" s="1">
        <v>16204018.48</v>
      </c>
      <c r="F847" t="s">
        <v>1280</v>
      </c>
      <c r="I847" s="16">
        <f>-IFERROR(VLOOKUP(C847,SIRCUPA!$A$21:$H$186,8,0),0)</f>
        <v>0</v>
      </c>
      <c r="J847" s="68">
        <f>-IFERROR(VLOOKUP(C847,SIRTAC!$A$16:$H$1405,8,0),0)</f>
        <v>-50</v>
      </c>
      <c r="K847" s="68">
        <f>-IFERROR(VLOOKUP(C847,Gastos!$A$9:$J$1398,10,0),0)</f>
        <v>-48.5</v>
      </c>
      <c r="L847" s="68">
        <f>-IFERROR(VLOOKUP(C847,IDC!$A$20:$H$1596,8,0),0)</f>
        <v>-30</v>
      </c>
      <c r="M847" s="74">
        <f t="shared" si="18"/>
        <v>5000</v>
      </c>
    </row>
    <row r="848" spans="1:13" customFormat="1">
      <c r="A848" t="s">
        <v>118</v>
      </c>
      <c r="B848" t="s">
        <v>11</v>
      </c>
      <c r="C848" s="51">
        <v>138537959300</v>
      </c>
      <c r="D848" s="1">
        <v>14614.5</v>
      </c>
      <c r="E848" s="1">
        <v>16218632.98</v>
      </c>
      <c r="F848" t="s">
        <v>1280</v>
      </c>
      <c r="I848" s="16">
        <f>-IFERROR(VLOOKUP(C848,SIRCUPA!$A$21:$H$186,8,0),0)</f>
        <v>0</v>
      </c>
      <c r="J848" s="68">
        <f>-IFERROR(VLOOKUP(C848,SIRTAC!$A$16:$H$1405,8,0),0)</f>
        <v>-150</v>
      </c>
      <c r="K848" s="68">
        <f>-IFERROR(VLOOKUP(C848,Gastos!$A$9:$J$1398,10,0),0)</f>
        <v>-145.5</v>
      </c>
      <c r="L848" s="68">
        <f>-IFERROR(VLOOKUP(C848,IDC!$A$20:$H$1596,8,0),0)</f>
        <v>-90</v>
      </c>
      <c r="M848" s="74">
        <f t="shared" si="18"/>
        <v>15000</v>
      </c>
    </row>
    <row r="849" spans="1:13" customFormat="1">
      <c r="A849" t="s">
        <v>118</v>
      </c>
      <c r="B849" t="s">
        <v>120</v>
      </c>
      <c r="C849" s="51">
        <v>138536663026</v>
      </c>
      <c r="D849">
        <v>979</v>
      </c>
      <c r="E849" s="1">
        <v>16098457.220000001</v>
      </c>
      <c r="F849" t="s">
        <v>1280</v>
      </c>
      <c r="I849" s="16">
        <f>-IFERROR(VLOOKUP(C849,SIRCUPA!$A$21:$H$186,8,0),0)</f>
        <v>-15</v>
      </c>
      <c r="J849" s="68">
        <f>-IFERROR(VLOOKUP(C849,SIRTAC!$A$16:$H$1405,8,0),0)</f>
        <v>0</v>
      </c>
      <c r="K849" s="68">
        <f>-IFERROR(VLOOKUP(C849,Gastos!$A$9:$J$1398,10,0),0)</f>
        <v>0</v>
      </c>
      <c r="L849" s="68">
        <f>-IFERROR(VLOOKUP(C849,IDC!$A$20:$H$1596,8,0),0)</f>
        <v>-6</v>
      </c>
      <c r="M849" s="74">
        <f t="shared" si="18"/>
        <v>1000</v>
      </c>
    </row>
    <row r="850" spans="1:13" customFormat="1">
      <c r="A850" t="s">
        <v>118</v>
      </c>
      <c r="B850" t="s">
        <v>11</v>
      </c>
      <c r="C850" s="51">
        <v>138538192316</v>
      </c>
      <c r="D850" s="1">
        <v>26208.67</v>
      </c>
      <c r="E850" s="1">
        <v>16244841.65</v>
      </c>
      <c r="F850" t="s">
        <v>1280</v>
      </c>
      <c r="I850" s="16">
        <f>-IFERROR(VLOOKUP(C850,SIRCUPA!$A$21:$H$186,8,0),0)</f>
        <v>0</v>
      </c>
      <c r="J850" s="68">
        <f>-IFERROR(VLOOKUP(C850,SIRTAC!$A$16:$H$1405,8,0),0)</f>
        <v>-269</v>
      </c>
      <c r="K850" s="68">
        <f>-IFERROR(VLOOKUP(C850,Gastos!$A$9:$J$1398,10,0),0)</f>
        <v>-260.93</v>
      </c>
      <c r="L850" s="68">
        <f>-IFERROR(VLOOKUP(C850,IDC!$A$20:$H$1596,8,0),0)</f>
        <v>-161.4</v>
      </c>
      <c r="M850" s="74">
        <f t="shared" si="18"/>
        <v>26900</v>
      </c>
    </row>
    <row r="851" spans="1:13" customFormat="1">
      <c r="A851" t="s">
        <v>118</v>
      </c>
      <c r="B851" t="s">
        <v>11</v>
      </c>
      <c r="C851" s="51">
        <v>138538294534</v>
      </c>
      <c r="D851" s="1">
        <v>9743</v>
      </c>
      <c r="E851" s="1">
        <v>16254584.65</v>
      </c>
      <c r="F851" t="s">
        <v>1280</v>
      </c>
      <c r="I851" s="16">
        <f>-IFERROR(VLOOKUP(C851,SIRCUPA!$A$21:$H$186,8,0),0)</f>
        <v>0</v>
      </c>
      <c r="J851" s="68">
        <f>-IFERROR(VLOOKUP(C851,SIRTAC!$A$16:$H$1405,8,0),0)</f>
        <v>-100</v>
      </c>
      <c r="K851" s="68">
        <f>-IFERROR(VLOOKUP(C851,Gastos!$A$9:$J$1398,10,0),0)</f>
        <v>-97</v>
      </c>
      <c r="L851" s="68">
        <f>-IFERROR(VLOOKUP(C851,IDC!$A$20:$H$1596,8,0),0)</f>
        <v>-60</v>
      </c>
      <c r="M851" s="74">
        <f t="shared" si="18"/>
        <v>10000</v>
      </c>
    </row>
    <row r="852" spans="1:13" customFormat="1">
      <c r="A852" t="s">
        <v>118</v>
      </c>
      <c r="B852" t="s">
        <v>11</v>
      </c>
      <c r="C852" s="51">
        <v>137899248237</v>
      </c>
      <c r="D852" s="1">
        <v>4871.5</v>
      </c>
      <c r="E852" s="1">
        <v>16259456.15</v>
      </c>
      <c r="F852" t="s">
        <v>1280</v>
      </c>
      <c r="I852" s="16">
        <f>-IFERROR(VLOOKUP(C852,SIRCUPA!$A$21:$H$186,8,0),0)</f>
        <v>0</v>
      </c>
      <c r="J852" s="68">
        <f>-IFERROR(VLOOKUP(C852,SIRTAC!$A$16:$H$1405,8,0),0)</f>
        <v>-50</v>
      </c>
      <c r="K852" s="68">
        <f>-IFERROR(VLOOKUP(C852,Gastos!$A$9:$J$1398,10,0),0)</f>
        <v>-48.5</v>
      </c>
      <c r="L852" s="68">
        <f>-IFERROR(VLOOKUP(C852,IDC!$A$20:$H$1596,8,0),0)</f>
        <v>-30</v>
      </c>
      <c r="M852" s="74">
        <f t="shared" si="18"/>
        <v>5000</v>
      </c>
    </row>
    <row r="853" spans="1:13" customFormat="1">
      <c r="A853" t="s">
        <v>118</v>
      </c>
      <c r="B853" t="s">
        <v>11</v>
      </c>
      <c r="C853" s="51">
        <v>138538371730</v>
      </c>
      <c r="D853" s="1">
        <v>9743</v>
      </c>
      <c r="E853" s="1">
        <v>16269199.15</v>
      </c>
      <c r="F853" t="s">
        <v>1280</v>
      </c>
      <c r="I853" s="16">
        <f>-IFERROR(VLOOKUP(C853,SIRCUPA!$A$21:$H$186,8,0),0)</f>
        <v>0</v>
      </c>
      <c r="J853" s="68">
        <f>-IFERROR(VLOOKUP(C853,SIRTAC!$A$16:$H$1405,8,0),0)</f>
        <v>-100</v>
      </c>
      <c r="K853" s="68">
        <f>-IFERROR(VLOOKUP(C853,Gastos!$A$9:$J$1398,10,0),0)</f>
        <v>-97</v>
      </c>
      <c r="L853" s="68">
        <f>-IFERROR(VLOOKUP(C853,IDC!$A$20:$H$1596,8,0),0)</f>
        <v>-60</v>
      </c>
      <c r="M853" s="74">
        <f t="shared" si="18"/>
        <v>10000</v>
      </c>
    </row>
    <row r="854" spans="1:13" customFormat="1">
      <c r="A854" t="s">
        <v>118</v>
      </c>
      <c r="B854" t="s">
        <v>11</v>
      </c>
      <c r="C854" s="51">
        <v>138538409638</v>
      </c>
      <c r="D854" s="1">
        <v>71513.789999999994</v>
      </c>
      <c r="E854" s="1">
        <v>16340712.939999999</v>
      </c>
      <c r="F854" t="s">
        <v>1280</v>
      </c>
      <c r="I854" s="16">
        <f>-IFERROR(VLOOKUP(C854,SIRCUPA!$A$21:$H$186,8,0),0)</f>
        <v>0</v>
      </c>
      <c r="J854" s="68">
        <f>-IFERROR(VLOOKUP(C854,SIRTAC!$A$16:$H$1405,8,0),0)</f>
        <v>-757</v>
      </c>
      <c r="K854" s="68">
        <f>-IFERROR(VLOOKUP(C854,Gastos!$A$9:$J$1398,10,0),0)</f>
        <v>-2975.01</v>
      </c>
      <c r="L854" s="68">
        <f>-IFERROR(VLOOKUP(C854,IDC!$A$20:$H$1596,8,0),0)</f>
        <v>-454.2</v>
      </c>
      <c r="M854" s="74">
        <f t="shared" si="18"/>
        <v>75699.999999999985</v>
      </c>
    </row>
    <row r="855" spans="1:13" customFormat="1">
      <c r="A855" t="s">
        <v>118</v>
      </c>
      <c r="B855" t="s">
        <v>11</v>
      </c>
      <c r="C855" s="51">
        <v>138538526420</v>
      </c>
      <c r="D855" s="1">
        <v>4871.5</v>
      </c>
      <c r="E855" s="1">
        <v>16345584.439999999</v>
      </c>
      <c r="F855" t="s">
        <v>1280</v>
      </c>
      <c r="I855" s="16">
        <f>-IFERROR(VLOOKUP(C855,SIRCUPA!$A$21:$H$186,8,0),0)</f>
        <v>0</v>
      </c>
      <c r="J855" s="68">
        <f>-IFERROR(VLOOKUP(C855,SIRTAC!$A$16:$H$1405,8,0),0)</f>
        <v>-50</v>
      </c>
      <c r="K855" s="68">
        <f>-IFERROR(VLOOKUP(C855,Gastos!$A$9:$J$1398,10,0),0)</f>
        <v>-48.5</v>
      </c>
      <c r="L855" s="68">
        <f>-IFERROR(VLOOKUP(C855,IDC!$A$20:$H$1596,8,0),0)</f>
        <v>-30</v>
      </c>
      <c r="M855" s="74">
        <f t="shared" si="18"/>
        <v>5000</v>
      </c>
    </row>
    <row r="856" spans="1:13" customFormat="1">
      <c r="A856" t="s">
        <v>118</v>
      </c>
      <c r="B856" t="s">
        <v>11</v>
      </c>
      <c r="C856" s="51">
        <v>137899463333</v>
      </c>
      <c r="D856" s="1">
        <v>5358.65</v>
      </c>
      <c r="E856" s="1">
        <v>16350943.09</v>
      </c>
      <c r="F856" t="s">
        <v>1280</v>
      </c>
      <c r="I856" s="16">
        <f>-IFERROR(VLOOKUP(C856,SIRCUPA!$A$21:$H$186,8,0),0)</f>
        <v>0</v>
      </c>
      <c r="J856" s="68">
        <f>-IFERROR(VLOOKUP(C856,SIRTAC!$A$16:$H$1405,8,0),0)</f>
        <v>-55</v>
      </c>
      <c r="K856" s="68">
        <f>-IFERROR(VLOOKUP(C856,Gastos!$A$9:$J$1398,10,0),0)</f>
        <v>-53.35</v>
      </c>
      <c r="L856" s="68">
        <f>-IFERROR(VLOOKUP(C856,IDC!$A$20:$H$1596,8,0),0)</f>
        <v>-33</v>
      </c>
      <c r="M856" s="74">
        <f t="shared" si="18"/>
        <v>5500</v>
      </c>
    </row>
    <row r="857" spans="1:13" customFormat="1">
      <c r="A857" t="s">
        <v>118</v>
      </c>
      <c r="B857" t="s">
        <v>11</v>
      </c>
      <c r="C857" s="51">
        <v>138538764448</v>
      </c>
      <c r="D857" s="1">
        <v>21142.31</v>
      </c>
      <c r="E857" s="1">
        <v>16372085.4</v>
      </c>
      <c r="F857" t="s">
        <v>1280</v>
      </c>
      <c r="I857" s="16">
        <f>-IFERROR(VLOOKUP(C857,SIRCUPA!$A$21:$H$186,8,0),0)</f>
        <v>0</v>
      </c>
      <c r="J857" s="68">
        <f>-IFERROR(VLOOKUP(C857,SIRTAC!$A$16:$H$1405,8,0),0)</f>
        <v>-217</v>
      </c>
      <c r="K857" s="68">
        <f>-IFERROR(VLOOKUP(C857,Gastos!$A$9:$J$1398,10,0),0)</f>
        <v>-210.49</v>
      </c>
      <c r="L857" s="68">
        <f>-IFERROR(VLOOKUP(C857,IDC!$A$20:$H$1596,8,0),0)</f>
        <v>-130.19999999999999</v>
      </c>
      <c r="M857" s="74">
        <f t="shared" si="18"/>
        <v>21700.000000000004</v>
      </c>
    </row>
    <row r="858" spans="1:13" customFormat="1">
      <c r="A858" t="s">
        <v>118</v>
      </c>
      <c r="B858" t="s">
        <v>11</v>
      </c>
      <c r="C858" s="51">
        <v>138538774982</v>
      </c>
      <c r="D858" s="1">
        <v>9743</v>
      </c>
      <c r="E858" s="1">
        <v>16381828.4</v>
      </c>
      <c r="F858" t="s">
        <v>1280</v>
      </c>
      <c r="I858" s="16">
        <f>-IFERROR(VLOOKUP(C858,SIRCUPA!$A$21:$H$186,8,0),0)</f>
        <v>0</v>
      </c>
      <c r="J858" s="68">
        <f>-IFERROR(VLOOKUP(C858,SIRTAC!$A$16:$H$1405,8,0),0)</f>
        <v>-100</v>
      </c>
      <c r="K858" s="68">
        <f>-IFERROR(VLOOKUP(C858,Gastos!$A$9:$J$1398,10,0),0)</f>
        <v>-97</v>
      </c>
      <c r="L858" s="68">
        <f>-IFERROR(VLOOKUP(C858,IDC!$A$20:$H$1596,8,0),0)</f>
        <v>-60</v>
      </c>
      <c r="M858" s="74">
        <f t="shared" si="18"/>
        <v>10000</v>
      </c>
    </row>
    <row r="859" spans="1:13" customFormat="1">
      <c r="A859" t="s">
        <v>118</v>
      </c>
      <c r="B859" t="s">
        <v>11</v>
      </c>
      <c r="C859" s="51">
        <v>137899567743</v>
      </c>
      <c r="D859" s="1">
        <v>46961.26</v>
      </c>
      <c r="E859" s="1">
        <v>16428789.66</v>
      </c>
      <c r="F859" t="s">
        <v>1280</v>
      </c>
      <c r="I859" s="16">
        <f>-IFERROR(VLOOKUP(C859,SIRCUPA!$A$21:$H$186,8,0),0)</f>
        <v>0</v>
      </c>
      <c r="J859" s="68">
        <f>-IFERROR(VLOOKUP(C859,SIRTAC!$A$16:$H$1405,8,0),0)</f>
        <v>-482</v>
      </c>
      <c r="K859" s="68">
        <f>-IFERROR(VLOOKUP(C859,Gastos!$A$9:$J$1398,10,0),0)</f>
        <v>-467.54</v>
      </c>
      <c r="L859" s="68">
        <f>-IFERROR(VLOOKUP(C859,IDC!$A$20:$H$1596,8,0),0)</f>
        <v>-289.2</v>
      </c>
      <c r="M859" s="74">
        <f t="shared" si="18"/>
        <v>48200</v>
      </c>
    </row>
    <row r="860" spans="1:13" customFormat="1">
      <c r="A860" t="s">
        <v>118</v>
      </c>
      <c r="B860" t="s">
        <v>11</v>
      </c>
      <c r="C860" s="51">
        <v>138538968416</v>
      </c>
      <c r="D860" s="1">
        <v>5358.65</v>
      </c>
      <c r="E860" s="1">
        <v>16434148.310000001</v>
      </c>
      <c r="F860" t="s">
        <v>1280</v>
      </c>
      <c r="I860" s="16">
        <f>-IFERROR(VLOOKUP(C860,SIRCUPA!$A$21:$H$186,8,0),0)</f>
        <v>0</v>
      </c>
      <c r="J860" s="68">
        <f>-IFERROR(VLOOKUP(C860,SIRTAC!$A$16:$H$1405,8,0),0)</f>
        <v>-55</v>
      </c>
      <c r="K860" s="68">
        <f>-IFERROR(VLOOKUP(C860,Gastos!$A$9:$J$1398,10,0),0)</f>
        <v>-53.35</v>
      </c>
      <c r="L860" s="68">
        <f>-IFERROR(VLOOKUP(C860,IDC!$A$20:$H$1596,8,0),0)</f>
        <v>-33</v>
      </c>
      <c r="M860" s="74">
        <f t="shared" si="18"/>
        <v>5500</v>
      </c>
    </row>
    <row r="861" spans="1:13" customFormat="1">
      <c r="A861" t="s">
        <v>118</v>
      </c>
      <c r="B861" t="s">
        <v>11</v>
      </c>
      <c r="C861" s="51">
        <v>138538877614</v>
      </c>
      <c r="D861" s="1">
        <v>9450.7099999999991</v>
      </c>
      <c r="E861" s="1">
        <v>16443599.02</v>
      </c>
      <c r="F861" t="s">
        <v>1280</v>
      </c>
      <c r="I861" s="16">
        <f>-IFERROR(VLOOKUP(C861,SIRCUPA!$A$21:$H$186,8,0),0)</f>
        <v>0</v>
      </c>
      <c r="J861" s="68">
        <f>-IFERROR(VLOOKUP(C861,SIRTAC!$A$16:$H$1405,8,0),0)</f>
        <v>-97</v>
      </c>
      <c r="K861" s="68">
        <f>-IFERROR(VLOOKUP(C861,Gastos!$A$9:$J$1398,10,0),0)</f>
        <v>-94.09</v>
      </c>
      <c r="L861" s="68">
        <f>-IFERROR(VLOOKUP(C861,IDC!$A$20:$H$1596,8,0),0)</f>
        <v>-58.2</v>
      </c>
      <c r="M861" s="74">
        <f t="shared" si="18"/>
        <v>9700</v>
      </c>
    </row>
    <row r="862" spans="1:13" customFormat="1">
      <c r="A862" t="s">
        <v>118</v>
      </c>
      <c r="B862" t="s">
        <v>11</v>
      </c>
      <c r="C862" s="51">
        <v>137900124225</v>
      </c>
      <c r="D862" s="1">
        <v>4676.6400000000003</v>
      </c>
      <c r="E862" s="1">
        <v>16448275.66</v>
      </c>
      <c r="F862" t="s">
        <v>1280</v>
      </c>
      <c r="I862" s="16">
        <f>-IFERROR(VLOOKUP(C862,SIRCUPA!$A$21:$H$186,8,0),0)</f>
        <v>0</v>
      </c>
      <c r="J862" s="68">
        <f>-IFERROR(VLOOKUP(C862,SIRTAC!$A$16:$H$1405,8,0),0)</f>
        <v>-48</v>
      </c>
      <c r="K862" s="68">
        <f>-IFERROR(VLOOKUP(C862,Gastos!$A$9:$J$1398,10,0),0)</f>
        <v>-46.56</v>
      </c>
      <c r="L862" s="68">
        <f>-IFERROR(VLOOKUP(C862,IDC!$A$20:$H$1596,8,0),0)</f>
        <v>-28.8</v>
      </c>
      <c r="M862" s="74">
        <f t="shared" si="18"/>
        <v>4800.0000000000009</v>
      </c>
    </row>
    <row r="863" spans="1:13" customFormat="1">
      <c r="A863" t="s">
        <v>118</v>
      </c>
      <c r="B863" t="s">
        <v>11</v>
      </c>
      <c r="C863" s="51">
        <v>137899983959</v>
      </c>
      <c r="D863" s="1">
        <v>65960.11</v>
      </c>
      <c r="E863" s="1">
        <v>16514235.77</v>
      </c>
      <c r="F863" t="s">
        <v>1280</v>
      </c>
      <c r="I863" s="16">
        <f>-IFERROR(VLOOKUP(C863,SIRCUPA!$A$21:$H$186,8,0),0)</f>
        <v>0</v>
      </c>
      <c r="J863" s="68">
        <f>-IFERROR(VLOOKUP(C863,SIRTAC!$A$16:$H$1405,8,0),0)</f>
        <v>-677</v>
      </c>
      <c r="K863" s="68">
        <f>-IFERROR(VLOOKUP(C863,Gastos!$A$9:$J$1398,10,0),0)</f>
        <v>-656.69</v>
      </c>
      <c r="L863" s="68">
        <f>-IFERROR(VLOOKUP(C863,IDC!$A$20:$H$1596,8,0),0)</f>
        <v>-406.2</v>
      </c>
      <c r="M863" s="74">
        <f t="shared" si="18"/>
        <v>67700</v>
      </c>
    </row>
    <row r="864" spans="1:13" customFormat="1">
      <c r="A864" t="s">
        <v>118</v>
      </c>
      <c r="B864" t="s">
        <v>11</v>
      </c>
      <c r="C864" s="51">
        <v>137900051953</v>
      </c>
      <c r="D864" s="1">
        <v>4871.5</v>
      </c>
      <c r="E864" s="1">
        <v>16519107.27</v>
      </c>
      <c r="F864" t="s">
        <v>1280</v>
      </c>
      <c r="I864" s="16">
        <f>-IFERROR(VLOOKUP(C864,SIRCUPA!$A$21:$H$186,8,0),0)</f>
        <v>0</v>
      </c>
      <c r="J864" s="68">
        <f>-IFERROR(VLOOKUP(C864,SIRTAC!$A$16:$H$1405,8,0),0)</f>
        <v>-50</v>
      </c>
      <c r="K864" s="68">
        <f>-IFERROR(VLOOKUP(C864,Gastos!$A$9:$J$1398,10,0),0)</f>
        <v>-48.5</v>
      </c>
      <c r="L864" s="68">
        <f>-IFERROR(VLOOKUP(C864,IDC!$A$20:$H$1596,8,0),0)</f>
        <v>-30</v>
      </c>
      <c r="M864" s="74">
        <f t="shared" si="18"/>
        <v>5000</v>
      </c>
    </row>
    <row r="865" spans="1:13" customFormat="1">
      <c r="A865" t="s">
        <v>118</v>
      </c>
      <c r="B865" t="s">
        <v>11</v>
      </c>
      <c r="C865" s="51">
        <v>138539450730</v>
      </c>
      <c r="D865" s="1">
        <v>10717.3</v>
      </c>
      <c r="E865" s="1">
        <v>16529824.57</v>
      </c>
      <c r="F865" t="s">
        <v>1280</v>
      </c>
      <c r="I865" s="16">
        <f>-IFERROR(VLOOKUP(C865,SIRCUPA!$A$21:$H$186,8,0),0)</f>
        <v>0</v>
      </c>
      <c r="J865" s="68">
        <f>-IFERROR(VLOOKUP(C865,SIRTAC!$A$16:$H$1405,8,0),0)</f>
        <v>-110</v>
      </c>
      <c r="K865" s="68">
        <f>-IFERROR(VLOOKUP(C865,Gastos!$A$9:$J$1398,10,0),0)</f>
        <v>-106.7</v>
      </c>
      <c r="L865" s="68">
        <f>-IFERROR(VLOOKUP(C865,IDC!$A$20:$H$1596,8,0),0)</f>
        <v>-66</v>
      </c>
      <c r="M865" s="74">
        <f t="shared" si="18"/>
        <v>11000</v>
      </c>
    </row>
    <row r="866" spans="1:13" customFormat="1">
      <c r="A866" t="s">
        <v>118</v>
      </c>
      <c r="B866" t="s">
        <v>11</v>
      </c>
      <c r="C866" s="51">
        <v>137900357205</v>
      </c>
      <c r="D866" s="1">
        <v>9353.2800000000007</v>
      </c>
      <c r="E866" s="1">
        <v>16539177.85</v>
      </c>
      <c r="F866" t="s">
        <v>1280</v>
      </c>
      <c r="I866" s="16">
        <f>-IFERROR(VLOOKUP(C866,SIRCUPA!$A$21:$H$186,8,0),0)</f>
        <v>0</v>
      </c>
      <c r="J866" s="68">
        <f>-IFERROR(VLOOKUP(C866,SIRTAC!$A$16:$H$1405,8,0),0)</f>
        <v>-96</v>
      </c>
      <c r="K866" s="68">
        <f>-IFERROR(VLOOKUP(C866,Gastos!$A$9:$J$1398,10,0),0)</f>
        <v>-93.12</v>
      </c>
      <c r="L866" s="68">
        <f>-IFERROR(VLOOKUP(C866,IDC!$A$20:$H$1596,8,0),0)</f>
        <v>-57.6</v>
      </c>
      <c r="M866" s="74">
        <f t="shared" si="18"/>
        <v>9600.0000000000018</v>
      </c>
    </row>
    <row r="867" spans="1:13" customFormat="1">
      <c r="A867" t="s">
        <v>118</v>
      </c>
      <c r="B867" t="s">
        <v>11</v>
      </c>
      <c r="C867" s="51">
        <v>137900480563</v>
      </c>
      <c r="D867" s="1">
        <v>2338.3200000000002</v>
      </c>
      <c r="E867" s="1">
        <v>16541516.17</v>
      </c>
      <c r="F867" t="s">
        <v>1280</v>
      </c>
      <c r="I867" s="16">
        <f>-IFERROR(VLOOKUP(C867,SIRCUPA!$A$21:$H$186,8,0),0)</f>
        <v>0</v>
      </c>
      <c r="J867" s="68">
        <f>-IFERROR(VLOOKUP(C867,SIRTAC!$A$16:$H$1405,8,0),0)</f>
        <v>-24</v>
      </c>
      <c r="K867" s="68">
        <f>-IFERROR(VLOOKUP(C867,Gastos!$A$9:$J$1398,10,0),0)</f>
        <v>-23.28</v>
      </c>
      <c r="L867" s="68">
        <f>-IFERROR(VLOOKUP(C867,IDC!$A$20:$H$1596,8,0),0)</f>
        <v>-14.4</v>
      </c>
      <c r="M867" s="74">
        <f t="shared" si="18"/>
        <v>2400.0000000000005</v>
      </c>
    </row>
    <row r="868" spans="1:13" customFormat="1">
      <c r="A868" t="s">
        <v>118</v>
      </c>
      <c r="B868" t="s">
        <v>117</v>
      </c>
      <c r="C868" s="51">
        <v>137898435063</v>
      </c>
      <c r="D868">
        <v>244.75</v>
      </c>
      <c r="E868" s="1">
        <v>16191974.57</v>
      </c>
      <c r="F868" t="s">
        <v>1280</v>
      </c>
      <c r="I868" s="16">
        <f>-IFERROR(VLOOKUP(C868,SIRCUPA!$A$21:$H$186,8,0),0)</f>
        <v>-3.75</v>
      </c>
      <c r="J868" s="68">
        <f>-IFERROR(VLOOKUP(C868,SIRTAC!$A$16:$H$1405,8,0),0)</f>
        <v>0</v>
      </c>
      <c r="K868" s="68">
        <f>-IFERROR(VLOOKUP(C868,Gastos!$A$9:$J$1398,10,0),0)</f>
        <v>0</v>
      </c>
      <c r="L868" s="68">
        <f>-IFERROR(VLOOKUP(C868,IDC!$A$20:$H$1596,8,0),0)</f>
        <v>-1.5</v>
      </c>
      <c r="M868" s="74">
        <f t="shared" si="18"/>
        <v>250</v>
      </c>
    </row>
    <row r="869" spans="1:13" customFormat="1">
      <c r="A869" t="s">
        <v>118</v>
      </c>
      <c r="B869" t="s">
        <v>11</v>
      </c>
      <c r="C869" s="51">
        <v>138539540062</v>
      </c>
      <c r="D869" s="1">
        <v>4774.07</v>
      </c>
      <c r="E869" s="1">
        <v>16546290.24</v>
      </c>
      <c r="F869" t="s">
        <v>1280</v>
      </c>
      <c r="I869" s="16">
        <f>-IFERROR(VLOOKUP(C869,SIRCUPA!$A$21:$H$186,8,0),0)</f>
        <v>0</v>
      </c>
      <c r="J869" s="68">
        <f>-IFERROR(VLOOKUP(C869,SIRTAC!$A$16:$H$1405,8,0),0)</f>
        <v>-49</v>
      </c>
      <c r="K869" s="68">
        <f>-IFERROR(VLOOKUP(C869,Gastos!$A$9:$J$1398,10,0),0)</f>
        <v>-47.53</v>
      </c>
      <c r="L869" s="68">
        <f>-IFERROR(VLOOKUP(C869,IDC!$A$20:$H$1596,8,0),0)</f>
        <v>-29.4</v>
      </c>
      <c r="M869" s="74">
        <f t="shared" si="18"/>
        <v>4899.9999999999991</v>
      </c>
    </row>
    <row r="870" spans="1:13" customFormat="1">
      <c r="A870" t="s">
        <v>118</v>
      </c>
      <c r="B870" t="s">
        <v>11</v>
      </c>
      <c r="C870" s="51">
        <v>138539639336</v>
      </c>
      <c r="D870" s="1">
        <v>86907.56</v>
      </c>
      <c r="E870" s="1">
        <v>16633197.800000001</v>
      </c>
      <c r="F870" t="s">
        <v>1280</v>
      </c>
      <c r="I870" s="16">
        <f>-IFERROR(VLOOKUP(C870,SIRCUPA!$A$21:$H$186,8,0),0)</f>
        <v>0</v>
      </c>
      <c r="J870" s="68">
        <f>-IFERROR(VLOOKUP(C870,SIRTAC!$A$16:$H$1405,8,0),0)</f>
        <v>-892</v>
      </c>
      <c r="K870" s="68">
        <f>-IFERROR(VLOOKUP(C870,Gastos!$A$9:$J$1398,10,0),0)</f>
        <v>-865.24</v>
      </c>
      <c r="L870" s="68">
        <f>-IFERROR(VLOOKUP(C870,IDC!$A$20:$H$1596,8,0),0)</f>
        <v>-535.20000000000005</v>
      </c>
      <c r="M870" s="74">
        <f t="shared" si="18"/>
        <v>89200</v>
      </c>
    </row>
    <row r="871" spans="1:13" customFormat="1">
      <c r="A871" t="s">
        <v>118</v>
      </c>
      <c r="B871" t="s">
        <v>11</v>
      </c>
      <c r="C871" s="51">
        <v>137900568985</v>
      </c>
      <c r="D871" s="1">
        <v>14517.07</v>
      </c>
      <c r="E871" s="1">
        <v>16647714.869999999</v>
      </c>
      <c r="F871" t="s">
        <v>1280</v>
      </c>
      <c r="I871" s="16">
        <f>-IFERROR(VLOOKUP(C871,SIRCUPA!$A$21:$H$186,8,0),0)</f>
        <v>0</v>
      </c>
      <c r="J871" s="68">
        <f>-IFERROR(VLOOKUP(C871,SIRTAC!$A$16:$H$1405,8,0),0)</f>
        <v>-149</v>
      </c>
      <c r="K871" s="68">
        <f>-IFERROR(VLOOKUP(C871,Gastos!$A$9:$J$1398,10,0),0)</f>
        <v>-144.53</v>
      </c>
      <c r="L871" s="68">
        <f>-IFERROR(VLOOKUP(C871,IDC!$A$20:$H$1596,8,0),0)</f>
        <v>-89.4</v>
      </c>
      <c r="M871" s="74">
        <f t="shared" si="18"/>
        <v>14900</v>
      </c>
    </row>
    <row r="872" spans="1:13" customFormat="1">
      <c r="A872" t="s">
        <v>118</v>
      </c>
      <c r="B872" t="s">
        <v>11</v>
      </c>
      <c r="C872" s="51">
        <v>138539685694</v>
      </c>
      <c r="D872" s="1">
        <v>4774.07</v>
      </c>
      <c r="E872" s="1">
        <v>16652488.939999999</v>
      </c>
      <c r="F872" t="s">
        <v>1280</v>
      </c>
      <c r="I872" s="16">
        <f>-IFERROR(VLOOKUP(C872,SIRCUPA!$A$21:$H$186,8,0),0)</f>
        <v>0</v>
      </c>
      <c r="J872" s="68">
        <f>-IFERROR(VLOOKUP(C872,SIRTAC!$A$16:$H$1405,8,0),0)</f>
        <v>-49</v>
      </c>
      <c r="K872" s="68">
        <f>-IFERROR(VLOOKUP(C872,Gastos!$A$9:$J$1398,10,0),0)</f>
        <v>-47.53</v>
      </c>
      <c r="L872" s="68">
        <f>-IFERROR(VLOOKUP(C872,IDC!$A$20:$H$1596,8,0),0)</f>
        <v>-29.4</v>
      </c>
      <c r="M872" s="74">
        <f t="shared" ref="M872:M935" si="19">+D872-I872-J872-K872-L872</f>
        <v>4899.9999999999991</v>
      </c>
    </row>
    <row r="873" spans="1:13" customFormat="1">
      <c r="A873" t="s">
        <v>118</v>
      </c>
      <c r="B873" t="s">
        <v>11</v>
      </c>
      <c r="C873" s="51">
        <v>137900583251</v>
      </c>
      <c r="D873" s="1">
        <v>4871.5</v>
      </c>
      <c r="E873" s="1">
        <v>16657360.439999999</v>
      </c>
      <c r="F873" t="s">
        <v>1280</v>
      </c>
      <c r="I873" s="16">
        <f>-IFERROR(VLOOKUP(C873,SIRCUPA!$A$21:$H$186,8,0),0)</f>
        <v>0</v>
      </c>
      <c r="J873" s="68">
        <f>-IFERROR(VLOOKUP(C873,SIRTAC!$A$16:$H$1405,8,0),0)</f>
        <v>-50</v>
      </c>
      <c r="K873" s="68">
        <f>-IFERROR(VLOOKUP(C873,Gastos!$A$9:$J$1398,10,0),0)</f>
        <v>-48.5</v>
      </c>
      <c r="L873" s="68">
        <f>-IFERROR(VLOOKUP(C873,IDC!$A$20:$H$1596,8,0),0)</f>
        <v>-30</v>
      </c>
      <c r="M873" s="74">
        <f t="shared" si="19"/>
        <v>5000</v>
      </c>
    </row>
    <row r="874" spans="1:13" customFormat="1">
      <c r="A874" t="s">
        <v>118</v>
      </c>
      <c r="B874" t="s">
        <v>11</v>
      </c>
      <c r="C874" s="51">
        <v>137900724285</v>
      </c>
      <c r="D874" s="1">
        <v>4774.07</v>
      </c>
      <c r="E874" s="1">
        <v>16662134.51</v>
      </c>
      <c r="F874" t="s">
        <v>1280</v>
      </c>
      <c r="I874" s="16">
        <f>-IFERROR(VLOOKUP(C874,SIRCUPA!$A$21:$H$186,8,0),0)</f>
        <v>0</v>
      </c>
      <c r="J874" s="68">
        <f>-IFERROR(VLOOKUP(C874,SIRTAC!$A$16:$H$1405,8,0),0)</f>
        <v>-49</v>
      </c>
      <c r="K874" s="68">
        <f>-IFERROR(VLOOKUP(C874,Gastos!$A$9:$J$1398,10,0),0)</f>
        <v>-47.53</v>
      </c>
      <c r="L874" s="68">
        <f>-IFERROR(VLOOKUP(C874,IDC!$A$20:$H$1596,8,0),0)</f>
        <v>-29.4</v>
      </c>
      <c r="M874" s="74">
        <f t="shared" si="19"/>
        <v>4899.9999999999991</v>
      </c>
    </row>
    <row r="875" spans="1:13" customFormat="1">
      <c r="A875" t="s">
        <v>118</v>
      </c>
      <c r="B875" t="s">
        <v>11</v>
      </c>
      <c r="C875" s="51">
        <v>137900842553</v>
      </c>
      <c r="D875" s="1">
        <v>11594.17</v>
      </c>
      <c r="E875" s="1">
        <v>16673728.68</v>
      </c>
      <c r="F875" t="s">
        <v>1280</v>
      </c>
      <c r="I875" s="16">
        <f>-IFERROR(VLOOKUP(C875,SIRCUPA!$A$21:$H$186,8,0),0)</f>
        <v>0</v>
      </c>
      <c r="J875" s="68">
        <f>-IFERROR(VLOOKUP(C875,SIRTAC!$A$16:$H$1405,8,0),0)</f>
        <v>-119</v>
      </c>
      <c r="K875" s="68">
        <f>-IFERROR(VLOOKUP(C875,Gastos!$A$9:$J$1398,10,0),0)</f>
        <v>-115.43</v>
      </c>
      <c r="L875" s="68">
        <f>-IFERROR(VLOOKUP(C875,IDC!$A$20:$H$1596,8,0),0)</f>
        <v>-71.400000000000006</v>
      </c>
      <c r="M875" s="74">
        <f t="shared" si="19"/>
        <v>11900</v>
      </c>
    </row>
    <row r="876" spans="1:13" customFormat="1">
      <c r="A876" t="s">
        <v>118</v>
      </c>
      <c r="B876" t="s">
        <v>11</v>
      </c>
      <c r="C876" s="51">
        <v>138539991186</v>
      </c>
      <c r="D876" s="1">
        <v>4644.96</v>
      </c>
      <c r="E876" s="1">
        <v>16678956.140000001</v>
      </c>
      <c r="F876" t="s">
        <v>1280</v>
      </c>
      <c r="I876" s="16">
        <f>-IFERROR(VLOOKUP(C876,SIRCUPA!$A$21:$H$186,8,0),0)</f>
        <v>0</v>
      </c>
      <c r="J876" s="68">
        <f>-IFERROR(VLOOKUP(C876,SIRTAC!$A$16:$H$1405,8,0),0)</f>
        <v>-48</v>
      </c>
      <c r="K876" s="68">
        <f>-IFERROR(VLOOKUP(C876,Gastos!$A$9:$J$1398,10,0),0)</f>
        <v>-78.239999999999995</v>
      </c>
      <c r="L876" s="68">
        <f>-IFERROR(VLOOKUP(C876,IDC!$A$20:$H$1596,8,0),0)</f>
        <v>-28.8</v>
      </c>
      <c r="M876" s="74">
        <f t="shared" si="19"/>
        <v>4800</v>
      </c>
    </row>
    <row r="877" spans="1:13" customFormat="1">
      <c r="A877" t="s">
        <v>118</v>
      </c>
      <c r="B877" t="s">
        <v>11</v>
      </c>
      <c r="C877" s="51">
        <v>138540017574</v>
      </c>
      <c r="D877" s="1">
        <v>15491.37</v>
      </c>
      <c r="E877" s="1">
        <v>16694447.51</v>
      </c>
      <c r="F877" t="s">
        <v>1280</v>
      </c>
      <c r="I877" s="16">
        <f>-IFERROR(VLOOKUP(C877,SIRCUPA!$A$21:$H$186,8,0),0)</f>
        <v>0</v>
      </c>
      <c r="J877" s="68">
        <f>-IFERROR(VLOOKUP(C877,SIRTAC!$A$16:$H$1405,8,0),0)</f>
        <v>-159</v>
      </c>
      <c r="K877" s="68">
        <f>-IFERROR(VLOOKUP(C877,Gastos!$A$9:$J$1398,10,0),0)</f>
        <v>-154.22999999999999</v>
      </c>
      <c r="L877" s="68">
        <f>-IFERROR(VLOOKUP(C877,IDC!$A$20:$H$1596,8,0),0)</f>
        <v>-95.4</v>
      </c>
      <c r="M877" s="74">
        <f t="shared" si="19"/>
        <v>15900</v>
      </c>
    </row>
    <row r="878" spans="1:13" customFormat="1">
      <c r="A878" t="s">
        <v>118</v>
      </c>
      <c r="B878" t="s">
        <v>11</v>
      </c>
      <c r="C878" s="51">
        <v>137901100913</v>
      </c>
      <c r="D878" s="1">
        <v>4676.6400000000003</v>
      </c>
      <c r="E878" s="1">
        <v>16699124.15</v>
      </c>
      <c r="F878" t="s">
        <v>1280</v>
      </c>
      <c r="I878" s="16">
        <f>-IFERROR(VLOOKUP(C878,SIRCUPA!$A$21:$H$186,8,0),0)</f>
        <v>0</v>
      </c>
      <c r="J878" s="68">
        <f>-IFERROR(VLOOKUP(C878,SIRTAC!$A$16:$H$1405,8,0),0)</f>
        <v>-48</v>
      </c>
      <c r="K878" s="68">
        <f>-IFERROR(VLOOKUP(C878,Gastos!$A$9:$J$1398,10,0),0)</f>
        <v>-46.56</v>
      </c>
      <c r="L878" s="68">
        <f>-IFERROR(VLOOKUP(C878,IDC!$A$20:$H$1596,8,0),0)</f>
        <v>-28.8</v>
      </c>
      <c r="M878" s="74">
        <f t="shared" si="19"/>
        <v>4800.0000000000009</v>
      </c>
    </row>
    <row r="879" spans="1:13" customFormat="1">
      <c r="A879" t="s">
        <v>118</v>
      </c>
      <c r="B879" t="s">
        <v>11</v>
      </c>
      <c r="C879" s="51">
        <v>138540272932</v>
      </c>
      <c r="D879" s="1">
        <v>9743</v>
      </c>
      <c r="E879" s="1">
        <v>16708867.15</v>
      </c>
      <c r="F879" t="s">
        <v>1280</v>
      </c>
      <c r="I879" s="16">
        <f>-IFERROR(VLOOKUP(C879,SIRCUPA!$A$21:$H$186,8,0),0)</f>
        <v>0</v>
      </c>
      <c r="J879" s="68">
        <f>-IFERROR(VLOOKUP(C879,SIRTAC!$A$16:$H$1405,8,0),0)</f>
        <v>-100</v>
      </c>
      <c r="K879" s="68">
        <f>-IFERROR(VLOOKUP(C879,Gastos!$A$9:$J$1398,10,0),0)</f>
        <v>-97</v>
      </c>
      <c r="L879" s="68">
        <f>-IFERROR(VLOOKUP(C879,IDC!$A$20:$H$1596,8,0),0)</f>
        <v>-60</v>
      </c>
      <c r="M879" s="74">
        <f t="shared" si="19"/>
        <v>10000</v>
      </c>
    </row>
    <row r="880" spans="1:13" customFormat="1">
      <c r="A880" t="s">
        <v>118</v>
      </c>
      <c r="B880" t="s">
        <v>11</v>
      </c>
      <c r="C880" s="51">
        <v>138540271020</v>
      </c>
      <c r="D880" s="1">
        <v>19193.71</v>
      </c>
      <c r="E880" s="1">
        <v>16728060.859999999</v>
      </c>
      <c r="F880" t="s">
        <v>1280</v>
      </c>
      <c r="I880" s="16">
        <f>-IFERROR(VLOOKUP(C880,SIRCUPA!$A$21:$H$186,8,0),0)</f>
        <v>0</v>
      </c>
      <c r="J880" s="68">
        <f>-IFERROR(VLOOKUP(C880,SIRTAC!$A$16:$H$1405,8,0),0)</f>
        <v>-197</v>
      </c>
      <c r="K880" s="68">
        <f>-IFERROR(VLOOKUP(C880,Gastos!$A$9:$J$1398,10,0),0)</f>
        <v>-191.09</v>
      </c>
      <c r="L880" s="68">
        <f>-IFERROR(VLOOKUP(C880,IDC!$A$20:$H$1596,8,0),0)</f>
        <v>-118.2</v>
      </c>
      <c r="M880" s="74">
        <f t="shared" si="19"/>
        <v>19700</v>
      </c>
    </row>
    <row r="881" spans="1:13" customFormat="1">
      <c r="A881" t="s">
        <v>118</v>
      </c>
      <c r="B881" t="s">
        <v>11</v>
      </c>
      <c r="C881" s="51">
        <v>138540355548</v>
      </c>
      <c r="D881" s="1">
        <v>4871.5</v>
      </c>
      <c r="E881" s="1">
        <v>16732932.359999999</v>
      </c>
      <c r="F881" t="s">
        <v>1280</v>
      </c>
      <c r="I881" s="16">
        <f>-IFERROR(VLOOKUP(C881,SIRCUPA!$A$21:$H$186,8,0),0)</f>
        <v>0</v>
      </c>
      <c r="J881" s="68">
        <f>-IFERROR(VLOOKUP(C881,SIRTAC!$A$16:$H$1405,8,0),0)</f>
        <v>-50</v>
      </c>
      <c r="K881" s="68">
        <f>-IFERROR(VLOOKUP(C881,Gastos!$A$9:$J$1398,10,0),0)</f>
        <v>-48.5</v>
      </c>
      <c r="L881" s="68">
        <f>-IFERROR(VLOOKUP(C881,IDC!$A$20:$H$1596,8,0),0)</f>
        <v>-30</v>
      </c>
      <c r="M881" s="74">
        <f t="shared" si="19"/>
        <v>5000</v>
      </c>
    </row>
    <row r="882" spans="1:13" customFormat="1">
      <c r="A882" t="s">
        <v>118</v>
      </c>
      <c r="B882" t="s">
        <v>11</v>
      </c>
      <c r="C882" s="51">
        <v>138540490748</v>
      </c>
      <c r="D882" s="1">
        <v>2346.5</v>
      </c>
      <c r="E882" s="1">
        <v>16735278.859999999</v>
      </c>
      <c r="F882" t="s">
        <v>1280</v>
      </c>
      <c r="I882" s="16">
        <f>-IFERROR(VLOOKUP(C882,SIRCUPA!$A$21:$H$186,8,0),0)</f>
        <v>0</v>
      </c>
      <c r="J882" s="68">
        <f>-IFERROR(VLOOKUP(C882,SIRTAC!$A$16:$H$1405,8,0),0)</f>
        <v>-25</v>
      </c>
      <c r="K882" s="68">
        <f>-IFERROR(VLOOKUP(C882,Gastos!$A$9:$J$1398,10,0),0)</f>
        <v>-113.5</v>
      </c>
      <c r="L882" s="68">
        <f>-IFERROR(VLOOKUP(C882,IDC!$A$20:$H$1596,8,0),0)</f>
        <v>-15</v>
      </c>
      <c r="M882" s="74">
        <f t="shared" si="19"/>
        <v>2500</v>
      </c>
    </row>
    <row r="883" spans="1:13" customFormat="1">
      <c r="A883" t="s">
        <v>118</v>
      </c>
      <c r="B883" t="s">
        <v>11</v>
      </c>
      <c r="C883" s="51">
        <v>138540518482</v>
      </c>
      <c r="D883" s="1">
        <v>9548.14</v>
      </c>
      <c r="E883" s="1">
        <v>16744827</v>
      </c>
      <c r="F883" t="s">
        <v>1280</v>
      </c>
      <c r="I883" s="16">
        <f>-IFERROR(VLOOKUP(C883,SIRCUPA!$A$21:$H$186,8,0),0)</f>
        <v>0</v>
      </c>
      <c r="J883" s="68">
        <f>-IFERROR(VLOOKUP(C883,SIRTAC!$A$16:$H$1405,8,0),0)</f>
        <v>-98</v>
      </c>
      <c r="K883" s="68">
        <f>-IFERROR(VLOOKUP(C883,Gastos!$A$9:$J$1398,10,0),0)</f>
        <v>-95.06</v>
      </c>
      <c r="L883" s="68">
        <f>-IFERROR(VLOOKUP(C883,IDC!$A$20:$H$1596,8,0),0)</f>
        <v>-58.8</v>
      </c>
      <c r="M883" s="74">
        <f t="shared" si="19"/>
        <v>9799.9999999999982</v>
      </c>
    </row>
    <row r="884" spans="1:13" customFormat="1">
      <c r="A884" t="s">
        <v>118</v>
      </c>
      <c r="B884" t="s">
        <v>11</v>
      </c>
      <c r="C884" s="51">
        <v>138540544612</v>
      </c>
      <c r="D884" s="1">
        <v>19486</v>
      </c>
      <c r="E884" s="1">
        <v>16764313</v>
      </c>
      <c r="F884" t="s">
        <v>1280</v>
      </c>
      <c r="I884" s="16">
        <f>-IFERROR(VLOOKUP(C884,SIRCUPA!$A$21:$H$186,8,0),0)</f>
        <v>0</v>
      </c>
      <c r="J884" s="68">
        <f>-IFERROR(VLOOKUP(C884,SIRTAC!$A$16:$H$1405,8,0),0)</f>
        <v>-200</v>
      </c>
      <c r="K884" s="68">
        <f>-IFERROR(VLOOKUP(C884,Gastos!$A$9:$J$1398,10,0),0)</f>
        <v>-194</v>
      </c>
      <c r="L884" s="68">
        <f>-IFERROR(VLOOKUP(C884,IDC!$A$20:$H$1596,8,0),0)</f>
        <v>-120</v>
      </c>
      <c r="M884" s="74">
        <f t="shared" si="19"/>
        <v>20000</v>
      </c>
    </row>
    <row r="885" spans="1:13" customFormat="1">
      <c r="A885" t="s">
        <v>118</v>
      </c>
      <c r="B885" t="s">
        <v>11</v>
      </c>
      <c r="C885" s="51">
        <v>138540460020</v>
      </c>
      <c r="D885" s="1">
        <v>4871.5</v>
      </c>
      <c r="E885" s="1">
        <v>16769184.5</v>
      </c>
      <c r="F885" t="s">
        <v>1280</v>
      </c>
      <c r="I885" s="16">
        <f>-IFERROR(VLOOKUP(C885,SIRCUPA!$A$21:$H$186,8,0),0)</f>
        <v>0</v>
      </c>
      <c r="J885" s="68">
        <f>-IFERROR(VLOOKUP(C885,SIRTAC!$A$16:$H$1405,8,0),0)</f>
        <v>-50</v>
      </c>
      <c r="K885" s="68">
        <f>-IFERROR(VLOOKUP(C885,Gastos!$A$9:$J$1398,10,0),0)</f>
        <v>-48.5</v>
      </c>
      <c r="L885" s="68">
        <f>-IFERROR(VLOOKUP(C885,IDC!$A$20:$H$1596,8,0),0)</f>
        <v>-30</v>
      </c>
      <c r="M885" s="74">
        <f t="shared" si="19"/>
        <v>5000</v>
      </c>
    </row>
    <row r="886" spans="1:13" customFormat="1">
      <c r="A886" t="s">
        <v>118</v>
      </c>
      <c r="B886" t="s">
        <v>11</v>
      </c>
      <c r="C886" s="51">
        <v>137901496673</v>
      </c>
      <c r="D886" s="1">
        <v>23967.78</v>
      </c>
      <c r="E886" s="1">
        <v>16793152.280000001</v>
      </c>
      <c r="F886" t="s">
        <v>1280</v>
      </c>
      <c r="I886" s="16">
        <f>-IFERROR(VLOOKUP(C886,SIRCUPA!$A$21:$H$186,8,0),0)</f>
        <v>0</v>
      </c>
      <c r="J886" s="68">
        <f>-IFERROR(VLOOKUP(C886,SIRTAC!$A$16:$H$1405,8,0),0)</f>
        <v>-246</v>
      </c>
      <c r="K886" s="68">
        <f>-IFERROR(VLOOKUP(C886,Gastos!$A$9:$J$1398,10,0),0)</f>
        <v>-238.62</v>
      </c>
      <c r="L886" s="68">
        <f>-IFERROR(VLOOKUP(C886,IDC!$A$20:$H$1596,8,0),0)</f>
        <v>-147.6</v>
      </c>
      <c r="M886" s="74">
        <f t="shared" si="19"/>
        <v>24599.999999999996</v>
      </c>
    </row>
    <row r="887" spans="1:13" customFormat="1">
      <c r="A887" t="s">
        <v>118</v>
      </c>
      <c r="B887" t="s">
        <v>11</v>
      </c>
      <c r="C887" s="51">
        <v>138540533782</v>
      </c>
      <c r="D887" s="1">
        <v>4676.6400000000003</v>
      </c>
      <c r="E887" s="1">
        <v>16797828.920000002</v>
      </c>
      <c r="F887" t="s">
        <v>1280</v>
      </c>
      <c r="I887" s="16">
        <f>-IFERROR(VLOOKUP(C887,SIRCUPA!$A$21:$H$186,8,0),0)</f>
        <v>0</v>
      </c>
      <c r="J887" s="68">
        <f>-IFERROR(VLOOKUP(C887,SIRTAC!$A$16:$H$1405,8,0),0)</f>
        <v>-48</v>
      </c>
      <c r="K887" s="68">
        <f>-IFERROR(VLOOKUP(C887,Gastos!$A$9:$J$1398,10,0),0)</f>
        <v>-46.56</v>
      </c>
      <c r="L887" s="68">
        <f>-IFERROR(VLOOKUP(C887,IDC!$A$20:$H$1596,8,0),0)</f>
        <v>-28.8</v>
      </c>
      <c r="M887" s="74">
        <f t="shared" si="19"/>
        <v>4800.0000000000009</v>
      </c>
    </row>
    <row r="888" spans="1:13" customFormat="1">
      <c r="A888" t="s">
        <v>118</v>
      </c>
      <c r="B888" t="s">
        <v>11</v>
      </c>
      <c r="C888" s="51">
        <v>138540748380</v>
      </c>
      <c r="D888" s="1">
        <v>4774.07</v>
      </c>
      <c r="E888" s="1">
        <v>16802602.989999998</v>
      </c>
      <c r="F888" t="s">
        <v>1280</v>
      </c>
      <c r="I888" s="16">
        <f>-IFERROR(VLOOKUP(C888,SIRCUPA!$A$21:$H$186,8,0),0)</f>
        <v>0</v>
      </c>
      <c r="J888" s="68">
        <f>-IFERROR(VLOOKUP(C888,SIRTAC!$A$16:$H$1405,8,0),0)</f>
        <v>-49</v>
      </c>
      <c r="K888" s="68">
        <f>-IFERROR(VLOOKUP(C888,Gastos!$A$9:$J$1398,10,0),0)</f>
        <v>-47.53</v>
      </c>
      <c r="L888" s="68">
        <f>-IFERROR(VLOOKUP(C888,IDC!$A$20:$H$1596,8,0),0)</f>
        <v>-29.4</v>
      </c>
      <c r="M888" s="74">
        <f t="shared" si="19"/>
        <v>4899.9999999999991</v>
      </c>
    </row>
    <row r="889" spans="1:13" customFormat="1">
      <c r="A889" t="s">
        <v>118</v>
      </c>
      <c r="B889" t="s">
        <v>11</v>
      </c>
      <c r="C889" s="51">
        <v>137901634467</v>
      </c>
      <c r="D889" s="1">
        <v>12568.47</v>
      </c>
      <c r="E889" s="1">
        <v>16815171.460000001</v>
      </c>
      <c r="F889" t="s">
        <v>1280</v>
      </c>
      <c r="I889" s="16">
        <f>-IFERROR(VLOOKUP(C889,SIRCUPA!$A$21:$H$186,8,0),0)</f>
        <v>0</v>
      </c>
      <c r="J889" s="68">
        <f>-IFERROR(VLOOKUP(C889,SIRTAC!$A$16:$H$1405,8,0),0)</f>
        <v>-129</v>
      </c>
      <c r="K889" s="68">
        <f>-IFERROR(VLOOKUP(C889,Gastos!$A$9:$J$1398,10,0),0)</f>
        <v>-125.13</v>
      </c>
      <c r="L889" s="68">
        <f>-IFERROR(VLOOKUP(C889,IDC!$A$20:$H$1596,8,0),0)</f>
        <v>-77.400000000000006</v>
      </c>
      <c r="M889" s="74">
        <f t="shared" si="19"/>
        <v>12899.999999999998</v>
      </c>
    </row>
    <row r="890" spans="1:13" customFormat="1">
      <c r="A890" t="s">
        <v>118</v>
      </c>
      <c r="B890" t="s">
        <v>11</v>
      </c>
      <c r="C890" s="51">
        <v>137901732771</v>
      </c>
      <c r="D890" s="1">
        <v>4871.5</v>
      </c>
      <c r="E890" s="1">
        <v>16820042.960000001</v>
      </c>
      <c r="F890" t="s">
        <v>1280</v>
      </c>
      <c r="I890" s="16">
        <f>-IFERROR(VLOOKUP(C890,SIRCUPA!$A$21:$H$186,8,0),0)</f>
        <v>0</v>
      </c>
      <c r="J890" s="68">
        <f>-IFERROR(VLOOKUP(C890,SIRTAC!$A$16:$H$1405,8,0),0)</f>
        <v>-50</v>
      </c>
      <c r="K890" s="68">
        <f>-IFERROR(VLOOKUP(C890,Gastos!$A$9:$J$1398,10,0),0)</f>
        <v>-48.5</v>
      </c>
      <c r="L890" s="68">
        <f>-IFERROR(VLOOKUP(C890,IDC!$A$20:$H$1596,8,0),0)</f>
        <v>-30</v>
      </c>
      <c r="M890" s="74">
        <f t="shared" si="19"/>
        <v>5000</v>
      </c>
    </row>
    <row r="891" spans="1:13" customFormat="1">
      <c r="A891" t="s">
        <v>118</v>
      </c>
      <c r="B891" t="s">
        <v>11</v>
      </c>
      <c r="C891" s="51">
        <v>137901777597</v>
      </c>
      <c r="D891" s="1">
        <v>15393.94</v>
      </c>
      <c r="E891" s="1">
        <v>16835681.649999999</v>
      </c>
      <c r="F891" t="s">
        <v>1280</v>
      </c>
      <c r="I891" s="16">
        <f>-IFERROR(VLOOKUP(C891,SIRCUPA!$A$21:$H$186,8,0),0)</f>
        <v>0</v>
      </c>
      <c r="J891" s="68">
        <f>-IFERROR(VLOOKUP(C891,SIRTAC!$A$16:$H$1405,8,0),0)</f>
        <v>-158</v>
      </c>
      <c r="K891" s="68">
        <f>-IFERROR(VLOOKUP(C891,Gastos!$A$9:$J$1398,10,0),0)</f>
        <v>-153.26</v>
      </c>
      <c r="L891" s="68">
        <f>-IFERROR(VLOOKUP(C891,IDC!$A$20:$H$1596,8,0),0)</f>
        <v>-94.8</v>
      </c>
      <c r="M891" s="74">
        <f t="shared" si="19"/>
        <v>15800</v>
      </c>
    </row>
    <row r="892" spans="1:13" customFormat="1">
      <c r="A892" t="s">
        <v>118</v>
      </c>
      <c r="B892" t="s">
        <v>11</v>
      </c>
      <c r="C892" s="51">
        <v>138541087572</v>
      </c>
      <c r="D892" s="1">
        <v>12665.9</v>
      </c>
      <c r="E892" s="1">
        <v>16848347.550000001</v>
      </c>
      <c r="F892" t="s">
        <v>1280</v>
      </c>
      <c r="I892" s="16">
        <f>-IFERROR(VLOOKUP(C892,SIRCUPA!$A$21:$H$186,8,0),0)</f>
        <v>0</v>
      </c>
      <c r="J892" s="68">
        <f>-IFERROR(VLOOKUP(C892,SIRTAC!$A$16:$H$1405,8,0),0)</f>
        <v>-130</v>
      </c>
      <c r="K892" s="68">
        <f>-IFERROR(VLOOKUP(C892,Gastos!$A$9:$J$1398,10,0),0)</f>
        <v>-126.1</v>
      </c>
      <c r="L892" s="68">
        <f>-IFERROR(VLOOKUP(C892,IDC!$A$20:$H$1596,8,0),0)</f>
        <v>-78</v>
      </c>
      <c r="M892" s="74">
        <f t="shared" si="19"/>
        <v>13000</v>
      </c>
    </row>
    <row r="893" spans="1:13" customFormat="1">
      <c r="A893" t="s">
        <v>118</v>
      </c>
      <c r="B893" t="s">
        <v>11</v>
      </c>
      <c r="C893" s="51">
        <v>138541267178</v>
      </c>
      <c r="D893" s="1">
        <v>4676.6400000000003</v>
      </c>
      <c r="E893" s="1">
        <v>16853024.190000001</v>
      </c>
      <c r="F893" t="s">
        <v>1280</v>
      </c>
      <c r="I893" s="16">
        <f>-IFERROR(VLOOKUP(C893,SIRCUPA!$A$21:$H$186,8,0),0)</f>
        <v>0</v>
      </c>
      <c r="J893" s="68">
        <f>-IFERROR(VLOOKUP(C893,SIRTAC!$A$16:$H$1405,8,0),0)</f>
        <v>-48</v>
      </c>
      <c r="K893" s="68">
        <f>-IFERROR(VLOOKUP(C893,Gastos!$A$9:$J$1398,10,0),0)</f>
        <v>-46.56</v>
      </c>
      <c r="L893" s="68">
        <f>-IFERROR(VLOOKUP(C893,IDC!$A$20:$H$1596,8,0),0)</f>
        <v>-28.8</v>
      </c>
      <c r="M893" s="74">
        <f t="shared" si="19"/>
        <v>4800.0000000000009</v>
      </c>
    </row>
    <row r="894" spans="1:13" customFormat="1">
      <c r="A894" t="s">
        <v>118</v>
      </c>
      <c r="B894" t="s">
        <v>11</v>
      </c>
      <c r="C894" s="51">
        <v>138541611002</v>
      </c>
      <c r="D894" s="1">
        <v>9198.2800000000007</v>
      </c>
      <c r="E894" s="1">
        <v>16862222.469999999</v>
      </c>
      <c r="F894" t="s">
        <v>1280</v>
      </c>
      <c r="I894" s="16">
        <f>-IFERROR(VLOOKUP(C894,SIRCUPA!$A$21:$H$186,8,0),0)</f>
        <v>0</v>
      </c>
      <c r="J894" s="68">
        <f>-IFERROR(VLOOKUP(C894,SIRTAC!$A$16:$H$1405,8,0),0)</f>
        <v>-98</v>
      </c>
      <c r="K894" s="68">
        <f>-IFERROR(VLOOKUP(C894,Gastos!$A$9:$J$1398,10,0),0)</f>
        <v>-444.92</v>
      </c>
      <c r="L894" s="68">
        <f>-IFERROR(VLOOKUP(C894,IDC!$A$20:$H$1596,8,0),0)</f>
        <v>-58.8</v>
      </c>
      <c r="M894" s="74">
        <f t="shared" si="19"/>
        <v>9800</v>
      </c>
    </row>
    <row r="895" spans="1:13" customFormat="1">
      <c r="A895" t="s">
        <v>118</v>
      </c>
      <c r="B895" t="s">
        <v>11</v>
      </c>
      <c r="C895" s="51">
        <v>137902485901</v>
      </c>
      <c r="D895" s="1">
        <v>9743</v>
      </c>
      <c r="E895" s="1">
        <v>16871965.469999999</v>
      </c>
      <c r="F895" t="s">
        <v>1280</v>
      </c>
      <c r="I895" s="16">
        <f>-IFERROR(VLOOKUP(C895,SIRCUPA!$A$21:$H$186,8,0),0)</f>
        <v>0</v>
      </c>
      <c r="J895" s="68">
        <f>-IFERROR(VLOOKUP(C895,SIRTAC!$A$16:$H$1405,8,0),0)</f>
        <v>-100</v>
      </c>
      <c r="K895" s="68">
        <f>-IFERROR(VLOOKUP(C895,Gastos!$A$9:$J$1398,10,0),0)</f>
        <v>-97</v>
      </c>
      <c r="L895" s="68">
        <f>-IFERROR(VLOOKUP(C895,IDC!$A$20:$H$1596,8,0),0)</f>
        <v>-60</v>
      </c>
      <c r="M895" s="74">
        <f t="shared" si="19"/>
        <v>10000</v>
      </c>
    </row>
    <row r="896" spans="1:13" customFormat="1">
      <c r="A896" t="s">
        <v>118</v>
      </c>
      <c r="B896" t="s">
        <v>11</v>
      </c>
      <c r="C896" s="51">
        <v>137902691017</v>
      </c>
      <c r="D896" s="1">
        <v>10035.290000000001</v>
      </c>
      <c r="E896" s="1">
        <v>16882000.760000002</v>
      </c>
      <c r="F896" t="s">
        <v>1280</v>
      </c>
      <c r="I896" s="16">
        <f>-IFERROR(VLOOKUP(C896,SIRCUPA!$A$21:$H$186,8,0),0)</f>
        <v>0</v>
      </c>
      <c r="J896" s="68">
        <f>-IFERROR(VLOOKUP(C896,SIRTAC!$A$16:$H$1405,8,0),0)</f>
        <v>-103</v>
      </c>
      <c r="K896" s="68">
        <f>-IFERROR(VLOOKUP(C896,Gastos!$A$9:$J$1398,10,0),0)</f>
        <v>-99.91</v>
      </c>
      <c r="L896" s="68">
        <f>-IFERROR(VLOOKUP(C896,IDC!$A$20:$H$1596,8,0),0)</f>
        <v>-61.8</v>
      </c>
      <c r="M896" s="74">
        <f t="shared" si="19"/>
        <v>10300</v>
      </c>
    </row>
    <row r="897" spans="1:13" customFormat="1">
      <c r="A897" t="s">
        <v>118</v>
      </c>
      <c r="B897" t="s">
        <v>74</v>
      </c>
      <c r="C897" s="51">
        <v>138540024370</v>
      </c>
      <c r="D897">
        <v>582.5</v>
      </c>
      <c r="E897" s="1">
        <v>16674311.18</v>
      </c>
      <c r="F897" t="s">
        <v>1280</v>
      </c>
      <c r="I897" s="16">
        <f>-IFERROR(VLOOKUP(C897,SIRCUPA!$A$21:$H$186,8,0),0)</f>
        <v>-8.93</v>
      </c>
      <c r="J897" s="68">
        <f>-IFERROR(VLOOKUP(C897,SIRTAC!$A$16:$H$1405,8,0),0)</f>
        <v>0</v>
      </c>
      <c r="K897" s="68">
        <f>-IFERROR(VLOOKUP(C897,Gastos!$A$9:$J$1398,10,0),0)</f>
        <v>0</v>
      </c>
      <c r="L897" s="68">
        <f>-IFERROR(VLOOKUP(C897,IDC!$A$20:$H$1596,8,0),0)</f>
        <v>-3.57</v>
      </c>
      <c r="M897" s="74">
        <f t="shared" si="19"/>
        <v>595</v>
      </c>
    </row>
    <row r="898" spans="1:13" customFormat="1">
      <c r="A898" t="s">
        <v>118</v>
      </c>
      <c r="B898" t="s">
        <v>11</v>
      </c>
      <c r="C898" s="51">
        <v>137902854741</v>
      </c>
      <c r="D898" s="1">
        <v>12178.75</v>
      </c>
      <c r="E898" s="1">
        <v>16894179.510000002</v>
      </c>
      <c r="F898" t="s">
        <v>1280</v>
      </c>
      <c r="I898" s="16">
        <f>-IFERROR(VLOOKUP(C898,SIRCUPA!$A$21:$H$186,8,0),0)</f>
        <v>0</v>
      </c>
      <c r="J898" s="68">
        <f>-IFERROR(VLOOKUP(C898,SIRTAC!$A$16:$H$1405,8,0),0)</f>
        <v>-125</v>
      </c>
      <c r="K898" s="68">
        <f>-IFERROR(VLOOKUP(C898,Gastos!$A$9:$J$1398,10,0),0)</f>
        <v>-121.25</v>
      </c>
      <c r="L898" s="68">
        <f>-IFERROR(VLOOKUP(C898,IDC!$A$20:$H$1596,8,0),0)</f>
        <v>-75</v>
      </c>
      <c r="M898" s="74">
        <f t="shared" si="19"/>
        <v>12500</v>
      </c>
    </row>
    <row r="899" spans="1:13" customFormat="1">
      <c r="A899" t="s">
        <v>118</v>
      </c>
      <c r="B899" t="s">
        <v>11</v>
      </c>
      <c r="C899" s="51">
        <v>138542085322</v>
      </c>
      <c r="D899" s="1">
        <v>14614.5</v>
      </c>
      <c r="E899" s="1">
        <v>16908794.010000002</v>
      </c>
      <c r="F899" t="s">
        <v>1280</v>
      </c>
      <c r="I899" s="16">
        <f>-IFERROR(VLOOKUP(C899,SIRCUPA!$A$21:$H$186,8,0),0)</f>
        <v>0</v>
      </c>
      <c r="J899" s="68">
        <f>-IFERROR(VLOOKUP(C899,SIRTAC!$A$16:$H$1405,8,0),0)</f>
        <v>-150</v>
      </c>
      <c r="K899" s="68">
        <f>-IFERROR(VLOOKUP(C899,Gastos!$A$9:$J$1398,10,0),0)</f>
        <v>-145.5</v>
      </c>
      <c r="L899" s="68">
        <f>-IFERROR(VLOOKUP(C899,IDC!$A$20:$H$1596,8,0),0)</f>
        <v>-90</v>
      </c>
      <c r="M899" s="74">
        <f t="shared" si="19"/>
        <v>15000</v>
      </c>
    </row>
    <row r="900" spans="1:13" customFormat="1">
      <c r="A900" t="s">
        <v>118</v>
      </c>
      <c r="B900" t="s">
        <v>11</v>
      </c>
      <c r="C900" s="51">
        <v>137903168103</v>
      </c>
      <c r="D900" s="1">
        <v>4505.28</v>
      </c>
      <c r="E900" s="1">
        <v>16913299.289999999</v>
      </c>
      <c r="F900" t="s">
        <v>1280</v>
      </c>
      <c r="I900" s="16">
        <f>-IFERROR(VLOOKUP(C900,SIRCUPA!$A$21:$H$186,8,0),0)</f>
        <v>0</v>
      </c>
      <c r="J900" s="68">
        <f>-IFERROR(VLOOKUP(C900,SIRTAC!$A$16:$H$1405,8,0),0)</f>
        <v>-48</v>
      </c>
      <c r="K900" s="68">
        <f>-IFERROR(VLOOKUP(C900,Gastos!$A$9:$J$1398,10,0),0)</f>
        <v>-217.92</v>
      </c>
      <c r="L900" s="68">
        <f>-IFERROR(VLOOKUP(C900,IDC!$A$20:$H$1596,8,0),0)</f>
        <v>-28.8</v>
      </c>
      <c r="M900" s="74">
        <f t="shared" si="19"/>
        <v>4800</v>
      </c>
    </row>
    <row r="901" spans="1:13" customFormat="1">
      <c r="A901" t="s">
        <v>118</v>
      </c>
      <c r="B901" t="s">
        <v>11</v>
      </c>
      <c r="C901" s="51">
        <v>138542183900</v>
      </c>
      <c r="D901" s="1">
        <v>9353.2800000000007</v>
      </c>
      <c r="E901" s="1">
        <v>16922652.57</v>
      </c>
      <c r="F901" t="s">
        <v>1280</v>
      </c>
      <c r="I901" s="16">
        <f>-IFERROR(VLOOKUP(C901,SIRCUPA!$A$21:$H$186,8,0),0)</f>
        <v>0</v>
      </c>
      <c r="J901" s="68">
        <f>-IFERROR(VLOOKUP(C901,SIRTAC!$A$16:$H$1405,8,0),0)</f>
        <v>-96</v>
      </c>
      <c r="K901" s="68">
        <f>-IFERROR(VLOOKUP(C901,Gastos!$A$9:$J$1398,10,0),0)</f>
        <v>-93.12</v>
      </c>
      <c r="L901" s="68">
        <f>-IFERROR(VLOOKUP(C901,IDC!$A$20:$H$1596,8,0),0)</f>
        <v>-57.6</v>
      </c>
      <c r="M901" s="74">
        <f t="shared" si="19"/>
        <v>9600.0000000000018</v>
      </c>
    </row>
    <row r="902" spans="1:13" customFormat="1">
      <c r="A902" t="s">
        <v>118</v>
      </c>
      <c r="B902" t="s">
        <v>11</v>
      </c>
      <c r="C902" s="51">
        <v>137903253005</v>
      </c>
      <c r="D902" s="1">
        <v>9743</v>
      </c>
      <c r="E902" s="1">
        <v>16932395.57</v>
      </c>
      <c r="F902" t="s">
        <v>1280</v>
      </c>
      <c r="I902" s="16">
        <f>-IFERROR(VLOOKUP(C902,SIRCUPA!$A$21:$H$186,8,0),0)</f>
        <v>0</v>
      </c>
      <c r="J902" s="68">
        <f>-IFERROR(VLOOKUP(C902,SIRTAC!$A$16:$H$1405,8,0),0)</f>
        <v>-100</v>
      </c>
      <c r="K902" s="68">
        <f>-IFERROR(VLOOKUP(C902,Gastos!$A$9:$J$1398,10,0),0)</f>
        <v>-97</v>
      </c>
      <c r="L902" s="68">
        <f>-IFERROR(VLOOKUP(C902,IDC!$A$20:$H$1596,8,0),0)</f>
        <v>-60</v>
      </c>
      <c r="M902" s="74">
        <f t="shared" si="19"/>
        <v>10000</v>
      </c>
    </row>
    <row r="903" spans="1:13" customFormat="1">
      <c r="A903" t="s">
        <v>118</v>
      </c>
      <c r="B903" t="s">
        <v>11</v>
      </c>
      <c r="C903" s="51">
        <v>137903325729</v>
      </c>
      <c r="D903" s="1">
        <v>50468.74</v>
      </c>
      <c r="E903" s="1">
        <v>16982864.309999999</v>
      </c>
      <c r="F903" t="s">
        <v>1280</v>
      </c>
      <c r="I903" s="16">
        <f>-IFERROR(VLOOKUP(C903,SIRCUPA!$A$21:$H$186,8,0),0)</f>
        <v>0</v>
      </c>
      <c r="J903" s="68">
        <f>-IFERROR(VLOOKUP(C903,SIRTAC!$A$16:$H$1405,8,0),0)</f>
        <v>-518</v>
      </c>
      <c r="K903" s="68">
        <f>-IFERROR(VLOOKUP(C903,Gastos!$A$9:$J$1398,10,0),0)</f>
        <v>-502.46</v>
      </c>
      <c r="L903" s="68">
        <f>-IFERROR(VLOOKUP(C903,IDC!$A$20:$H$1596,8,0),0)</f>
        <v>-310.8</v>
      </c>
      <c r="M903" s="74">
        <f t="shared" si="19"/>
        <v>51800</v>
      </c>
    </row>
    <row r="904" spans="1:13" customFormat="1">
      <c r="A904" t="s">
        <v>118</v>
      </c>
      <c r="B904" t="s">
        <v>11</v>
      </c>
      <c r="C904" s="51">
        <v>138542590960</v>
      </c>
      <c r="D904" s="1">
        <v>43832.62</v>
      </c>
      <c r="E904" s="1">
        <v>17029232.539999999</v>
      </c>
      <c r="F904" t="s">
        <v>1280</v>
      </c>
      <c r="I904" s="16">
        <f>-IFERROR(VLOOKUP(C904,SIRCUPA!$A$21:$H$186,8,0),0)</f>
        <v>0</v>
      </c>
      <c r="J904" s="68">
        <f>-IFERROR(VLOOKUP(C904,SIRTAC!$A$16:$H$1405,8,0),0)</f>
        <v>-467</v>
      </c>
      <c r="K904" s="68">
        <f>-IFERROR(VLOOKUP(C904,Gastos!$A$9:$J$1398,10,0),0)</f>
        <v>-2120.1799999999998</v>
      </c>
      <c r="L904" s="68">
        <f>-IFERROR(VLOOKUP(C904,IDC!$A$20:$H$1596,8,0),0)</f>
        <v>-280.2</v>
      </c>
      <c r="M904" s="74">
        <f t="shared" si="19"/>
        <v>46700</v>
      </c>
    </row>
    <row r="905" spans="1:13" customFormat="1">
      <c r="A905" t="s">
        <v>118</v>
      </c>
      <c r="B905" t="s">
        <v>11</v>
      </c>
      <c r="C905" s="51">
        <v>138542676996</v>
      </c>
      <c r="D905" s="1">
        <v>10717.3</v>
      </c>
      <c r="E905" s="1">
        <v>17039949.84</v>
      </c>
      <c r="F905" t="s">
        <v>1280</v>
      </c>
      <c r="I905" s="16">
        <f>-IFERROR(VLOOKUP(C905,SIRCUPA!$A$21:$H$186,8,0),0)</f>
        <v>0</v>
      </c>
      <c r="J905" s="68">
        <f>-IFERROR(VLOOKUP(C905,SIRTAC!$A$16:$H$1405,8,0),0)</f>
        <v>-110</v>
      </c>
      <c r="K905" s="68">
        <f>-IFERROR(VLOOKUP(C905,Gastos!$A$9:$J$1398,10,0),0)</f>
        <v>-106.7</v>
      </c>
      <c r="L905" s="68">
        <f>-IFERROR(VLOOKUP(C905,IDC!$A$20:$H$1596,8,0),0)</f>
        <v>-66</v>
      </c>
      <c r="M905" s="74">
        <f t="shared" si="19"/>
        <v>11000</v>
      </c>
    </row>
    <row r="906" spans="1:13" customFormat="1">
      <c r="A906" t="s">
        <v>118</v>
      </c>
      <c r="B906" t="s">
        <v>11</v>
      </c>
      <c r="C906" s="51">
        <v>137903782181</v>
      </c>
      <c r="D906" s="1">
        <v>9548.14</v>
      </c>
      <c r="E906" s="1">
        <v>17049497.98</v>
      </c>
      <c r="F906" t="s">
        <v>1280</v>
      </c>
      <c r="I906" s="16">
        <f>-IFERROR(VLOOKUP(C906,SIRCUPA!$A$21:$H$186,8,0),0)</f>
        <v>0</v>
      </c>
      <c r="J906" s="68">
        <f>-IFERROR(VLOOKUP(C906,SIRTAC!$A$16:$H$1405,8,0),0)</f>
        <v>-98</v>
      </c>
      <c r="K906" s="68">
        <f>-IFERROR(VLOOKUP(C906,Gastos!$A$9:$J$1398,10,0),0)</f>
        <v>-95.06</v>
      </c>
      <c r="L906" s="68">
        <f>-IFERROR(VLOOKUP(C906,IDC!$A$20:$H$1596,8,0),0)</f>
        <v>-58.8</v>
      </c>
      <c r="M906" s="74">
        <f t="shared" si="19"/>
        <v>9799.9999999999982</v>
      </c>
    </row>
    <row r="907" spans="1:13" customFormat="1">
      <c r="A907" t="s">
        <v>118</v>
      </c>
      <c r="B907" t="s">
        <v>11</v>
      </c>
      <c r="C907" s="51">
        <v>137903699165</v>
      </c>
      <c r="D907" s="1">
        <v>4871.5</v>
      </c>
      <c r="E907" s="1">
        <v>17054369.48</v>
      </c>
      <c r="F907" t="s">
        <v>1280</v>
      </c>
      <c r="I907" s="16">
        <f>-IFERROR(VLOOKUP(C907,SIRCUPA!$A$21:$H$186,8,0),0)</f>
        <v>0</v>
      </c>
      <c r="J907" s="68">
        <f>-IFERROR(VLOOKUP(C907,SIRTAC!$A$16:$H$1405,8,0),0)</f>
        <v>-50</v>
      </c>
      <c r="K907" s="68">
        <f>-IFERROR(VLOOKUP(C907,Gastos!$A$9:$J$1398,10,0),0)</f>
        <v>-48.5</v>
      </c>
      <c r="L907" s="68">
        <f>-IFERROR(VLOOKUP(C907,IDC!$A$20:$H$1596,8,0),0)</f>
        <v>-30</v>
      </c>
      <c r="M907" s="74">
        <f t="shared" si="19"/>
        <v>5000</v>
      </c>
    </row>
    <row r="908" spans="1:13" customFormat="1">
      <c r="A908" t="s">
        <v>118</v>
      </c>
      <c r="B908" t="s">
        <v>11</v>
      </c>
      <c r="C908" s="51">
        <v>137903674013</v>
      </c>
      <c r="D908" s="1">
        <v>4871.5</v>
      </c>
      <c r="E908" s="1">
        <v>17059240.98</v>
      </c>
      <c r="F908" t="s">
        <v>1280</v>
      </c>
      <c r="I908" s="16">
        <f>-IFERROR(VLOOKUP(C908,SIRCUPA!$A$21:$H$186,8,0),0)</f>
        <v>0</v>
      </c>
      <c r="J908" s="68">
        <f>-IFERROR(VLOOKUP(C908,SIRTAC!$A$16:$H$1405,8,0),0)</f>
        <v>-50</v>
      </c>
      <c r="K908" s="68">
        <f>-IFERROR(VLOOKUP(C908,Gastos!$A$9:$J$1398,10,0),0)</f>
        <v>-48.5</v>
      </c>
      <c r="L908" s="68">
        <f>-IFERROR(VLOOKUP(C908,IDC!$A$20:$H$1596,8,0),0)</f>
        <v>-30</v>
      </c>
      <c r="M908" s="74">
        <f t="shared" si="19"/>
        <v>5000</v>
      </c>
    </row>
    <row r="909" spans="1:13" customFormat="1">
      <c r="A909" t="s">
        <v>118</v>
      </c>
      <c r="B909" t="s">
        <v>11</v>
      </c>
      <c r="C909" s="51">
        <v>137903890489</v>
      </c>
      <c r="D909" s="1">
        <v>10717.3</v>
      </c>
      <c r="E909" s="1">
        <v>17069958.280000001</v>
      </c>
      <c r="F909" t="s">
        <v>1280</v>
      </c>
      <c r="I909" s="16">
        <f>-IFERROR(VLOOKUP(C909,SIRCUPA!$A$21:$H$186,8,0),0)</f>
        <v>0</v>
      </c>
      <c r="J909" s="68">
        <f>-IFERROR(VLOOKUP(C909,SIRTAC!$A$16:$H$1405,8,0),0)</f>
        <v>-110</v>
      </c>
      <c r="K909" s="68">
        <f>-IFERROR(VLOOKUP(C909,Gastos!$A$9:$J$1398,10,0),0)</f>
        <v>-106.7</v>
      </c>
      <c r="L909" s="68">
        <f>-IFERROR(VLOOKUP(C909,IDC!$A$20:$H$1596,8,0),0)</f>
        <v>-66</v>
      </c>
      <c r="M909" s="74">
        <f t="shared" si="19"/>
        <v>11000</v>
      </c>
    </row>
    <row r="910" spans="1:13" customFormat="1">
      <c r="A910" t="s">
        <v>118</v>
      </c>
      <c r="B910" t="s">
        <v>11</v>
      </c>
      <c r="C910" s="51">
        <v>138543115054</v>
      </c>
      <c r="D910" s="1">
        <v>4676.6400000000003</v>
      </c>
      <c r="E910" s="1">
        <v>17074634.920000002</v>
      </c>
      <c r="F910" t="s">
        <v>1280</v>
      </c>
      <c r="I910" s="16">
        <f>-IFERROR(VLOOKUP(C910,SIRCUPA!$A$21:$H$186,8,0),0)</f>
        <v>0</v>
      </c>
      <c r="J910" s="68">
        <f>-IFERROR(VLOOKUP(C910,SIRTAC!$A$16:$H$1405,8,0),0)</f>
        <v>-48</v>
      </c>
      <c r="K910" s="68">
        <f>-IFERROR(VLOOKUP(C910,Gastos!$A$9:$J$1398,10,0),0)</f>
        <v>-46.56</v>
      </c>
      <c r="L910" s="68">
        <f>-IFERROR(VLOOKUP(C910,IDC!$A$20:$H$1596,8,0),0)</f>
        <v>-28.8</v>
      </c>
      <c r="M910" s="74">
        <f t="shared" si="19"/>
        <v>4800.0000000000009</v>
      </c>
    </row>
    <row r="911" spans="1:13" customFormat="1">
      <c r="A911" t="s">
        <v>118</v>
      </c>
      <c r="B911" t="s">
        <v>11</v>
      </c>
      <c r="C911" s="51">
        <v>138543218206</v>
      </c>
      <c r="D911" s="1">
        <v>14614.5</v>
      </c>
      <c r="E911" s="1">
        <v>17089249.420000002</v>
      </c>
      <c r="F911" t="s">
        <v>1280</v>
      </c>
      <c r="I911" s="16">
        <f>-IFERROR(VLOOKUP(C911,SIRCUPA!$A$21:$H$186,8,0),0)</f>
        <v>0</v>
      </c>
      <c r="J911" s="68">
        <f>-IFERROR(VLOOKUP(C911,SIRTAC!$A$16:$H$1405,8,0),0)</f>
        <v>-150</v>
      </c>
      <c r="K911" s="68">
        <f>-IFERROR(VLOOKUP(C911,Gastos!$A$9:$J$1398,10,0),0)</f>
        <v>-145.5</v>
      </c>
      <c r="L911" s="68">
        <f>-IFERROR(VLOOKUP(C911,IDC!$A$20:$H$1596,8,0),0)</f>
        <v>-90</v>
      </c>
      <c r="M911" s="74">
        <f t="shared" si="19"/>
        <v>15000</v>
      </c>
    </row>
    <row r="912" spans="1:13" customFormat="1">
      <c r="A912" t="s">
        <v>118</v>
      </c>
      <c r="B912" t="s">
        <v>11</v>
      </c>
      <c r="C912" s="51">
        <v>138543129840</v>
      </c>
      <c r="D912" s="1">
        <v>10717.3</v>
      </c>
      <c r="E912" s="1">
        <v>17099966.719999999</v>
      </c>
      <c r="F912" t="s">
        <v>1280</v>
      </c>
      <c r="I912" s="16">
        <f>-IFERROR(VLOOKUP(C912,SIRCUPA!$A$21:$H$186,8,0),0)</f>
        <v>0</v>
      </c>
      <c r="J912" s="68">
        <f>-IFERROR(VLOOKUP(C912,SIRTAC!$A$16:$H$1405,8,0),0)</f>
        <v>-110</v>
      </c>
      <c r="K912" s="68">
        <f>-IFERROR(VLOOKUP(C912,Gastos!$A$9:$J$1398,10,0),0)</f>
        <v>-106.7</v>
      </c>
      <c r="L912" s="68">
        <f>-IFERROR(VLOOKUP(C912,IDC!$A$20:$H$1596,8,0),0)</f>
        <v>-66</v>
      </c>
      <c r="M912" s="74">
        <f t="shared" si="19"/>
        <v>11000</v>
      </c>
    </row>
    <row r="913" spans="1:13" customFormat="1">
      <c r="A913" t="s">
        <v>118</v>
      </c>
      <c r="B913" t="s">
        <v>121</v>
      </c>
      <c r="C913" s="51">
        <v>138540813558</v>
      </c>
      <c r="D913">
        <v>244.75</v>
      </c>
      <c r="E913" s="1">
        <v>16820287.710000001</v>
      </c>
      <c r="F913" t="s">
        <v>1280</v>
      </c>
      <c r="I913" s="16">
        <f>-IFERROR(VLOOKUP(C913,SIRCUPA!$A$21:$H$186,8,0),0)</f>
        <v>-3.75</v>
      </c>
      <c r="J913" s="68">
        <f>-IFERROR(VLOOKUP(C913,SIRTAC!$A$16:$H$1405,8,0),0)</f>
        <v>0</v>
      </c>
      <c r="K913" s="68">
        <f>-IFERROR(VLOOKUP(C913,Gastos!$A$9:$J$1398,10,0),0)</f>
        <v>0</v>
      </c>
      <c r="L913" s="68">
        <f>-IFERROR(VLOOKUP(C913,IDC!$A$20:$H$1596,8,0),0)</f>
        <v>-1.5</v>
      </c>
      <c r="M913" s="74">
        <f t="shared" si="19"/>
        <v>250</v>
      </c>
    </row>
    <row r="914" spans="1:13" customFormat="1">
      <c r="A914" t="s">
        <v>118</v>
      </c>
      <c r="B914" t="s">
        <v>11</v>
      </c>
      <c r="C914" s="51">
        <v>137904241645</v>
      </c>
      <c r="D914" s="1">
        <v>4871.5</v>
      </c>
      <c r="E914" s="1">
        <v>17104838.219999999</v>
      </c>
      <c r="F914" t="s">
        <v>1280</v>
      </c>
      <c r="I914" s="16">
        <f>-IFERROR(VLOOKUP(C914,SIRCUPA!$A$21:$H$186,8,0),0)</f>
        <v>0</v>
      </c>
      <c r="J914" s="68">
        <f>-IFERROR(VLOOKUP(C914,SIRTAC!$A$16:$H$1405,8,0),0)</f>
        <v>-50</v>
      </c>
      <c r="K914" s="68">
        <f>-IFERROR(VLOOKUP(C914,Gastos!$A$9:$J$1398,10,0),0)</f>
        <v>-48.5</v>
      </c>
      <c r="L914" s="68">
        <f>-IFERROR(VLOOKUP(C914,IDC!$A$20:$H$1596,8,0),0)</f>
        <v>-30</v>
      </c>
      <c r="M914" s="74">
        <f t="shared" si="19"/>
        <v>5000</v>
      </c>
    </row>
    <row r="915" spans="1:13" customFormat="1">
      <c r="A915" t="s">
        <v>118</v>
      </c>
      <c r="B915" t="s">
        <v>11</v>
      </c>
      <c r="C915" s="51">
        <v>138543548466</v>
      </c>
      <c r="D915" s="1">
        <v>2338.3200000000002</v>
      </c>
      <c r="E915" s="1">
        <v>17107176.539999999</v>
      </c>
      <c r="F915" t="s">
        <v>1280</v>
      </c>
      <c r="I915" s="16">
        <f>-IFERROR(VLOOKUP(C915,SIRCUPA!$A$21:$H$186,8,0),0)</f>
        <v>0</v>
      </c>
      <c r="J915" s="68">
        <f>-IFERROR(VLOOKUP(C915,SIRTAC!$A$16:$H$1405,8,0),0)</f>
        <v>-24</v>
      </c>
      <c r="K915" s="68">
        <f>-IFERROR(VLOOKUP(C915,Gastos!$A$9:$J$1398,10,0),0)</f>
        <v>-23.28</v>
      </c>
      <c r="L915" s="68">
        <f>-IFERROR(VLOOKUP(C915,IDC!$A$20:$H$1596,8,0),0)</f>
        <v>-14.4</v>
      </c>
      <c r="M915" s="74">
        <f t="shared" si="19"/>
        <v>2400.0000000000005</v>
      </c>
    </row>
    <row r="916" spans="1:13" customFormat="1">
      <c r="A916" t="s">
        <v>118</v>
      </c>
      <c r="B916" t="s">
        <v>11</v>
      </c>
      <c r="C916" s="51">
        <v>138543772980</v>
      </c>
      <c r="D916" s="1">
        <v>4871.5</v>
      </c>
      <c r="E916" s="1">
        <v>17112048.039999999</v>
      </c>
      <c r="F916" t="s">
        <v>1280</v>
      </c>
      <c r="I916" s="16">
        <f>-IFERROR(VLOOKUP(C916,SIRCUPA!$A$21:$H$186,8,0),0)</f>
        <v>0</v>
      </c>
      <c r="J916" s="68">
        <f>-IFERROR(VLOOKUP(C916,SIRTAC!$A$16:$H$1405,8,0),0)</f>
        <v>-50</v>
      </c>
      <c r="K916" s="68">
        <f>-IFERROR(VLOOKUP(C916,Gastos!$A$9:$J$1398,10,0),0)</f>
        <v>-48.5</v>
      </c>
      <c r="L916" s="68">
        <f>-IFERROR(VLOOKUP(C916,IDC!$A$20:$H$1596,8,0),0)</f>
        <v>-30</v>
      </c>
      <c r="M916" s="74">
        <f t="shared" si="19"/>
        <v>5000</v>
      </c>
    </row>
    <row r="917" spans="1:13" customFormat="1">
      <c r="A917" t="s">
        <v>118</v>
      </c>
      <c r="B917" t="s">
        <v>11</v>
      </c>
      <c r="C917" s="51">
        <v>137904711931</v>
      </c>
      <c r="D917" s="1">
        <v>4871.5</v>
      </c>
      <c r="E917" s="1">
        <v>17116919.539999999</v>
      </c>
      <c r="F917" t="s">
        <v>1280</v>
      </c>
      <c r="I917" s="16">
        <f>-IFERROR(VLOOKUP(C917,SIRCUPA!$A$21:$H$186,8,0),0)</f>
        <v>0</v>
      </c>
      <c r="J917" s="68">
        <f>-IFERROR(VLOOKUP(C917,SIRTAC!$A$16:$H$1405,8,0),0)</f>
        <v>-50</v>
      </c>
      <c r="K917" s="68">
        <f>-IFERROR(VLOOKUP(C917,Gastos!$A$9:$J$1398,10,0),0)</f>
        <v>-48.5</v>
      </c>
      <c r="L917" s="68">
        <f>-IFERROR(VLOOKUP(C917,IDC!$A$20:$H$1596,8,0),0)</f>
        <v>-30</v>
      </c>
      <c r="M917" s="74">
        <f t="shared" si="19"/>
        <v>5000</v>
      </c>
    </row>
    <row r="918" spans="1:13" customFormat="1">
      <c r="A918" t="s">
        <v>118</v>
      </c>
      <c r="B918" t="s">
        <v>11</v>
      </c>
      <c r="C918" s="51">
        <v>137904878419</v>
      </c>
      <c r="D918" s="1">
        <v>4871.5</v>
      </c>
      <c r="E918" s="1">
        <v>17121791.039999999</v>
      </c>
      <c r="F918" t="s">
        <v>1280</v>
      </c>
      <c r="I918" s="16">
        <f>-IFERROR(VLOOKUP(C918,SIRCUPA!$A$21:$H$186,8,0),0)</f>
        <v>0</v>
      </c>
      <c r="J918" s="68">
        <f>-IFERROR(VLOOKUP(C918,SIRTAC!$A$16:$H$1405,8,0),0)</f>
        <v>-50</v>
      </c>
      <c r="K918" s="68">
        <f>-IFERROR(VLOOKUP(C918,Gastos!$A$9:$J$1398,10,0),0)</f>
        <v>-48.5</v>
      </c>
      <c r="L918" s="68">
        <f>-IFERROR(VLOOKUP(C918,IDC!$A$20:$H$1596,8,0),0)</f>
        <v>-30</v>
      </c>
      <c r="M918" s="74">
        <f t="shared" si="19"/>
        <v>5000</v>
      </c>
    </row>
    <row r="919" spans="1:13" customFormat="1">
      <c r="A919" t="s">
        <v>118</v>
      </c>
      <c r="B919" t="s">
        <v>11</v>
      </c>
      <c r="C919" s="51">
        <v>137904833777</v>
      </c>
      <c r="D919" s="1">
        <v>9743</v>
      </c>
      <c r="E919" s="1">
        <v>17131534.039999999</v>
      </c>
      <c r="F919" t="s">
        <v>1280</v>
      </c>
      <c r="I919" s="16">
        <f>-IFERROR(VLOOKUP(C919,SIRCUPA!$A$21:$H$186,8,0),0)</f>
        <v>0</v>
      </c>
      <c r="J919" s="68">
        <f>-IFERROR(VLOOKUP(C919,SIRTAC!$A$16:$H$1405,8,0),0)</f>
        <v>-100</v>
      </c>
      <c r="K919" s="68">
        <f>-IFERROR(VLOOKUP(C919,Gastos!$A$9:$J$1398,10,0),0)</f>
        <v>-97</v>
      </c>
      <c r="L919" s="68">
        <f>-IFERROR(VLOOKUP(C919,IDC!$A$20:$H$1596,8,0),0)</f>
        <v>-60</v>
      </c>
      <c r="M919" s="74">
        <f t="shared" si="19"/>
        <v>10000</v>
      </c>
    </row>
    <row r="920" spans="1:13" customFormat="1">
      <c r="A920" t="s">
        <v>118</v>
      </c>
      <c r="B920" t="s">
        <v>11</v>
      </c>
      <c r="C920" s="51">
        <v>138544060956</v>
      </c>
      <c r="D920" s="1">
        <v>4871.5</v>
      </c>
      <c r="E920" s="1">
        <v>17136405.539999999</v>
      </c>
      <c r="F920" t="s">
        <v>1280</v>
      </c>
      <c r="I920" s="16">
        <f>-IFERROR(VLOOKUP(C920,SIRCUPA!$A$21:$H$186,8,0),0)</f>
        <v>0</v>
      </c>
      <c r="J920" s="68">
        <f>-IFERROR(VLOOKUP(C920,SIRTAC!$A$16:$H$1405,8,0),0)</f>
        <v>-50</v>
      </c>
      <c r="K920" s="68">
        <f>-IFERROR(VLOOKUP(C920,Gastos!$A$9:$J$1398,10,0),0)</f>
        <v>-48.5</v>
      </c>
      <c r="L920" s="68">
        <f>-IFERROR(VLOOKUP(C920,IDC!$A$20:$H$1596,8,0),0)</f>
        <v>-30</v>
      </c>
      <c r="M920" s="74">
        <f t="shared" si="19"/>
        <v>5000</v>
      </c>
    </row>
    <row r="921" spans="1:13" customFormat="1">
      <c r="A921" t="s">
        <v>118</v>
      </c>
      <c r="B921" t="s">
        <v>11</v>
      </c>
      <c r="C921" s="51">
        <v>138544134616</v>
      </c>
      <c r="D921" s="1">
        <v>75764.94</v>
      </c>
      <c r="E921" s="1">
        <v>17212415.23</v>
      </c>
      <c r="F921" t="s">
        <v>1280</v>
      </c>
      <c r="I921" s="16">
        <f>-IFERROR(VLOOKUP(C921,SIRCUPA!$A$21:$H$186,8,0),0)</f>
        <v>0</v>
      </c>
      <c r="J921" s="68">
        <f>-IFERROR(VLOOKUP(C921,SIRTAC!$A$16:$H$1405,8,0),0)</f>
        <v>-802</v>
      </c>
      <c r="K921" s="68">
        <f>-IFERROR(VLOOKUP(C921,Gastos!$A$9:$J$1398,10,0),0)</f>
        <v>-3151.86</v>
      </c>
      <c r="L921" s="68">
        <f>-IFERROR(VLOOKUP(C921,IDC!$A$20:$H$1596,8,0),0)</f>
        <v>-481.2</v>
      </c>
      <c r="M921" s="74">
        <f t="shared" si="19"/>
        <v>80200</v>
      </c>
    </row>
    <row r="922" spans="1:13" customFormat="1">
      <c r="A922" t="s">
        <v>118</v>
      </c>
      <c r="B922" t="s">
        <v>11</v>
      </c>
      <c r="C922" s="51">
        <v>138544075084</v>
      </c>
      <c r="D922" s="1">
        <v>4871.5</v>
      </c>
      <c r="E922" s="1">
        <v>17217286.73</v>
      </c>
      <c r="F922" t="s">
        <v>1280</v>
      </c>
      <c r="I922" s="16">
        <f>-IFERROR(VLOOKUP(C922,SIRCUPA!$A$21:$H$186,8,0),0)</f>
        <v>0</v>
      </c>
      <c r="J922" s="68">
        <f>-IFERROR(VLOOKUP(C922,SIRTAC!$A$16:$H$1405,8,0),0)</f>
        <v>-50</v>
      </c>
      <c r="K922" s="68">
        <f>-IFERROR(VLOOKUP(C922,Gastos!$A$9:$J$1398,10,0),0)</f>
        <v>-48.5</v>
      </c>
      <c r="L922" s="68">
        <f>-IFERROR(VLOOKUP(C922,IDC!$A$20:$H$1596,8,0),0)</f>
        <v>-30</v>
      </c>
      <c r="M922" s="74">
        <f t="shared" si="19"/>
        <v>5000</v>
      </c>
    </row>
    <row r="923" spans="1:13" customFormat="1">
      <c r="A923" t="s">
        <v>118</v>
      </c>
      <c r="B923" t="s">
        <v>11</v>
      </c>
      <c r="C923" s="51">
        <v>137905264613</v>
      </c>
      <c r="D923" s="1">
        <v>41094.449999999997</v>
      </c>
      <c r="E923" s="1">
        <v>17258381.18</v>
      </c>
      <c r="F923" t="s">
        <v>1280</v>
      </c>
      <c r="I923" s="16">
        <f>-IFERROR(VLOOKUP(C923,SIRCUPA!$A$21:$H$186,8,0),0)</f>
        <v>0</v>
      </c>
      <c r="J923" s="68">
        <f>-IFERROR(VLOOKUP(C923,SIRTAC!$A$16:$H$1405,8,0),0)</f>
        <v>-435</v>
      </c>
      <c r="K923" s="68">
        <f>-IFERROR(VLOOKUP(C923,Gastos!$A$9:$J$1398,10,0),0)</f>
        <v>-1709.55</v>
      </c>
      <c r="L923" s="68">
        <f>-IFERROR(VLOOKUP(C923,IDC!$A$20:$H$1596,8,0),0)</f>
        <v>-261</v>
      </c>
      <c r="M923" s="74">
        <f t="shared" si="19"/>
        <v>43500</v>
      </c>
    </row>
    <row r="924" spans="1:13" customFormat="1">
      <c r="A924" t="s">
        <v>118</v>
      </c>
      <c r="B924" t="s">
        <v>11</v>
      </c>
      <c r="C924" s="51">
        <v>138544276084</v>
      </c>
      <c r="D924" s="1">
        <v>4871.5</v>
      </c>
      <c r="E924" s="1">
        <v>17263252.68</v>
      </c>
      <c r="F924" t="s">
        <v>1280</v>
      </c>
      <c r="I924" s="16">
        <f>-IFERROR(VLOOKUP(C924,SIRCUPA!$A$21:$H$186,8,0),0)</f>
        <v>0</v>
      </c>
      <c r="J924" s="68">
        <f>-IFERROR(VLOOKUP(C924,SIRTAC!$A$16:$H$1405,8,0),0)</f>
        <v>-50</v>
      </c>
      <c r="K924" s="68">
        <f>-IFERROR(VLOOKUP(C924,Gastos!$A$9:$J$1398,10,0),0)</f>
        <v>-48.5</v>
      </c>
      <c r="L924" s="68">
        <f>-IFERROR(VLOOKUP(C924,IDC!$A$20:$H$1596,8,0),0)</f>
        <v>-30</v>
      </c>
      <c r="M924" s="74">
        <f t="shared" si="19"/>
        <v>5000</v>
      </c>
    </row>
    <row r="925" spans="1:13" customFormat="1">
      <c r="A925" t="s">
        <v>118</v>
      </c>
      <c r="B925" t="s">
        <v>11</v>
      </c>
      <c r="C925" s="51">
        <v>138544457004</v>
      </c>
      <c r="D925" s="1">
        <v>5358.65</v>
      </c>
      <c r="E925" s="1">
        <v>17268611.329999998</v>
      </c>
      <c r="F925" t="s">
        <v>1280</v>
      </c>
      <c r="I925" s="16">
        <f>-IFERROR(VLOOKUP(C925,SIRCUPA!$A$21:$H$186,8,0),0)</f>
        <v>0</v>
      </c>
      <c r="J925" s="68">
        <f>-IFERROR(VLOOKUP(C925,SIRTAC!$A$16:$H$1405,8,0),0)</f>
        <v>-55</v>
      </c>
      <c r="K925" s="68">
        <f>-IFERROR(VLOOKUP(C925,Gastos!$A$9:$J$1398,10,0),0)</f>
        <v>-53.35</v>
      </c>
      <c r="L925" s="68">
        <f>-IFERROR(VLOOKUP(C925,IDC!$A$20:$H$1596,8,0),0)</f>
        <v>-33</v>
      </c>
      <c r="M925" s="74">
        <f t="shared" si="19"/>
        <v>5500</v>
      </c>
    </row>
    <row r="926" spans="1:13" customFormat="1">
      <c r="A926" t="s">
        <v>118</v>
      </c>
      <c r="B926" t="s">
        <v>122</v>
      </c>
      <c r="C926" s="51">
        <v>137903470371</v>
      </c>
      <c r="D926" s="1">
        <v>2535.61</v>
      </c>
      <c r="E926" s="1">
        <v>16985399.920000002</v>
      </c>
      <c r="F926" t="s">
        <v>1280</v>
      </c>
      <c r="I926" s="16">
        <f>-IFERROR(VLOOKUP(C926,SIRCUPA!$A$21:$H$186,8,0),0)</f>
        <v>-38.85</v>
      </c>
      <c r="J926" s="68">
        <f>-IFERROR(VLOOKUP(C926,SIRTAC!$A$16:$H$1405,8,0),0)</f>
        <v>0</v>
      </c>
      <c r="K926" s="68">
        <f>-IFERROR(VLOOKUP(C926,Gastos!$A$9:$J$1398,10,0),0)</f>
        <v>0</v>
      </c>
      <c r="L926" s="68">
        <f>-IFERROR(VLOOKUP(C926,IDC!$A$20:$H$1596,8,0),0)</f>
        <v>-15.54</v>
      </c>
      <c r="M926" s="74">
        <f t="shared" si="19"/>
        <v>2590</v>
      </c>
    </row>
    <row r="927" spans="1:13" customFormat="1">
      <c r="A927" t="s">
        <v>118</v>
      </c>
      <c r="B927" t="s">
        <v>11</v>
      </c>
      <c r="C927" s="51">
        <v>137905494935</v>
      </c>
      <c r="D927" s="1">
        <v>10717.3</v>
      </c>
      <c r="E927" s="1">
        <v>17279328.629999999</v>
      </c>
      <c r="F927" t="s">
        <v>1280</v>
      </c>
      <c r="I927" s="16">
        <f>-IFERROR(VLOOKUP(C927,SIRCUPA!$A$21:$H$186,8,0),0)</f>
        <v>0</v>
      </c>
      <c r="J927" s="68">
        <f>-IFERROR(VLOOKUP(C927,SIRTAC!$A$16:$H$1405,8,0),0)</f>
        <v>-110</v>
      </c>
      <c r="K927" s="68">
        <f>-IFERROR(VLOOKUP(C927,Gastos!$A$9:$J$1398,10,0),0)</f>
        <v>-106.7</v>
      </c>
      <c r="L927" s="68">
        <f>-IFERROR(VLOOKUP(C927,IDC!$A$20:$H$1596,8,0),0)</f>
        <v>-66</v>
      </c>
      <c r="M927" s="74">
        <f t="shared" si="19"/>
        <v>11000</v>
      </c>
    </row>
    <row r="928" spans="1:13" customFormat="1">
      <c r="A928" t="s">
        <v>118</v>
      </c>
      <c r="B928" t="s">
        <v>11</v>
      </c>
      <c r="C928" s="51">
        <v>138544549666</v>
      </c>
      <c r="D928" s="1">
        <v>4871.5</v>
      </c>
      <c r="E928" s="1">
        <v>17284200.129999999</v>
      </c>
      <c r="F928" t="s">
        <v>1280</v>
      </c>
      <c r="I928" s="16">
        <f>-IFERROR(VLOOKUP(C928,SIRCUPA!$A$21:$H$186,8,0),0)</f>
        <v>0</v>
      </c>
      <c r="J928" s="68">
        <f>-IFERROR(VLOOKUP(C928,SIRTAC!$A$16:$H$1405,8,0),0)</f>
        <v>-50</v>
      </c>
      <c r="K928" s="68">
        <f>-IFERROR(VLOOKUP(C928,Gastos!$A$9:$J$1398,10,0),0)</f>
        <v>-48.5</v>
      </c>
      <c r="L928" s="68">
        <f>-IFERROR(VLOOKUP(C928,IDC!$A$20:$H$1596,8,0),0)</f>
        <v>-30</v>
      </c>
      <c r="M928" s="74">
        <f t="shared" si="19"/>
        <v>5000</v>
      </c>
    </row>
    <row r="929" spans="1:13" customFormat="1">
      <c r="A929" t="s">
        <v>118</v>
      </c>
      <c r="B929" t="s">
        <v>11</v>
      </c>
      <c r="C929" s="51">
        <v>138544583838</v>
      </c>
      <c r="D929" s="1">
        <v>4286.92</v>
      </c>
      <c r="E929" s="1">
        <v>17288487.050000001</v>
      </c>
      <c r="F929" t="s">
        <v>1280</v>
      </c>
      <c r="I929" s="16">
        <f>-IFERROR(VLOOKUP(C929,SIRCUPA!$A$21:$H$186,8,0),0)</f>
        <v>0</v>
      </c>
      <c r="J929" s="68">
        <f>-IFERROR(VLOOKUP(C929,SIRTAC!$A$16:$H$1405,8,0),0)</f>
        <v>-44</v>
      </c>
      <c r="K929" s="68">
        <f>-IFERROR(VLOOKUP(C929,Gastos!$A$9:$J$1398,10,0),0)</f>
        <v>-42.68</v>
      </c>
      <c r="L929" s="68">
        <f>-IFERROR(VLOOKUP(C929,IDC!$A$20:$H$1596,8,0),0)</f>
        <v>-26.4</v>
      </c>
      <c r="M929" s="74">
        <f t="shared" si="19"/>
        <v>4400</v>
      </c>
    </row>
    <row r="930" spans="1:13" customFormat="1">
      <c r="A930" t="s">
        <v>118</v>
      </c>
      <c r="B930" t="s">
        <v>11</v>
      </c>
      <c r="C930" s="51">
        <v>138544846336</v>
      </c>
      <c r="D930" s="1">
        <v>4774.07</v>
      </c>
      <c r="E930" s="1">
        <v>17293261.120000001</v>
      </c>
      <c r="F930" t="s">
        <v>1280</v>
      </c>
      <c r="I930" s="16">
        <f>-IFERROR(VLOOKUP(C930,SIRCUPA!$A$21:$H$186,8,0),0)</f>
        <v>0</v>
      </c>
      <c r="J930" s="68">
        <f>-IFERROR(VLOOKUP(C930,SIRTAC!$A$16:$H$1405,8,0),0)</f>
        <v>-49</v>
      </c>
      <c r="K930" s="68">
        <f>-IFERROR(VLOOKUP(C930,Gastos!$A$9:$J$1398,10,0),0)</f>
        <v>-47.53</v>
      </c>
      <c r="L930" s="68">
        <f>-IFERROR(VLOOKUP(C930,IDC!$A$20:$H$1596,8,0),0)</f>
        <v>-29.4</v>
      </c>
      <c r="M930" s="74">
        <f t="shared" si="19"/>
        <v>4899.9999999999991</v>
      </c>
    </row>
    <row r="931" spans="1:13" customFormat="1">
      <c r="A931" t="s">
        <v>118</v>
      </c>
      <c r="B931" t="s">
        <v>11</v>
      </c>
      <c r="C931" s="51">
        <v>137905815953</v>
      </c>
      <c r="D931" s="1">
        <v>7794.4</v>
      </c>
      <c r="E931" s="1">
        <v>17301055.52</v>
      </c>
      <c r="F931" t="s">
        <v>1280</v>
      </c>
      <c r="I931" s="16">
        <f>-IFERROR(VLOOKUP(C931,SIRCUPA!$A$21:$H$186,8,0),0)</f>
        <v>0</v>
      </c>
      <c r="J931" s="68">
        <f>-IFERROR(VLOOKUP(C931,SIRTAC!$A$16:$H$1405,8,0),0)</f>
        <v>-80</v>
      </c>
      <c r="K931" s="68">
        <f>-IFERROR(VLOOKUP(C931,Gastos!$A$9:$J$1398,10,0),0)</f>
        <v>-77.599999999999994</v>
      </c>
      <c r="L931" s="68">
        <f>-IFERROR(VLOOKUP(C931,IDC!$A$20:$H$1596,8,0),0)</f>
        <v>-48</v>
      </c>
      <c r="M931" s="74">
        <f t="shared" si="19"/>
        <v>8000</v>
      </c>
    </row>
    <row r="932" spans="1:13" customFormat="1">
      <c r="A932" t="s">
        <v>118</v>
      </c>
      <c r="B932" t="s">
        <v>11</v>
      </c>
      <c r="C932" s="51">
        <v>138545094492</v>
      </c>
      <c r="D932" s="1">
        <v>4871.5</v>
      </c>
      <c r="E932" s="1">
        <v>17305927.02</v>
      </c>
      <c r="F932" t="s">
        <v>1280</v>
      </c>
      <c r="I932" s="16">
        <f>-IFERROR(VLOOKUP(C932,SIRCUPA!$A$21:$H$186,8,0),0)</f>
        <v>0</v>
      </c>
      <c r="J932" s="68">
        <f>-IFERROR(VLOOKUP(C932,SIRTAC!$A$16:$H$1405,8,0),0)</f>
        <v>-50</v>
      </c>
      <c r="K932" s="68">
        <f>-IFERROR(VLOOKUP(C932,Gastos!$A$9:$J$1398,10,0),0)</f>
        <v>-48.5</v>
      </c>
      <c r="L932" s="68">
        <f>-IFERROR(VLOOKUP(C932,IDC!$A$20:$H$1596,8,0),0)</f>
        <v>-30</v>
      </c>
      <c r="M932" s="74">
        <f t="shared" si="19"/>
        <v>5000</v>
      </c>
    </row>
    <row r="933" spans="1:13" customFormat="1">
      <c r="A933" t="s">
        <v>118</v>
      </c>
      <c r="B933" t="s">
        <v>11</v>
      </c>
      <c r="C933" s="51">
        <v>137906026971</v>
      </c>
      <c r="D933" s="1">
        <v>12471.04</v>
      </c>
      <c r="E933" s="1">
        <v>17318398.059999999</v>
      </c>
      <c r="F933" t="s">
        <v>1280</v>
      </c>
      <c r="I933" s="16">
        <f>-IFERROR(VLOOKUP(C933,SIRCUPA!$A$21:$H$186,8,0),0)</f>
        <v>0</v>
      </c>
      <c r="J933" s="68">
        <f>-IFERROR(VLOOKUP(C933,SIRTAC!$A$16:$H$1405,8,0),0)</f>
        <v>-128</v>
      </c>
      <c r="K933" s="68">
        <f>-IFERROR(VLOOKUP(C933,Gastos!$A$9:$J$1398,10,0),0)</f>
        <v>-124.16</v>
      </c>
      <c r="L933" s="68">
        <f>-IFERROR(VLOOKUP(C933,IDC!$A$20:$H$1596,8,0),0)</f>
        <v>-76.8</v>
      </c>
      <c r="M933" s="74">
        <f t="shared" si="19"/>
        <v>12800</v>
      </c>
    </row>
    <row r="934" spans="1:13" customFormat="1">
      <c r="A934" t="s">
        <v>118</v>
      </c>
      <c r="B934" t="s">
        <v>11</v>
      </c>
      <c r="C934" s="51">
        <v>138545509656</v>
      </c>
      <c r="D934" s="1">
        <v>17050.25</v>
      </c>
      <c r="E934" s="1">
        <v>17335448.309999999</v>
      </c>
      <c r="F934" t="s">
        <v>1280</v>
      </c>
      <c r="I934" s="16">
        <f>-IFERROR(VLOOKUP(C934,SIRCUPA!$A$21:$H$186,8,0),0)</f>
        <v>0</v>
      </c>
      <c r="J934" s="68">
        <f>-IFERROR(VLOOKUP(C934,SIRTAC!$A$16:$H$1405,8,0),0)</f>
        <v>-175</v>
      </c>
      <c r="K934" s="68">
        <f>-IFERROR(VLOOKUP(C934,Gastos!$A$9:$J$1398,10,0),0)</f>
        <v>-169.75</v>
      </c>
      <c r="L934" s="68">
        <f>-IFERROR(VLOOKUP(C934,IDC!$A$20:$H$1596,8,0),0)</f>
        <v>-105</v>
      </c>
      <c r="M934" s="74">
        <f t="shared" si="19"/>
        <v>17500</v>
      </c>
    </row>
    <row r="935" spans="1:13" customFormat="1">
      <c r="A935" t="s">
        <v>118</v>
      </c>
      <c r="B935" t="s">
        <v>11</v>
      </c>
      <c r="C935" s="51">
        <v>138545532014</v>
      </c>
      <c r="D935" s="1">
        <v>13153.05</v>
      </c>
      <c r="E935" s="1">
        <v>17348601.359999999</v>
      </c>
      <c r="F935" t="s">
        <v>1280</v>
      </c>
      <c r="I935" s="16">
        <f>-IFERROR(VLOOKUP(C935,SIRCUPA!$A$21:$H$186,8,0),0)</f>
        <v>0</v>
      </c>
      <c r="J935" s="68">
        <f>-IFERROR(VLOOKUP(C935,SIRTAC!$A$16:$H$1405,8,0),0)</f>
        <v>-135</v>
      </c>
      <c r="K935" s="68">
        <f>-IFERROR(VLOOKUP(C935,Gastos!$A$9:$J$1398,10,0),0)</f>
        <v>-130.94999999999999</v>
      </c>
      <c r="L935" s="68">
        <f>-IFERROR(VLOOKUP(C935,IDC!$A$20:$H$1596,8,0),0)</f>
        <v>-81</v>
      </c>
      <c r="M935" s="74">
        <f t="shared" si="19"/>
        <v>13500</v>
      </c>
    </row>
    <row r="936" spans="1:13" customFormat="1">
      <c r="A936" t="s">
        <v>118</v>
      </c>
      <c r="B936" t="s">
        <v>11</v>
      </c>
      <c r="C936" s="51">
        <v>137906505763</v>
      </c>
      <c r="D936" s="1">
        <v>9548.14</v>
      </c>
      <c r="E936" s="1">
        <v>17358810.32</v>
      </c>
      <c r="F936" t="s">
        <v>1280</v>
      </c>
      <c r="I936" s="16">
        <f>-IFERROR(VLOOKUP(C936,SIRCUPA!$A$21:$H$186,8,0),0)</f>
        <v>0</v>
      </c>
      <c r="J936" s="68">
        <f>-IFERROR(VLOOKUP(C936,SIRTAC!$A$16:$H$1405,8,0),0)</f>
        <v>-98</v>
      </c>
      <c r="K936" s="68">
        <f>-IFERROR(VLOOKUP(C936,Gastos!$A$9:$J$1398,10,0),0)</f>
        <v>-95.06</v>
      </c>
      <c r="L936" s="68">
        <f>-IFERROR(VLOOKUP(C936,IDC!$A$20:$H$1596,8,0),0)</f>
        <v>-58.8</v>
      </c>
      <c r="M936" s="74">
        <f t="shared" ref="M936:M999" si="20">+D936-I936-J936-K936-L936</f>
        <v>9799.9999999999982</v>
      </c>
    </row>
    <row r="937" spans="1:13" customFormat="1">
      <c r="A937" t="s">
        <v>118</v>
      </c>
      <c r="B937" t="s">
        <v>11</v>
      </c>
      <c r="C937" s="51">
        <v>137906502057</v>
      </c>
      <c r="D937" s="1">
        <v>10230.15</v>
      </c>
      <c r="E937" s="1">
        <v>17369040.469999999</v>
      </c>
      <c r="F937" t="s">
        <v>1280</v>
      </c>
      <c r="I937" s="16">
        <f>-IFERROR(VLOOKUP(C937,SIRCUPA!$A$21:$H$186,8,0),0)</f>
        <v>0</v>
      </c>
      <c r="J937" s="68">
        <f>-IFERROR(VLOOKUP(C937,SIRTAC!$A$16:$H$1405,8,0),0)</f>
        <v>-105</v>
      </c>
      <c r="K937" s="68">
        <f>-IFERROR(VLOOKUP(C937,Gastos!$A$9:$J$1398,10,0),0)</f>
        <v>-101.85</v>
      </c>
      <c r="L937" s="68">
        <f>-IFERROR(VLOOKUP(C937,IDC!$A$20:$H$1596,8,0),0)</f>
        <v>-63</v>
      </c>
      <c r="M937" s="74">
        <f t="shared" si="20"/>
        <v>10500</v>
      </c>
    </row>
    <row r="938" spans="1:13" customFormat="1">
      <c r="A938" t="s">
        <v>118</v>
      </c>
      <c r="B938" t="s">
        <v>11</v>
      </c>
      <c r="C938" s="51">
        <v>138034620679</v>
      </c>
      <c r="D938" s="1">
        <v>18138.240000000002</v>
      </c>
      <c r="E938" s="1">
        <v>10467624.539999999</v>
      </c>
      <c r="F938" t="s">
        <v>1280</v>
      </c>
      <c r="I938" s="16">
        <f>-IFERROR(VLOOKUP(C938,SIRCUPA!$A$21:$H$186,8,0),0)</f>
        <v>0</v>
      </c>
      <c r="J938" s="68">
        <f>-IFERROR(VLOOKUP(C938,SIRTAC!$A$16:$H$1405,8,0),0)</f>
        <v>-192</v>
      </c>
      <c r="K938" s="68">
        <f>-IFERROR(VLOOKUP(C938,Gastos!$A$9:$J$1398,10,0),0)</f>
        <v>-754.56</v>
      </c>
      <c r="L938" s="68">
        <f>-IFERROR(VLOOKUP(C938,IDC!$A$20:$H$1596,8,0),0)</f>
        <v>-115.2</v>
      </c>
      <c r="M938" s="74">
        <f t="shared" si="20"/>
        <v>19200.000000000004</v>
      </c>
    </row>
    <row r="939" spans="1:13" customFormat="1">
      <c r="A939" t="s">
        <v>118</v>
      </c>
      <c r="B939" t="s">
        <v>11</v>
      </c>
      <c r="C939" s="51">
        <v>138674677786</v>
      </c>
      <c r="D939" s="1">
        <v>18138.240000000002</v>
      </c>
      <c r="E939" s="1">
        <v>10467624.539999999</v>
      </c>
      <c r="F939" t="s">
        <v>1280</v>
      </c>
      <c r="I939" s="16">
        <f>-IFERROR(VLOOKUP(C939,SIRCUPA!$A$21:$H$186,8,0),0)</f>
        <v>0</v>
      </c>
      <c r="J939" s="68">
        <f>-IFERROR(VLOOKUP(C939,SIRTAC!$A$16:$H$1405,8,0),0)</f>
        <v>-192</v>
      </c>
      <c r="K939" s="68">
        <f>-IFERROR(VLOOKUP(C939,Gastos!$A$9:$J$1398,10,0),0)</f>
        <v>-754.56</v>
      </c>
      <c r="L939" s="68">
        <f>-IFERROR(VLOOKUP(C939,IDC!$A$20:$H$1596,8,0),0)</f>
        <v>-115.2</v>
      </c>
      <c r="M939" s="74">
        <f t="shared" si="20"/>
        <v>19200.000000000004</v>
      </c>
    </row>
    <row r="940" spans="1:13" customFormat="1">
      <c r="A940" t="s">
        <v>118</v>
      </c>
      <c r="B940" t="s">
        <v>11</v>
      </c>
      <c r="C940" s="51">
        <v>138034929089</v>
      </c>
      <c r="D940">
        <v>94.47</v>
      </c>
      <c r="E940" s="1">
        <v>10467719.01</v>
      </c>
      <c r="F940" t="s">
        <v>1280</v>
      </c>
      <c r="I940" s="16">
        <f>-IFERROR(VLOOKUP(C940,SIRCUPA!$A$21:$H$186,8,0),0)</f>
        <v>0</v>
      </c>
      <c r="J940" s="68">
        <f>-IFERROR(VLOOKUP(C940,SIRTAC!$A$16:$H$1405,8,0),0)</f>
        <v>-1</v>
      </c>
      <c r="K940" s="68">
        <f>-IFERROR(VLOOKUP(C940,Gastos!$A$9:$J$1398,10,0),0)</f>
        <v>-3.93</v>
      </c>
      <c r="L940" s="68">
        <f>-IFERROR(VLOOKUP(C940,IDC!$A$20:$H$1596,8,0),0)</f>
        <v>-0.6</v>
      </c>
      <c r="M940" s="74">
        <f t="shared" si="20"/>
        <v>100</v>
      </c>
    </row>
    <row r="941" spans="1:13" customFormat="1">
      <c r="A941" t="s">
        <v>118</v>
      </c>
      <c r="B941" t="s">
        <v>11</v>
      </c>
      <c r="C941" s="51">
        <v>138039811091</v>
      </c>
      <c r="D941" s="1">
        <v>4534.5600000000004</v>
      </c>
      <c r="E941" s="1">
        <v>10472159.1</v>
      </c>
      <c r="F941" t="s">
        <v>1280</v>
      </c>
      <c r="I941" s="16">
        <f>-IFERROR(VLOOKUP(C941,SIRCUPA!$A$21:$H$186,8,0),0)</f>
        <v>0</v>
      </c>
      <c r="J941" s="68">
        <f>-IFERROR(VLOOKUP(C941,SIRTAC!$A$16:$H$1405,8,0),0)</f>
        <v>-48</v>
      </c>
      <c r="K941" s="68">
        <f>-IFERROR(VLOOKUP(C941,Gastos!$A$9:$J$1398,10,0),0)</f>
        <v>-188.64</v>
      </c>
      <c r="L941" s="68">
        <f>-IFERROR(VLOOKUP(C941,IDC!$A$20:$H$1596,8,0),0)</f>
        <v>-28.8</v>
      </c>
      <c r="M941" s="74">
        <f t="shared" si="20"/>
        <v>4800.0000000000009</v>
      </c>
    </row>
    <row r="942" spans="1:13" customFormat="1">
      <c r="A942" t="s">
        <v>118</v>
      </c>
      <c r="B942" t="s">
        <v>11</v>
      </c>
      <c r="C942" s="51">
        <v>138041526863</v>
      </c>
      <c r="D942" s="1">
        <v>16160.59</v>
      </c>
      <c r="E942" s="1">
        <v>10488319.689999999</v>
      </c>
      <c r="F942" t="s">
        <v>1280</v>
      </c>
      <c r="I942" s="16">
        <f>-IFERROR(VLOOKUP(C942,SIRCUPA!$A$21:$H$186,8,0),0)</f>
        <v>0</v>
      </c>
      <c r="J942" s="68">
        <f>-IFERROR(VLOOKUP(C942,SIRTAC!$A$16:$H$1405,8,0),0)</f>
        <v>-167</v>
      </c>
      <c r="K942" s="68">
        <f>-IFERROR(VLOOKUP(C942,Gastos!$A$9:$J$1398,10,0),0)</f>
        <v>-272.20999999999998</v>
      </c>
      <c r="L942" s="68">
        <f>-IFERROR(VLOOKUP(C942,IDC!$A$20:$H$1596,8,0),0)</f>
        <v>-100.2</v>
      </c>
      <c r="M942" s="74">
        <f t="shared" si="20"/>
        <v>16700</v>
      </c>
    </row>
    <row r="943" spans="1:13" customFormat="1">
      <c r="A943" t="s">
        <v>118</v>
      </c>
      <c r="B943" t="s">
        <v>121</v>
      </c>
      <c r="C943" s="51">
        <v>137904879445</v>
      </c>
      <c r="D943">
        <v>244.75</v>
      </c>
      <c r="E943" s="1">
        <v>17136650.289999999</v>
      </c>
      <c r="F943" t="s">
        <v>1280</v>
      </c>
      <c r="I943" s="16">
        <f>-IFERROR(VLOOKUP(C943,SIRCUPA!$A$21:$H$186,8,0),0)</f>
        <v>-3.75</v>
      </c>
      <c r="J943" s="68">
        <f>-IFERROR(VLOOKUP(C943,SIRTAC!$A$16:$H$1405,8,0),0)</f>
        <v>0</v>
      </c>
      <c r="K943" s="68">
        <f>-IFERROR(VLOOKUP(C943,Gastos!$A$9:$J$1398,10,0),0)</f>
        <v>0</v>
      </c>
      <c r="L943" s="68">
        <f>-IFERROR(VLOOKUP(C943,IDC!$A$20:$H$1596,8,0),0)</f>
        <v>-1.5</v>
      </c>
      <c r="M943" s="74">
        <f t="shared" si="20"/>
        <v>250</v>
      </c>
    </row>
    <row r="944" spans="1:13" customFormat="1">
      <c r="A944" t="s">
        <v>118</v>
      </c>
      <c r="B944" t="s">
        <v>11</v>
      </c>
      <c r="C944" s="51">
        <v>138043978781</v>
      </c>
      <c r="D944" s="1">
        <v>5358.65</v>
      </c>
      <c r="E944" s="1">
        <v>10493678.34</v>
      </c>
      <c r="F944" t="s">
        <v>1280</v>
      </c>
      <c r="I944" s="16">
        <f>-IFERROR(VLOOKUP(C944,SIRCUPA!$A$21:$H$186,8,0),0)</f>
        <v>0</v>
      </c>
      <c r="J944" s="68">
        <f>-IFERROR(VLOOKUP(C944,SIRTAC!$A$16:$H$1405,8,0),0)</f>
        <v>-55</v>
      </c>
      <c r="K944" s="68">
        <f>-IFERROR(VLOOKUP(C944,Gastos!$A$9:$J$1398,10,0),0)</f>
        <v>-53.35</v>
      </c>
      <c r="L944" s="68">
        <f>-IFERROR(VLOOKUP(C944,IDC!$A$20:$H$1596,8,0),0)</f>
        <v>-33</v>
      </c>
      <c r="M944" s="74">
        <f t="shared" si="20"/>
        <v>5500</v>
      </c>
    </row>
    <row r="945" spans="1:13" customFormat="1">
      <c r="A945" t="s">
        <v>118</v>
      </c>
      <c r="B945" t="s">
        <v>11</v>
      </c>
      <c r="C945" s="51">
        <v>138685012854</v>
      </c>
      <c r="D945" s="1">
        <v>14614.5</v>
      </c>
      <c r="E945" s="1">
        <v>10508292.84</v>
      </c>
      <c r="F945" t="s">
        <v>1280</v>
      </c>
      <c r="I945" s="16">
        <f>-IFERROR(VLOOKUP(C945,SIRCUPA!$A$21:$H$186,8,0),0)</f>
        <v>0</v>
      </c>
      <c r="J945" s="68">
        <f>-IFERROR(VLOOKUP(C945,SIRTAC!$A$16:$H$1405,8,0),0)</f>
        <v>-150</v>
      </c>
      <c r="K945" s="68">
        <f>-IFERROR(VLOOKUP(C945,Gastos!$A$9:$J$1398,10,0),0)</f>
        <v>-145.5</v>
      </c>
      <c r="L945" s="68">
        <f>-IFERROR(VLOOKUP(C945,IDC!$A$20:$H$1596,8,0),0)</f>
        <v>-90</v>
      </c>
      <c r="M945" s="74">
        <f t="shared" si="20"/>
        <v>15000</v>
      </c>
    </row>
    <row r="946" spans="1:13" customFormat="1">
      <c r="A946" t="s">
        <v>118</v>
      </c>
      <c r="B946" t="s">
        <v>11</v>
      </c>
      <c r="C946" s="51">
        <v>138685196796</v>
      </c>
      <c r="D946" s="1">
        <v>9079</v>
      </c>
      <c r="E946" s="1">
        <v>10517371.84</v>
      </c>
      <c r="F946" t="s">
        <v>1280</v>
      </c>
      <c r="I946" s="16">
        <f>-IFERROR(VLOOKUP(C946,SIRCUPA!$A$21:$H$186,8,0),0)</f>
        <v>0</v>
      </c>
      <c r="J946" s="68">
        <f>-IFERROR(VLOOKUP(C946,SIRTAC!$A$16:$H$1405,8,0),0)</f>
        <v>-100</v>
      </c>
      <c r="K946" s="68">
        <f>-IFERROR(VLOOKUP(C946,Gastos!$A$9:$J$1398,10,0),0)</f>
        <v>-761</v>
      </c>
      <c r="L946" s="68">
        <f>-IFERROR(VLOOKUP(C946,IDC!$A$20:$H$1596,8,0),0)</f>
        <v>-60</v>
      </c>
      <c r="M946" s="74">
        <f t="shared" si="20"/>
        <v>10000</v>
      </c>
    </row>
    <row r="947" spans="1:13" customFormat="1">
      <c r="A947" t="s">
        <v>118</v>
      </c>
      <c r="B947" t="s">
        <v>11</v>
      </c>
      <c r="C947" s="51">
        <v>138045999405</v>
      </c>
      <c r="D947" s="1">
        <v>103152.14</v>
      </c>
      <c r="E947" s="1">
        <v>10620523.98</v>
      </c>
      <c r="F947" t="s">
        <v>1280</v>
      </c>
      <c r="I947" s="16">
        <f>-IFERROR(VLOOKUP(C947,SIRCUPA!$A$21:$H$186,8,0),0)</f>
        <v>0</v>
      </c>
      <c r="J947" s="68">
        <f>-IFERROR(VLOOKUP(C947,SIRTAC!$A$16:$H$1405,8,0),0)</f>
        <v>-1099</v>
      </c>
      <c r="K947" s="68">
        <f>-IFERROR(VLOOKUP(C947,Gastos!$A$9:$J$1398,10,0),0)</f>
        <v>-4989.46</v>
      </c>
      <c r="L947" s="68">
        <f>-IFERROR(VLOOKUP(C947,IDC!$A$20:$H$1596,8,0),0)</f>
        <v>-659.4</v>
      </c>
      <c r="M947" s="74">
        <f t="shared" si="20"/>
        <v>109900</v>
      </c>
    </row>
    <row r="948" spans="1:13" customFormat="1">
      <c r="A948" t="s">
        <v>118</v>
      </c>
      <c r="B948" t="s">
        <v>11</v>
      </c>
      <c r="C948" s="51">
        <v>138687056118</v>
      </c>
      <c r="D948" s="1">
        <v>10717.3</v>
      </c>
      <c r="E948" s="1">
        <v>10631241.279999999</v>
      </c>
      <c r="F948" t="s">
        <v>1280</v>
      </c>
      <c r="I948" s="16">
        <f>-IFERROR(VLOOKUP(C948,SIRCUPA!$A$21:$H$186,8,0),0)</f>
        <v>0</v>
      </c>
      <c r="J948" s="68">
        <f>-IFERROR(VLOOKUP(C948,SIRTAC!$A$16:$H$1405,8,0),0)</f>
        <v>-110</v>
      </c>
      <c r="K948" s="68">
        <f>-IFERROR(VLOOKUP(C948,Gastos!$A$9:$J$1398,10,0),0)</f>
        <v>-106.7</v>
      </c>
      <c r="L948" s="68">
        <f>-IFERROR(VLOOKUP(C948,IDC!$A$20:$H$1596,8,0),0)</f>
        <v>-66</v>
      </c>
      <c r="M948" s="74">
        <f t="shared" si="20"/>
        <v>11000</v>
      </c>
    </row>
    <row r="949" spans="1:13" customFormat="1">
      <c r="A949" t="s">
        <v>118</v>
      </c>
      <c r="B949" t="s">
        <v>11</v>
      </c>
      <c r="C949" s="51">
        <v>138047673181</v>
      </c>
      <c r="D949" s="1">
        <v>30230.400000000001</v>
      </c>
      <c r="E949" s="1">
        <v>10661471.68</v>
      </c>
      <c r="F949" t="s">
        <v>1280</v>
      </c>
      <c r="I949" s="16">
        <f>-IFERROR(VLOOKUP(C949,SIRCUPA!$A$21:$H$186,8,0),0)</f>
        <v>0</v>
      </c>
      <c r="J949" s="68">
        <f>-IFERROR(VLOOKUP(C949,SIRTAC!$A$16:$H$1405,8,0),0)</f>
        <v>-320</v>
      </c>
      <c r="K949" s="68">
        <f>-IFERROR(VLOOKUP(C949,Gastos!$A$9:$J$1398,10,0),0)</f>
        <v>-1257.5999999999999</v>
      </c>
      <c r="L949" s="68">
        <f>-IFERROR(VLOOKUP(C949,IDC!$A$20:$H$1596,8,0),0)</f>
        <v>-192</v>
      </c>
      <c r="M949" s="74">
        <f t="shared" si="20"/>
        <v>32000</v>
      </c>
    </row>
    <row r="950" spans="1:13" customFormat="1">
      <c r="A950" t="s">
        <v>118</v>
      </c>
      <c r="B950" t="s">
        <v>11</v>
      </c>
      <c r="C950" s="51">
        <v>138049357257</v>
      </c>
      <c r="D950" s="1">
        <v>10230.15</v>
      </c>
      <c r="E950" s="1">
        <v>10671701.83</v>
      </c>
      <c r="F950" t="s">
        <v>1280</v>
      </c>
      <c r="I950" s="16">
        <f>-IFERROR(VLOOKUP(C950,SIRCUPA!$A$21:$H$186,8,0),0)</f>
        <v>0</v>
      </c>
      <c r="J950" s="68">
        <f>-IFERROR(VLOOKUP(C950,SIRTAC!$A$16:$H$1405,8,0),0)</f>
        <v>-105</v>
      </c>
      <c r="K950" s="68">
        <f>-IFERROR(VLOOKUP(C950,Gastos!$A$9:$J$1398,10,0),0)</f>
        <v>-101.85</v>
      </c>
      <c r="L950" s="68">
        <f>-IFERROR(VLOOKUP(C950,IDC!$A$20:$H$1596,8,0),0)</f>
        <v>-63</v>
      </c>
      <c r="M950" s="74">
        <f t="shared" si="20"/>
        <v>10500</v>
      </c>
    </row>
    <row r="951" spans="1:13" customFormat="1">
      <c r="A951" t="s">
        <v>118</v>
      </c>
      <c r="B951" t="s">
        <v>11</v>
      </c>
      <c r="C951" s="51">
        <v>138691649412</v>
      </c>
      <c r="D951" s="1">
        <v>14614.5</v>
      </c>
      <c r="E951" s="1">
        <v>10686316.33</v>
      </c>
      <c r="F951" t="s">
        <v>1280</v>
      </c>
      <c r="I951" s="16">
        <f>-IFERROR(VLOOKUP(C951,SIRCUPA!$A$21:$H$186,8,0),0)</f>
        <v>0</v>
      </c>
      <c r="J951" s="68">
        <f>-IFERROR(VLOOKUP(C951,SIRTAC!$A$16:$H$1405,8,0),0)</f>
        <v>-150</v>
      </c>
      <c r="K951" s="68">
        <f>-IFERROR(VLOOKUP(C951,Gastos!$A$9:$J$1398,10,0),0)</f>
        <v>-145.5</v>
      </c>
      <c r="L951" s="68">
        <f>-IFERROR(VLOOKUP(C951,IDC!$A$20:$H$1596,8,0),0)</f>
        <v>-90</v>
      </c>
      <c r="M951" s="74">
        <f t="shared" si="20"/>
        <v>15000</v>
      </c>
    </row>
    <row r="952" spans="1:13" customFormat="1">
      <c r="A952" t="s">
        <v>118</v>
      </c>
      <c r="B952" t="s">
        <v>11</v>
      </c>
      <c r="C952" s="51">
        <v>138052305423</v>
      </c>
      <c r="D952" s="1">
        <v>11808.75</v>
      </c>
      <c r="E952" s="1">
        <v>10698125.08</v>
      </c>
      <c r="F952" t="s">
        <v>1280</v>
      </c>
      <c r="I952" s="16">
        <f>-IFERROR(VLOOKUP(C952,SIRCUPA!$A$21:$H$186,8,0),0)</f>
        <v>0</v>
      </c>
      <c r="J952" s="68">
        <f>-IFERROR(VLOOKUP(C952,SIRTAC!$A$16:$H$1405,8,0),0)</f>
        <v>-125</v>
      </c>
      <c r="K952" s="68">
        <f>-IFERROR(VLOOKUP(C952,Gastos!$A$9:$J$1398,10,0),0)</f>
        <v>-491.25</v>
      </c>
      <c r="L952" s="68">
        <f>-IFERROR(VLOOKUP(C952,IDC!$A$20:$H$1596,8,0),0)</f>
        <v>-75</v>
      </c>
      <c r="M952" s="74">
        <f t="shared" si="20"/>
        <v>12500</v>
      </c>
    </row>
    <row r="953" spans="1:13" customFormat="1">
      <c r="A953" t="s">
        <v>118</v>
      </c>
      <c r="B953" t="s">
        <v>11</v>
      </c>
      <c r="C953" s="51">
        <v>138052500883</v>
      </c>
      <c r="D953" s="1">
        <v>4693</v>
      </c>
      <c r="E953" s="1">
        <v>10702818.08</v>
      </c>
      <c r="F953" t="s">
        <v>1280</v>
      </c>
      <c r="I953" s="16">
        <f>-IFERROR(VLOOKUP(C953,SIRCUPA!$A$21:$H$186,8,0),0)</f>
        <v>0</v>
      </c>
      <c r="J953" s="68">
        <f>-IFERROR(VLOOKUP(C953,SIRTAC!$A$16:$H$1405,8,0),0)</f>
        <v>-50</v>
      </c>
      <c r="K953" s="68">
        <f>-IFERROR(VLOOKUP(C953,Gastos!$A$9:$J$1398,10,0),0)</f>
        <v>-227</v>
      </c>
      <c r="L953" s="68">
        <f>-IFERROR(VLOOKUP(C953,IDC!$A$20:$H$1596,8,0),0)</f>
        <v>-30</v>
      </c>
      <c r="M953" s="74">
        <f t="shared" si="20"/>
        <v>5000</v>
      </c>
    </row>
    <row r="954" spans="1:13" customFormat="1">
      <c r="A954" t="s">
        <v>118</v>
      </c>
      <c r="B954" t="s">
        <v>11</v>
      </c>
      <c r="C954" s="51">
        <v>138692382652</v>
      </c>
      <c r="D954" s="1">
        <v>9532.9500000000007</v>
      </c>
      <c r="E954" s="1">
        <v>10712351.029999999</v>
      </c>
      <c r="F954" t="s">
        <v>1280</v>
      </c>
      <c r="I954" s="16">
        <f>-IFERROR(VLOOKUP(C954,SIRCUPA!$A$21:$H$186,8,0),0)</f>
        <v>0</v>
      </c>
      <c r="J954" s="68">
        <f>-IFERROR(VLOOKUP(C954,SIRTAC!$A$16:$H$1405,8,0),0)</f>
        <v>-105</v>
      </c>
      <c r="K954" s="68">
        <f>-IFERROR(VLOOKUP(C954,Gastos!$A$9:$J$1398,10,0),0)</f>
        <v>-799.05</v>
      </c>
      <c r="L954" s="68">
        <f>-IFERROR(VLOOKUP(C954,IDC!$A$20:$H$1596,8,0),0)</f>
        <v>-63</v>
      </c>
      <c r="M954" s="74">
        <f t="shared" si="20"/>
        <v>10500</v>
      </c>
    </row>
    <row r="955" spans="1:13" customFormat="1">
      <c r="A955" t="s">
        <v>118</v>
      </c>
      <c r="B955" t="s">
        <v>11</v>
      </c>
      <c r="C955" s="51">
        <v>138053465951</v>
      </c>
      <c r="D955" s="1">
        <v>10230.15</v>
      </c>
      <c r="E955" s="1">
        <v>10722581.18</v>
      </c>
      <c r="F955" t="s">
        <v>1280</v>
      </c>
      <c r="I955" s="16">
        <f>-IFERROR(VLOOKUP(C955,SIRCUPA!$A$21:$H$186,8,0),0)</f>
        <v>0</v>
      </c>
      <c r="J955" s="68">
        <f>-IFERROR(VLOOKUP(C955,SIRTAC!$A$16:$H$1405,8,0),0)</f>
        <v>-105</v>
      </c>
      <c r="K955" s="68">
        <f>-IFERROR(VLOOKUP(C955,Gastos!$A$9:$J$1398,10,0),0)</f>
        <v>-101.85</v>
      </c>
      <c r="L955" s="68">
        <f>-IFERROR(VLOOKUP(C955,IDC!$A$20:$H$1596,8,0),0)</f>
        <v>-63</v>
      </c>
      <c r="M955" s="74">
        <f t="shared" si="20"/>
        <v>10500</v>
      </c>
    </row>
    <row r="956" spans="1:13" customFormat="1">
      <c r="A956" t="s">
        <v>118</v>
      </c>
      <c r="B956" t="s">
        <v>11</v>
      </c>
      <c r="C956" s="51">
        <v>138053974887</v>
      </c>
      <c r="D956" s="1">
        <v>39556.58</v>
      </c>
      <c r="E956" s="1">
        <v>10762137.76</v>
      </c>
      <c r="F956" t="s">
        <v>1280</v>
      </c>
      <c r="I956" s="16">
        <f>-IFERROR(VLOOKUP(C956,SIRCUPA!$A$21:$H$186,8,0),0)</f>
        <v>0</v>
      </c>
      <c r="J956" s="68">
        <f>-IFERROR(VLOOKUP(C956,SIRTAC!$A$16:$H$1405,8,0),0)</f>
        <v>-406</v>
      </c>
      <c r="K956" s="68">
        <f>-IFERROR(VLOOKUP(C956,Gastos!$A$9:$J$1398,10,0),0)</f>
        <v>-393.82</v>
      </c>
      <c r="L956" s="68">
        <f>-IFERROR(VLOOKUP(C956,IDC!$A$20:$H$1596,8,0),0)</f>
        <v>-243.6</v>
      </c>
      <c r="M956" s="74">
        <f t="shared" si="20"/>
        <v>40600</v>
      </c>
    </row>
    <row r="957" spans="1:13" customFormat="1">
      <c r="A957" t="s">
        <v>118</v>
      </c>
      <c r="B957" t="s">
        <v>11</v>
      </c>
      <c r="C957" s="51">
        <v>138055103481</v>
      </c>
      <c r="D957" s="1">
        <v>56493.06</v>
      </c>
      <c r="E957" s="1">
        <v>10822605.560000001</v>
      </c>
      <c r="F957" t="s">
        <v>1280</v>
      </c>
      <c r="I957" s="16">
        <f>-IFERROR(VLOOKUP(C957,SIRCUPA!$A$21:$H$186,8,0),0)</f>
        <v>0</v>
      </c>
      <c r="J957" s="68">
        <f>-IFERROR(VLOOKUP(C957,SIRTAC!$A$16:$H$1405,8,0),0)</f>
        <v>-598</v>
      </c>
      <c r="K957" s="68">
        <f>-IFERROR(VLOOKUP(C957,Gastos!$A$9:$J$1398,10,0),0)</f>
        <v>-2350.14</v>
      </c>
      <c r="L957" s="68">
        <f>-IFERROR(VLOOKUP(C957,IDC!$A$20:$H$1596,8,0),0)</f>
        <v>-358.8</v>
      </c>
      <c r="M957" s="74">
        <f t="shared" si="20"/>
        <v>59800</v>
      </c>
    </row>
    <row r="958" spans="1:13" customFormat="1">
      <c r="A958" t="s">
        <v>118</v>
      </c>
      <c r="B958" t="s">
        <v>123</v>
      </c>
      <c r="C958" s="51">
        <v>138545543956</v>
      </c>
      <c r="D958">
        <v>660.82</v>
      </c>
      <c r="E958" s="1">
        <v>17349262.18</v>
      </c>
      <c r="F958" t="s">
        <v>1280</v>
      </c>
      <c r="I958" s="16">
        <f>-IFERROR(VLOOKUP(C958,SIRCUPA!$A$21:$H$186,8,0),0)</f>
        <v>-10.130000000000001</v>
      </c>
      <c r="J958" s="68">
        <f>-IFERROR(VLOOKUP(C958,SIRTAC!$A$16:$H$1405,8,0),0)</f>
        <v>0</v>
      </c>
      <c r="K958" s="68">
        <f>-IFERROR(VLOOKUP(C958,Gastos!$A$9:$J$1398,10,0),0)</f>
        <v>0</v>
      </c>
      <c r="L958" s="68">
        <f>-IFERROR(VLOOKUP(C958,IDC!$A$20:$H$1596,8,0),0)</f>
        <v>-4.05</v>
      </c>
      <c r="M958" s="74">
        <f t="shared" si="20"/>
        <v>675</v>
      </c>
    </row>
    <row r="959" spans="1:13" customFormat="1">
      <c r="A959" t="s">
        <v>118</v>
      </c>
      <c r="B959" t="s">
        <v>11</v>
      </c>
      <c r="C959" s="51">
        <v>138055864673</v>
      </c>
      <c r="D959" s="1">
        <v>167211.9</v>
      </c>
      <c r="E959" s="1">
        <v>10989817.460000001</v>
      </c>
      <c r="F959" t="s">
        <v>1280</v>
      </c>
      <c r="I959" s="16">
        <f>-IFERROR(VLOOKUP(C959,SIRCUPA!$A$21:$H$186,8,0),0)</f>
        <v>0</v>
      </c>
      <c r="J959" s="68">
        <f>-IFERROR(VLOOKUP(C959,SIRTAC!$A$16:$H$1405,8,0),0)</f>
        <v>-1770</v>
      </c>
      <c r="K959" s="68">
        <f>-IFERROR(VLOOKUP(C959,Gastos!$A$9:$J$1398,10,0),0)</f>
        <v>-6956.1</v>
      </c>
      <c r="L959" s="68">
        <f>-IFERROR(VLOOKUP(C959,IDC!$A$20:$H$1596,8,0),0)</f>
        <v>-1062</v>
      </c>
      <c r="M959" s="74">
        <f t="shared" si="20"/>
        <v>177000</v>
      </c>
    </row>
    <row r="960" spans="1:13" customFormat="1">
      <c r="A960" t="s">
        <v>118</v>
      </c>
      <c r="B960" t="s">
        <v>11</v>
      </c>
      <c r="C960" s="51">
        <v>138695928646</v>
      </c>
      <c r="D960" s="1">
        <v>32025.33</v>
      </c>
      <c r="E960" s="1">
        <v>11021842.789999999</v>
      </c>
      <c r="F960" t="s">
        <v>1280</v>
      </c>
      <c r="I960" s="16">
        <f>-IFERROR(VLOOKUP(C960,SIRCUPA!$A$21:$H$186,8,0),0)</f>
        <v>0</v>
      </c>
      <c r="J960" s="68">
        <f>-IFERROR(VLOOKUP(C960,SIRTAC!$A$16:$H$1405,8,0),0)</f>
        <v>-339</v>
      </c>
      <c r="K960" s="68">
        <f>-IFERROR(VLOOKUP(C960,Gastos!$A$9:$J$1398,10,0),0)</f>
        <v>-1332.27</v>
      </c>
      <c r="L960" s="68">
        <f>-IFERROR(VLOOKUP(C960,IDC!$A$20:$H$1596,8,0),0)</f>
        <v>-203.4</v>
      </c>
      <c r="M960" s="74">
        <f t="shared" si="20"/>
        <v>33900</v>
      </c>
    </row>
    <row r="961" spans="1:13" customFormat="1">
      <c r="A961" t="s">
        <v>118</v>
      </c>
      <c r="B961" t="s">
        <v>11</v>
      </c>
      <c r="C961" s="51">
        <v>138696344716</v>
      </c>
      <c r="D961" s="1">
        <v>47846.33</v>
      </c>
      <c r="E961" s="1">
        <v>11069689.119999999</v>
      </c>
      <c r="F961" t="s">
        <v>1280</v>
      </c>
      <c r="I961" s="16">
        <f>-IFERROR(VLOOKUP(C961,SIRCUPA!$A$21:$H$186,8,0),0)</f>
        <v>0</v>
      </c>
      <c r="J961" s="68">
        <f>-IFERROR(VLOOKUP(C961,SIRTAC!$A$16:$H$1405,8,0),0)</f>
        <v>-527</v>
      </c>
      <c r="K961" s="68">
        <f>-IFERROR(VLOOKUP(C961,Gastos!$A$9:$J$1398,10,0),0)</f>
        <v>-4010.47</v>
      </c>
      <c r="L961" s="68">
        <f>-IFERROR(VLOOKUP(C961,IDC!$A$20:$H$1596,8,0),0)</f>
        <v>-316.2</v>
      </c>
      <c r="M961" s="74">
        <f t="shared" si="20"/>
        <v>52700</v>
      </c>
    </row>
    <row r="962" spans="1:13" customFormat="1">
      <c r="A962" t="s">
        <v>118</v>
      </c>
      <c r="B962" t="s">
        <v>11</v>
      </c>
      <c r="C962" s="51">
        <v>138056660625</v>
      </c>
      <c r="D962" s="1">
        <v>28813.35</v>
      </c>
      <c r="E962" s="1">
        <v>11098502.470000001</v>
      </c>
      <c r="F962" t="s">
        <v>1280</v>
      </c>
      <c r="I962" s="16">
        <f>-IFERROR(VLOOKUP(C962,SIRCUPA!$A$21:$H$186,8,0),0)</f>
        <v>0</v>
      </c>
      <c r="J962" s="68">
        <f>-IFERROR(VLOOKUP(C962,SIRTAC!$A$16:$H$1405,8,0),0)</f>
        <v>-305</v>
      </c>
      <c r="K962" s="68">
        <f>-IFERROR(VLOOKUP(C962,Gastos!$A$9:$J$1398,10,0),0)</f>
        <v>-1198.6500000000001</v>
      </c>
      <c r="L962" s="68">
        <f>-IFERROR(VLOOKUP(C962,IDC!$A$20:$H$1596,8,0),0)</f>
        <v>-183</v>
      </c>
      <c r="M962" s="74">
        <f t="shared" si="20"/>
        <v>30500</v>
      </c>
    </row>
    <row r="963" spans="1:13" customFormat="1">
      <c r="A963" t="s">
        <v>118</v>
      </c>
      <c r="B963" t="s">
        <v>11</v>
      </c>
      <c r="C963" s="51">
        <v>138697904534</v>
      </c>
      <c r="D963" s="1">
        <v>58165.71</v>
      </c>
      <c r="E963" s="1">
        <v>11156668.18</v>
      </c>
      <c r="F963" t="s">
        <v>1280</v>
      </c>
      <c r="I963" s="16">
        <f>-IFERROR(VLOOKUP(C963,SIRCUPA!$A$21:$H$186,8,0),0)</f>
        <v>0</v>
      </c>
      <c r="J963" s="68">
        <f>-IFERROR(VLOOKUP(C963,SIRTAC!$A$16:$H$1405,8,0),0)</f>
        <v>-597</v>
      </c>
      <c r="K963" s="68">
        <f>-IFERROR(VLOOKUP(C963,Gastos!$A$9:$J$1398,10,0),0)</f>
        <v>-579.09</v>
      </c>
      <c r="L963" s="68">
        <f>-IFERROR(VLOOKUP(C963,IDC!$A$20:$H$1596,8,0),0)</f>
        <v>-358.2</v>
      </c>
      <c r="M963" s="74">
        <f t="shared" si="20"/>
        <v>59699.999999999993</v>
      </c>
    </row>
    <row r="964" spans="1:13" customFormat="1">
      <c r="A964" t="s">
        <v>118</v>
      </c>
      <c r="B964" t="s">
        <v>11</v>
      </c>
      <c r="C964" s="51">
        <v>138058107457</v>
      </c>
      <c r="D964" s="1">
        <v>50273.88</v>
      </c>
      <c r="E964" s="1">
        <v>11209864.369999999</v>
      </c>
      <c r="F964" t="s">
        <v>1280</v>
      </c>
      <c r="I964" s="16">
        <f>-IFERROR(VLOOKUP(C964,SIRCUPA!$A$21:$H$186,8,0),0)</f>
        <v>0</v>
      </c>
      <c r="J964" s="68">
        <f>-IFERROR(VLOOKUP(C964,SIRTAC!$A$16:$H$1405,8,0),0)</f>
        <v>-516</v>
      </c>
      <c r="K964" s="68">
        <f>-IFERROR(VLOOKUP(C964,Gastos!$A$9:$J$1398,10,0),0)</f>
        <v>-500.52</v>
      </c>
      <c r="L964" s="68">
        <f>-IFERROR(VLOOKUP(C964,IDC!$A$20:$H$1596,8,0),0)</f>
        <v>-309.60000000000002</v>
      </c>
      <c r="M964" s="74">
        <f t="shared" si="20"/>
        <v>51599.999999999993</v>
      </c>
    </row>
    <row r="965" spans="1:13" customFormat="1">
      <c r="A965" t="s">
        <v>118</v>
      </c>
      <c r="B965" t="s">
        <v>11</v>
      </c>
      <c r="C965" s="51">
        <v>138699426344</v>
      </c>
      <c r="D965" s="1">
        <v>30690.45</v>
      </c>
      <c r="E965" s="1">
        <v>11240554.82</v>
      </c>
      <c r="F965" t="s">
        <v>1280</v>
      </c>
      <c r="I965" s="16">
        <f>-IFERROR(VLOOKUP(C965,SIRCUPA!$A$21:$H$186,8,0),0)</f>
        <v>0</v>
      </c>
      <c r="J965" s="68">
        <f>-IFERROR(VLOOKUP(C965,SIRTAC!$A$16:$H$1405,8,0),0)</f>
        <v>-315</v>
      </c>
      <c r="K965" s="68">
        <f>-IFERROR(VLOOKUP(C965,Gastos!$A$9:$J$1398,10,0),0)</f>
        <v>-305.55</v>
      </c>
      <c r="L965" s="68">
        <f>-IFERROR(VLOOKUP(C965,IDC!$A$20:$H$1596,8,0),0)</f>
        <v>-189</v>
      </c>
      <c r="M965" s="74">
        <f t="shared" si="20"/>
        <v>31500</v>
      </c>
    </row>
    <row r="966" spans="1:13" customFormat="1">
      <c r="A966" t="s">
        <v>118</v>
      </c>
      <c r="B966" t="s">
        <v>11</v>
      </c>
      <c r="C966" s="51">
        <v>138060170477</v>
      </c>
      <c r="D966" s="1">
        <v>28546.99</v>
      </c>
      <c r="E966" s="1">
        <v>11269101.810000001</v>
      </c>
      <c r="F966" t="s">
        <v>1280</v>
      </c>
      <c r="I966" s="16">
        <f>-IFERROR(VLOOKUP(C966,SIRCUPA!$A$21:$H$186,8,0),0)</f>
        <v>0</v>
      </c>
      <c r="J966" s="68">
        <f>-IFERROR(VLOOKUP(C966,SIRTAC!$A$16:$H$1405,8,0),0)</f>
        <v>-293</v>
      </c>
      <c r="K966" s="68">
        <f>-IFERROR(VLOOKUP(C966,Gastos!$A$9:$J$1398,10,0),0)</f>
        <v>-284.20999999999998</v>
      </c>
      <c r="L966" s="68">
        <f>-IFERROR(VLOOKUP(C966,IDC!$A$20:$H$1596,8,0),0)</f>
        <v>-175.8</v>
      </c>
      <c r="M966" s="74">
        <f t="shared" si="20"/>
        <v>29300</v>
      </c>
    </row>
    <row r="967" spans="1:13" customFormat="1">
      <c r="A967" t="s">
        <v>118</v>
      </c>
      <c r="B967" t="s">
        <v>11</v>
      </c>
      <c r="C967" s="51">
        <v>138060572491</v>
      </c>
      <c r="D967" s="1">
        <v>15588.8</v>
      </c>
      <c r="E967" s="1">
        <v>11284690.609999999</v>
      </c>
      <c r="F967" t="s">
        <v>1280</v>
      </c>
      <c r="I967" s="16">
        <f>-IFERROR(VLOOKUP(C967,SIRCUPA!$A$21:$H$186,8,0),0)</f>
        <v>0</v>
      </c>
      <c r="J967" s="68">
        <f>-IFERROR(VLOOKUP(C967,SIRTAC!$A$16:$H$1405,8,0),0)</f>
        <v>-160</v>
      </c>
      <c r="K967" s="68">
        <f>-IFERROR(VLOOKUP(C967,Gastos!$A$9:$J$1398,10,0),0)</f>
        <v>-155.19999999999999</v>
      </c>
      <c r="L967" s="68">
        <f>-IFERROR(VLOOKUP(C967,IDC!$A$20:$H$1596,8,0),0)</f>
        <v>-96</v>
      </c>
      <c r="M967" s="74">
        <f t="shared" si="20"/>
        <v>16000</v>
      </c>
    </row>
    <row r="968" spans="1:13" customFormat="1">
      <c r="A968" t="s">
        <v>118</v>
      </c>
      <c r="B968" t="s">
        <v>11</v>
      </c>
      <c r="C968" s="51">
        <v>138061721195</v>
      </c>
      <c r="D968" s="1">
        <v>72080.61</v>
      </c>
      <c r="E968" s="1">
        <v>11356771.220000001</v>
      </c>
      <c r="F968" t="s">
        <v>1280</v>
      </c>
      <c r="I968" s="16">
        <f>-IFERROR(VLOOKUP(C968,SIRCUPA!$A$21:$H$186,8,0),0)</f>
        <v>0</v>
      </c>
      <c r="J968" s="68">
        <f>-IFERROR(VLOOKUP(C968,SIRTAC!$A$16:$H$1405,8,0),0)</f>
        <v>-763</v>
      </c>
      <c r="K968" s="68">
        <f>-IFERROR(VLOOKUP(C968,Gastos!$A$9:$J$1398,10,0),0)</f>
        <v>-2998.59</v>
      </c>
      <c r="L968" s="68">
        <f>-IFERROR(VLOOKUP(C968,IDC!$A$20:$H$1596,8,0),0)</f>
        <v>-457.8</v>
      </c>
      <c r="M968" s="74">
        <f t="shared" si="20"/>
        <v>76300</v>
      </c>
    </row>
    <row r="969" spans="1:13" customFormat="1">
      <c r="A969" t="s">
        <v>118</v>
      </c>
      <c r="B969" t="s">
        <v>11</v>
      </c>
      <c r="C969" s="51">
        <v>138061896843</v>
      </c>
      <c r="D969" s="1">
        <v>34387.08</v>
      </c>
      <c r="E969" s="1">
        <v>11391158.300000001</v>
      </c>
      <c r="F969" t="s">
        <v>1280</v>
      </c>
      <c r="I969" s="16">
        <f>-IFERROR(VLOOKUP(C969,SIRCUPA!$A$21:$H$186,8,0),0)</f>
        <v>0</v>
      </c>
      <c r="J969" s="68">
        <f>-IFERROR(VLOOKUP(C969,SIRTAC!$A$16:$H$1405,8,0),0)</f>
        <v>-364</v>
      </c>
      <c r="K969" s="68">
        <f>-IFERROR(VLOOKUP(C969,Gastos!$A$9:$J$1398,10,0),0)</f>
        <v>-1430.52</v>
      </c>
      <c r="L969" s="68">
        <f>-IFERROR(VLOOKUP(C969,IDC!$A$20:$H$1596,8,0),0)</f>
        <v>-218.4</v>
      </c>
      <c r="M969" s="74">
        <f t="shared" si="20"/>
        <v>36400</v>
      </c>
    </row>
    <row r="970" spans="1:13" customFormat="1">
      <c r="A970" t="s">
        <v>118</v>
      </c>
      <c r="B970" t="s">
        <v>11</v>
      </c>
      <c r="C970" s="51">
        <v>138701890684</v>
      </c>
      <c r="D970" s="1">
        <v>107601.33</v>
      </c>
      <c r="E970" s="1">
        <v>11498759.630000001</v>
      </c>
      <c r="F970" t="s">
        <v>1280</v>
      </c>
      <c r="I970" s="16">
        <f>-IFERROR(VLOOKUP(C970,SIRCUPA!$A$21:$H$186,8,0),0)</f>
        <v>0</v>
      </c>
      <c r="J970" s="68">
        <f>-IFERROR(VLOOKUP(C970,SIRTAC!$A$16:$H$1405,8,0),0)</f>
        <v>-1139</v>
      </c>
      <c r="K970" s="68">
        <f>-IFERROR(VLOOKUP(C970,Gastos!$A$9:$J$1398,10,0),0)</f>
        <v>-4476.2700000000004</v>
      </c>
      <c r="L970" s="68">
        <f>-IFERROR(VLOOKUP(C970,IDC!$A$20:$H$1596,8,0),0)</f>
        <v>-683.4</v>
      </c>
      <c r="M970" s="74">
        <f t="shared" si="20"/>
        <v>113900</v>
      </c>
    </row>
    <row r="971" spans="1:13" customFormat="1">
      <c r="A971" t="s">
        <v>118</v>
      </c>
      <c r="B971" t="s">
        <v>11</v>
      </c>
      <c r="C971" s="51">
        <v>138062703771</v>
      </c>
      <c r="D971" s="1">
        <v>56304.12</v>
      </c>
      <c r="E971" s="1">
        <v>11555063.75</v>
      </c>
      <c r="F971" t="s">
        <v>1280</v>
      </c>
      <c r="I971" s="16">
        <f>-IFERROR(VLOOKUP(C971,SIRCUPA!$A$21:$H$186,8,0),0)</f>
        <v>0</v>
      </c>
      <c r="J971" s="68">
        <f>-IFERROR(VLOOKUP(C971,SIRTAC!$A$16:$H$1405,8,0),0)</f>
        <v>-596</v>
      </c>
      <c r="K971" s="68">
        <f>-IFERROR(VLOOKUP(C971,Gastos!$A$9:$J$1398,10,0),0)</f>
        <v>-2342.2800000000002</v>
      </c>
      <c r="L971" s="68">
        <f>-IFERROR(VLOOKUP(C971,IDC!$A$20:$H$1596,8,0),0)</f>
        <v>-357.6</v>
      </c>
      <c r="M971" s="74">
        <f t="shared" si="20"/>
        <v>59600</v>
      </c>
    </row>
    <row r="972" spans="1:13" customFormat="1">
      <c r="A972" t="s">
        <v>118</v>
      </c>
      <c r="B972" t="s">
        <v>11</v>
      </c>
      <c r="C972" s="51">
        <v>138702659938</v>
      </c>
      <c r="D972" s="1">
        <v>101716.92</v>
      </c>
      <c r="E972" s="1">
        <v>11656780.67</v>
      </c>
      <c r="F972" t="s">
        <v>1280</v>
      </c>
      <c r="I972" s="16">
        <f>-IFERROR(VLOOKUP(C972,SIRCUPA!$A$21:$H$186,8,0),0)</f>
        <v>0</v>
      </c>
      <c r="J972" s="68">
        <f>-IFERROR(VLOOKUP(C972,SIRTAC!$A$16:$H$1405,8,0),0)</f>
        <v>-1044</v>
      </c>
      <c r="K972" s="68">
        <f>-IFERROR(VLOOKUP(C972,Gastos!$A$9:$J$1398,10,0),0)</f>
        <v>-1012.68</v>
      </c>
      <c r="L972" s="68">
        <f>-IFERROR(VLOOKUP(C972,IDC!$A$20:$H$1596,8,0),0)</f>
        <v>-626.4</v>
      </c>
      <c r="M972" s="74">
        <f t="shared" si="20"/>
        <v>104399.99999999999</v>
      </c>
    </row>
    <row r="973" spans="1:13" customFormat="1">
      <c r="A973" t="s">
        <v>118</v>
      </c>
      <c r="B973" t="s">
        <v>11</v>
      </c>
      <c r="C973" s="51">
        <v>138702853772</v>
      </c>
      <c r="D973" s="1">
        <v>4505.28</v>
      </c>
      <c r="E973" s="1">
        <v>11661285.949999999</v>
      </c>
      <c r="F973" t="s">
        <v>1280</v>
      </c>
      <c r="I973" s="16">
        <f>-IFERROR(VLOOKUP(C973,SIRCUPA!$A$21:$H$186,8,0),0)</f>
        <v>0</v>
      </c>
      <c r="J973" s="68">
        <f>-IFERROR(VLOOKUP(C973,SIRTAC!$A$16:$H$1405,8,0),0)</f>
        <v>-48</v>
      </c>
      <c r="K973" s="68">
        <f>-IFERROR(VLOOKUP(C973,Gastos!$A$9:$J$1398,10,0),0)</f>
        <v>-217.92</v>
      </c>
      <c r="L973" s="68">
        <f>-IFERROR(VLOOKUP(C973,IDC!$A$20:$H$1596,8,0),0)</f>
        <v>-28.8</v>
      </c>
      <c r="M973" s="74">
        <f t="shared" si="20"/>
        <v>4800</v>
      </c>
    </row>
    <row r="974" spans="1:13" customFormat="1">
      <c r="A974" t="s">
        <v>118</v>
      </c>
      <c r="B974" t="s">
        <v>11</v>
      </c>
      <c r="C974" s="51">
        <v>138703142834</v>
      </c>
      <c r="D974" s="1">
        <v>4676.6400000000003</v>
      </c>
      <c r="E974" s="1">
        <v>11665962.59</v>
      </c>
      <c r="F974" t="s">
        <v>1280</v>
      </c>
      <c r="I974" s="16">
        <f>-IFERROR(VLOOKUP(C974,SIRCUPA!$A$21:$H$186,8,0),0)</f>
        <v>0</v>
      </c>
      <c r="J974" s="68">
        <f>-IFERROR(VLOOKUP(C974,SIRTAC!$A$16:$H$1405,8,0),0)</f>
        <v>-48</v>
      </c>
      <c r="K974" s="68">
        <f>-IFERROR(VLOOKUP(C974,Gastos!$A$9:$J$1398,10,0),0)</f>
        <v>-46.56</v>
      </c>
      <c r="L974" s="68">
        <f>-IFERROR(VLOOKUP(C974,IDC!$A$20:$H$1596,8,0),0)</f>
        <v>-28.8</v>
      </c>
      <c r="M974" s="74">
        <f t="shared" si="20"/>
        <v>4800.0000000000009</v>
      </c>
    </row>
    <row r="975" spans="1:13" customFormat="1">
      <c r="A975" t="s">
        <v>127</v>
      </c>
      <c r="B975" t="s">
        <v>11</v>
      </c>
      <c r="C975" s="51">
        <v>138703994676</v>
      </c>
      <c r="D975" s="1">
        <v>49397.01</v>
      </c>
      <c r="E975" s="1">
        <v>11715359.6</v>
      </c>
      <c r="F975" t="s">
        <v>1280</v>
      </c>
      <c r="I975" s="16">
        <f>-IFERROR(VLOOKUP(C975,SIRCUPA!$A$21:$H$186,8,0),0)</f>
        <v>0</v>
      </c>
      <c r="J975" s="68">
        <f>-IFERROR(VLOOKUP(C975,SIRTAC!$A$16:$H$1405,8,0),0)</f>
        <v>-507</v>
      </c>
      <c r="K975" s="68">
        <f>-IFERROR(VLOOKUP(C975,Gastos!$A$9:$J$1398,10,0),0)</f>
        <v>-491.79</v>
      </c>
      <c r="L975" s="68">
        <f>-IFERROR(VLOOKUP(C975,IDC!$A$20:$H$1596,8,0),0)</f>
        <v>-304.2</v>
      </c>
      <c r="M975" s="74">
        <f t="shared" si="20"/>
        <v>50700</v>
      </c>
    </row>
    <row r="976" spans="1:13" customFormat="1">
      <c r="A976" t="s">
        <v>127</v>
      </c>
      <c r="B976" t="s">
        <v>11</v>
      </c>
      <c r="C976" s="51">
        <v>138704550514</v>
      </c>
      <c r="D976" s="1">
        <v>64206.37</v>
      </c>
      <c r="E976" s="1">
        <v>11779565.970000001</v>
      </c>
      <c r="F976" t="s">
        <v>1280</v>
      </c>
      <c r="I976" s="16">
        <f>-IFERROR(VLOOKUP(C976,SIRCUPA!$A$21:$H$186,8,0),0)</f>
        <v>0</v>
      </c>
      <c r="J976" s="68">
        <f>-IFERROR(VLOOKUP(C976,SIRTAC!$A$16:$H$1405,8,0),0)</f>
        <v>-659</v>
      </c>
      <c r="K976" s="68">
        <f>-IFERROR(VLOOKUP(C976,Gastos!$A$9:$J$1398,10,0),0)</f>
        <v>-639.23</v>
      </c>
      <c r="L976" s="68">
        <f>-IFERROR(VLOOKUP(C976,IDC!$A$20:$H$1596,8,0),0)</f>
        <v>-395.4</v>
      </c>
      <c r="M976" s="74">
        <f t="shared" si="20"/>
        <v>65900</v>
      </c>
    </row>
    <row r="977" spans="1:13" customFormat="1">
      <c r="A977" t="s">
        <v>127</v>
      </c>
      <c r="B977" t="s">
        <v>11</v>
      </c>
      <c r="C977" s="51">
        <v>138705039232</v>
      </c>
      <c r="D977" s="1">
        <v>4871.5</v>
      </c>
      <c r="E977" s="1">
        <v>11790889.08</v>
      </c>
      <c r="F977" t="s">
        <v>1280</v>
      </c>
      <c r="I977" s="16">
        <f>-IFERROR(VLOOKUP(C977,SIRCUPA!$A$21:$H$186,8,0),0)</f>
        <v>0</v>
      </c>
      <c r="J977" s="68">
        <f>-IFERROR(VLOOKUP(C977,SIRTAC!$A$16:$H$1405,8,0),0)</f>
        <v>-50</v>
      </c>
      <c r="K977" s="68">
        <f>-IFERROR(VLOOKUP(C977,Gastos!$A$9:$J$1398,10,0),0)</f>
        <v>-48.5</v>
      </c>
      <c r="L977" s="68">
        <f>-IFERROR(VLOOKUP(C977,IDC!$A$20:$H$1596,8,0),0)</f>
        <v>-30</v>
      </c>
      <c r="M977" s="74">
        <f t="shared" si="20"/>
        <v>5000</v>
      </c>
    </row>
    <row r="978" spans="1:13" customFormat="1">
      <c r="A978" t="s">
        <v>127</v>
      </c>
      <c r="B978" t="s">
        <v>11</v>
      </c>
      <c r="C978" s="51">
        <v>138706049188</v>
      </c>
      <c r="D978" s="1">
        <v>42511.5</v>
      </c>
      <c r="E978" s="1">
        <v>11833400.58</v>
      </c>
      <c r="F978" t="s">
        <v>1280</v>
      </c>
      <c r="I978" s="16">
        <f>-IFERROR(VLOOKUP(C978,SIRCUPA!$A$21:$H$186,8,0),0)</f>
        <v>0</v>
      </c>
      <c r="J978" s="68">
        <f>-IFERROR(VLOOKUP(C978,SIRTAC!$A$16:$H$1405,8,0),0)</f>
        <v>-450</v>
      </c>
      <c r="K978" s="68">
        <f>-IFERROR(VLOOKUP(C978,Gastos!$A$9:$J$1398,10,0),0)</f>
        <v>-1768.5</v>
      </c>
      <c r="L978" s="68">
        <f>-IFERROR(VLOOKUP(C978,IDC!$A$20:$H$1596,8,0),0)</f>
        <v>-270</v>
      </c>
      <c r="M978" s="74">
        <f t="shared" si="20"/>
        <v>45000</v>
      </c>
    </row>
    <row r="979" spans="1:13" customFormat="1">
      <c r="A979" t="s">
        <v>127</v>
      </c>
      <c r="B979" t="s">
        <v>11</v>
      </c>
      <c r="C979" s="51">
        <v>138066372851</v>
      </c>
      <c r="D979" s="1">
        <v>4505.28</v>
      </c>
      <c r="E979" s="1">
        <v>11837905.859999999</v>
      </c>
      <c r="F979" t="s">
        <v>1280</v>
      </c>
      <c r="I979" s="16">
        <f>-IFERROR(VLOOKUP(C979,SIRCUPA!$A$21:$H$186,8,0),0)</f>
        <v>0</v>
      </c>
      <c r="J979" s="68">
        <f>-IFERROR(VLOOKUP(C979,SIRTAC!$A$16:$H$1405,8,0),0)</f>
        <v>-48</v>
      </c>
      <c r="K979" s="68">
        <f>-IFERROR(VLOOKUP(C979,Gastos!$A$9:$J$1398,10,0),0)</f>
        <v>-217.92</v>
      </c>
      <c r="L979" s="68">
        <f>-IFERROR(VLOOKUP(C979,IDC!$A$20:$H$1596,8,0),0)</f>
        <v>-28.8</v>
      </c>
      <c r="M979" s="74">
        <f t="shared" si="20"/>
        <v>4800</v>
      </c>
    </row>
    <row r="980" spans="1:13" customFormat="1">
      <c r="A980" t="s">
        <v>127</v>
      </c>
      <c r="B980" t="s">
        <v>11</v>
      </c>
      <c r="C980" s="51">
        <v>138706937248</v>
      </c>
      <c r="D980" s="1">
        <v>52619.79</v>
      </c>
      <c r="E980" s="1">
        <v>11890525.65</v>
      </c>
      <c r="F980" t="s">
        <v>1280</v>
      </c>
      <c r="I980" s="16">
        <f>-IFERROR(VLOOKUP(C980,SIRCUPA!$A$21:$H$186,8,0),0)</f>
        <v>0</v>
      </c>
      <c r="J980" s="68">
        <f>-IFERROR(VLOOKUP(C980,SIRTAC!$A$16:$H$1405,8,0),0)</f>
        <v>-557</v>
      </c>
      <c r="K980" s="68">
        <f>-IFERROR(VLOOKUP(C980,Gastos!$A$9:$J$1398,10,0),0)</f>
        <v>-2189.0100000000002</v>
      </c>
      <c r="L980" s="68">
        <f>-IFERROR(VLOOKUP(C980,IDC!$A$20:$H$1596,8,0),0)</f>
        <v>-334.2</v>
      </c>
      <c r="M980" s="74">
        <f t="shared" si="20"/>
        <v>55700</v>
      </c>
    </row>
    <row r="981" spans="1:13" customFormat="1">
      <c r="A981" t="s">
        <v>127</v>
      </c>
      <c r="B981" t="s">
        <v>11</v>
      </c>
      <c r="C981" s="51">
        <v>138707444206</v>
      </c>
      <c r="D981" s="1">
        <v>86156.64</v>
      </c>
      <c r="E981" s="1">
        <v>11976682.289999999</v>
      </c>
      <c r="F981" t="s">
        <v>1280</v>
      </c>
      <c r="I981" s="16">
        <f>-IFERROR(VLOOKUP(C981,SIRCUPA!$A$21:$H$186,8,0),0)</f>
        <v>0</v>
      </c>
      <c r="J981" s="68">
        <f>-IFERROR(VLOOKUP(C981,SIRTAC!$A$16:$H$1405,8,0),0)</f>
        <v>-912</v>
      </c>
      <c r="K981" s="68">
        <f>-IFERROR(VLOOKUP(C981,Gastos!$A$9:$J$1398,10,0),0)</f>
        <v>-3584.16</v>
      </c>
      <c r="L981" s="68">
        <f>-IFERROR(VLOOKUP(C981,IDC!$A$20:$H$1596,8,0),0)</f>
        <v>-547.20000000000005</v>
      </c>
      <c r="M981" s="74">
        <f t="shared" si="20"/>
        <v>91200</v>
      </c>
    </row>
    <row r="982" spans="1:13" customFormat="1">
      <c r="A982" t="s">
        <v>127</v>
      </c>
      <c r="B982" t="s">
        <v>11</v>
      </c>
      <c r="C982" s="51">
        <v>138067716027</v>
      </c>
      <c r="D982" s="1">
        <v>42869.11</v>
      </c>
      <c r="E982" s="1">
        <v>12019551.4</v>
      </c>
      <c r="F982" t="s">
        <v>1280</v>
      </c>
      <c r="I982" s="16">
        <f>-IFERROR(VLOOKUP(C982,SIRCUPA!$A$21:$H$186,8,0),0)</f>
        <v>0</v>
      </c>
      <c r="J982" s="68">
        <f>-IFERROR(VLOOKUP(C982,SIRTAC!$A$16:$H$1405,8,0),0)</f>
        <v>-443</v>
      </c>
      <c r="K982" s="68">
        <f>-IFERROR(VLOOKUP(C982,Gastos!$A$9:$J$1398,10,0),0)</f>
        <v>-722.09</v>
      </c>
      <c r="L982" s="68">
        <f>-IFERROR(VLOOKUP(C982,IDC!$A$20:$H$1596,8,0),0)</f>
        <v>-265.8</v>
      </c>
      <c r="M982" s="74">
        <f t="shared" si="20"/>
        <v>44300</v>
      </c>
    </row>
    <row r="983" spans="1:13" customFormat="1">
      <c r="A983" t="s">
        <v>127</v>
      </c>
      <c r="B983" t="s">
        <v>11</v>
      </c>
      <c r="C983" s="51">
        <v>138708147740</v>
      </c>
      <c r="D983" s="1">
        <v>41700.04</v>
      </c>
      <c r="E983" s="1">
        <v>12061251.439999999</v>
      </c>
      <c r="F983" t="s">
        <v>1280</v>
      </c>
      <c r="I983" s="16">
        <f>-IFERROR(VLOOKUP(C983,SIRCUPA!$A$21:$H$186,8,0),0)</f>
        <v>0</v>
      </c>
      <c r="J983" s="68">
        <f>-IFERROR(VLOOKUP(C983,SIRTAC!$A$16:$H$1405,8,0),0)</f>
        <v>-428</v>
      </c>
      <c r="K983" s="68">
        <f>-IFERROR(VLOOKUP(C983,Gastos!$A$9:$J$1398,10,0),0)</f>
        <v>-415.16</v>
      </c>
      <c r="L983" s="68">
        <f>-IFERROR(VLOOKUP(C983,IDC!$A$20:$H$1596,8,0),0)</f>
        <v>-256.8</v>
      </c>
      <c r="M983" s="74">
        <f t="shared" si="20"/>
        <v>42800.000000000007</v>
      </c>
    </row>
    <row r="984" spans="1:13" customFormat="1">
      <c r="A984" t="s">
        <v>127</v>
      </c>
      <c r="B984" t="s">
        <v>11</v>
      </c>
      <c r="C984" s="51">
        <v>138068490929</v>
      </c>
      <c r="D984" s="1">
        <v>33613.35</v>
      </c>
      <c r="E984" s="1">
        <v>12094864.789999999</v>
      </c>
      <c r="F984" t="s">
        <v>1280</v>
      </c>
      <c r="I984" s="16">
        <f>-IFERROR(VLOOKUP(C984,SIRCUPA!$A$21:$H$186,8,0),0)</f>
        <v>0</v>
      </c>
      <c r="J984" s="68">
        <f>-IFERROR(VLOOKUP(C984,SIRTAC!$A$16:$H$1405,8,0),0)</f>
        <v>-345</v>
      </c>
      <c r="K984" s="68">
        <f>-IFERROR(VLOOKUP(C984,Gastos!$A$9:$J$1398,10,0),0)</f>
        <v>-334.65</v>
      </c>
      <c r="L984" s="68">
        <f>-IFERROR(VLOOKUP(C984,IDC!$A$20:$H$1596,8,0),0)</f>
        <v>-207</v>
      </c>
      <c r="M984" s="74">
        <f t="shared" si="20"/>
        <v>34500</v>
      </c>
    </row>
    <row r="985" spans="1:13" customFormat="1">
      <c r="A985" t="s">
        <v>127</v>
      </c>
      <c r="B985" t="s">
        <v>11</v>
      </c>
      <c r="C985" s="51">
        <v>138068724249</v>
      </c>
      <c r="D985" s="1">
        <v>46279.25</v>
      </c>
      <c r="E985" s="1">
        <v>12141144.039999999</v>
      </c>
      <c r="F985" t="s">
        <v>1280</v>
      </c>
      <c r="I985" s="16">
        <f>-IFERROR(VLOOKUP(C985,SIRCUPA!$A$21:$H$186,8,0),0)</f>
        <v>0</v>
      </c>
      <c r="J985" s="68">
        <f>-IFERROR(VLOOKUP(C985,SIRTAC!$A$16:$H$1405,8,0),0)</f>
        <v>-475</v>
      </c>
      <c r="K985" s="68">
        <f>-IFERROR(VLOOKUP(C985,Gastos!$A$9:$J$1398,10,0),0)</f>
        <v>-460.75</v>
      </c>
      <c r="L985" s="68">
        <f>-IFERROR(VLOOKUP(C985,IDC!$A$20:$H$1596,8,0),0)</f>
        <v>-285</v>
      </c>
      <c r="M985" s="74">
        <f t="shared" si="20"/>
        <v>47500</v>
      </c>
    </row>
    <row r="986" spans="1:13" customFormat="1">
      <c r="A986" t="s">
        <v>127</v>
      </c>
      <c r="B986" t="s">
        <v>11</v>
      </c>
      <c r="C986" s="51">
        <v>138709041032</v>
      </c>
      <c r="D986" s="1">
        <v>65765.25</v>
      </c>
      <c r="E986" s="1">
        <v>12206909.289999999</v>
      </c>
      <c r="F986" t="s">
        <v>1280</v>
      </c>
      <c r="I986" s="16">
        <f>-IFERROR(VLOOKUP(C986,SIRCUPA!$A$21:$H$186,8,0),0)</f>
        <v>0</v>
      </c>
      <c r="J986" s="68">
        <f>-IFERROR(VLOOKUP(C986,SIRTAC!$A$16:$H$1405,8,0),0)</f>
        <v>-675</v>
      </c>
      <c r="K986" s="68">
        <f>-IFERROR(VLOOKUP(C986,Gastos!$A$9:$J$1398,10,0),0)</f>
        <v>-654.75</v>
      </c>
      <c r="L986" s="68">
        <f>-IFERROR(VLOOKUP(C986,IDC!$A$20:$H$1596,8,0),0)</f>
        <v>-405</v>
      </c>
      <c r="M986" s="74">
        <f t="shared" si="20"/>
        <v>67500</v>
      </c>
    </row>
    <row r="987" spans="1:13" customFormat="1">
      <c r="A987" t="s">
        <v>127</v>
      </c>
      <c r="B987" t="s">
        <v>11</v>
      </c>
      <c r="C987" s="51">
        <v>138709043828</v>
      </c>
      <c r="D987" s="1">
        <v>45986.96</v>
      </c>
      <c r="E987" s="1">
        <v>12252896.25</v>
      </c>
      <c r="F987" t="s">
        <v>1280</v>
      </c>
      <c r="I987" s="16">
        <f>-IFERROR(VLOOKUP(C987,SIRCUPA!$A$21:$H$186,8,0),0)</f>
        <v>0</v>
      </c>
      <c r="J987" s="68">
        <f>-IFERROR(VLOOKUP(C987,SIRTAC!$A$16:$H$1405,8,0),0)</f>
        <v>-472</v>
      </c>
      <c r="K987" s="68">
        <f>-IFERROR(VLOOKUP(C987,Gastos!$A$9:$J$1398,10,0),0)</f>
        <v>-457.84</v>
      </c>
      <c r="L987" s="68">
        <f>-IFERROR(VLOOKUP(C987,IDC!$A$20:$H$1596,8,0),0)</f>
        <v>-283.2</v>
      </c>
      <c r="M987" s="74">
        <f t="shared" si="20"/>
        <v>47199.999999999993</v>
      </c>
    </row>
    <row r="988" spans="1:13" customFormat="1">
      <c r="A988" t="s">
        <v>118</v>
      </c>
      <c r="B988" t="s">
        <v>125</v>
      </c>
      <c r="C988" s="51">
        <v>138053901839</v>
      </c>
      <c r="D988" s="1">
        <v>3974.74</v>
      </c>
      <c r="E988" s="1">
        <v>10766112.5</v>
      </c>
      <c r="F988" t="s">
        <v>1280</v>
      </c>
      <c r="I988" s="16">
        <f>-IFERROR(VLOOKUP(C988,SIRCUPA!$A$21:$H$186,8,0),0)</f>
        <v>-60.9</v>
      </c>
      <c r="J988" s="68">
        <f>-IFERROR(VLOOKUP(C988,SIRTAC!$A$16:$H$1405,8,0),0)</f>
        <v>0</v>
      </c>
      <c r="K988" s="68">
        <f>-IFERROR(VLOOKUP(C988,Gastos!$A$9:$J$1398,10,0),0)</f>
        <v>0</v>
      </c>
      <c r="L988" s="68">
        <f>-IFERROR(VLOOKUP(C988,IDC!$A$20:$H$1596,8,0),0)</f>
        <v>-24.36</v>
      </c>
      <c r="M988" s="74">
        <f t="shared" si="20"/>
        <v>4060</v>
      </c>
    </row>
    <row r="989" spans="1:13" customFormat="1">
      <c r="A989" t="s">
        <v>127</v>
      </c>
      <c r="B989" t="s">
        <v>11</v>
      </c>
      <c r="C989" s="51">
        <v>138709514288</v>
      </c>
      <c r="D989" s="1">
        <v>20168.009999999998</v>
      </c>
      <c r="E989" s="1">
        <v>12277685.140000001</v>
      </c>
      <c r="F989" t="s">
        <v>1280</v>
      </c>
      <c r="I989" s="16">
        <f>-IFERROR(VLOOKUP(C989,SIRCUPA!$A$21:$H$186,8,0),0)</f>
        <v>0</v>
      </c>
      <c r="J989" s="68">
        <f>-IFERROR(VLOOKUP(C989,SIRTAC!$A$16:$H$1405,8,0),0)</f>
        <v>-207</v>
      </c>
      <c r="K989" s="68">
        <f>-IFERROR(VLOOKUP(C989,Gastos!$A$9:$J$1398,10,0),0)</f>
        <v>-200.79</v>
      </c>
      <c r="L989" s="68">
        <f>-IFERROR(VLOOKUP(C989,IDC!$A$20:$H$1596,8,0),0)</f>
        <v>-124.2</v>
      </c>
      <c r="M989" s="74">
        <f t="shared" si="20"/>
        <v>20700</v>
      </c>
    </row>
    <row r="990" spans="1:13" customFormat="1">
      <c r="A990" t="s">
        <v>127</v>
      </c>
      <c r="B990" t="s">
        <v>11</v>
      </c>
      <c r="C990" s="51">
        <v>138710020218</v>
      </c>
      <c r="D990" s="1">
        <v>36633.68</v>
      </c>
      <c r="E990" s="1">
        <v>12314318.82</v>
      </c>
      <c r="F990" t="s">
        <v>1280</v>
      </c>
      <c r="I990" s="16">
        <f>-IFERROR(VLOOKUP(C990,SIRCUPA!$A$21:$H$186,8,0),0)</f>
        <v>0</v>
      </c>
      <c r="J990" s="68">
        <f>-IFERROR(VLOOKUP(C990,SIRTAC!$A$16:$H$1405,8,0),0)</f>
        <v>-376</v>
      </c>
      <c r="K990" s="68">
        <f>-IFERROR(VLOOKUP(C990,Gastos!$A$9:$J$1398,10,0),0)</f>
        <v>-364.72</v>
      </c>
      <c r="L990" s="68">
        <f>-IFERROR(VLOOKUP(C990,IDC!$A$20:$H$1596,8,0),0)</f>
        <v>-225.6</v>
      </c>
      <c r="M990" s="74">
        <f t="shared" si="20"/>
        <v>37600</v>
      </c>
    </row>
    <row r="991" spans="1:13" customFormat="1">
      <c r="A991" t="s">
        <v>127</v>
      </c>
      <c r="B991" t="s">
        <v>11</v>
      </c>
      <c r="C991" s="51">
        <v>138710023050</v>
      </c>
      <c r="D991" s="1">
        <v>4723.5</v>
      </c>
      <c r="E991" s="1">
        <v>12319042.32</v>
      </c>
      <c r="F991" t="s">
        <v>1280</v>
      </c>
      <c r="I991" s="16">
        <f>-IFERROR(VLOOKUP(C991,SIRCUPA!$A$21:$H$186,8,0),0)</f>
        <v>0</v>
      </c>
      <c r="J991" s="68">
        <f>-IFERROR(VLOOKUP(C991,SIRTAC!$A$16:$H$1405,8,0),0)</f>
        <v>-50</v>
      </c>
      <c r="K991" s="68">
        <f>-IFERROR(VLOOKUP(C991,Gastos!$A$9:$J$1398,10,0),0)</f>
        <v>-196.5</v>
      </c>
      <c r="L991" s="68">
        <f>-IFERROR(VLOOKUP(C991,IDC!$A$20:$H$1596,8,0),0)</f>
        <v>-30</v>
      </c>
      <c r="M991" s="74">
        <f t="shared" si="20"/>
        <v>5000</v>
      </c>
    </row>
    <row r="992" spans="1:13" customFormat="1">
      <c r="A992" t="s">
        <v>127</v>
      </c>
      <c r="B992" t="s">
        <v>11</v>
      </c>
      <c r="C992" s="51">
        <v>138069999425</v>
      </c>
      <c r="D992" s="1">
        <v>4534.5600000000004</v>
      </c>
      <c r="E992" s="1">
        <v>12323576.880000001</v>
      </c>
      <c r="F992" t="s">
        <v>1280</v>
      </c>
      <c r="I992" s="16">
        <f>-IFERROR(VLOOKUP(C992,SIRCUPA!$A$21:$H$186,8,0),0)</f>
        <v>0</v>
      </c>
      <c r="J992" s="68">
        <f>-IFERROR(VLOOKUP(C992,SIRTAC!$A$16:$H$1405,8,0),0)</f>
        <v>-48</v>
      </c>
      <c r="K992" s="68">
        <f>-IFERROR(VLOOKUP(C992,Gastos!$A$9:$J$1398,10,0),0)</f>
        <v>-188.64</v>
      </c>
      <c r="L992" s="68">
        <f>-IFERROR(VLOOKUP(C992,IDC!$A$20:$H$1596,8,0),0)</f>
        <v>-28.8</v>
      </c>
      <c r="M992" s="74">
        <f t="shared" si="20"/>
        <v>4800.0000000000009</v>
      </c>
    </row>
    <row r="993" spans="1:13" customFormat="1">
      <c r="A993" t="s">
        <v>127</v>
      </c>
      <c r="B993" t="s">
        <v>11</v>
      </c>
      <c r="C993" s="51">
        <v>138070771505</v>
      </c>
      <c r="D993" s="1">
        <v>5358.65</v>
      </c>
      <c r="E993" s="1">
        <v>12328935.529999999</v>
      </c>
      <c r="F993" t="s">
        <v>1280</v>
      </c>
      <c r="I993" s="16">
        <f>-IFERROR(VLOOKUP(C993,SIRCUPA!$A$21:$H$186,8,0),0)</f>
        <v>0</v>
      </c>
      <c r="J993" s="68">
        <f>-IFERROR(VLOOKUP(C993,SIRTAC!$A$16:$H$1405,8,0),0)</f>
        <v>-55</v>
      </c>
      <c r="K993" s="68">
        <f>-IFERROR(VLOOKUP(C993,Gastos!$A$9:$J$1398,10,0),0)</f>
        <v>-53.35</v>
      </c>
      <c r="L993" s="68">
        <f>-IFERROR(VLOOKUP(C993,IDC!$A$20:$H$1596,8,0),0)</f>
        <v>-33</v>
      </c>
      <c r="M993" s="74">
        <f t="shared" si="20"/>
        <v>5500</v>
      </c>
    </row>
    <row r="994" spans="1:13" customFormat="1">
      <c r="A994" t="s">
        <v>127</v>
      </c>
      <c r="B994" t="s">
        <v>11</v>
      </c>
      <c r="C994" s="51">
        <v>138710725930</v>
      </c>
      <c r="D994" s="1">
        <v>5358.65</v>
      </c>
      <c r="E994" s="1">
        <v>12334294.18</v>
      </c>
      <c r="F994" t="s">
        <v>1280</v>
      </c>
      <c r="I994" s="16">
        <f>-IFERROR(VLOOKUP(C994,SIRCUPA!$A$21:$H$186,8,0),0)</f>
        <v>0</v>
      </c>
      <c r="J994" s="68">
        <f>-IFERROR(VLOOKUP(C994,SIRTAC!$A$16:$H$1405,8,0),0)</f>
        <v>-55</v>
      </c>
      <c r="K994" s="68">
        <f>-IFERROR(VLOOKUP(C994,Gastos!$A$9:$J$1398,10,0),0)</f>
        <v>-53.35</v>
      </c>
      <c r="L994" s="68">
        <f>-IFERROR(VLOOKUP(C994,IDC!$A$20:$H$1596,8,0),0)</f>
        <v>-33</v>
      </c>
      <c r="M994" s="74">
        <f t="shared" si="20"/>
        <v>5500</v>
      </c>
    </row>
    <row r="995" spans="1:13" customFormat="1">
      <c r="A995" t="s">
        <v>118</v>
      </c>
      <c r="B995" t="s">
        <v>126</v>
      </c>
      <c r="C995" s="51">
        <v>138697916442</v>
      </c>
      <c r="D995" s="1">
        <v>2922.31</v>
      </c>
      <c r="E995" s="1">
        <v>11159590.49</v>
      </c>
      <c r="F995" t="s">
        <v>1280</v>
      </c>
      <c r="I995" s="16">
        <f>-IFERROR(VLOOKUP(C995,SIRCUPA!$A$21:$H$186,8,0),0)</f>
        <v>-44.78</v>
      </c>
      <c r="J995" s="68">
        <f>-IFERROR(VLOOKUP(C995,SIRTAC!$A$16:$H$1405,8,0),0)</f>
        <v>0</v>
      </c>
      <c r="K995" s="68">
        <f>-IFERROR(VLOOKUP(C995,Gastos!$A$9:$J$1398,10,0),0)</f>
        <v>0</v>
      </c>
      <c r="L995" s="68">
        <f>-IFERROR(VLOOKUP(C995,IDC!$A$20:$H$1596,8,0),0)</f>
        <v>-17.91</v>
      </c>
      <c r="M995" s="74">
        <f t="shared" si="20"/>
        <v>2985</v>
      </c>
    </row>
    <row r="996" spans="1:13" customFormat="1">
      <c r="A996" t="s">
        <v>127</v>
      </c>
      <c r="B996" t="s">
        <v>11</v>
      </c>
      <c r="C996" s="51">
        <v>138071304667</v>
      </c>
      <c r="D996" s="1">
        <v>25818.95</v>
      </c>
      <c r="E996" s="1">
        <v>12360113.130000001</v>
      </c>
      <c r="F996" t="s">
        <v>1280</v>
      </c>
      <c r="I996" s="16">
        <f>-IFERROR(VLOOKUP(C996,SIRCUPA!$A$21:$H$186,8,0),0)</f>
        <v>0</v>
      </c>
      <c r="J996" s="68">
        <f>-IFERROR(VLOOKUP(C996,SIRTAC!$A$16:$H$1405,8,0),0)</f>
        <v>-265</v>
      </c>
      <c r="K996" s="68">
        <f>-IFERROR(VLOOKUP(C996,Gastos!$A$9:$J$1398,10,0),0)</f>
        <v>-257.05</v>
      </c>
      <c r="L996" s="68">
        <f>-IFERROR(VLOOKUP(C996,IDC!$A$20:$H$1596,8,0),0)</f>
        <v>-159</v>
      </c>
      <c r="M996" s="74">
        <f t="shared" si="20"/>
        <v>26500</v>
      </c>
    </row>
    <row r="997" spans="1:13" customFormat="1">
      <c r="A997" t="s">
        <v>127</v>
      </c>
      <c r="B997" t="s">
        <v>11</v>
      </c>
      <c r="C997" s="51">
        <v>138711660284</v>
      </c>
      <c r="D997" s="1">
        <v>19486</v>
      </c>
      <c r="E997" s="1">
        <v>12379599.130000001</v>
      </c>
      <c r="F997" t="s">
        <v>1280</v>
      </c>
      <c r="I997" s="16">
        <f>-IFERROR(VLOOKUP(C997,SIRCUPA!$A$21:$H$186,8,0),0)</f>
        <v>0</v>
      </c>
      <c r="J997" s="68">
        <f>-IFERROR(VLOOKUP(C997,SIRTAC!$A$16:$H$1405,8,0),0)</f>
        <v>-200</v>
      </c>
      <c r="K997" s="68">
        <f>-IFERROR(VLOOKUP(C997,Gastos!$A$9:$J$1398,10,0),0)</f>
        <v>-194</v>
      </c>
      <c r="L997" s="68">
        <f>-IFERROR(VLOOKUP(C997,IDC!$A$20:$H$1596,8,0),0)</f>
        <v>-120</v>
      </c>
      <c r="M997" s="74">
        <f t="shared" si="20"/>
        <v>20000</v>
      </c>
    </row>
    <row r="998" spans="1:13" customFormat="1">
      <c r="A998" t="s">
        <v>127</v>
      </c>
      <c r="B998" t="s">
        <v>11</v>
      </c>
      <c r="C998" s="51">
        <v>138071717769</v>
      </c>
      <c r="D998" s="1">
        <v>25450.51</v>
      </c>
      <c r="E998" s="1">
        <v>12405049.640000001</v>
      </c>
      <c r="F998" t="s">
        <v>1280</v>
      </c>
      <c r="I998" s="16">
        <f>-IFERROR(VLOOKUP(C998,SIRCUPA!$A$21:$H$186,8,0),0)</f>
        <v>0</v>
      </c>
      <c r="J998" s="68">
        <f>-IFERROR(VLOOKUP(C998,SIRTAC!$A$16:$H$1405,8,0),0)</f>
        <v>-263</v>
      </c>
      <c r="K998" s="68">
        <f>-IFERROR(VLOOKUP(C998,Gastos!$A$9:$J$1398,10,0),0)</f>
        <v>-428.69</v>
      </c>
      <c r="L998" s="68">
        <f>-IFERROR(VLOOKUP(C998,IDC!$A$20:$H$1596,8,0),0)</f>
        <v>-157.80000000000001</v>
      </c>
      <c r="M998" s="74">
        <f t="shared" si="20"/>
        <v>26299.999999999996</v>
      </c>
    </row>
    <row r="999" spans="1:13" customFormat="1">
      <c r="A999" t="s">
        <v>127</v>
      </c>
      <c r="B999" t="s">
        <v>11</v>
      </c>
      <c r="C999" s="51">
        <v>138712596668</v>
      </c>
      <c r="D999" s="1">
        <v>26186.94</v>
      </c>
      <c r="E999" s="1">
        <v>12431236.58</v>
      </c>
      <c r="F999" t="s">
        <v>1280</v>
      </c>
      <c r="I999" s="16">
        <f>-IFERROR(VLOOKUP(C999,SIRCUPA!$A$21:$H$186,8,0),0)</f>
        <v>0</v>
      </c>
      <c r="J999" s="68">
        <f>-IFERROR(VLOOKUP(C999,SIRTAC!$A$16:$H$1405,8,0),0)</f>
        <v>-279</v>
      </c>
      <c r="K999" s="68">
        <f>-IFERROR(VLOOKUP(C999,Gastos!$A$9:$J$1398,10,0),0)</f>
        <v>-1266.6600000000001</v>
      </c>
      <c r="L999" s="68">
        <f>-IFERROR(VLOOKUP(C999,IDC!$A$20:$H$1596,8,0),0)</f>
        <v>-167.4</v>
      </c>
      <c r="M999" s="74">
        <f t="shared" si="20"/>
        <v>27900</v>
      </c>
    </row>
    <row r="1000" spans="1:13" customFormat="1">
      <c r="A1000" t="s">
        <v>127</v>
      </c>
      <c r="B1000" t="s">
        <v>11</v>
      </c>
      <c r="C1000" s="51">
        <v>138072709179</v>
      </c>
      <c r="D1000" s="1">
        <v>26322.32</v>
      </c>
      <c r="E1000" s="1">
        <v>12457558.9</v>
      </c>
      <c r="F1000" t="s">
        <v>1280</v>
      </c>
      <c r="I1000" s="16">
        <f>-IFERROR(VLOOKUP(C1000,SIRCUPA!$A$21:$H$186,8,0),0)</f>
        <v>0</v>
      </c>
      <c r="J1000" s="68">
        <f>-IFERROR(VLOOKUP(C1000,SIRTAC!$A$16:$H$1405,8,0),0)</f>
        <v>-302</v>
      </c>
      <c r="K1000" s="68">
        <f>-IFERROR(VLOOKUP(C1000,Gastos!$A$9:$J$1398,10,0),0)</f>
        <v>-3394.48</v>
      </c>
      <c r="L1000" s="68">
        <f>-IFERROR(VLOOKUP(C1000,IDC!$A$20:$H$1596,8,0),0)</f>
        <v>-181.2</v>
      </c>
      <c r="M1000" s="74">
        <f t="shared" ref="M1000:M1063" si="21">+D1000-I1000-J1000-K1000-L1000</f>
        <v>30200</v>
      </c>
    </row>
    <row r="1001" spans="1:13" customFormat="1">
      <c r="A1001" t="s">
        <v>127</v>
      </c>
      <c r="B1001" t="s">
        <v>11</v>
      </c>
      <c r="C1001" s="51">
        <v>138072727715</v>
      </c>
      <c r="D1001" s="1">
        <v>26793.25</v>
      </c>
      <c r="E1001" s="1">
        <v>12484352.15</v>
      </c>
      <c r="F1001" t="s">
        <v>1280</v>
      </c>
      <c r="I1001" s="16">
        <f>-IFERROR(VLOOKUP(C1001,SIRCUPA!$A$21:$H$186,8,0),0)</f>
        <v>0</v>
      </c>
      <c r="J1001" s="68">
        <f>-IFERROR(VLOOKUP(C1001,SIRTAC!$A$16:$H$1405,8,0),0)</f>
        <v>-275</v>
      </c>
      <c r="K1001" s="68">
        <f>-IFERROR(VLOOKUP(C1001,Gastos!$A$9:$J$1398,10,0),0)</f>
        <v>-266.75</v>
      </c>
      <c r="L1001" s="68">
        <f>-IFERROR(VLOOKUP(C1001,IDC!$A$20:$H$1596,8,0),0)</f>
        <v>-165</v>
      </c>
      <c r="M1001" s="74">
        <f t="shared" si="21"/>
        <v>27500</v>
      </c>
    </row>
    <row r="1002" spans="1:13" customFormat="1">
      <c r="A1002" t="s">
        <v>127</v>
      </c>
      <c r="B1002" t="s">
        <v>11</v>
      </c>
      <c r="C1002" s="51">
        <v>138712746706</v>
      </c>
      <c r="D1002" s="1">
        <v>10230.15</v>
      </c>
      <c r="E1002" s="1">
        <v>12494582.300000001</v>
      </c>
      <c r="F1002" t="s">
        <v>1280</v>
      </c>
      <c r="I1002" s="16">
        <f>-IFERROR(VLOOKUP(C1002,SIRCUPA!$A$21:$H$186,8,0),0)</f>
        <v>0</v>
      </c>
      <c r="J1002" s="68">
        <f>-IFERROR(VLOOKUP(C1002,SIRTAC!$A$16:$H$1405,8,0),0)</f>
        <v>-105</v>
      </c>
      <c r="K1002" s="68">
        <f>-IFERROR(VLOOKUP(C1002,Gastos!$A$9:$J$1398,10,0),0)</f>
        <v>-101.85</v>
      </c>
      <c r="L1002" s="68">
        <f>-IFERROR(VLOOKUP(C1002,IDC!$A$20:$H$1596,8,0),0)</f>
        <v>-63</v>
      </c>
      <c r="M1002" s="74">
        <f t="shared" si="21"/>
        <v>10500</v>
      </c>
    </row>
    <row r="1003" spans="1:13" customFormat="1">
      <c r="A1003" t="s">
        <v>127</v>
      </c>
      <c r="B1003" t="s">
        <v>11</v>
      </c>
      <c r="C1003" s="51">
        <v>138072784035</v>
      </c>
      <c r="D1003" s="1">
        <v>57288.84</v>
      </c>
      <c r="E1003" s="1">
        <v>12551871.140000001</v>
      </c>
      <c r="F1003" t="s">
        <v>1280</v>
      </c>
      <c r="I1003" s="16">
        <f>-IFERROR(VLOOKUP(C1003,SIRCUPA!$A$21:$H$186,8,0),0)</f>
        <v>0</v>
      </c>
      <c r="J1003" s="68">
        <f>-IFERROR(VLOOKUP(C1003,SIRTAC!$A$16:$H$1405,8,0),0)</f>
        <v>-588</v>
      </c>
      <c r="K1003" s="68">
        <f>-IFERROR(VLOOKUP(C1003,Gastos!$A$9:$J$1398,10,0),0)</f>
        <v>-570.36</v>
      </c>
      <c r="L1003" s="68">
        <f>-IFERROR(VLOOKUP(C1003,IDC!$A$20:$H$1596,8,0),0)</f>
        <v>-352.8</v>
      </c>
      <c r="M1003" s="74">
        <f t="shared" si="21"/>
        <v>58800</v>
      </c>
    </row>
    <row r="1004" spans="1:13" customFormat="1">
      <c r="A1004" t="s">
        <v>127</v>
      </c>
      <c r="B1004" t="s">
        <v>11</v>
      </c>
      <c r="C1004" s="51">
        <v>138713132944</v>
      </c>
      <c r="D1004" s="1">
        <v>34587.65</v>
      </c>
      <c r="E1004" s="1">
        <v>12589337.050000001</v>
      </c>
      <c r="F1004" t="s">
        <v>1280</v>
      </c>
      <c r="I1004" s="16">
        <f>-IFERROR(VLOOKUP(C1004,SIRCUPA!$A$21:$H$186,8,0),0)</f>
        <v>0</v>
      </c>
      <c r="J1004" s="68">
        <f>-IFERROR(VLOOKUP(C1004,SIRTAC!$A$16:$H$1405,8,0),0)</f>
        <v>-355</v>
      </c>
      <c r="K1004" s="68">
        <f>-IFERROR(VLOOKUP(C1004,Gastos!$A$9:$J$1398,10,0),0)</f>
        <v>-344.35</v>
      </c>
      <c r="L1004" s="68">
        <f>-IFERROR(VLOOKUP(C1004,IDC!$A$20:$H$1596,8,0),0)</f>
        <v>-213</v>
      </c>
      <c r="M1004" s="74">
        <f t="shared" si="21"/>
        <v>35500</v>
      </c>
    </row>
    <row r="1005" spans="1:13" customFormat="1">
      <c r="A1005" t="s">
        <v>127</v>
      </c>
      <c r="B1005" t="s">
        <v>11</v>
      </c>
      <c r="C1005" s="51">
        <v>138713390948</v>
      </c>
      <c r="D1005" s="1">
        <v>22138.639999999999</v>
      </c>
      <c r="E1005" s="1">
        <v>12611475.689999999</v>
      </c>
      <c r="F1005" t="s">
        <v>1280</v>
      </c>
      <c r="I1005" s="16">
        <f>-IFERROR(VLOOKUP(C1005,SIRCUPA!$A$21:$H$186,8,0),0)</f>
        <v>0</v>
      </c>
      <c r="J1005" s="68">
        <f>-IFERROR(VLOOKUP(C1005,SIRTAC!$A$16:$H$1405,8,0),0)</f>
        <v>-254</v>
      </c>
      <c r="K1005" s="68">
        <f>-IFERROR(VLOOKUP(C1005,Gastos!$A$9:$J$1398,10,0),0)</f>
        <v>-2854.96</v>
      </c>
      <c r="L1005" s="68">
        <f>-IFERROR(VLOOKUP(C1005,IDC!$A$20:$H$1596,8,0),0)</f>
        <v>-152.4</v>
      </c>
      <c r="M1005" s="74">
        <f t="shared" si="21"/>
        <v>25400</v>
      </c>
    </row>
    <row r="1006" spans="1:13" customFormat="1">
      <c r="A1006" t="s">
        <v>127</v>
      </c>
      <c r="B1006" t="s">
        <v>11</v>
      </c>
      <c r="C1006" s="51">
        <v>138073452173</v>
      </c>
      <c r="D1006" s="1">
        <v>19486</v>
      </c>
      <c r="E1006" s="1">
        <v>12630961.689999999</v>
      </c>
      <c r="F1006" t="s">
        <v>1280</v>
      </c>
      <c r="I1006" s="16">
        <f>-IFERROR(VLOOKUP(C1006,SIRCUPA!$A$21:$H$186,8,0),0)</f>
        <v>0</v>
      </c>
      <c r="J1006" s="68">
        <f>-IFERROR(VLOOKUP(C1006,SIRTAC!$A$16:$H$1405,8,0),0)</f>
        <v>-200</v>
      </c>
      <c r="K1006" s="68">
        <f>-IFERROR(VLOOKUP(C1006,Gastos!$A$9:$J$1398,10,0),0)</f>
        <v>-194</v>
      </c>
      <c r="L1006" s="68">
        <f>-IFERROR(VLOOKUP(C1006,IDC!$A$20:$H$1596,8,0),0)</f>
        <v>-120</v>
      </c>
      <c r="M1006" s="74">
        <f t="shared" si="21"/>
        <v>20000</v>
      </c>
    </row>
    <row r="1007" spans="1:13" customFormat="1">
      <c r="A1007" t="s">
        <v>127</v>
      </c>
      <c r="B1007" t="s">
        <v>11</v>
      </c>
      <c r="C1007" s="51">
        <v>138713517800</v>
      </c>
      <c r="D1007" s="1">
        <v>47399.3</v>
      </c>
      <c r="E1007" s="1">
        <v>12678360.99</v>
      </c>
      <c r="F1007" t="s">
        <v>1280</v>
      </c>
      <c r="I1007" s="16">
        <f>-IFERROR(VLOOKUP(C1007,SIRCUPA!$A$21:$H$186,8,0),0)</f>
        <v>0</v>
      </c>
      <c r="J1007" s="68">
        <f>-IFERROR(VLOOKUP(C1007,SIRTAC!$A$16:$H$1405,8,0),0)</f>
        <v>-505</v>
      </c>
      <c r="K1007" s="68">
        <f>-IFERROR(VLOOKUP(C1007,Gastos!$A$9:$J$1398,10,0),0)</f>
        <v>-2292.6999999999998</v>
      </c>
      <c r="L1007" s="68">
        <f>-IFERROR(VLOOKUP(C1007,IDC!$A$20:$H$1596,8,0),0)</f>
        <v>-303</v>
      </c>
      <c r="M1007" s="74">
        <f t="shared" si="21"/>
        <v>50500</v>
      </c>
    </row>
    <row r="1008" spans="1:13" customFormat="1">
      <c r="A1008" t="s">
        <v>127</v>
      </c>
      <c r="B1008" t="s">
        <v>11</v>
      </c>
      <c r="C1008" s="51">
        <v>138820146078</v>
      </c>
      <c r="D1008" s="1">
        <v>9743</v>
      </c>
      <c r="E1008" s="1">
        <v>12621276.42</v>
      </c>
      <c r="F1008" t="s">
        <v>1280</v>
      </c>
      <c r="I1008" s="16">
        <f>-IFERROR(VLOOKUP(C1008,SIRCUPA!$A$21:$H$186,8,0),0)</f>
        <v>0</v>
      </c>
      <c r="J1008" s="68">
        <f>-IFERROR(VLOOKUP(C1008,SIRTAC!$A$16:$H$1405,8,0),0)</f>
        <v>-100</v>
      </c>
      <c r="K1008" s="68">
        <f>-IFERROR(VLOOKUP(C1008,Gastos!$A$9:$J$1398,10,0),0)</f>
        <v>-97</v>
      </c>
      <c r="L1008" s="68">
        <f>-IFERROR(VLOOKUP(C1008,IDC!$A$20:$H$1596,8,0),0)</f>
        <v>-60</v>
      </c>
      <c r="M1008" s="74">
        <f t="shared" si="21"/>
        <v>10000</v>
      </c>
    </row>
    <row r="1009" spans="1:13" customFormat="1">
      <c r="A1009" t="s">
        <v>127</v>
      </c>
      <c r="B1009" t="s">
        <v>128</v>
      </c>
      <c r="C1009" s="51">
        <v>138064631729</v>
      </c>
      <c r="D1009" s="1">
        <v>6451.61</v>
      </c>
      <c r="E1009" s="1">
        <v>11786017.58</v>
      </c>
      <c r="F1009" t="s">
        <v>1280</v>
      </c>
      <c r="I1009" s="16">
        <f>-IFERROR(VLOOKUP(C1009,SIRCUPA!$A$21:$H$186,8,0),0)</f>
        <v>-98.85</v>
      </c>
      <c r="J1009" s="68">
        <f>-IFERROR(VLOOKUP(C1009,SIRTAC!$A$16:$H$1405,8,0),0)</f>
        <v>0</v>
      </c>
      <c r="K1009" s="68">
        <f>-IFERROR(VLOOKUP(C1009,Gastos!$A$9:$J$1398,10,0),0)</f>
        <v>0</v>
      </c>
      <c r="L1009" s="68">
        <f>-IFERROR(VLOOKUP(C1009,IDC!$A$20:$H$1596,8,0),0)</f>
        <v>-39.54</v>
      </c>
      <c r="M1009" s="74">
        <f t="shared" si="21"/>
        <v>6590</v>
      </c>
    </row>
    <row r="1010" spans="1:13" customFormat="1">
      <c r="A1010" t="s">
        <v>127</v>
      </c>
      <c r="B1010" t="s">
        <v>11</v>
      </c>
      <c r="C1010" s="51">
        <v>138180185879</v>
      </c>
      <c r="D1010" s="1">
        <v>9743</v>
      </c>
      <c r="E1010" s="1">
        <v>12631019.42</v>
      </c>
      <c r="F1010" t="s">
        <v>1280</v>
      </c>
      <c r="I1010" s="16">
        <f>-IFERROR(VLOOKUP(C1010,SIRCUPA!$A$21:$H$186,8,0),0)</f>
        <v>0</v>
      </c>
      <c r="J1010" s="68">
        <f>-IFERROR(VLOOKUP(C1010,SIRTAC!$A$16:$H$1405,8,0),0)</f>
        <v>-100</v>
      </c>
      <c r="K1010" s="68">
        <f>-IFERROR(VLOOKUP(C1010,Gastos!$A$9:$J$1398,10,0),0)</f>
        <v>-97</v>
      </c>
      <c r="L1010" s="68">
        <f>-IFERROR(VLOOKUP(C1010,IDC!$A$20:$H$1596,8,0),0)</f>
        <v>-60</v>
      </c>
      <c r="M1010" s="74">
        <f t="shared" si="21"/>
        <v>10000</v>
      </c>
    </row>
    <row r="1011" spans="1:13" customFormat="1">
      <c r="A1011" t="s">
        <v>127</v>
      </c>
      <c r="B1011" t="s">
        <v>11</v>
      </c>
      <c r="C1011" s="51">
        <v>138825658218</v>
      </c>
      <c r="D1011" s="1">
        <v>9447</v>
      </c>
      <c r="E1011" s="1">
        <v>12640466.42</v>
      </c>
      <c r="F1011" t="s">
        <v>1280</v>
      </c>
      <c r="I1011" s="16">
        <f>-IFERROR(VLOOKUP(C1011,SIRCUPA!$A$21:$H$186,8,0),0)</f>
        <v>0</v>
      </c>
      <c r="J1011" s="68">
        <f>-IFERROR(VLOOKUP(C1011,SIRTAC!$A$16:$H$1405,8,0),0)</f>
        <v>-100</v>
      </c>
      <c r="K1011" s="68">
        <f>-IFERROR(VLOOKUP(C1011,Gastos!$A$9:$J$1398,10,0),0)</f>
        <v>-393</v>
      </c>
      <c r="L1011" s="68">
        <f>-IFERROR(VLOOKUP(C1011,IDC!$A$20:$H$1596,8,0),0)</f>
        <v>-60</v>
      </c>
      <c r="M1011" s="74">
        <f t="shared" si="21"/>
        <v>10000</v>
      </c>
    </row>
    <row r="1012" spans="1:13" customFormat="1">
      <c r="A1012" t="s">
        <v>127</v>
      </c>
      <c r="B1012" t="s">
        <v>11</v>
      </c>
      <c r="C1012" s="51">
        <v>138830273878</v>
      </c>
      <c r="D1012" s="1">
        <v>5447.4</v>
      </c>
      <c r="E1012" s="1">
        <v>12645913.82</v>
      </c>
      <c r="F1012" t="s">
        <v>1280</v>
      </c>
      <c r="I1012" s="16">
        <f>-IFERROR(VLOOKUP(C1012,SIRCUPA!$A$21:$H$186,8,0),0)</f>
        <v>0</v>
      </c>
      <c r="J1012" s="68">
        <f>-IFERROR(VLOOKUP(C1012,SIRTAC!$A$16:$H$1405,8,0),0)</f>
        <v>-60</v>
      </c>
      <c r="K1012" s="68">
        <f>-IFERROR(VLOOKUP(C1012,Gastos!$A$9:$J$1398,10,0),0)</f>
        <v>-456.6</v>
      </c>
      <c r="L1012" s="68">
        <f>-IFERROR(VLOOKUP(C1012,IDC!$A$20:$H$1596,8,0),0)</f>
        <v>-36</v>
      </c>
      <c r="M1012" s="74">
        <f t="shared" si="21"/>
        <v>6000</v>
      </c>
    </row>
    <row r="1013" spans="1:13" customFormat="1">
      <c r="A1013" t="s">
        <v>127</v>
      </c>
      <c r="B1013" t="s">
        <v>11</v>
      </c>
      <c r="C1013" s="51">
        <v>138831169662</v>
      </c>
      <c r="D1013" s="1">
        <v>5358.65</v>
      </c>
      <c r="E1013" s="1">
        <v>12651272.470000001</v>
      </c>
      <c r="F1013" t="s">
        <v>1280</v>
      </c>
      <c r="I1013" s="16">
        <f>-IFERROR(VLOOKUP(C1013,SIRCUPA!$A$21:$H$186,8,0),0)</f>
        <v>0</v>
      </c>
      <c r="J1013" s="68">
        <f>-IFERROR(VLOOKUP(C1013,SIRTAC!$A$16:$H$1405,8,0),0)</f>
        <v>-55</v>
      </c>
      <c r="K1013" s="68">
        <f>-IFERROR(VLOOKUP(C1013,Gastos!$A$9:$J$1398,10,0),0)</f>
        <v>-53.35</v>
      </c>
      <c r="L1013" s="68">
        <f>-IFERROR(VLOOKUP(C1013,IDC!$A$20:$H$1596,8,0),0)</f>
        <v>-33</v>
      </c>
      <c r="M1013" s="74">
        <f t="shared" si="21"/>
        <v>5500</v>
      </c>
    </row>
    <row r="1014" spans="1:13" customFormat="1">
      <c r="A1014" t="s">
        <v>127</v>
      </c>
      <c r="B1014" t="s">
        <v>11</v>
      </c>
      <c r="C1014" s="51">
        <v>138834531356</v>
      </c>
      <c r="D1014" s="1">
        <v>12568.47</v>
      </c>
      <c r="E1014" s="1">
        <v>12663840.939999999</v>
      </c>
      <c r="F1014" t="s">
        <v>1280</v>
      </c>
      <c r="I1014" s="16">
        <f>-IFERROR(VLOOKUP(C1014,SIRCUPA!$A$21:$H$186,8,0),0)</f>
        <v>0</v>
      </c>
      <c r="J1014" s="68">
        <f>-IFERROR(VLOOKUP(C1014,SIRTAC!$A$16:$H$1405,8,0),0)</f>
        <v>-129</v>
      </c>
      <c r="K1014" s="68">
        <f>-IFERROR(VLOOKUP(C1014,Gastos!$A$9:$J$1398,10,0),0)</f>
        <v>-125.13</v>
      </c>
      <c r="L1014" s="68">
        <f>-IFERROR(VLOOKUP(C1014,IDC!$A$20:$H$1596,8,0),0)</f>
        <v>-77.400000000000006</v>
      </c>
      <c r="M1014" s="74">
        <f t="shared" si="21"/>
        <v>12899.999999999998</v>
      </c>
    </row>
    <row r="1015" spans="1:13" customFormat="1">
      <c r="A1015" t="s">
        <v>127</v>
      </c>
      <c r="B1015" t="s">
        <v>11</v>
      </c>
      <c r="C1015" s="51">
        <v>138194400553</v>
      </c>
      <c r="D1015" s="1">
        <v>11158.5</v>
      </c>
      <c r="E1015" s="1">
        <v>12674999.439999999</v>
      </c>
      <c r="F1015" t="s">
        <v>1280</v>
      </c>
      <c r="I1015" s="16">
        <f>-IFERROR(VLOOKUP(C1015,SIRCUPA!$A$21:$H$186,8,0),0)</f>
        <v>0</v>
      </c>
      <c r="J1015" s="68">
        <f>-IFERROR(VLOOKUP(C1015,SIRTAC!$A$16:$H$1405,8,0),0)</f>
        <v>-107.5</v>
      </c>
      <c r="K1015" s="68">
        <f>-IFERROR(VLOOKUP(C1015,Gastos!$A$9:$J$1398,10,0),0)</f>
        <v>-488.05</v>
      </c>
      <c r="L1015" s="68">
        <f>-IFERROR(VLOOKUP(C1015,IDC!$A$20:$H$1596,8,0),0)</f>
        <v>-70.95</v>
      </c>
      <c r="M1015" s="74">
        <f t="shared" si="21"/>
        <v>11825</v>
      </c>
    </row>
    <row r="1016" spans="1:13" customFormat="1">
      <c r="A1016" t="s">
        <v>127</v>
      </c>
      <c r="B1016" t="s">
        <v>11</v>
      </c>
      <c r="C1016" s="51">
        <v>138837938928</v>
      </c>
      <c r="D1016" s="1">
        <v>14614.5</v>
      </c>
      <c r="E1016" s="1">
        <v>12689613.939999999</v>
      </c>
      <c r="F1016" t="s">
        <v>1280</v>
      </c>
      <c r="I1016" s="16">
        <f>-IFERROR(VLOOKUP(C1016,SIRCUPA!$A$21:$H$186,8,0),0)</f>
        <v>0</v>
      </c>
      <c r="J1016" s="68">
        <f>-IFERROR(VLOOKUP(C1016,SIRTAC!$A$16:$H$1405,8,0),0)</f>
        <v>-150</v>
      </c>
      <c r="K1016" s="68">
        <f>-IFERROR(VLOOKUP(C1016,Gastos!$A$9:$J$1398,10,0),0)</f>
        <v>-145.5</v>
      </c>
      <c r="L1016" s="68">
        <f>-IFERROR(VLOOKUP(C1016,IDC!$A$20:$H$1596,8,0),0)</f>
        <v>-90</v>
      </c>
      <c r="M1016" s="74">
        <f t="shared" si="21"/>
        <v>15000</v>
      </c>
    </row>
    <row r="1017" spans="1:13" customFormat="1">
      <c r="A1017" t="s">
        <v>127</v>
      </c>
      <c r="B1017" t="s">
        <v>11</v>
      </c>
      <c r="C1017" s="51">
        <v>138198187679</v>
      </c>
      <c r="D1017" s="1">
        <v>19486</v>
      </c>
      <c r="E1017" s="1">
        <v>12709099.939999999</v>
      </c>
      <c r="F1017" t="s">
        <v>1280</v>
      </c>
      <c r="I1017" s="16">
        <f>-IFERROR(VLOOKUP(C1017,SIRCUPA!$A$21:$H$186,8,0),0)</f>
        <v>0</v>
      </c>
      <c r="J1017" s="68">
        <f>-IFERROR(VLOOKUP(C1017,SIRTAC!$A$16:$H$1405,8,0),0)</f>
        <v>-200</v>
      </c>
      <c r="K1017" s="68">
        <f>-IFERROR(VLOOKUP(C1017,Gastos!$A$9:$J$1398,10,0),0)</f>
        <v>-194</v>
      </c>
      <c r="L1017" s="68">
        <f>-IFERROR(VLOOKUP(C1017,IDC!$A$20:$H$1596,8,0),0)</f>
        <v>-120</v>
      </c>
      <c r="M1017" s="74">
        <f t="shared" si="21"/>
        <v>20000</v>
      </c>
    </row>
    <row r="1018" spans="1:13" customFormat="1">
      <c r="A1018" t="s">
        <v>127</v>
      </c>
      <c r="B1018" t="s">
        <v>11</v>
      </c>
      <c r="C1018" s="51">
        <v>138198737449</v>
      </c>
      <c r="D1018" s="1">
        <v>41673.839999999997</v>
      </c>
      <c r="E1018" s="1">
        <v>12750773.779999999</v>
      </c>
      <c r="F1018" t="s">
        <v>1280</v>
      </c>
      <c r="I1018" s="16">
        <f>-IFERROR(VLOOKUP(C1018,SIRCUPA!$A$21:$H$186,8,0),0)</f>
        <v>0</v>
      </c>
      <c r="J1018" s="68">
        <f>-IFERROR(VLOOKUP(C1018,SIRTAC!$A$16:$H$1405,8,0),0)</f>
        <v>-444</v>
      </c>
      <c r="K1018" s="68">
        <f>-IFERROR(VLOOKUP(C1018,Gastos!$A$9:$J$1398,10,0),0)</f>
        <v>-2015.76</v>
      </c>
      <c r="L1018" s="68">
        <f>-IFERROR(VLOOKUP(C1018,IDC!$A$20:$H$1596,8,0),0)</f>
        <v>-266.39999999999998</v>
      </c>
      <c r="M1018" s="74">
        <f t="shared" si="21"/>
        <v>44400</v>
      </c>
    </row>
    <row r="1019" spans="1:13" customFormat="1">
      <c r="A1019" t="s">
        <v>127</v>
      </c>
      <c r="B1019" t="s">
        <v>11</v>
      </c>
      <c r="C1019" s="51">
        <v>138840860684</v>
      </c>
      <c r="D1019" s="1">
        <v>15587.55</v>
      </c>
      <c r="E1019" s="1">
        <v>12766361.33</v>
      </c>
      <c r="F1019" t="s">
        <v>1280</v>
      </c>
      <c r="I1019" s="16">
        <f>-IFERROR(VLOOKUP(C1019,SIRCUPA!$A$21:$H$186,8,0),0)</f>
        <v>0</v>
      </c>
      <c r="J1019" s="68">
        <f>-IFERROR(VLOOKUP(C1019,SIRTAC!$A$16:$H$1405,8,0),0)</f>
        <v>-165</v>
      </c>
      <c r="K1019" s="68">
        <f>-IFERROR(VLOOKUP(C1019,Gastos!$A$9:$J$1398,10,0),0)</f>
        <v>-648.45000000000005</v>
      </c>
      <c r="L1019" s="68">
        <f>-IFERROR(VLOOKUP(C1019,IDC!$A$20:$H$1596,8,0),0)</f>
        <v>-99</v>
      </c>
      <c r="M1019" s="74">
        <f t="shared" si="21"/>
        <v>16500</v>
      </c>
    </row>
    <row r="1020" spans="1:13" customFormat="1">
      <c r="A1020" t="s">
        <v>127</v>
      </c>
      <c r="B1020" t="s">
        <v>11</v>
      </c>
      <c r="C1020" s="51">
        <v>138201157087</v>
      </c>
      <c r="D1020" s="1">
        <v>33864.67</v>
      </c>
      <c r="E1020" s="1">
        <v>12800226</v>
      </c>
      <c r="F1020" t="s">
        <v>1280</v>
      </c>
      <c r="I1020" s="16">
        <f>-IFERROR(VLOOKUP(C1020,SIRCUPA!$A$21:$H$186,8,0),0)</f>
        <v>0</v>
      </c>
      <c r="J1020" s="68">
        <f>-IFERROR(VLOOKUP(C1020,SIRTAC!$A$16:$H$1405,8,0),0)</f>
        <v>-373</v>
      </c>
      <c r="K1020" s="68">
        <f>-IFERROR(VLOOKUP(C1020,Gastos!$A$9:$J$1398,10,0),0)</f>
        <v>-2838.53</v>
      </c>
      <c r="L1020" s="68">
        <f>-IFERROR(VLOOKUP(C1020,IDC!$A$20:$H$1596,8,0),0)</f>
        <v>-223.8</v>
      </c>
      <c r="M1020" s="74">
        <f t="shared" si="21"/>
        <v>37300</v>
      </c>
    </row>
    <row r="1021" spans="1:13" customFormat="1">
      <c r="A1021" t="s">
        <v>127</v>
      </c>
      <c r="B1021" t="s">
        <v>129</v>
      </c>
      <c r="C1021" s="51">
        <v>138069276345</v>
      </c>
      <c r="D1021" s="1">
        <v>4620.88</v>
      </c>
      <c r="E1021" s="1">
        <v>12257517.130000001</v>
      </c>
      <c r="F1021" t="s">
        <v>1280</v>
      </c>
      <c r="I1021" s="16">
        <f>-IFERROR(VLOOKUP(C1021,SIRCUPA!$A$21:$H$186,8,0),0)</f>
        <v>-70.8</v>
      </c>
      <c r="J1021" s="68">
        <f>-IFERROR(VLOOKUP(C1021,SIRTAC!$A$16:$H$1405,8,0),0)</f>
        <v>0</v>
      </c>
      <c r="K1021" s="68">
        <f>-IFERROR(VLOOKUP(C1021,Gastos!$A$9:$J$1398,10,0),0)</f>
        <v>0</v>
      </c>
      <c r="L1021" s="68">
        <f>-IFERROR(VLOOKUP(C1021,IDC!$A$20:$H$1596,8,0),0)</f>
        <v>-28.32</v>
      </c>
      <c r="M1021" s="74">
        <f t="shared" si="21"/>
        <v>4720</v>
      </c>
    </row>
    <row r="1022" spans="1:13" customFormat="1">
      <c r="A1022" t="s">
        <v>127</v>
      </c>
      <c r="B1022" t="s">
        <v>11</v>
      </c>
      <c r="C1022" s="51">
        <v>138201252687</v>
      </c>
      <c r="D1022" s="1">
        <v>33126.199999999997</v>
      </c>
      <c r="E1022" s="1">
        <v>12833352.199999999</v>
      </c>
      <c r="F1022" t="s">
        <v>1280</v>
      </c>
      <c r="I1022" s="16">
        <f>-IFERROR(VLOOKUP(C1022,SIRCUPA!$A$21:$H$186,8,0),0)</f>
        <v>0</v>
      </c>
      <c r="J1022" s="68">
        <f>-IFERROR(VLOOKUP(C1022,SIRTAC!$A$16:$H$1405,8,0),0)</f>
        <v>-340</v>
      </c>
      <c r="K1022" s="68">
        <f>-IFERROR(VLOOKUP(C1022,Gastos!$A$9:$J$1398,10,0),0)</f>
        <v>-329.8</v>
      </c>
      <c r="L1022" s="68">
        <f>-IFERROR(VLOOKUP(C1022,IDC!$A$20:$H$1596,8,0),0)</f>
        <v>-204</v>
      </c>
      <c r="M1022" s="74">
        <f t="shared" si="21"/>
        <v>34000</v>
      </c>
    </row>
    <row r="1023" spans="1:13" customFormat="1">
      <c r="A1023" t="s">
        <v>127</v>
      </c>
      <c r="B1023" t="s">
        <v>11</v>
      </c>
      <c r="C1023" s="51">
        <v>138841653890</v>
      </c>
      <c r="D1023" s="1">
        <v>35048.370000000003</v>
      </c>
      <c r="E1023" s="1">
        <v>12868400.57</v>
      </c>
      <c r="F1023" t="s">
        <v>1280</v>
      </c>
      <c r="I1023" s="16">
        <f>-IFERROR(VLOOKUP(C1023,SIRCUPA!$A$21:$H$186,8,0),0)</f>
        <v>0</v>
      </c>
      <c r="J1023" s="68">
        <f>-IFERROR(VLOOKUP(C1023,SIRTAC!$A$16:$H$1405,8,0),0)</f>
        <v>-371</v>
      </c>
      <c r="K1023" s="68">
        <f>-IFERROR(VLOOKUP(C1023,Gastos!$A$9:$J$1398,10,0),0)</f>
        <v>-1458.03</v>
      </c>
      <c r="L1023" s="68">
        <f>-IFERROR(VLOOKUP(C1023,IDC!$A$20:$H$1596,8,0),0)</f>
        <v>-222.6</v>
      </c>
      <c r="M1023" s="74">
        <f t="shared" si="21"/>
        <v>37100</v>
      </c>
    </row>
    <row r="1024" spans="1:13" customFormat="1">
      <c r="A1024" t="s">
        <v>127</v>
      </c>
      <c r="B1024" t="s">
        <v>11</v>
      </c>
      <c r="C1024" s="51">
        <v>138201467989</v>
      </c>
      <c r="D1024" s="1">
        <v>26598.39</v>
      </c>
      <c r="E1024" s="1">
        <v>12894998.960000001</v>
      </c>
      <c r="F1024" t="s">
        <v>1280</v>
      </c>
      <c r="I1024" s="16">
        <f>-IFERROR(VLOOKUP(C1024,SIRCUPA!$A$21:$H$186,8,0),0)</f>
        <v>0</v>
      </c>
      <c r="J1024" s="68">
        <f>-IFERROR(VLOOKUP(C1024,SIRTAC!$A$16:$H$1405,8,0),0)</f>
        <v>-273</v>
      </c>
      <c r="K1024" s="68">
        <f>-IFERROR(VLOOKUP(C1024,Gastos!$A$9:$J$1398,10,0),0)</f>
        <v>-264.81</v>
      </c>
      <c r="L1024" s="68">
        <f>-IFERROR(VLOOKUP(C1024,IDC!$A$20:$H$1596,8,0),0)</f>
        <v>-163.80000000000001</v>
      </c>
      <c r="M1024" s="74">
        <f t="shared" si="21"/>
        <v>27300</v>
      </c>
    </row>
    <row r="1025" spans="1:13" customFormat="1">
      <c r="A1025" t="s">
        <v>127</v>
      </c>
      <c r="B1025" t="s">
        <v>11</v>
      </c>
      <c r="C1025" s="51">
        <v>138843315510</v>
      </c>
      <c r="D1025" s="1">
        <v>20783.400000000001</v>
      </c>
      <c r="E1025" s="1">
        <v>12915782.359999999</v>
      </c>
      <c r="F1025" t="s">
        <v>1280</v>
      </c>
      <c r="I1025" s="16">
        <f>-IFERROR(VLOOKUP(C1025,SIRCUPA!$A$21:$H$186,8,0),0)</f>
        <v>0</v>
      </c>
      <c r="J1025" s="68">
        <f>-IFERROR(VLOOKUP(C1025,SIRTAC!$A$16:$H$1405,8,0),0)</f>
        <v>-220</v>
      </c>
      <c r="K1025" s="68">
        <f>-IFERROR(VLOOKUP(C1025,Gastos!$A$9:$J$1398,10,0),0)</f>
        <v>-864.6</v>
      </c>
      <c r="L1025" s="68">
        <f>-IFERROR(VLOOKUP(C1025,IDC!$A$20:$H$1596,8,0),0)</f>
        <v>-132</v>
      </c>
      <c r="M1025" s="74">
        <f t="shared" si="21"/>
        <v>22000</v>
      </c>
    </row>
    <row r="1026" spans="1:13" customFormat="1">
      <c r="A1026" t="s">
        <v>127</v>
      </c>
      <c r="B1026" t="s">
        <v>11</v>
      </c>
      <c r="C1026" s="51">
        <v>138204114191</v>
      </c>
      <c r="D1026" s="1">
        <v>4838.5</v>
      </c>
      <c r="E1026" s="1">
        <v>12920620.859999999</v>
      </c>
      <c r="F1026" t="s">
        <v>1280</v>
      </c>
      <c r="I1026" s="16">
        <f>-IFERROR(VLOOKUP(C1026,SIRCUPA!$A$21:$H$186,8,0),0)</f>
        <v>0</v>
      </c>
      <c r="J1026" s="68">
        <f>-IFERROR(VLOOKUP(C1026,SIRTAC!$A$16:$H$1405,8,0),0)</f>
        <v>-50</v>
      </c>
      <c r="K1026" s="68">
        <f>-IFERROR(VLOOKUP(C1026,Gastos!$A$9:$J$1398,10,0),0)</f>
        <v>-81.5</v>
      </c>
      <c r="L1026" s="68">
        <f>-IFERROR(VLOOKUP(C1026,IDC!$A$20:$H$1596,8,0),0)</f>
        <v>-30</v>
      </c>
      <c r="M1026" s="74">
        <f t="shared" si="21"/>
        <v>5000</v>
      </c>
    </row>
    <row r="1027" spans="1:13" customFormat="1">
      <c r="A1027" t="s">
        <v>127</v>
      </c>
      <c r="B1027" t="s">
        <v>11</v>
      </c>
      <c r="C1027" s="51">
        <v>138205303057</v>
      </c>
      <c r="D1027" s="1">
        <v>24065.21</v>
      </c>
      <c r="E1027" s="1">
        <v>12944686.07</v>
      </c>
      <c r="F1027" t="s">
        <v>1280</v>
      </c>
      <c r="I1027" s="16">
        <f>-IFERROR(VLOOKUP(C1027,SIRCUPA!$A$21:$H$186,8,0),0)</f>
        <v>0</v>
      </c>
      <c r="J1027" s="68">
        <f>-IFERROR(VLOOKUP(C1027,SIRTAC!$A$16:$H$1405,8,0),0)</f>
        <v>-247</v>
      </c>
      <c r="K1027" s="68">
        <f>-IFERROR(VLOOKUP(C1027,Gastos!$A$9:$J$1398,10,0),0)</f>
        <v>-239.59</v>
      </c>
      <c r="L1027" s="68">
        <f>-IFERROR(VLOOKUP(C1027,IDC!$A$20:$H$1596,8,0),0)</f>
        <v>-148.19999999999999</v>
      </c>
      <c r="M1027" s="74">
        <f t="shared" si="21"/>
        <v>24700</v>
      </c>
    </row>
    <row r="1028" spans="1:13" customFormat="1">
      <c r="A1028" t="s">
        <v>127</v>
      </c>
      <c r="B1028" t="s">
        <v>11</v>
      </c>
      <c r="C1028" s="51">
        <v>138846074058</v>
      </c>
      <c r="D1028" s="1">
        <v>42869.11</v>
      </c>
      <c r="E1028" s="1">
        <v>12989973.310000001</v>
      </c>
      <c r="F1028" t="s">
        <v>1280</v>
      </c>
      <c r="I1028" s="16">
        <f>-IFERROR(VLOOKUP(C1028,SIRCUPA!$A$21:$H$186,8,0),0)</f>
        <v>0</v>
      </c>
      <c r="J1028" s="68">
        <f>-IFERROR(VLOOKUP(C1028,SIRTAC!$A$16:$H$1405,8,0),0)</f>
        <v>-443</v>
      </c>
      <c r="K1028" s="68">
        <f>-IFERROR(VLOOKUP(C1028,Gastos!$A$9:$J$1398,10,0),0)</f>
        <v>-722.09</v>
      </c>
      <c r="L1028" s="68">
        <f>-IFERROR(VLOOKUP(C1028,IDC!$A$20:$H$1596,8,0),0)</f>
        <v>-265.8</v>
      </c>
      <c r="M1028" s="74">
        <f t="shared" si="21"/>
        <v>44300</v>
      </c>
    </row>
    <row r="1029" spans="1:13" customFormat="1">
      <c r="A1029" t="s">
        <v>127</v>
      </c>
      <c r="B1029" t="s">
        <v>11</v>
      </c>
      <c r="C1029" s="51">
        <v>138206888477</v>
      </c>
      <c r="D1029" s="1">
        <v>55264.95</v>
      </c>
      <c r="E1029" s="1">
        <v>13045238.26</v>
      </c>
      <c r="F1029" t="s">
        <v>1280</v>
      </c>
      <c r="I1029" s="16">
        <f>-IFERROR(VLOOKUP(C1029,SIRCUPA!$A$21:$H$186,8,0),0)</f>
        <v>0</v>
      </c>
      <c r="J1029" s="68">
        <f>-IFERROR(VLOOKUP(C1029,SIRTAC!$A$16:$H$1405,8,0),0)</f>
        <v>-585</v>
      </c>
      <c r="K1029" s="68">
        <f>-IFERROR(VLOOKUP(C1029,Gastos!$A$9:$J$1398,10,0),0)</f>
        <v>-2299.0500000000002</v>
      </c>
      <c r="L1029" s="68">
        <f>-IFERROR(VLOOKUP(C1029,IDC!$A$20:$H$1596,8,0),0)</f>
        <v>-351</v>
      </c>
      <c r="M1029" s="74">
        <f t="shared" si="21"/>
        <v>58500</v>
      </c>
    </row>
    <row r="1030" spans="1:13" customFormat="1">
      <c r="A1030" t="s">
        <v>127</v>
      </c>
      <c r="B1030" t="s">
        <v>11</v>
      </c>
      <c r="C1030" s="51">
        <v>138847468360</v>
      </c>
      <c r="D1030" s="1">
        <v>15486.9</v>
      </c>
      <c r="E1030" s="1">
        <v>13060725.16</v>
      </c>
      <c r="F1030" t="s">
        <v>1280</v>
      </c>
      <c r="I1030" s="16">
        <f>-IFERROR(VLOOKUP(C1030,SIRCUPA!$A$21:$H$186,8,0),0)</f>
        <v>0</v>
      </c>
      <c r="J1030" s="68">
        <f>-IFERROR(VLOOKUP(C1030,SIRTAC!$A$16:$H$1405,8,0),0)</f>
        <v>-165</v>
      </c>
      <c r="K1030" s="68">
        <f>-IFERROR(VLOOKUP(C1030,Gastos!$A$9:$J$1398,10,0),0)</f>
        <v>-749.1</v>
      </c>
      <c r="L1030" s="68">
        <f>-IFERROR(VLOOKUP(C1030,IDC!$A$20:$H$1596,8,0),0)</f>
        <v>-99</v>
      </c>
      <c r="M1030" s="74">
        <f t="shared" si="21"/>
        <v>16500</v>
      </c>
    </row>
    <row r="1031" spans="1:13" customFormat="1">
      <c r="A1031" t="s">
        <v>127</v>
      </c>
      <c r="B1031" t="s">
        <v>11</v>
      </c>
      <c r="C1031" s="51">
        <v>138207560423</v>
      </c>
      <c r="D1031" s="1">
        <v>79405.45</v>
      </c>
      <c r="E1031" s="1">
        <v>13140130.609999999</v>
      </c>
      <c r="F1031" t="s">
        <v>1280</v>
      </c>
      <c r="I1031" s="16">
        <f>-IFERROR(VLOOKUP(C1031,SIRCUPA!$A$21:$H$186,8,0),0)</f>
        <v>0</v>
      </c>
      <c r="J1031" s="68">
        <f>-IFERROR(VLOOKUP(C1031,SIRTAC!$A$16:$H$1405,8,0),0)</f>
        <v>-815</v>
      </c>
      <c r="K1031" s="68">
        <f>-IFERROR(VLOOKUP(C1031,Gastos!$A$9:$J$1398,10,0),0)</f>
        <v>-790.55</v>
      </c>
      <c r="L1031" s="68">
        <f>-IFERROR(VLOOKUP(C1031,IDC!$A$20:$H$1596,8,0),0)</f>
        <v>-489</v>
      </c>
      <c r="M1031" s="74">
        <f t="shared" si="21"/>
        <v>81500</v>
      </c>
    </row>
    <row r="1032" spans="1:13" customFormat="1">
      <c r="A1032" t="s">
        <v>127</v>
      </c>
      <c r="B1032" t="s">
        <v>11</v>
      </c>
      <c r="C1032" s="51">
        <v>138207547971</v>
      </c>
      <c r="D1032" s="1">
        <v>4871.5</v>
      </c>
      <c r="E1032" s="1">
        <v>13145002.109999999</v>
      </c>
      <c r="F1032" t="s">
        <v>1280</v>
      </c>
      <c r="I1032" s="16">
        <f>-IFERROR(VLOOKUP(C1032,SIRCUPA!$A$21:$H$186,8,0),0)</f>
        <v>0</v>
      </c>
      <c r="J1032" s="68">
        <f>-IFERROR(VLOOKUP(C1032,SIRTAC!$A$16:$H$1405,8,0),0)</f>
        <v>-50</v>
      </c>
      <c r="K1032" s="68">
        <f>-IFERROR(VLOOKUP(C1032,Gastos!$A$9:$J$1398,10,0),0)</f>
        <v>-48.5</v>
      </c>
      <c r="L1032" s="68">
        <f>-IFERROR(VLOOKUP(C1032,IDC!$A$20:$H$1596,8,0),0)</f>
        <v>-30</v>
      </c>
      <c r="M1032" s="74">
        <f t="shared" si="21"/>
        <v>5000</v>
      </c>
    </row>
    <row r="1033" spans="1:13" customFormat="1">
      <c r="A1033" t="s">
        <v>127</v>
      </c>
      <c r="B1033" t="s">
        <v>11</v>
      </c>
      <c r="C1033" s="51">
        <v>138848404496</v>
      </c>
      <c r="D1033" s="1">
        <v>19291.14</v>
      </c>
      <c r="E1033" s="1">
        <v>13164293.25</v>
      </c>
      <c r="F1033" t="s">
        <v>1280</v>
      </c>
      <c r="I1033" s="16">
        <f>-IFERROR(VLOOKUP(C1033,SIRCUPA!$A$21:$H$186,8,0),0)</f>
        <v>0</v>
      </c>
      <c r="J1033" s="68">
        <f>-IFERROR(VLOOKUP(C1033,SIRTAC!$A$16:$H$1405,8,0),0)</f>
        <v>-198</v>
      </c>
      <c r="K1033" s="68">
        <f>-IFERROR(VLOOKUP(C1033,Gastos!$A$9:$J$1398,10,0),0)</f>
        <v>-192.06</v>
      </c>
      <c r="L1033" s="68">
        <f>-IFERROR(VLOOKUP(C1033,IDC!$A$20:$H$1596,8,0),0)</f>
        <v>-118.8</v>
      </c>
      <c r="M1033" s="74">
        <f t="shared" si="21"/>
        <v>19800</v>
      </c>
    </row>
    <row r="1034" spans="1:13" customFormat="1">
      <c r="A1034" t="s">
        <v>134</v>
      </c>
      <c r="B1034" t="s">
        <v>11</v>
      </c>
      <c r="C1034" s="51">
        <v>138848967406</v>
      </c>
      <c r="D1034" s="1">
        <v>14127.35</v>
      </c>
      <c r="E1034" s="1">
        <v>13179389.810000001</v>
      </c>
      <c r="F1034" t="s">
        <v>1280</v>
      </c>
      <c r="I1034" s="16">
        <f>-IFERROR(VLOOKUP(C1034,SIRCUPA!$A$21:$H$186,8,0),0)</f>
        <v>0</v>
      </c>
      <c r="J1034" s="68">
        <f>-IFERROR(VLOOKUP(C1034,SIRTAC!$A$16:$H$1405,8,0),0)</f>
        <v>-145</v>
      </c>
      <c r="K1034" s="68">
        <f>-IFERROR(VLOOKUP(C1034,Gastos!$A$9:$J$1398,10,0),0)</f>
        <v>-140.65</v>
      </c>
      <c r="L1034" s="68">
        <f>-IFERROR(VLOOKUP(C1034,IDC!$A$20:$H$1596,8,0),0)</f>
        <v>-87</v>
      </c>
      <c r="M1034" s="74">
        <f t="shared" si="21"/>
        <v>14500</v>
      </c>
    </row>
    <row r="1035" spans="1:13" customFormat="1">
      <c r="A1035" t="s">
        <v>134</v>
      </c>
      <c r="B1035" t="s">
        <v>11</v>
      </c>
      <c r="C1035" s="51">
        <v>138849036742</v>
      </c>
      <c r="D1035" s="1">
        <v>2922.9</v>
      </c>
      <c r="E1035" s="1">
        <v>13183732.26</v>
      </c>
      <c r="F1035" t="s">
        <v>1280</v>
      </c>
      <c r="I1035" s="16">
        <f>-IFERROR(VLOOKUP(C1035,SIRCUPA!$A$21:$H$186,8,0),0)</f>
        <v>0</v>
      </c>
      <c r="J1035" s="68">
        <f>-IFERROR(VLOOKUP(C1035,SIRTAC!$A$16:$H$1405,8,0),0)</f>
        <v>-30</v>
      </c>
      <c r="K1035" s="68">
        <f>-IFERROR(VLOOKUP(C1035,Gastos!$A$9:$J$1398,10,0),0)</f>
        <v>-29.1</v>
      </c>
      <c r="L1035" s="68">
        <f>-IFERROR(VLOOKUP(C1035,IDC!$A$20:$H$1596,8,0),0)</f>
        <v>-18</v>
      </c>
      <c r="M1035" s="74">
        <f t="shared" si="21"/>
        <v>3000</v>
      </c>
    </row>
    <row r="1036" spans="1:13" customFormat="1">
      <c r="A1036" t="s">
        <v>127</v>
      </c>
      <c r="B1036" t="s">
        <v>130</v>
      </c>
      <c r="C1036" s="51">
        <v>138072847151</v>
      </c>
      <c r="D1036" s="1">
        <v>2878.26</v>
      </c>
      <c r="E1036" s="1">
        <v>12554749.4</v>
      </c>
      <c r="F1036" t="s">
        <v>1280</v>
      </c>
      <c r="I1036" s="16">
        <f>-IFERROR(VLOOKUP(C1036,SIRCUPA!$A$21:$H$186,8,0),0)</f>
        <v>-44.1</v>
      </c>
      <c r="J1036" s="68">
        <f>-IFERROR(VLOOKUP(C1036,SIRTAC!$A$16:$H$1405,8,0),0)</f>
        <v>0</v>
      </c>
      <c r="K1036" s="68">
        <f>-IFERROR(VLOOKUP(C1036,Gastos!$A$9:$J$1398,10,0),0)</f>
        <v>0</v>
      </c>
      <c r="L1036" s="68">
        <f>-IFERROR(VLOOKUP(C1036,IDC!$A$20:$H$1596,8,0),0)</f>
        <v>-17.64</v>
      </c>
      <c r="M1036" s="74">
        <f t="shared" si="21"/>
        <v>2940</v>
      </c>
    </row>
    <row r="1037" spans="1:13" customFormat="1">
      <c r="A1037" t="s">
        <v>134</v>
      </c>
      <c r="B1037" t="s">
        <v>11</v>
      </c>
      <c r="C1037" s="51">
        <v>138849101350</v>
      </c>
      <c r="D1037" s="1">
        <v>40055.279999999999</v>
      </c>
      <c r="E1037" s="1">
        <v>13223787.539999999</v>
      </c>
      <c r="F1037" t="s">
        <v>1280</v>
      </c>
      <c r="I1037" s="16">
        <f>-IFERROR(VLOOKUP(C1037,SIRCUPA!$A$21:$H$186,8,0),0)</f>
        <v>0</v>
      </c>
      <c r="J1037" s="68">
        <f>-IFERROR(VLOOKUP(C1037,SIRTAC!$A$16:$H$1405,8,0),0)</f>
        <v>-424</v>
      </c>
      <c r="K1037" s="68">
        <f>-IFERROR(VLOOKUP(C1037,Gastos!$A$9:$J$1398,10,0),0)</f>
        <v>-1666.32</v>
      </c>
      <c r="L1037" s="68">
        <f>-IFERROR(VLOOKUP(C1037,IDC!$A$20:$H$1596,8,0),0)</f>
        <v>-254.4</v>
      </c>
      <c r="M1037" s="74">
        <f t="shared" si="21"/>
        <v>42400</v>
      </c>
    </row>
    <row r="1038" spans="1:13" customFormat="1">
      <c r="A1038" t="s">
        <v>134</v>
      </c>
      <c r="B1038" t="s">
        <v>11</v>
      </c>
      <c r="C1038" s="51">
        <v>138849267594</v>
      </c>
      <c r="D1038" s="1">
        <v>44400.9</v>
      </c>
      <c r="E1038" s="1">
        <v>13268188.439999999</v>
      </c>
      <c r="F1038" t="s">
        <v>1280</v>
      </c>
      <c r="I1038" s="16">
        <f>-IFERROR(VLOOKUP(C1038,SIRCUPA!$A$21:$H$186,8,0),0)</f>
        <v>0</v>
      </c>
      <c r="J1038" s="68">
        <f>-IFERROR(VLOOKUP(C1038,SIRTAC!$A$16:$H$1405,8,0),0)</f>
        <v>-470</v>
      </c>
      <c r="K1038" s="68">
        <f>-IFERROR(VLOOKUP(C1038,Gastos!$A$9:$J$1398,10,0),0)</f>
        <v>-1847.1</v>
      </c>
      <c r="L1038" s="68">
        <f>-IFERROR(VLOOKUP(C1038,IDC!$A$20:$H$1596,8,0),0)</f>
        <v>-282</v>
      </c>
      <c r="M1038" s="74">
        <f t="shared" si="21"/>
        <v>47000</v>
      </c>
    </row>
    <row r="1039" spans="1:13" customFormat="1">
      <c r="A1039" t="s">
        <v>134</v>
      </c>
      <c r="B1039" t="s">
        <v>11</v>
      </c>
      <c r="C1039" s="51">
        <v>138849484320</v>
      </c>
      <c r="D1039" s="1">
        <v>9386</v>
      </c>
      <c r="E1039" s="1">
        <v>13277574.439999999</v>
      </c>
      <c r="F1039" t="s">
        <v>1280</v>
      </c>
      <c r="I1039" s="16">
        <f>-IFERROR(VLOOKUP(C1039,SIRCUPA!$A$21:$H$186,8,0),0)</f>
        <v>0</v>
      </c>
      <c r="J1039" s="68">
        <f>-IFERROR(VLOOKUP(C1039,SIRTAC!$A$16:$H$1405,8,0),0)</f>
        <v>-100</v>
      </c>
      <c r="K1039" s="68">
        <f>-IFERROR(VLOOKUP(C1039,Gastos!$A$9:$J$1398,10,0),0)</f>
        <v>-454</v>
      </c>
      <c r="L1039" s="68">
        <f>-IFERROR(VLOOKUP(C1039,IDC!$A$20:$H$1596,8,0),0)</f>
        <v>-60</v>
      </c>
      <c r="M1039" s="74">
        <f t="shared" si="21"/>
        <v>10000</v>
      </c>
    </row>
    <row r="1040" spans="1:13" customFormat="1">
      <c r="A1040" t="s">
        <v>134</v>
      </c>
      <c r="B1040" t="s">
        <v>11</v>
      </c>
      <c r="C1040" s="51">
        <v>138849998288</v>
      </c>
      <c r="D1040" s="1">
        <v>70734.179999999993</v>
      </c>
      <c r="E1040" s="1">
        <v>13348308.619999999</v>
      </c>
      <c r="F1040" t="s">
        <v>1280</v>
      </c>
      <c r="I1040" s="16">
        <f>-IFERROR(VLOOKUP(C1040,SIRCUPA!$A$21:$H$186,8,0),0)</f>
        <v>0</v>
      </c>
      <c r="J1040" s="68">
        <f>-IFERROR(VLOOKUP(C1040,SIRTAC!$A$16:$H$1405,8,0),0)</f>
        <v>-726</v>
      </c>
      <c r="K1040" s="68">
        <f>-IFERROR(VLOOKUP(C1040,Gastos!$A$9:$J$1398,10,0),0)</f>
        <v>-704.22</v>
      </c>
      <c r="L1040" s="68">
        <f>-IFERROR(VLOOKUP(C1040,IDC!$A$20:$H$1596,8,0),0)</f>
        <v>-435.6</v>
      </c>
      <c r="M1040" s="74">
        <f t="shared" si="21"/>
        <v>72600</v>
      </c>
    </row>
    <row r="1041" spans="1:13" customFormat="1">
      <c r="A1041" t="s">
        <v>134</v>
      </c>
      <c r="B1041" t="s">
        <v>11</v>
      </c>
      <c r="C1041" s="51">
        <v>138850633872</v>
      </c>
      <c r="D1041" s="1">
        <v>10230.15</v>
      </c>
      <c r="E1041" s="1">
        <v>13358538.77</v>
      </c>
      <c r="F1041" t="s">
        <v>1280</v>
      </c>
      <c r="I1041" s="16">
        <f>-IFERROR(VLOOKUP(C1041,SIRCUPA!$A$21:$H$186,8,0),0)</f>
        <v>0</v>
      </c>
      <c r="J1041" s="68">
        <f>-IFERROR(VLOOKUP(C1041,SIRTAC!$A$16:$H$1405,8,0),0)</f>
        <v>-105</v>
      </c>
      <c r="K1041" s="68">
        <f>-IFERROR(VLOOKUP(C1041,Gastos!$A$9:$J$1398,10,0),0)</f>
        <v>-101.85</v>
      </c>
      <c r="L1041" s="68">
        <f>-IFERROR(VLOOKUP(C1041,IDC!$A$20:$H$1596,8,0),0)</f>
        <v>-63</v>
      </c>
      <c r="M1041" s="74">
        <f t="shared" si="21"/>
        <v>10500</v>
      </c>
    </row>
    <row r="1042" spans="1:13" customFormat="1">
      <c r="A1042" t="s">
        <v>134</v>
      </c>
      <c r="B1042" t="s">
        <v>11</v>
      </c>
      <c r="C1042" s="51">
        <v>138210363935</v>
      </c>
      <c r="D1042" s="1">
        <v>33914.730000000003</v>
      </c>
      <c r="E1042" s="1">
        <v>13392453.5</v>
      </c>
      <c r="F1042" t="s">
        <v>1280</v>
      </c>
      <c r="I1042" s="16">
        <f>-IFERROR(VLOOKUP(C1042,SIRCUPA!$A$21:$H$186,8,0),0)</f>
        <v>0</v>
      </c>
      <c r="J1042" s="68">
        <f>-IFERROR(VLOOKUP(C1042,SIRTAC!$A$16:$H$1405,8,0),0)</f>
        <v>-359</v>
      </c>
      <c r="K1042" s="68">
        <f>-IFERROR(VLOOKUP(C1042,Gastos!$A$9:$J$1398,10,0),0)</f>
        <v>-1410.87</v>
      </c>
      <c r="L1042" s="68">
        <f>-IFERROR(VLOOKUP(C1042,IDC!$A$20:$H$1596,8,0),0)</f>
        <v>-215.4</v>
      </c>
      <c r="M1042" s="74">
        <f t="shared" si="21"/>
        <v>35900.000000000007</v>
      </c>
    </row>
    <row r="1043" spans="1:13" customFormat="1">
      <c r="A1043" t="s">
        <v>134</v>
      </c>
      <c r="B1043" t="s">
        <v>11</v>
      </c>
      <c r="C1043" s="51">
        <v>138210648291</v>
      </c>
      <c r="D1043" s="1">
        <v>10035.290000000001</v>
      </c>
      <c r="E1043" s="1">
        <v>13402488.789999999</v>
      </c>
      <c r="F1043" t="s">
        <v>1280</v>
      </c>
      <c r="I1043" s="16">
        <f>-IFERROR(VLOOKUP(C1043,SIRCUPA!$A$21:$H$186,8,0),0)</f>
        <v>0</v>
      </c>
      <c r="J1043" s="68">
        <f>-IFERROR(VLOOKUP(C1043,SIRTAC!$A$16:$H$1405,8,0),0)</f>
        <v>-103</v>
      </c>
      <c r="K1043" s="68">
        <f>-IFERROR(VLOOKUP(C1043,Gastos!$A$9:$J$1398,10,0),0)</f>
        <v>-99.91</v>
      </c>
      <c r="L1043" s="68">
        <f>-IFERROR(VLOOKUP(C1043,IDC!$A$20:$H$1596,8,0),0)</f>
        <v>-61.8</v>
      </c>
      <c r="M1043" s="74">
        <f t="shared" si="21"/>
        <v>10300</v>
      </c>
    </row>
    <row r="1044" spans="1:13" customFormat="1">
      <c r="A1044" t="s">
        <v>134</v>
      </c>
      <c r="B1044" t="s">
        <v>11</v>
      </c>
      <c r="C1044" s="51">
        <v>138851061664</v>
      </c>
      <c r="D1044" s="1">
        <v>28057.59</v>
      </c>
      <c r="E1044" s="1">
        <v>13430546.380000001</v>
      </c>
      <c r="F1044" t="s">
        <v>1280</v>
      </c>
      <c r="I1044" s="16">
        <f>-IFERROR(VLOOKUP(C1044,SIRCUPA!$A$21:$H$186,8,0),0)</f>
        <v>0</v>
      </c>
      <c r="J1044" s="68">
        <f>-IFERROR(VLOOKUP(C1044,SIRTAC!$A$16:$H$1405,8,0),0)</f>
        <v>-297</v>
      </c>
      <c r="K1044" s="68">
        <f>-IFERROR(VLOOKUP(C1044,Gastos!$A$9:$J$1398,10,0),0)</f>
        <v>-1167.21</v>
      </c>
      <c r="L1044" s="68">
        <f>-IFERROR(VLOOKUP(C1044,IDC!$A$20:$H$1596,8,0),0)</f>
        <v>-178.2</v>
      </c>
      <c r="M1044" s="74">
        <f t="shared" si="21"/>
        <v>29700</v>
      </c>
    </row>
    <row r="1045" spans="1:13" customFormat="1">
      <c r="A1045" t="s">
        <v>134</v>
      </c>
      <c r="B1045" t="s">
        <v>11</v>
      </c>
      <c r="C1045" s="51">
        <v>138211297097</v>
      </c>
      <c r="D1045" s="1">
        <v>14127.35</v>
      </c>
      <c r="E1045" s="1">
        <v>13444673.73</v>
      </c>
      <c r="F1045" t="s">
        <v>1280</v>
      </c>
      <c r="I1045" s="16">
        <f>-IFERROR(VLOOKUP(C1045,SIRCUPA!$A$21:$H$186,8,0),0)</f>
        <v>0</v>
      </c>
      <c r="J1045" s="68">
        <f>-IFERROR(VLOOKUP(C1045,SIRTAC!$A$16:$H$1405,8,0),0)</f>
        <v>-145</v>
      </c>
      <c r="K1045" s="68">
        <f>-IFERROR(VLOOKUP(C1045,Gastos!$A$9:$J$1398,10,0),0)</f>
        <v>-140.65</v>
      </c>
      <c r="L1045" s="68">
        <f>-IFERROR(VLOOKUP(C1045,IDC!$A$20:$H$1596,8,0),0)</f>
        <v>-87</v>
      </c>
      <c r="M1045" s="74">
        <f t="shared" si="21"/>
        <v>14500</v>
      </c>
    </row>
    <row r="1046" spans="1:13" customFormat="1">
      <c r="A1046" t="s">
        <v>134</v>
      </c>
      <c r="B1046" t="s">
        <v>11</v>
      </c>
      <c r="C1046" s="51">
        <v>138211329819</v>
      </c>
      <c r="D1046" s="1">
        <v>25331.8</v>
      </c>
      <c r="E1046" s="1">
        <v>13470005.529999999</v>
      </c>
      <c r="F1046" t="s">
        <v>1280</v>
      </c>
      <c r="I1046" s="16">
        <f>-IFERROR(VLOOKUP(C1046,SIRCUPA!$A$21:$H$186,8,0),0)</f>
        <v>0</v>
      </c>
      <c r="J1046" s="68">
        <f>-IFERROR(VLOOKUP(C1046,SIRTAC!$A$16:$H$1405,8,0),0)</f>
        <v>-260</v>
      </c>
      <c r="K1046" s="68">
        <f>-IFERROR(VLOOKUP(C1046,Gastos!$A$9:$J$1398,10,0),0)</f>
        <v>-252.2</v>
      </c>
      <c r="L1046" s="68">
        <f>-IFERROR(VLOOKUP(C1046,IDC!$A$20:$H$1596,8,0),0)</f>
        <v>-156</v>
      </c>
      <c r="M1046" s="74">
        <f t="shared" si="21"/>
        <v>26000</v>
      </c>
    </row>
    <row r="1047" spans="1:13" customFormat="1">
      <c r="A1047" t="s">
        <v>134</v>
      </c>
      <c r="B1047" t="s">
        <v>11</v>
      </c>
      <c r="C1047" s="51">
        <v>138851977854</v>
      </c>
      <c r="D1047" s="1">
        <v>42576.91</v>
      </c>
      <c r="E1047" s="1">
        <v>13512582.439999999</v>
      </c>
      <c r="F1047" t="s">
        <v>1280</v>
      </c>
      <c r="I1047" s="16">
        <f>-IFERROR(VLOOKUP(C1047,SIRCUPA!$A$21:$H$186,8,0),0)</f>
        <v>0</v>
      </c>
      <c r="J1047" s="68">
        <f>-IFERROR(VLOOKUP(C1047,SIRTAC!$A$16:$H$1405,8,0),0)</f>
        <v>-437</v>
      </c>
      <c r="K1047" s="68">
        <f>-IFERROR(VLOOKUP(C1047,Gastos!$A$9:$J$1398,10,0),0)</f>
        <v>-423.89</v>
      </c>
      <c r="L1047" s="68">
        <f>-IFERROR(VLOOKUP(C1047,IDC!$A$20:$H$1596,8,0),0)</f>
        <v>-262.2</v>
      </c>
      <c r="M1047" s="74">
        <f t="shared" si="21"/>
        <v>43700</v>
      </c>
    </row>
    <row r="1048" spans="1:13" customFormat="1">
      <c r="A1048" t="s">
        <v>134</v>
      </c>
      <c r="B1048" t="s">
        <v>11</v>
      </c>
      <c r="C1048" s="51">
        <v>138211671171</v>
      </c>
      <c r="D1048" s="1">
        <v>10717.3</v>
      </c>
      <c r="E1048" s="1">
        <v>13523299.74</v>
      </c>
      <c r="F1048" t="s">
        <v>1280</v>
      </c>
      <c r="I1048" s="16">
        <f>-IFERROR(VLOOKUP(C1048,SIRCUPA!$A$21:$H$186,8,0),0)</f>
        <v>0</v>
      </c>
      <c r="J1048" s="68">
        <f>-IFERROR(VLOOKUP(C1048,SIRTAC!$A$16:$H$1405,8,0),0)</f>
        <v>-110</v>
      </c>
      <c r="K1048" s="68">
        <f>-IFERROR(VLOOKUP(C1048,Gastos!$A$9:$J$1398,10,0),0)</f>
        <v>-106.7</v>
      </c>
      <c r="L1048" s="68">
        <f>-IFERROR(VLOOKUP(C1048,IDC!$A$20:$H$1596,8,0),0)</f>
        <v>-66</v>
      </c>
      <c r="M1048" s="74">
        <f t="shared" si="21"/>
        <v>11000</v>
      </c>
    </row>
    <row r="1049" spans="1:13" customFormat="1">
      <c r="A1049" t="s">
        <v>134</v>
      </c>
      <c r="B1049" t="s">
        <v>11</v>
      </c>
      <c r="C1049" s="51">
        <v>138211779431</v>
      </c>
      <c r="D1049" s="1">
        <v>63426.93</v>
      </c>
      <c r="E1049" s="1">
        <v>13586726.67</v>
      </c>
      <c r="F1049" t="s">
        <v>1280</v>
      </c>
      <c r="I1049" s="16">
        <f>-IFERROR(VLOOKUP(C1049,SIRCUPA!$A$21:$H$186,8,0),0)</f>
        <v>0</v>
      </c>
      <c r="J1049" s="68">
        <f>-IFERROR(VLOOKUP(C1049,SIRTAC!$A$16:$H$1405,8,0),0)</f>
        <v>-651</v>
      </c>
      <c r="K1049" s="68">
        <f>-IFERROR(VLOOKUP(C1049,Gastos!$A$9:$J$1398,10,0),0)</f>
        <v>-631.47</v>
      </c>
      <c r="L1049" s="68">
        <f>-IFERROR(VLOOKUP(C1049,IDC!$A$20:$H$1596,8,0),0)</f>
        <v>-390.6</v>
      </c>
      <c r="M1049" s="74">
        <f t="shared" si="21"/>
        <v>65100</v>
      </c>
    </row>
    <row r="1050" spans="1:13" customFormat="1">
      <c r="A1050" t="s">
        <v>134</v>
      </c>
      <c r="B1050" t="s">
        <v>11</v>
      </c>
      <c r="C1050" s="51">
        <v>138852403078</v>
      </c>
      <c r="D1050" s="1">
        <v>9353.2800000000007</v>
      </c>
      <c r="E1050" s="1">
        <v>13596079.949999999</v>
      </c>
      <c r="F1050" t="s">
        <v>1280</v>
      </c>
      <c r="I1050" s="16">
        <f>-IFERROR(VLOOKUP(C1050,SIRCUPA!$A$21:$H$186,8,0),0)</f>
        <v>0</v>
      </c>
      <c r="J1050" s="68">
        <f>-IFERROR(VLOOKUP(C1050,SIRTAC!$A$16:$H$1405,8,0),0)</f>
        <v>-96</v>
      </c>
      <c r="K1050" s="68">
        <f>-IFERROR(VLOOKUP(C1050,Gastos!$A$9:$J$1398,10,0),0)</f>
        <v>-93.12</v>
      </c>
      <c r="L1050" s="68">
        <f>-IFERROR(VLOOKUP(C1050,IDC!$A$20:$H$1596,8,0),0)</f>
        <v>-57.6</v>
      </c>
      <c r="M1050" s="74">
        <f t="shared" si="21"/>
        <v>9600.0000000000018</v>
      </c>
    </row>
    <row r="1051" spans="1:13" customFormat="1">
      <c r="A1051" t="s">
        <v>134</v>
      </c>
      <c r="B1051" t="s">
        <v>11</v>
      </c>
      <c r="C1051" s="51">
        <v>138852498598</v>
      </c>
      <c r="D1051" s="1">
        <v>9548.14</v>
      </c>
      <c r="E1051" s="1">
        <v>13605628.09</v>
      </c>
      <c r="F1051" t="s">
        <v>1280</v>
      </c>
      <c r="I1051" s="16">
        <f>-IFERROR(VLOOKUP(C1051,SIRCUPA!$A$21:$H$186,8,0),0)</f>
        <v>0</v>
      </c>
      <c r="J1051" s="68">
        <f>-IFERROR(VLOOKUP(C1051,SIRTAC!$A$16:$H$1405,8,0),0)</f>
        <v>-98</v>
      </c>
      <c r="K1051" s="68">
        <f>-IFERROR(VLOOKUP(C1051,Gastos!$A$9:$J$1398,10,0),0)</f>
        <v>-95.06</v>
      </c>
      <c r="L1051" s="68">
        <f>-IFERROR(VLOOKUP(C1051,IDC!$A$20:$H$1596,8,0),0)</f>
        <v>-58.8</v>
      </c>
      <c r="M1051" s="74">
        <f t="shared" si="21"/>
        <v>9799.9999999999982</v>
      </c>
    </row>
    <row r="1052" spans="1:13" customFormat="1">
      <c r="A1052" t="s">
        <v>134</v>
      </c>
      <c r="B1052" t="s">
        <v>11</v>
      </c>
      <c r="C1052" s="51">
        <v>138852696652</v>
      </c>
      <c r="D1052" s="1">
        <v>10717.3</v>
      </c>
      <c r="E1052" s="1">
        <v>13616345.390000001</v>
      </c>
      <c r="F1052" t="s">
        <v>1280</v>
      </c>
      <c r="I1052" s="16">
        <f>-IFERROR(VLOOKUP(C1052,SIRCUPA!$A$21:$H$186,8,0),0)</f>
        <v>0</v>
      </c>
      <c r="J1052" s="68">
        <f>-IFERROR(VLOOKUP(C1052,SIRTAC!$A$16:$H$1405,8,0),0)</f>
        <v>-110</v>
      </c>
      <c r="K1052" s="68">
        <f>-IFERROR(VLOOKUP(C1052,Gastos!$A$9:$J$1398,10,0),0)</f>
        <v>-106.7</v>
      </c>
      <c r="L1052" s="68">
        <f>-IFERROR(VLOOKUP(C1052,IDC!$A$20:$H$1596,8,0),0)</f>
        <v>-66</v>
      </c>
      <c r="M1052" s="74">
        <f t="shared" si="21"/>
        <v>11000</v>
      </c>
    </row>
    <row r="1053" spans="1:13" customFormat="1">
      <c r="A1053" t="s">
        <v>134</v>
      </c>
      <c r="B1053" t="s">
        <v>11</v>
      </c>
      <c r="C1053" s="51">
        <v>138212356555</v>
      </c>
      <c r="D1053" s="1">
        <v>9743</v>
      </c>
      <c r="E1053" s="1">
        <v>13626088.390000001</v>
      </c>
      <c r="F1053" t="s">
        <v>1280</v>
      </c>
      <c r="I1053" s="16">
        <f>-IFERROR(VLOOKUP(C1053,SIRCUPA!$A$21:$H$186,8,0),0)</f>
        <v>0</v>
      </c>
      <c r="J1053" s="68">
        <f>-IFERROR(VLOOKUP(C1053,SIRTAC!$A$16:$H$1405,8,0),0)</f>
        <v>-100</v>
      </c>
      <c r="K1053" s="68">
        <f>-IFERROR(VLOOKUP(C1053,Gastos!$A$9:$J$1398,10,0),0)</f>
        <v>-97</v>
      </c>
      <c r="L1053" s="68">
        <f>-IFERROR(VLOOKUP(C1053,IDC!$A$20:$H$1596,8,0),0)</f>
        <v>-60</v>
      </c>
      <c r="M1053" s="74">
        <f t="shared" si="21"/>
        <v>10000</v>
      </c>
    </row>
    <row r="1054" spans="1:13" customFormat="1">
      <c r="A1054" t="s">
        <v>134</v>
      </c>
      <c r="B1054" t="s">
        <v>11</v>
      </c>
      <c r="C1054" s="51">
        <v>138853192420</v>
      </c>
      <c r="D1054" s="1">
        <v>25136.94</v>
      </c>
      <c r="E1054" s="1">
        <v>13651225.33</v>
      </c>
      <c r="F1054" t="s">
        <v>1280</v>
      </c>
      <c r="I1054" s="16">
        <f>-IFERROR(VLOOKUP(C1054,SIRCUPA!$A$21:$H$186,8,0),0)</f>
        <v>0</v>
      </c>
      <c r="J1054" s="68">
        <f>-IFERROR(VLOOKUP(C1054,SIRTAC!$A$16:$H$1405,8,0),0)</f>
        <v>-258</v>
      </c>
      <c r="K1054" s="68">
        <f>-IFERROR(VLOOKUP(C1054,Gastos!$A$9:$J$1398,10,0),0)</f>
        <v>-250.26</v>
      </c>
      <c r="L1054" s="68">
        <f>-IFERROR(VLOOKUP(C1054,IDC!$A$20:$H$1596,8,0),0)</f>
        <v>-154.80000000000001</v>
      </c>
      <c r="M1054" s="74">
        <f t="shared" si="21"/>
        <v>25799.999999999996</v>
      </c>
    </row>
    <row r="1055" spans="1:13" customFormat="1">
      <c r="A1055" t="s">
        <v>134</v>
      </c>
      <c r="B1055" t="s">
        <v>11</v>
      </c>
      <c r="C1055" s="51">
        <v>138853202756</v>
      </c>
      <c r="D1055" s="1">
        <v>91635.9</v>
      </c>
      <c r="E1055" s="1">
        <v>13744124.140000001</v>
      </c>
      <c r="F1055" t="s">
        <v>1280</v>
      </c>
      <c r="I1055" s="16">
        <f>-IFERROR(VLOOKUP(C1055,SIRCUPA!$A$21:$H$186,8,0),0)</f>
        <v>0</v>
      </c>
      <c r="J1055" s="68">
        <f>-IFERROR(VLOOKUP(C1055,SIRTAC!$A$16:$H$1405,8,0),0)</f>
        <v>-970</v>
      </c>
      <c r="K1055" s="68">
        <f>-IFERROR(VLOOKUP(C1055,Gastos!$A$9:$J$1398,10,0),0)</f>
        <v>-3812.1</v>
      </c>
      <c r="L1055" s="68">
        <f>-IFERROR(VLOOKUP(C1055,IDC!$A$20:$H$1596,8,0),0)</f>
        <v>-582</v>
      </c>
      <c r="M1055" s="74">
        <f t="shared" si="21"/>
        <v>97000</v>
      </c>
    </row>
    <row r="1056" spans="1:13" customFormat="1">
      <c r="A1056" t="s">
        <v>134</v>
      </c>
      <c r="B1056" t="s">
        <v>11</v>
      </c>
      <c r="C1056" s="51">
        <v>138212818677</v>
      </c>
      <c r="D1056" s="1">
        <v>75313.39</v>
      </c>
      <c r="E1056" s="1">
        <v>13819437.529999999</v>
      </c>
      <c r="F1056" t="s">
        <v>1280</v>
      </c>
      <c r="I1056" s="16">
        <f>-IFERROR(VLOOKUP(C1056,SIRCUPA!$A$21:$H$186,8,0),0)</f>
        <v>0</v>
      </c>
      <c r="J1056" s="68">
        <f>-IFERROR(VLOOKUP(C1056,SIRTAC!$A$16:$H$1405,8,0),0)</f>
        <v>-773</v>
      </c>
      <c r="K1056" s="68">
        <f>-IFERROR(VLOOKUP(C1056,Gastos!$A$9:$J$1398,10,0),0)</f>
        <v>-749.81</v>
      </c>
      <c r="L1056" s="68">
        <f>-IFERROR(VLOOKUP(C1056,IDC!$A$20:$H$1596,8,0),0)</f>
        <v>-463.8</v>
      </c>
      <c r="M1056" s="74">
        <f t="shared" si="21"/>
        <v>77300</v>
      </c>
    </row>
    <row r="1057" spans="1:13" customFormat="1">
      <c r="A1057" t="s">
        <v>134</v>
      </c>
      <c r="B1057" t="s">
        <v>11</v>
      </c>
      <c r="C1057" s="51">
        <v>138853313116</v>
      </c>
      <c r="D1057" s="1">
        <v>20460.3</v>
      </c>
      <c r="E1057" s="1">
        <v>13814760.890000001</v>
      </c>
      <c r="F1057" t="s">
        <v>1280</v>
      </c>
      <c r="I1057" s="16">
        <f>-IFERROR(VLOOKUP(C1057,SIRCUPA!$A$21:$H$186,8,0),0)</f>
        <v>0</v>
      </c>
      <c r="J1057" s="68">
        <f>-IFERROR(VLOOKUP(C1057,SIRTAC!$A$16:$H$1405,8,0),0)</f>
        <v>-210</v>
      </c>
      <c r="K1057" s="68">
        <f>-IFERROR(VLOOKUP(C1057,Gastos!$A$9:$J$1398,10,0),0)</f>
        <v>-203.7</v>
      </c>
      <c r="L1057" s="68">
        <f>-IFERROR(VLOOKUP(C1057,IDC!$A$20:$H$1596,8,0),0)</f>
        <v>-126</v>
      </c>
      <c r="M1057" s="74">
        <f t="shared" si="21"/>
        <v>21000</v>
      </c>
    </row>
    <row r="1058" spans="1:13" customFormat="1">
      <c r="A1058" t="s">
        <v>134</v>
      </c>
      <c r="B1058" t="s">
        <v>11</v>
      </c>
      <c r="C1058" s="51">
        <v>138853442612</v>
      </c>
      <c r="D1058" s="1">
        <v>10035.290000000001</v>
      </c>
      <c r="E1058" s="1">
        <v>13824796.18</v>
      </c>
      <c r="F1058" t="s">
        <v>1280</v>
      </c>
      <c r="I1058" s="16">
        <f>-IFERROR(VLOOKUP(C1058,SIRCUPA!$A$21:$H$186,8,0),0)</f>
        <v>0</v>
      </c>
      <c r="J1058" s="68">
        <f>-IFERROR(VLOOKUP(C1058,SIRTAC!$A$16:$H$1405,8,0),0)</f>
        <v>-103</v>
      </c>
      <c r="K1058" s="68">
        <f>-IFERROR(VLOOKUP(C1058,Gastos!$A$9:$J$1398,10,0),0)</f>
        <v>-99.91</v>
      </c>
      <c r="L1058" s="68">
        <f>-IFERROR(VLOOKUP(C1058,IDC!$A$20:$H$1596,8,0),0)</f>
        <v>-61.8</v>
      </c>
      <c r="M1058" s="74">
        <f t="shared" si="21"/>
        <v>10300</v>
      </c>
    </row>
    <row r="1059" spans="1:13" customFormat="1">
      <c r="A1059" t="s">
        <v>134</v>
      </c>
      <c r="B1059" t="s">
        <v>11</v>
      </c>
      <c r="C1059" s="51">
        <v>138213130077</v>
      </c>
      <c r="D1059" s="1">
        <v>19486</v>
      </c>
      <c r="E1059" s="1">
        <v>13844282.18</v>
      </c>
      <c r="F1059" t="s">
        <v>1280</v>
      </c>
      <c r="I1059" s="16">
        <f>-IFERROR(VLOOKUP(C1059,SIRCUPA!$A$21:$H$186,8,0),0)</f>
        <v>0</v>
      </c>
      <c r="J1059" s="68">
        <f>-IFERROR(VLOOKUP(C1059,SIRTAC!$A$16:$H$1405,8,0),0)</f>
        <v>-200</v>
      </c>
      <c r="K1059" s="68">
        <f>-IFERROR(VLOOKUP(C1059,Gastos!$A$9:$J$1398,10,0),0)</f>
        <v>-194</v>
      </c>
      <c r="L1059" s="68">
        <f>-IFERROR(VLOOKUP(C1059,IDC!$A$20:$H$1596,8,0),0)</f>
        <v>-120</v>
      </c>
      <c r="M1059" s="74">
        <f t="shared" si="21"/>
        <v>20000</v>
      </c>
    </row>
    <row r="1060" spans="1:13" customFormat="1">
      <c r="A1060" t="s">
        <v>127</v>
      </c>
      <c r="B1060" t="s">
        <v>132</v>
      </c>
      <c r="C1060" s="51">
        <v>138205242047</v>
      </c>
      <c r="D1060" s="1">
        <v>2418.13</v>
      </c>
      <c r="E1060" s="1">
        <v>12947104.199999999</v>
      </c>
      <c r="F1060" t="s">
        <v>1280</v>
      </c>
      <c r="I1060" s="16">
        <f>-IFERROR(VLOOKUP(C1060,SIRCUPA!$A$21:$H$186,8,0),0)</f>
        <v>-37.049999999999997</v>
      </c>
      <c r="J1060" s="68">
        <f>-IFERROR(VLOOKUP(C1060,SIRTAC!$A$16:$H$1405,8,0),0)</f>
        <v>0</v>
      </c>
      <c r="K1060" s="68">
        <f>-IFERROR(VLOOKUP(C1060,Gastos!$A$9:$J$1398,10,0),0)</f>
        <v>0</v>
      </c>
      <c r="L1060" s="68">
        <f>-IFERROR(VLOOKUP(C1060,IDC!$A$20:$H$1596,8,0),0)</f>
        <v>-14.82</v>
      </c>
      <c r="M1060" s="74">
        <f t="shared" si="21"/>
        <v>2470.0000000000005</v>
      </c>
    </row>
    <row r="1061" spans="1:13" customFormat="1">
      <c r="A1061" t="s">
        <v>134</v>
      </c>
      <c r="B1061" t="s">
        <v>11</v>
      </c>
      <c r="C1061" s="51">
        <v>138853958868</v>
      </c>
      <c r="D1061" s="1">
        <v>14926.26</v>
      </c>
      <c r="E1061" s="1">
        <v>13860187.439999999</v>
      </c>
      <c r="F1061" t="s">
        <v>1280</v>
      </c>
      <c r="I1061" s="16">
        <f>-IFERROR(VLOOKUP(C1061,SIRCUPA!$A$21:$H$186,8,0),0)</f>
        <v>0</v>
      </c>
      <c r="J1061" s="68">
        <f>-IFERROR(VLOOKUP(C1061,SIRTAC!$A$16:$H$1405,8,0),0)</f>
        <v>-158</v>
      </c>
      <c r="K1061" s="68">
        <f>-IFERROR(VLOOKUP(C1061,Gastos!$A$9:$J$1398,10,0),0)</f>
        <v>-620.94000000000005</v>
      </c>
      <c r="L1061" s="68">
        <f>-IFERROR(VLOOKUP(C1061,IDC!$A$20:$H$1596,8,0),0)</f>
        <v>-94.8</v>
      </c>
      <c r="M1061" s="74">
        <f t="shared" si="21"/>
        <v>15800</v>
      </c>
    </row>
    <row r="1062" spans="1:13" customFormat="1">
      <c r="A1062" t="s">
        <v>134</v>
      </c>
      <c r="B1062" t="s">
        <v>11</v>
      </c>
      <c r="C1062" s="51">
        <v>138213612905</v>
      </c>
      <c r="D1062" s="1">
        <v>10230.15</v>
      </c>
      <c r="E1062" s="1">
        <v>13870417.59</v>
      </c>
      <c r="F1062" t="s">
        <v>1280</v>
      </c>
      <c r="I1062" s="16">
        <f>-IFERROR(VLOOKUP(C1062,SIRCUPA!$A$21:$H$186,8,0),0)</f>
        <v>0</v>
      </c>
      <c r="J1062" s="68">
        <f>-IFERROR(VLOOKUP(C1062,SIRTAC!$A$16:$H$1405,8,0),0)</f>
        <v>-105</v>
      </c>
      <c r="K1062" s="68">
        <f>-IFERROR(VLOOKUP(C1062,Gastos!$A$9:$J$1398,10,0),0)</f>
        <v>-101.85</v>
      </c>
      <c r="L1062" s="68">
        <f>-IFERROR(VLOOKUP(C1062,IDC!$A$20:$H$1596,8,0),0)</f>
        <v>-63</v>
      </c>
      <c r="M1062" s="74">
        <f t="shared" si="21"/>
        <v>10500</v>
      </c>
    </row>
    <row r="1063" spans="1:13" customFormat="1">
      <c r="A1063" t="s">
        <v>134</v>
      </c>
      <c r="B1063" t="s">
        <v>11</v>
      </c>
      <c r="C1063" s="51">
        <v>138213756749</v>
      </c>
      <c r="D1063" s="1">
        <v>26695.82</v>
      </c>
      <c r="E1063" s="1">
        <v>13897113.41</v>
      </c>
      <c r="F1063" t="s">
        <v>1280</v>
      </c>
      <c r="I1063" s="16">
        <f>-IFERROR(VLOOKUP(C1063,SIRCUPA!$A$21:$H$186,8,0),0)</f>
        <v>0</v>
      </c>
      <c r="J1063" s="68">
        <f>-IFERROR(VLOOKUP(C1063,SIRTAC!$A$16:$H$1405,8,0),0)</f>
        <v>-274</v>
      </c>
      <c r="K1063" s="68">
        <f>-IFERROR(VLOOKUP(C1063,Gastos!$A$9:$J$1398,10,0),0)</f>
        <v>-265.77999999999997</v>
      </c>
      <c r="L1063" s="68">
        <f>-IFERROR(VLOOKUP(C1063,IDC!$A$20:$H$1596,8,0),0)</f>
        <v>-164.4</v>
      </c>
      <c r="M1063" s="74">
        <f t="shared" si="21"/>
        <v>27400</v>
      </c>
    </row>
    <row r="1064" spans="1:13" customFormat="1">
      <c r="A1064" t="s">
        <v>134</v>
      </c>
      <c r="B1064" t="s">
        <v>11</v>
      </c>
      <c r="C1064" s="51">
        <v>138854466710</v>
      </c>
      <c r="D1064" s="1">
        <v>29284.32</v>
      </c>
      <c r="E1064" s="1">
        <v>13926397.73</v>
      </c>
      <c r="F1064" t="s">
        <v>1280</v>
      </c>
      <c r="I1064" s="16">
        <f>-IFERROR(VLOOKUP(C1064,SIRCUPA!$A$21:$H$186,8,0),0)</f>
        <v>0</v>
      </c>
      <c r="J1064" s="68">
        <f>-IFERROR(VLOOKUP(C1064,SIRTAC!$A$16:$H$1405,8,0),0)</f>
        <v>-312</v>
      </c>
      <c r="K1064" s="68">
        <f>-IFERROR(VLOOKUP(C1064,Gastos!$A$9:$J$1398,10,0),0)</f>
        <v>-1416.48</v>
      </c>
      <c r="L1064" s="68">
        <f>-IFERROR(VLOOKUP(C1064,IDC!$A$20:$H$1596,8,0),0)</f>
        <v>-187.2</v>
      </c>
      <c r="M1064" s="74">
        <f t="shared" ref="M1064:M1127" si="22">+D1064-I1064-J1064-K1064-L1064</f>
        <v>31200</v>
      </c>
    </row>
    <row r="1065" spans="1:13" customFormat="1">
      <c r="A1065" t="s">
        <v>134</v>
      </c>
      <c r="B1065" t="s">
        <v>11</v>
      </c>
      <c r="C1065" s="51">
        <v>138854698280</v>
      </c>
      <c r="D1065" s="1">
        <v>16075.95</v>
      </c>
      <c r="E1065" s="1">
        <v>13942473.68</v>
      </c>
      <c r="F1065" t="s">
        <v>1280</v>
      </c>
      <c r="I1065" s="16">
        <f>-IFERROR(VLOOKUP(C1065,SIRCUPA!$A$21:$H$186,8,0),0)</f>
        <v>0</v>
      </c>
      <c r="J1065" s="68">
        <f>-IFERROR(VLOOKUP(C1065,SIRTAC!$A$16:$H$1405,8,0),0)</f>
        <v>-165</v>
      </c>
      <c r="K1065" s="68">
        <f>-IFERROR(VLOOKUP(C1065,Gastos!$A$9:$J$1398,10,0),0)</f>
        <v>-160.05000000000001</v>
      </c>
      <c r="L1065" s="68">
        <f>-IFERROR(VLOOKUP(C1065,IDC!$A$20:$H$1596,8,0),0)</f>
        <v>-99</v>
      </c>
      <c r="M1065" s="74">
        <f t="shared" si="22"/>
        <v>16500</v>
      </c>
    </row>
    <row r="1066" spans="1:13" customFormat="1">
      <c r="A1066" t="s">
        <v>134</v>
      </c>
      <c r="B1066" t="s">
        <v>11</v>
      </c>
      <c r="C1066" s="51">
        <v>138854732718</v>
      </c>
      <c r="D1066" s="1">
        <v>4676.6400000000003</v>
      </c>
      <c r="E1066" s="1">
        <v>13947150.32</v>
      </c>
      <c r="F1066" t="s">
        <v>1280</v>
      </c>
      <c r="I1066" s="16">
        <f>-IFERROR(VLOOKUP(C1066,SIRCUPA!$A$21:$H$186,8,0),0)</f>
        <v>0</v>
      </c>
      <c r="J1066" s="68">
        <f>-IFERROR(VLOOKUP(C1066,SIRTAC!$A$16:$H$1405,8,0),0)</f>
        <v>-48</v>
      </c>
      <c r="K1066" s="68">
        <f>-IFERROR(VLOOKUP(C1066,Gastos!$A$9:$J$1398,10,0),0)</f>
        <v>-46.56</v>
      </c>
      <c r="L1066" s="68">
        <f>-IFERROR(VLOOKUP(C1066,IDC!$A$20:$H$1596,8,0),0)</f>
        <v>-28.8</v>
      </c>
      <c r="M1066" s="74">
        <f t="shared" si="22"/>
        <v>4800.0000000000009</v>
      </c>
    </row>
    <row r="1067" spans="1:13" customFormat="1">
      <c r="A1067" t="s">
        <v>127</v>
      </c>
      <c r="B1067" t="s">
        <v>133</v>
      </c>
      <c r="C1067" s="51">
        <v>138207819305</v>
      </c>
      <c r="D1067">
        <v>969.21</v>
      </c>
      <c r="E1067" s="1">
        <v>13165262.460000001</v>
      </c>
      <c r="F1067" t="s">
        <v>1280</v>
      </c>
      <c r="I1067" s="16">
        <f>-IFERROR(VLOOKUP(C1067,SIRCUPA!$A$21:$H$186,8,0),0)</f>
        <v>-14.85</v>
      </c>
      <c r="J1067" s="68">
        <f>-IFERROR(VLOOKUP(C1067,SIRTAC!$A$16:$H$1405,8,0),0)</f>
        <v>0</v>
      </c>
      <c r="K1067" s="68">
        <f>-IFERROR(VLOOKUP(C1067,Gastos!$A$9:$J$1398,10,0),0)</f>
        <v>0</v>
      </c>
      <c r="L1067" s="68">
        <f>-IFERROR(VLOOKUP(C1067,IDC!$A$20:$H$1596,8,0),0)</f>
        <v>-5.94</v>
      </c>
      <c r="M1067" s="74">
        <f t="shared" si="22"/>
        <v>990.00000000000011</v>
      </c>
    </row>
    <row r="1068" spans="1:13" customFormat="1">
      <c r="A1068" t="s">
        <v>134</v>
      </c>
      <c r="B1068" t="s">
        <v>11</v>
      </c>
      <c r="C1068" s="51">
        <v>138214397525</v>
      </c>
      <c r="D1068" s="1">
        <v>9548.14</v>
      </c>
      <c r="E1068" s="1">
        <v>13956698.460000001</v>
      </c>
      <c r="F1068" t="s">
        <v>1280</v>
      </c>
      <c r="I1068" s="16">
        <f>-IFERROR(VLOOKUP(C1068,SIRCUPA!$A$21:$H$186,8,0),0)</f>
        <v>0</v>
      </c>
      <c r="J1068" s="68">
        <f>-IFERROR(VLOOKUP(C1068,SIRTAC!$A$16:$H$1405,8,0),0)</f>
        <v>-98</v>
      </c>
      <c r="K1068" s="68">
        <f>-IFERROR(VLOOKUP(C1068,Gastos!$A$9:$J$1398,10,0),0)</f>
        <v>-95.06</v>
      </c>
      <c r="L1068" s="68">
        <f>-IFERROR(VLOOKUP(C1068,IDC!$A$20:$H$1596,8,0),0)</f>
        <v>-58.8</v>
      </c>
      <c r="M1068" s="74">
        <f t="shared" si="22"/>
        <v>9799.9999999999982</v>
      </c>
    </row>
    <row r="1069" spans="1:13" customFormat="1">
      <c r="A1069" t="s">
        <v>134</v>
      </c>
      <c r="B1069" t="s">
        <v>135</v>
      </c>
      <c r="C1069" s="51">
        <v>138849001012</v>
      </c>
      <c r="D1069" s="1">
        <v>1419.55</v>
      </c>
      <c r="E1069" s="1">
        <v>13180809.359999999</v>
      </c>
      <c r="F1069" t="s">
        <v>1280</v>
      </c>
      <c r="I1069" s="16">
        <f>-IFERROR(VLOOKUP(C1069,SIRCUPA!$A$21:$H$186,8,0),0)</f>
        <v>-21.75</v>
      </c>
      <c r="J1069" s="68">
        <f>-IFERROR(VLOOKUP(C1069,SIRTAC!$A$16:$H$1405,8,0),0)</f>
        <v>0</v>
      </c>
      <c r="K1069" s="68">
        <f>-IFERROR(VLOOKUP(C1069,Gastos!$A$9:$J$1398,10,0),0)</f>
        <v>0</v>
      </c>
      <c r="L1069" s="68">
        <f>-IFERROR(VLOOKUP(C1069,IDC!$A$20:$H$1596,8,0),0)</f>
        <v>-8.6999999999999993</v>
      </c>
      <c r="M1069" s="74">
        <f t="shared" si="22"/>
        <v>1450</v>
      </c>
    </row>
    <row r="1070" spans="1:13" customFormat="1">
      <c r="A1070" t="s">
        <v>134</v>
      </c>
      <c r="B1070" t="s">
        <v>11</v>
      </c>
      <c r="C1070" s="51">
        <v>138854924608</v>
      </c>
      <c r="D1070" s="1">
        <v>4871.5</v>
      </c>
      <c r="E1070" s="1">
        <v>13961569.960000001</v>
      </c>
      <c r="F1070" t="s">
        <v>1280</v>
      </c>
      <c r="I1070" s="16">
        <f>-IFERROR(VLOOKUP(C1070,SIRCUPA!$A$21:$H$186,8,0),0)</f>
        <v>0</v>
      </c>
      <c r="J1070" s="68">
        <f>-IFERROR(VLOOKUP(C1070,SIRTAC!$A$16:$H$1405,8,0),0)</f>
        <v>-50</v>
      </c>
      <c r="K1070" s="68">
        <f>-IFERROR(VLOOKUP(C1070,Gastos!$A$9:$J$1398,10,0),0)</f>
        <v>-48.5</v>
      </c>
      <c r="L1070" s="68">
        <f>-IFERROR(VLOOKUP(C1070,IDC!$A$20:$H$1596,8,0),0)</f>
        <v>-30</v>
      </c>
      <c r="M1070" s="74">
        <f t="shared" si="22"/>
        <v>5000</v>
      </c>
    </row>
    <row r="1071" spans="1:13" customFormat="1">
      <c r="A1071" t="s">
        <v>134</v>
      </c>
      <c r="B1071" t="s">
        <v>11</v>
      </c>
      <c r="C1071" s="51">
        <v>138214651007</v>
      </c>
      <c r="D1071" s="1">
        <v>138448.03</v>
      </c>
      <c r="E1071" s="1">
        <v>14100017.99</v>
      </c>
      <c r="F1071" t="s">
        <v>1280</v>
      </c>
      <c r="I1071" s="16">
        <f>-IFERROR(VLOOKUP(C1071,SIRCUPA!$A$21:$H$186,8,0),0)</f>
        <v>0</v>
      </c>
      <c r="J1071" s="68">
        <f>-IFERROR(VLOOKUP(C1071,SIRTAC!$A$16:$H$1405,8,0),0)</f>
        <v>-1421</v>
      </c>
      <c r="K1071" s="68">
        <f>-IFERROR(VLOOKUP(C1071,Gastos!$A$9:$J$1398,10,0),0)</f>
        <v>-1378.37</v>
      </c>
      <c r="L1071" s="68">
        <f>-IFERROR(VLOOKUP(C1071,IDC!$A$20:$H$1596,8,0),0)</f>
        <v>-852.6</v>
      </c>
      <c r="M1071" s="74">
        <f t="shared" si="22"/>
        <v>142100</v>
      </c>
    </row>
    <row r="1072" spans="1:13" customFormat="1">
      <c r="A1072" t="s">
        <v>134</v>
      </c>
      <c r="B1072" t="s">
        <v>11</v>
      </c>
      <c r="C1072" s="51">
        <v>138855188874</v>
      </c>
      <c r="D1072" s="1">
        <v>9548.14</v>
      </c>
      <c r="E1072" s="1">
        <v>14116521.92</v>
      </c>
      <c r="F1072" t="s">
        <v>1280</v>
      </c>
      <c r="I1072" s="16">
        <f>-IFERROR(VLOOKUP(C1072,SIRCUPA!$A$21:$H$186,8,0),0)</f>
        <v>0</v>
      </c>
      <c r="J1072" s="68">
        <f>-IFERROR(VLOOKUP(C1072,SIRTAC!$A$16:$H$1405,8,0),0)</f>
        <v>-98</v>
      </c>
      <c r="K1072" s="68">
        <f>-IFERROR(VLOOKUP(C1072,Gastos!$A$9:$J$1398,10,0),0)</f>
        <v>-95.06</v>
      </c>
      <c r="L1072" s="68">
        <f>-IFERROR(VLOOKUP(C1072,IDC!$A$20:$H$1596,8,0),0)</f>
        <v>-58.8</v>
      </c>
      <c r="M1072" s="74">
        <f t="shared" si="22"/>
        <v>9799.9999999999982</v>
      </c>
    </row>
    <row r="1073" spans="1:13" customFormat="1">
      <c r="A1073" t="s">
        <v>134</v>
      </c>
      <c r="B1073" t="s">
        <v>11</v>
      </c>
      <c r="C1073" s="51">
        <v>138855285094</v>
      </c>
      <c r="D1073" s="1">
        <v>125197.55</v>
      </c>
      <c r="E1073" s="1">
        <v>14241719.470000001</v>
      </c>
      <c r="F1073" t="s">
        <v>1280</v>
      </c>
      <c r="I1073" s="16">
        <f>-IFERROR(VLOOKUP(C1073,SIRCUPA!$A$21:$H$186,8,0),0)</f>
        <v>0</v>
      </c>
      <c r="J1073" s="68">
        <f>-IFERROR(VLOOKUP(C1073,SIRTAC!$A$16:$H$1405,8,0),0)</f>
        <v>-1285</v>
      </c>
      <c r="K1073" s="68">
        <f>-IFERROR(VLOOKUP(C1073,Gastos!$A$9:$J$1398,10,0),0)</f>
        <v>-1246.45</v>
      </c>
      <c r="L1073" s="68">
        <f>-IFERROR(VLOOKUP(C1073,IDC!$A$20:$H$1596,8,0),0)</f>
        <v>-771</v>
      </c>
      <c r="M1073" s="74">
        <f t="shared" si="22"/>
        <v>128500</v>
      </c>
    </row>
    <row r="1074" spans="1:13" customFormat="1">
      <c r="A1074" t="s">
        <v>134</v>
      </c>
      <c r="B1074" t="s">
        <v>11</v>
      </c>
      <c r="C1074" s="51">
        <v>138214932755</v>
      </c>
      <c r="D1074" s="1">
        <v>35212.639999999999</v>
      </c>
      <c r="E1074" s="1">
        <v>14276932.109999999</v>
      </c>
      <c r="F1074" t="s">
        <v>1280</v>
      </c>
      <c r="I1074" s="16">
        <f>-IFERROR(VLOOKUP(C1074,SIRCUPA!$A$21:$H$186,8,0),0)</f>
        <v>0</v>
      </c>
      <c r="J1074" s="68">
        <f>-IFERROR(VLOOKUP(C1074,SIRTAC!$A$16:$H$1405,8,0),0)</f>
        <v>-404</v>
      </c>
      <c r="K1074" s="68">
        <f>-IFERROR(VLOOKUP(C1074,Gastos!$A$9:$J$1398,10,0),0)</f>
        <v>-4540.96</v>
      </c>
      <c r="L1074" s="68">
        <f>-IFERROR(VLOOKUP(C1074,IDC!$A$20:$H$1596,8,0),0)</f>
        <v>-242.4</v>
      </c>
      <c r="M1074" s="74">
        <f t="shared" si="22"/>
        <v>40400</v>
      </c>
    </row>
    <row r="1075" spans="1:13" customFormat="1">
      <c r="A1075" t="s">
        <v>134</v>
      </c>
      <c r="B1075" t="s">
        <v>11</v>
      </c>
      <c r="C1075" s="51">
        <v>138215041405</v>
      </c>
      <c r="D1075" s="1">
        <v>14029.92</v>
      </c>
      <c r="E1075" s="1">
        <v>14290962.029999999</v>
      </c>
      <c r="F1075" t="s">
        <v>1280</v>
      </c>
      <c r="I1075" s="16">
        <f>-IFERROR(VLOOKUP(C1075,SIRCUPA!$A$21:$H$186,8,0),0)</f>
        <v>0</v>
      </c>
      <c r="J1075" s="68">
        <f>-IFERROR(VLOOKUP(C1075,SIRTAC!$A$16:$H$1405,8,0),0)</f>
        <v>-144</v>
      </c>
      <c r="K1075" s="68">
        <f>-IFERROR(VLOOKUP(C1075,Gastos!$A$9:$J$1398,10,0),0)</f>
        <v>-139.68</v>
      </c>
      <c r="L1075" s="68">
        <f>-IFERROR(VLOOKUP(C1075,IDC!$A$20:$H$1596,8,0),0)</f>
        <v>-86.4</v>
      </c>
      <c r="M1075" s="74">
        <f t="shared" si="22"/>
        <v>14400</v>
      </c>
    </row>
    <row r="1076" spans="1:13" customFormat="1">
      <c r="A1076" t="s">
        <v>134</v>
      </c>
      <c r="B1076" t="s">
        <v>11</v>
      </c>
      <c r="C1076" s="51">
        <v>138215082017</v>
      </c>
      <c r="D1076" s="1">
        <v>10717.3</v>
      </c>
      <c r="E1076" s="1">
        <v>14301679.33</v>
      </c>
      <c r="F1076" t="s">
        <v>1280</v>
      </c>
      <c r="I1076" s="16">
        <f>-IFERROR(VLOOKUP(C1076,SIRCUPA!$A$21:$H$186,8,0),0)</f>
        <v>0</v>
      </c>
      <c r="J1076" s="68">
        <f>-IFERROR(VLOOKUP(C1076,SIRTAC!$A$16:$H$1405,8,0),0)</f>
        <v>-110</v>
      </c>
      <c r="K1076" s="68">
        <f>-IFERROR(VLOOKUP(C1076,Gastos!$A$9:$J$1398,10,0),0)</f>
        <v>-106.7</v>
      </c>
      <c r="L1076" s="68">
        <f>-IFERROR(VLOOKUP(C1076,IDC!$A$20:$H$1596,8,0),0)</f>
        <v>-66</v>
      </c>
      <c r="M1076" s="74">
        <f t="shared" si="22"/>
        <v>11000</v>
      </c>
    </row>
    <row r="1077" spans="1:13" customFormat="1">
      <c r="A1077" t="s">
        <v>134</v>
      </c>
      <c r="B1077" t="s">
        <v>11</v>
      </c>
      <c r="C1077" s="51">
        <v>138215130073</v>
      </c>
      <c r="D1077" s="1">
        <v>9198.2800000000007</v>
      </c>
      <c r="E1077" s="1">
        <v>14310877.609999999</v>
      </c>
      <c r="F1077" t="s">
        <v>1280</v>
      </c>
      <c r="I1077" s="16">
        <f>-IFERROR(VLOOKUP(C1077,SIRCUPA!$A$21:$H$186,8,0),0)</f>
        <v>0</v>
      </c>
      <c r="J1077" s="68">
        <f>-IFERROR(VLOOKUP(C1077,SIRTAC!$A$16:$H$1405,8,0),0)</f>
        <v>-98</v>
      </c>
      <c r="K1077" s="68">
        <f>-IFERROR(VLOOKUP(C1077,Gastos!$A$9:$J$1398,10,0),0)</f>
        <v>-444.92</v>
      </c>
      <c r="L1077" s="68">
        <f>-IFERROR(VLOOKUP(C1077,IDC!$A$20:$H$1596,8,0),0)</f>
        <v>-58.8</v>
      </c>
      <c r="M1077" s="74">
        <f t="shared" si="22"/>
        <v>9800</v>
      </c>
    </row>
    <row r="1078" spans="1:13" customFormat="1">
      <c r="A1078" t="s">
        <v>134</v>
      </c>
      <c r="B1078" t="s">
        <v>11</v>
      </c>
      <c r="C1078" s="51">
        <v>138215334949</v>
      </c>
      <c r="D1078" s="1">
        <v>18414.27</v>
      </c>
      <c r="E1078" s="1">
        <v>14329291.880000001</v>
      </c>
      <c r="F1078" t="s">
        <v>1280</v>
      </c>
      <c r="I1078" s="16">
        <f>-IFERROR(VLOOKUP(C1078,SIRCUPA!$A$21:$H$186,8,0),0)</f>
        <v>0</v>
      </c>
      <c r="J1078" s="68">
        <f>-IFERROR(VLOOKUP(C1078,SIRTAC!$A$16:$H$1405,8,0),0)</f>
        <v>-189</v>
      </c>
      <c r="K1078" s="68">
        <f>-IFERROR(VLOOKUP(C1078,Gastos!$A$9:$J$1398,10,0),0)</f>
        <v>-183.33</v>
      </c>
      <c r="L1078" s="68">
        <f>-IFERROR(VLOOKUP(C1078,IDC!$A$20:$H$1596,8,0),0)</f>
        <v>-113.4</v>
      </c>
      <c r="M1078" s="74">
        <f t="shared" si="22"/>
        <v>18900.000000000004</v>
      </c>
    </row>
    <row r="1079" spans="1:13" customFormat="1">
      <c r="A1079" t="s">
        <v>134</v>
      </c>
      <c r="B1079" t="s">
        <v>11</v>
      </c>
      <c r="C1079" s="51">
        <v>138855980124</v>
      </c>
      <c r="D1079" s="1">
        <v>19291.14</v>
      </c>
      <c r="E1079" s="1">
        <v>14348583.02</v>
      </c>
      <c r="F1079" t="s">
        <v>1280</v>
      </c>
      <c r="I1079" s="16">
        <f>-IFERROR(VLOOKUP(C1079,SIRCUPA!$A$21:$H$186,8,0),0)</f>
        <v>0</v>
      </c>
      <c r="J1079" s="68">
        <f>-IFERROR(VLOOKUP(C1079,SIRTAC!$A$16:$H$1405,8,0),0)</f>
        <v>-198</v>
      </c>
      <c r="K1079" s="68">
        <f>-IFERROR(VLOOKUP(C1079,Gastos!$A$9:$J$1398,10,0),0)</f>
        <v>-192.06</v>
      </c>
      <c r="L1079" s="68">
        <f>-IFERROR(VLOOKUP(C1079,IDC!$A$20:$H$1596,8,0),0)</f>
        <v>-118.8</v>
      </c>
      <c r="M1079" s="74">
        <f t="shared" si="22"/>
        <v>19800</v>
      </c>
    </row>
    <row r="1080" spans="1:13" customFormat="1">
      <c r="A1080" t="s">
        <v>134</v>
      </c>
      <c r="B1080" t="s">
        <v>11</v>
      </c>
      <c r="C1080" s="51">
        <v>138855967168</v>
      </c>
      <c r="D1080" s="1">
        <v>10230.15</v>
      </c>
      <c r="E1080" s="1">
        <v>14358813.17</v>
      </c>
      <c r="F1080" t="s">
        <v>1280</v>
      </c>
      <c r="I1080" s="16">
        <f>-IFERROR(VLOOKUP(C1080,SIRCUPA!$A$21:$H$186,8,0),0)</f>
        <v>0</v>
      </c>
      <c r="J1080" s="68">
        <f>-IFERROR(VLOOKUP(C1080,SIRTAC!$A$16:$H$1405,8,0),0)</f>
        <v>-105</v>
      </c>
      <c r="K1080" s="68">
        <f>-IFERROR(VLOOKUP(C1080,Gastos!$A$9:$J$1398,10,0),0)</f>
        <v>-101.85</v>
      </c>
      <c r="L1080" s="68">
        <f>-IFERROR(VLOOKUP(C1080,IDC!$A$20:$H$1596,8,0),0)</f>
        <v>-63</v>
      </c>
      <c r="M1080" s="74">
        <f t="shared" si="22"/>
        <v>10500</v>
      </c>
    </row>
    <row r="1081" spans="1:13" customFormat="1">
      <c r="A1081" t="s">
        <v>134</v>
      </c>
      <c r="B1081" t="s">
        <v>11</v>
      </c>
      <c r="C1081" s="51">
        <v>138856026646</v>
      </c>
      <c r="D1081" s="1">
        <v>44778.78</v>
      </c>
      <c r="E1081" s="1">
        <v>14403591.949999999</v>
      </c>
      <c r="F1081" t="s">
        <v>1280</v>
      </c>
      <c r="I1081" s="16">
        <f>-IFERROR(VLOOKUP(C1081,SIRCUPA!$A$21:$H$186,8,0),0)</f>
        <v>0</v>
      </c>
      <c r="J1081" s="68">
        <f>-IFERROR(VLOOKUP(C1081,SIRTAC!$A$16:$H$1405,8,0),0)</f>
        <v>-474</v>
      </c>
      <c r="K1081" s="68">
        <f>-IFERROR(VLOOKUP(C1081,Gastos!$A$9:$J$1398,10,0),0)</f>
        <v>-1862.82</v>
      </c>
      <c r="L1081" s="68">
        <f>-IFERROR(VLOOKUP(C1081,IDC!$A$20:$H$1596,8,0),0)</f>
        <v>-284.39999999999998</v>
      </c>
      <c r="M1081" s="74">
        <f t="shared" si="22"/>
        <v>47400</v>
      </c>
    </row>
    <row r="1082" spans="1:13" customFormat="1">
      <c r="A1082" t="s">
        <v>134</v>
      </c>
      <c r="B1082" t="s">
        <v>11</v>
      </c>
      <c r="C1082" s="51">
        <v>138856057240</v>
      </c>
      <c r="D1082" s="1">
        <v>49007.29</v>
      </c>
      <c r="E1082" s="1">
        <v>14452599.24</v>
      </c>
      <c r="F1082" t="s">
        <v>1280</v>
      </c>
      <c r="I1082" s="16">
        <f>-IFERROR(VLOOKUP(C1082,SIRCUPA!$A$21:$H$186,8,0),0)</f>
        <v>0</v>
      </c>
      <c r="J1082" s="68">
        <f>-IFERROR(VLOOKUP(C1082,SIRTAC!$A$16:$H$1405,8,0),0)</f>
        <v>-503</v>
      </c>
      <c r="K1082" s="68">
        <f>-IFERROR(VLOOKUP(C1082,Gastos!$A$9:$J$1398,10,0),0)</f>
        <v>-487.91</v>
      </c>
      <c r="L1082" s="68">
        <f>-IFERROR(VLOOKUP(C1082,IDC!$A$20:$H$1596,8,0),0)</f>
        <v>-301.8</v>
      </c>
      <c r="M1082" s="74">
        <f t="shared" si="22"/>
        <v>50300.000000000007</v>
      </c>
    </row>
    <row r="1083" spans="1:13" customFormat="1">
      <c r="A1083" t="s">
        <v>134</v>
      </c>
      <c r="B1083" t="s">
        <v>11</v>
      </c>
      <c r="C1083" s="51">
        <v>138216488259</v>
      </c>
      <c r="D1083" s="1">
        <v>15978.52</v>
      </c>
      <c r="E1083" s="1">
        <v>14471039.939999999</v>
      </c>
      <c r="F1083" t="s">
        <v>1280</v>
      </c>
      <c r="I1083" s="16">
        <f>-IFERROR(VLOOKUP(C1083,SIRCUPA!$A$21:$H$186,8,0),0)</f>
        <v>0</v>
      </c>
      <c r="J1083" s="68">
        <f>-IFERROR(VLOOKUP(C1083,SIRTAC!$A$16:$H$1405,8,0),0)</f>
        <v>-164</v>
      </c>
      <c r="K1083" s="68">
        <f>-IFERROR(VLOOKUP(C1083,Gastos!$A$9:$J$1398,10,0),0)</f>
        <v>-159.08000000000001</v>
      </c>
      <c r="L1083" s="68">
        <f>-IFERROR(VLOOKUP(C1083,IDC!$A$20:$H$1596,8,0),0)</f>
        <v>-98.4</v>
      </c>
      <c r="M1083" s="74">
        <f t="shared" si="22"/>
        <v>16400</v>
      </c>
    </row>
    <row r="1084" spans="1:13" customFormat="1">
      <c r="A1084" t="s">
        <v>134</v>
      </c>
      <c r="B1084" t="s">
        <v>11</v>
      </c>
      <c r="C1084" s="51">
        <v>138216467745</v>
      </c>
      <c r="D1084" s="1">
        <v>109253.04</v>
      </c>
      <c r="E1084" s="1">
        <v>14581095.76</v>
      </c>
      <c r="F1084" t="s">
        <v>1280</v>
      </c>
      <c r="I1084" s="16">
        <f>-IFERROR(VLOOKUP(C1084,SIRCUPA!$A$21:$H$186,8,0),0)</f>
        <v>0</v>
      </c>
      <c r="J1084" s="68">
        <f>-IFERROR(VLOOKUP(C1084,SIRTAC!$A$16:$H$1405,8,0),0)</f>
        <v>-1164</v>
      </c>
      <c r="K1084" s="68">
        <f>-IFERROR(VLOOKUP(C1084,Gastos!$A$9:$J$1398,10,0),0)</f>
        <v>-5284.56</v>
      </c>
      <c r="L1084" s="68">
        <f>-IFERROR(VLOOKUP(C1084,IDC!$A$20:$H$1596,8,0),0)</f>
        <v>-698.4</v>
      </c>
      <c r="M1084" s="74">
        <f t="shared" si="22"/>
        <v>116399.99999999999</v>
      </c>
    </row>
    <row r="1085" spans="1:13" customFormat="1">
      <c r="A1085" t="s">
        <v>134</v>
      </c>
      <c r="B1085" t="s">
        <v>11</v>
      </c>
      <c r="C1085" s="51">
        <v>138856950028</v>
      </c>
      <c r="D1085" s="1">
        <v>30702.75</v>
      </c>
      <c r="E1085" s="1">
        <v>14611798.51</v>
      </c>
      <c r="F1085" t="s">
        <v>1280</v>
      </c>
      <c r="I1085" s="16">
        <f>-IFERROR(VLOOKUP(C1085,SIRCUPA!$A$21:$H$186,8,0),0)</f>
        <v>0</v>
      </c>
      <c r="J1085" s="68">
        <f>-IFERROR(VLOOKUP(C1085,SIRTAC!$A$16:$H$1405,8,0),0)</f>
        <v>-325</v>
      </c>
      <c r="K1085" s="68">
        <f>-IFERROR(VLOOKUP(C1085,Gastos!$A$9:$J$1398,10,0),0)</f>
        <v>-1277.25</v>
      </c>
      <c r="L1085" s="68">
        <f>-IFERROR(VLOOKUP(C1085,IDC!$A$20:$H$1596,8,0),0)</f>
        <v>-195</v>
      </c>
      <c r="M1085" s="74">
        <f t="shared" si="22"/>
        <v>32500</v>
      </c>
    </row>
    <row r="1086" spans="1:13" customFormat="1">
      <c r="A1086" t="s">
        <v>134</v>
      </c>
      <c r="B1086" t="s">
        <v>11</v>
      </c>
      <c r="C1086" s="51">
        <v>138857415050</v>
      </c>
      <c r="D1086" s="1">
        <v>9986.9</v>
      </c>
      <c r="E1086" s="1">
        <v>14621785.41</v>
      </c>
      <c r="F1086" t="s">
        <v>1280</v>
      </c>
      <c r="I1086" s="16">
        <f>-IFERROR(VLOOKUP(C1086,SIRCUPA!$A$21:$H$186,8,0),0)</f>
        <v>0</v>
      </c>
      <c r="J1086" s="68">
        <f>-IFERROR(VLOOKUP(C1086,SIRTAC!$A$16:$H$1405,8,0),0)</f>
        <v>-110</v>
      </c>
      <c r="K1086" s="68">
        <f>-IFERROR(VLOOKUP(C1086,Gastos!$A$9:$J$1398,10,0),0)</f>
        <v>-837.1</v>
      </c>
      <c r="L1086" s="68">
        <f>-IFERROR(VLOOKUP(C1086,IDC!$A$20:$H$1596,8,0),0)</f>
        <v>-66</v>
      </c>
      <c r="M1086" s="74">
        <f t="shared" si="22"/>
        <v>11000</v>
      </c>
    </row>
    <row r="1087" spans="1:13" customFormat="1">
      <c r="A1087" t="s">
        <v>134</v>
      </c>
      <c r="B1087" t="s">
        <v>11</v>
      </c>
      <c r="C1087" s="51">
        <v>138217368551</v>
      </c>
      <c r="D1087" s="1">
        <v>49007.29</v>
      </c>
      <c r="E1087" s="1">
        <v>14670792.699999999</v>
      </c>
      <c r="F1087" t="s">
        <v>1280</v>
      </c>
      <c r="I1087" s="16">
        <f>-IFERROR(VLOOKUP(C1087,SIRCUPA!$A$21:$H$186,8,0),0)</f>
        <v>0</v>
      </c>
      <c r="J1087" s="68">
        <f>-IFERROR(VLOOKUP(C1087,SIRTAC!$A$16:$H$1405,8,0),0)</f>
        <v>-503</v>
      </c>
      <c r="K1087" s="68">
        <f>-IFERROR(VLOOKUP(C1087,Gastos!$A$9:$J$1398,10,0),0)</f>
        <v>-487.91</v>
      </c>
      <c r="L1087" s="68">
        <f>-IFERROR(VLOOKUP(C1087,IDC!$A$20:$H$1596,8,0),0)</f>
        <v>-301.8</v>
      </c>
      <c r="M1087" s="74">
        <f t="shared" si="22"/>
        <v>50300.000000000007</v>
      </c>
    </row>
    <row r="1088" spans="1:13" customFormat="1">
      <c r="A1088" t="s">
        <v>134</v>
      </c>
      <c r="B1088" t="s">
        <v>11</v>
      </c>
      <c r="C1088" s="51">
        <v>138857784600</v>
      </c>
      <c r="D1088" s="1">
        <v>14711.93</v>
      </c>
      <c r="E1088" s="1">
        <v>14685504.630000001</v>
      </c>
      <c r="F1088" t="s">
        <v>1280</v>
      </c>
      <c r="I1088" s="16">
        <f>-IFERROR(VLOOKUP(C1088,SIRCUPA!$A$21:$H$186,8,0),0)</f>
        <v>0</v>
      </c>
      <c r="J1088" s="68">
        <f>-IFERROR(VLOOKUP(C1088,SIRTAC!$A$16:$H$1405,8,0),0)</f>
        <v>-151</v>
      </c>
      <c r="K1088" s="68">
        <f>-IFERROR(VLOOKUP(C1088,Gastos!$A$9:$J$1398,10,0),0)</f>
        <v>-146.47</v>
      </c>
      <c r="L1088" s="68">
        <f>-IFERROR(VLOOKUP(C1088,IDC!$A$20:$H$1596,8,0),0)</f>
        <v>-90.6</v>
      </c>
      <c r="M1088" s="74">
        <f t="shared" si="22"/>
        <v>15100</v>
      </c>
    </row>
    <row r="1089" spans="1:13" customFormat="1">
      <c r="A1089" t="s">
        <v>134</v>
      </c>
      <c r="B1089" t="s">
        <v>136</v>
      </c>
      <c r="C1089" s="51">
        <v>138853147094</v>
      </c>
      <c r="D1089" s="1">
        <v>1262.9100000000001</v>
      </c>
      <c r="E1089" s="1">
        <v>13652488.24</v>
      </c>
      <c r="F1089" t="s">
        <v>1280</v>
      </c>
      <c r="I1089" s="16">
        <f>-IFERROR(VLOOKUP(C1089,SIRCUPA!$A$21:$H$186,8,0),0)</f>
        <v>-19.350000000000001</v>
      </c>
      <c r="J1089" s="68">
        <f>-IFERROR(VLOOKUP(C1089,SIRTAC!$A$16:$H$1405,8,0),0)</f>
        <v>0</v>
      </c>
      <c r="K1089" s="68">
        <f>-IFERROR(VLOOKUP(C1089,Gastos!$A$9:$J$1398,10,0),0)</f>
        <v>0</v>
      </c>
      <c r="L1089" s="68">
        <f>-IFERROR(VLOOKUP(C1089,IDC!$A$20:$H$1596,8,0),0)</f>
        <v>-7.74</v>
      </c>
      <c r="M1089" s="74">
        <f t="shared" si="22"/>
        <v>1290</v>
      </c>
    </row>
    <row r="1090" spans="1:13" customFormat="1">
      <c r="A1090" t="s">
        <v>134</v>
      </c>
      <c r="B1090" t="s">
        <v>11</v>
      </c>
      <c r="C1090" s="51">
        <v>138217572119</v>
      </c>
      <c r="D1090" s="1">
        <v>10035.290000000001</v>
      </c>
      <c r="E1090" s="1">
        <v>14695539.92</v>
      </c>
      <c r="F1090" t="s">
        <v>1280</v>
      </c>
      <c r="I1090" s="16">
        <f>-IFERROR(VLOOKUP(C1090,SIRCUPA!$A$21:$H$186,8,0),0)</f>
        <v>0</v>
      </c>
      <c r="J1090" s="68">
        <f>-IFERROR(VLOOKUP(C1090,SIRTAC!$A$16:$H$1405,8,0),0)</f>
        <v>-103</v>
      </c>
      <c r="K1090" s="68">
        <f>-IFERROR(VLOOKUP(C1090,Gastos!$A$9:$J$1398,10,0),0)</f>
        <v>-99.91</v>
      </c>
      <c r="L1090" s="68">
        <f>-IFERROR(VLOOKUP(C1090,IDC!$A$20:$H$1596,8,0),0)</f>
        <v>-61.8</v>
      </c>
      <c r="M1090" s="74">
        <f t="shared" si="22"/>
        <v>10300</v>
      </c>
    </row>
    <row r="1091" spans="1:13" customFormat="1">
      <c r="A1091" t="s">
        <v>134</v>
      </c>
      <c r="B1091" t="s">
        <v>11</v>
      </c>
      <c r="C1091" s="51">
        <v>138217537137</v>
      </c>
      <c r="D1091" s="1">
        <v>10717.3</v>
      </c>
      <c r="E1091" s="1">
        <v>14706257.220000001</v>
      </c>
      <c r="F1091" t="s">
        <v>1280</v>
      </c>
      <c r="I1091" s="16">
        <f>-IFERROR(VLOOKUP(C1091,SIRCUPA!$A$21:$H$186,8,0),0)</f>
        <v>0</v>
      </c>
      <c r="J1091" s="68">
        <f>-IFERROR(VLOOKUP(C1091,SIRTAC!$A$16:$H$1405,8,0),0)</f>
        <v>-110</v>
      </c>
      <c r="K1091" s="68">
        <f>-IFERROR(VLOOKUP(C1091,Gastos!$A$9:$J$1398,10,0),0)</f>
        <v>-106.7</v>
      </c>
      <c r="L1091" s="68">
        <f>-IFERROR(VLOOKUP(C1091,IDC!$A$20:$H$1596,8,0),0)</f>
        <v>-66</v>
      </c>
      <c r="M1091" s="74">
        <f t="shared" si="22"/>
        <v>11000</v>
      </c>
    </row>
    <row r="1092" spans="1:13" customFormat="1">
      <c r="A1092" t="s">
        <v>134</v>
      </c>
      <c r="B1092" t="s">
        <v>11</v>
      </c>
      <c r="C1092" s="51">
        <v>138217640499</v>
      </c>
      <c r="D1092" s="1">
        <v>19096.28</v>
      </c>
      <c r="E1092" s="1">
        <v>14725353.5</v>
      </c>
      <c r="F1092" t="s">
        <v>1280</v>
      </c>
      <c r="I1092" s="16">
        <f>-IFERROR(VLOOKUP(C1092,SIRCUPA!$A$21:$H$186,8,0),0)</f>
        <v>0</v>
      </c>
      <c r="J1092" s="68">
        <f>-IFERROR(VLOOKUP(C1092,SIRTAC!$A$16:$H$1405,8,0),0)</f>
        <v>-196</v>
      </c>
      <c r="K1092" s="68">
        <f>-IFERROR(VLOOKUP(C1092,Gastos!$A$9:$J$1398,10,0),0)</f>
        <v>-190.12</v>
      </c>
      <c r="L1092" s="68">
        <f>-IFERROR(VLOOKUP(C1092,IDC!$A$20:$H$1596,8,0),0)</f>
        <v>-117.6</v>
      </c>
      <c r="M1092" s="74">
        <f t="shared" si="22"/>
        <v>19599.999999999996</v>
      </c>
    </row>
    <row r="1093" spans="1:13" customFormat="1">
      <c r="A1093" t="s">
        <v>134</v>
      </c>
      <c r="B1093" t="s">
        <v>11</v>
      </c>
      <c r="C1093" s="51">
        <v>138857992860</v>
      </c>
      <c r="D1093" s="1">
        <v>62160.34</v>
      </c>
      <c r="E1093" s="1">
        <v>14787513.84</v>
      </c>
      <c r="F1093" t="s">
        <v>1280</v>
      </c>
      <c r="I1093" s="16">
        <f>-IFERROR(VLOOKUP(C1093,SIRCUPA!$A$21:$H$186,8,0),0)</f>
        <v>0</v>
      </c>
      <c r="J1093" s="68">
        <f>-IFERROR(VLOOKUP(C1093,SIRTAC!$A$16:$H$1405,8,0),0)</f>
        <v>-638</v>
      </c>
      <c r="K1093" s="68">
        <f>-IFERROR(VLOOKUP(C1093,Gastos!$A$9:$J$1398,10,0),0)</f>
        <v>-618.86</v>
      </c>
      <c r="L1093" s="68">
        <f>-IFERROR(VLOOKUP(C1093,IDC!$A$20:$H$1596,8,0),0)</f>
        <v>-382.8</v>
      </c>
      <c r="M1093" s="74">
        <f t="shared" si="22"/>
        <v>63800</v>
      </c>
    </row>
    <row r="1094" spans="1:13" customFormat="1">
      <c r="A1094" t="s">
        <v>134</v>
      </c>
      <c r="B1094" t="s">
        <v>11</v>
      </c>
      <c r="C1094" s="51">
        <v>138217702891</v>
      </c>
      <c r="D1094" s="1">
        <v>98794.02</v>
      </c>
      <c r="E1094" s="1">
        <v>14889430.869999999</v>
      </c>
      <c r="F1094" t="s">
        <v>1280</v>
      </c>
      <c r="I1094" s="16">
        <f>-IFERROR(VLOOKUP(C1094,SIRCUPA!$A$21:$H$186,8,0),0)</f>
        <v>0</v>
      </c>
      <c r="J1094" s="68">
        <f>-IFERROR(VLOOKUP(C1094,SIRTAC!$A$16:$H$1405,8,0),0)</f>
        <v>-1014</v>
      </c>
      <c r="K1094" s="68">
        <f>-IFERROR(VLOOKUP(C1094,Gastos!$A$9:$J$1398,10,0),0)</f>
        <v>-983.58</v>
      </c>
      <c r="L1094" s="68">
        <f>-IFERROR(VLOOKUP(C1094,IDC!$A$20:$H$1596,8,0),0)</f>
        <v>-608.4</v>
      </c>
      <c r="M1094" s="74">
        <f t="shared" si="22"/>
        <v>101400</v>
      </c>
    </row>
    <row r="1095" spans="1:13" customFormat="1">
      <c r="A1095" t="s">
        <v>134</v>
      </c>
      <c r="B1095" t="s">
        <v>11</v>
      </c>
      <c r="C1095" s="51">
        <v>138217707315</v>
      </c>
      <c r="D1095" s="1">
        <v>26306.1</v>
      </c>
      <c r="E1095" s="1">
        <v>14915736.970000001</v>
      </c>
      <c r="F1095" t="s">
        <v>1280</v>
      </c>
      <c r="I1095" s="16">
        <f>-IFERROR(VLOOKUP(C1095,SIRCUPA!$A$21:$H$186,8,0),0)</f>
        <v>0</v>
      </c>
      <c r="J1095" s="68">
        <f>-IFERROR(VLOOKUP(C1095,SIRTAC!$A$16:$H$1405,8,0),0)</f>
        <v>-270</v>
      </c>
      <c r="K1095" s="68">
        <f>-IFERROR(VLOOKUP(C1095,Gastos!$A$9:$J$1398,10,0),0)</f>
        <v>-261.89999999999998</v>
      </c>
      <c r="L1095" s="68">
        <f>-IFERROR(VLOOKUP(C1095,IDC!$A$20:$H$1596,8,0),0)</f>
        <v>-162</v>
      </c>
      <c r="M1095" s="74">
        <f t="shared" si="22"/>
        <v>27000</v>
      </c>
    </row>
    <row r="1096" spans="1:13" customFormat="1">
      <c r="A1096" t="s">
        <v>134</v>
      </c>
      <c r="B1096" t="s">
        <v>137</v>
      </c>
      <c r="C1096" s="51">
        <v>138213161831</v>
      </c>
      <c r="D1096">
        <v>979</v>
      </c>
      <c r="E1096" s="1">
        <v>13845261.18</v>
      </c>
      <c r="F1096" t="s">
        <v>1280</v>
      </c>
      <c r="I1096" s="16">
        <f>-IFERROR(VLOOKUP(C1096,SIRCUPA!$A$21:$H$186,8,0),0)</f>
        <v>-15</v>
      </c>
      <c r="J1096" s="68">
        <f>-IFERROR(VLOOKUP(C1096,SIRTAC!$A$16:$H$1405,8,0),0)</f>
        <v>0</v>
      </c>
      <c r="K1096" s="68">
        <f>-IFERROR(VLOOKUP(C1096,Gastos!$A$9:$J$1398,10,0),0)</f>
        <v>0</v>
      </c>
      <c r="L1096" s="68">
        <f>-IFERROR(VLOOKUP(C1096,IDC!$A$20:$H$1596,8,0),0)</f>
        <v>-6</v>
      </c>
      <c r="M1096" s="74">
        <f t="shared" si="22"/>
        <v>1000</v>
      </c>
    </row>
    <row r="1097" spans="1:13" customFormat="1">
      <c r="A1097" t="s">
        <v>134</v>
      </c>
      <c r="B1097" t="s">
        <v>11</v>
      </c>
      <c r="C1097" s="51">
        <v>138217710071</v>
      </c>
      <c r="D1097" s="1">
        <v>14711.93</v>
      </c>
      <c r="E1097" s="1">
        <v>14930448.9</v>
      </c>
      <c r="F1097" t="s">
        <v>1280</v>
      </c>
      <c r="I1097" s="16">
        <f>-IFERROR(VLOOKUP(C1097,SIRCUPA!$A$21:$H$186,8,0),0)</f>
        <v>0</v>
      </c>
      <c r="J1097" s="68">
        <f>-IFERROR(VLOOKUP(C1097,SIRTAC!$A$16:$H$1405,8,0),0)</f>
        <v>-151</v>
      </c>
      <c r="K1097" s="68">
        <f>-IFERROR(VLOOKUP(C1097,Gastos!$A$9:$J$1398,10,0),0)</f>
        <v>-146.47</v>
      </c>
      <c r="L1097" s="68">
        <f>-IFERROR(VLOOKUP(C1097,IDC!$A$20:$H$1596,8,0),0)</f>
        <v>-90.6</v>
      </c>
      <c r="M1097" s="74">
        <f t="shared" si="22"/>
        <v>15100</v>
      </c>
    </row>
    <row r="1098" spans="1:13" customFormat="1">
      <c r="A1098" t="s">
        <v>134</v>
      </c>
      <c r="B1098" t="s">
        <v>11</v>
      </c>
      <c r="C1098" s="51">
        <v>138931151502</v>
      </c>
      <c r="D1098" s="1">
        <v>5358.65</v>
      </c>
      <c r="E1098" s="1">
        <v>14936546.689999999</v>
      </c>
      <c r="F1098" t="s">
        <v>1280</v>
      </c>
      <c r="I1098" s="16">
        <f>-IFERROR(VLOOKUP(C1098,SIRCUPA!$A$21:$H$186,8,0),0)</f>
        <v>0</v>
      </c>
      <c r="J1098" s="68">
        <f>-IFERROR(VLOOKUP(C1098,SIRTAC!$A$16:$H$1405,8,0),0)</f>
        <v>-55</v>
      </c>
      <c r="K1098" s="68">
        <f>-IFERROR(VLOOKUP(C1098,Gastos!$A$9:$J$1398,10,0),0)</f>
        <v>-53.35</v>
      </c>
      <c r="L1098" s="68">
        <f>-IFERROR(VLOOKUP(C1098,IDC!$A$20:$H$1596,8,0),0)</f>
        <v>-33</v>
      </c>
      <c r="M1098" s="74">
        <f t="shared" si="22"/>
        <v>5500</v>
      </c>
    </row>
    <row r="1099" spans="1:13" customFormat="1">
      <c r="A1099" t="s">
        <v>134</v>
      </c>
      <c r="B1099" t="s">
        <v>11</v>
      </c>
      <c r="C1099" s="51">
        <v>138298749187</v>
      </c>
      <c r="D1099" s="1">
        <v>12847.92</v>
      </c>
      <c r="E1099" s="1">
        <v>14949394.609999999</v>
      </c>
      <c r="F1099" t="s">
        <v>1280</v>
      </c>
      <c r="I1099" s="16">
        <f>-IFERROR(VLOOKUP(C1099,SIRCUPA!$A$21:$H$186,8,0),0)</f>
        <v>0</v>
      </c>
      <c r="J1099" s="68">
        <f>-IFERROR(VLOOKUP(C1099,SIRTAC!$A$16:$H$1405,8,0),0)</f>
        <v>-136</v>
      </c>
      <c r="K1099" s="68">
        <f>-IFERROR(VLOOKUP(C1099,Gastos!$A$9:$J$1398,10,0),0)</f>
        <v>-534.48</v>
      </c>
      <c r="L1099" s="68">
        <f>-IFERROR(VLOOKUP(C1099,IDC!$A$20:$H$1596,8,0),0)</f>
        <v>-81.599999999999994</v>
      </c>
      <c r="M1099" s="74">
        <f t="shared" si="22"/>
        <v>13600</v>
      </c>
    </row>
    <row r="1100" spans="1:13" customFormat="1">
      <c r="A1100" t="s">
        <v>134</v>
      </c>
      <c r="B1100" t="s">
        <v>11</v>
      </c>
      <c r="C1100" s="51">
        <v>138305568797</v>
      </c>
      <c r="D1100" s="1">
        <v>18073.259999999998</v>
      </c>
      <c r="E1100" s="1">
        <v>14967467.869999999</v>
      </c>
      <c r="F1100" t="s">
        <v>1280</v>
      </c>
      <c r="I1100" s="16">
        <f>-IFERROR(VLOOKUP(C1100,SIRCUPA!$A$21:$H$186,8,0),0)</f>
        <v>0</v>
      </c>
      <c r="J1100" s="68">
        <f>-IFERROR(VLOOKUP(C1100,SIRTAC!$A$16:$H$1405,8,0),0)</f>
        <v>-185.5</v>
      </c>
      <c r="K1100" s="68">
        <f>-IFERROR(VLOOKUP(C1100,Gastos!$A$9:$J$1398,10,0),0)</f>
        <v>-179.94</v>
      </c>
      <c r="L1100" s="68">
        <f>-IFERROR(VLOOKUP(C1100,IDC!$A$20:$H$1596,8,0),0)</f>
        <v>-111.3</v>
      </c>
      <c r="M1100" s="74">
        <f t="shared" si="22"/>
        <v>18549.999999999996</v>
      </c>
    </row>
    <row r="1101" spans="1:13" customFormat="1">
      <c r="A1101" t="s">
        <v>134</v>
      </c>
      <c r="B1101" t="s">
        <v>11</v>
      </c>
      <c r="C1101" s="51">
        <v>138305709893</v>
      </c>
      <c r="D1101" s="1">
        <v>48715</v>
      </c>
      <c r="E1101" s="1">
        <v>15016182.869999999</v>
      </c>
      <c r="F1101" t="s">
        <v>1280</v>
      </c>
      <c r="I1101" s="16">
        <f>-IFERROR(VLOOKUP(C1101,SIRCUPA!$A$21:$H$186,8,0),0)</f>
        <v>0</v>
      </c>
      <c r="J1101" s="68">
        <f>-IFERROR(VLOOKUP(C1101,SIRTAC!$A$16:$H$1405,8,0),0)</f>
        <v>-500</v>
      </c>
      <c r="K1101" s="68">
        <f>-IFERROR(VLOOKUP(C1101,Gastos!$A$9:$J$1398,10,0),0)</f>
        <v>-485</v>
      </c>
      <c r="L1101" s="68">
        <f>-IFERROR(VLOOKUP(C1101,IDC!$A$20:$H$1596,8,0),0)</f>
        <v>-300</v>
      </c>
      <c r="M1101" s="74">
        <f t="shared" si="22"/>
        <v>50000</v>
      </c>
    </row>
    <row r="1102" spans="1:13" customFormat="1">
      <c r="A1102" t="s">
        <v>134</v>
      </c>
      <c r="B1102" t="s">
        <v>11</v>
      </c>
      <c r="C1102" s="51">
        <v>138946864896</v>
      </c>
      <c r="D1102" s="1">
        <v>4629.03</v>
      </c>
      <c r="E1102" s="1">
        <v>15020811.9</v>
      </c>
      <c r="F1102" t="s">
        <v>1280</v>
      </c>
      <c r="I1102" s="16">
        <f>-IFERROR(VLOOKUP(C1102,SIRCUPA!$A$21:$H$186,8,0),0)</f>
        <v>0</v>
      </c>
      <c r="J1102" s="68">
        <f>-IFERROR(VLOOKUP(C1102,SIRTAC!$A$16:$H$1405,8,0),0)</f>
        <v>-49</v>
      </c>
      <c r="K1102" s="68">
        <f>-IFERROR(VLOOKUP(C1102,Gastos!$A$9:$J$1398,10,0),0)</f>
        <v>-192.57</v>
      </c>
      <c r="L1102" s="68">
        <f>-IFERROR(VLOOKUP(C1102,IDC!$A$20:$H$1596,8,0),0)</f>
        <v>-29.4</v>
      </c>
      <c r="M1102" s="74">
        <f t="shared" si="22"/>
        <v>4899.9999999999991</v>
      </c>
    </row>
    <row r="1103" spans="1:13" customFormat="1">
      <c r="A1103" t="s">
        <v>134</v>
      </c>
      <c r="B1103" t="s">
        <v>11</v>
      </c>
      <c r="C1103" s="51">
        <v>138306469365</v>
      </c>
      <c r="D1103" s="1">
        <v>24065.21</v>
      </c>
      <c r="E1103" s="1">
        <v>15044877.109999999</v>
      </c>
      <c r="F1103" t="s">
        <v>1280</v>
      </c>
      <c r="I1103" s="16">
        <f>-IFERROR(VLOOKUP(C1103,SIRCUPA!$A$21:$H$186,8,0),0)</f>
        <v>0</v>
      </c>
      <c r="J1103" s="68">
        <f>-IFERROR(VLOOKUP(C1103,SIRTAC!$A$16:$H$1405,8,0),0)</f>
        <v>-247</v>
      </c>
      <c r="K1103" s="68">
        <f>-IFERROR(VLOOKUP(C1103,Gastos!$A$9:$J$1398,10,0),0)</f>
        <v>-239.59</v>
      </c>
      <c r="L1103" s="68">
        <f>-IFERROR(VLOOKUP(C1103,IDC!$A$20:$H$1596,8,0),0)</f>
        <v>-148.19999999999999</v>
      </c>
      <c r="M1103" s="74">
        <f t="shared" si="22"/>
        <v>24700</v>
      </c>
    </row>
    <row r="1104" spans="1:13" customFormat="1">
      <c r="A1104" t="s">
        <v>134</v>
      </c>
      <c r="B1104" t="s">
        <v>11</v>
      </c>
      <c r="C1104" s="51">
        <v>138307234725</v>
      </c>
      <c r="D1104" s="1">
        <v>28152.06</v>
      </c>
      <c r="E1104" s="1">
        <v>15074238.23</v>
      </c>
      <c r="F1104" t="s">
        <v>1280</v>
      </c>
      <c r="I1104" s="16">
        <f>-IFERROR(VLOOKUP(C1104,SIRCUPA!$A$21:$H$186,8,0),0)</f>
        <v>0</v>
      </c>
      <c r="J1104" s="68">
        <f>-IFERROR(VLOOKUP(C1104,SIRTAC!$A$16:$H$1405,8,0),0)</f>
        <v>-298</v>
      </c>
      <c r="K1104" s="68">
        <f>-IFERROR(VLOOKUP(C1104,Gastos!$A$9:$J$1398,10,0),0)</f>
        <v>-1171.1400000000001</v>
      </c>
      <c r="L1104" s="68">
        <f>-IFERROR(VLOOKUP(C1104,IDC!$A$20:$H$1596,8,0),0)</f>
        <v>-178.8</v>
      </c>
      <c r="M1104" s="74">
        <f t="shared" si="22"/>
        <v>29800</v>
      </c>
    </row>
    <row r="1105" spans="1:13" customFormat="1">
      <c r="A1105" t="s">
        <v>134</v>
      </c>
      <c r="B1105" t="s">
        <v>11</v>
      </c>
      <c r="C1105" s="51">
        <v>138307273445</v>
      </c>
      <c r="D1105" s="1">
        <v>23870.35</v>
      </c>
      <c r="E1105" s="1">
        <v>15098108.58</v>
      </c>
      <c r="F1105" t="s">
        <v>1280</v>
      </c>
      <c r="I1105" s="16">
        <f>-IFERROR(VLOOKUP(C1105,SIRCUPA!$A$21:$H$186,8,0),0)</f>
        <v>0</v>
      </c>
      <c r="J1105" s="68">
        <f>-IFERROR(VLOOKUP(C1105,SIRTAC!$A$16:$H$1405,8,0),0)</f>
        <v>-245</v>
      </c>
      <c r="K1105" s="68">
        <f>-IFERROR(VLOOKUP(C1105,Gastos!$A$9:$J$1398,10,0),0)</f>
        <v>-237.65</v>
      </c>
      <c r="L1105" s="68">
        <f>-IFERROR(VLOOKUP(C1105,IDC!$A$20:$H$1596,8,0),0)</f>
        <v>-147</v>
      </c>
      <c r="M1105" s="74">
        <f t="shared" si="22"/>
        <v>24500</v>
      </c>
    </row>
    <row r="1106" spans="1:13" customFormat="1">
      <c r="A1106" t="s">
        <v>134</v>
      </c>
      <c r="B1106" t="s">
        <v>85</v>
      </c>
      <c r="C1106" s="51">
        <v>138214690391</v>
      </c>
      <c r="D1106" s="1">
        <v>6955.79</v>
      </c>
      <c r="E1106" s="1">
        <v>14106973.779999999</v>
      </c>
      <c r="F1106" t="s">
        <v>1280</v>
      </c>
      <c r="I1106" s="16">
        <f>-IFERROR(VLOOKUP(C1106,SIRCUPA!$A$21:$H$186,8,0),0)</f>
        <v>-106.58</v>
      </c>
      <c r="J1106" s="68">
        <f>-IFERROR(VLOOKUP(C1106,SIRTAC!$A$16:$H$1405,8,0),0)</f>
        <v>0</v>
      </c>
      <c r="K1106" s="68">
        <f>-IFERROR(VLOOKUP(C1106,Gastos!$A$9:$J$1398,10,0),0)</f>
        <v>0</v>
      </c>
      <c r="L1106" s="68">
        <f>-IFERROR(VLOOKUP(C1106,IDC!$A$20:$H$1596,8,0),0)</f>
        <v>-42.63</v>
      </c>
      <c r="M1106" s="74">
        <f t="shared" si="22"/>
        <v>7105</v>
      </c>
    </row>
    <row r="1107" spans="1:13" customFormat="1">
      <c r="A1107" t="s">
        <v>134</v>
      </c>
      <c r="B1107" t="s">
        <v>11</v>
      </c>
      <c r="C1107" s="51">
        <v>138307429819</v>
      </c>
      <c r="D1107" s="1">
        <v>4871.5</v>
      </c>
      <c r="E1107" s="1">
        <v>15105378.630000001</v>
      </c>
      <c r="F1107" t="s">
        <v>1280</v>
      </c>
      <c r="I1107" s="16">
        <f>-IFERROR(VLOOKUP(C1107,SIRCUPA!$A$21:$H$186,8,0),0)</f>
        <v>0</v>
      </c>
      <c r="J1107" s="68">
        <f>-IFERROR(VLOOKUP(C1107,SIRTAC!$A$16:$H$1405,8,0),0)</f>
        <v>-50</v>
      </c>
      <c r="K1107" s="68">
        <f>-IFERROR(VLOOKUP(C1107,Gastos!$A$9:$J$1398,10,0),0)</f>
        <v>-48.5</v>
      </c>
      <c r="L1107" s="68">
        <f>-IFERROR(VLOOKUP(C1107,IDC!$A$20:$H$1596,8,0),0)</f>
        <v>-30</v>
      </c>
      <c r="M1107" s="74">
        <f t="shared" si="22"/>
        <v>5000</v>
      </c>
    </row>
    <row r="1108" spans="1:13" customFormat="1">
      <c r="A1108" t="s">
        <v>134</v>
      </c>
      <c r="B1108" t="s">
        <v>11</v>
      </c>
      <c r="C1108" s="51">
        <v>138307491501</v>
      </c>
      <c r="D1108" s="1">
        <v>10391.700000000001</v>
      </c>
      <c r="E1108" s="1">
        <v>15116015.08</v>
      </c>
      <c r="F1108" t="s">
        <v>1280</v>
      </c>
      <c r="I1108" s="16">
        <f>-IFERROR(VLOOKUP(C1108,SIRCUPA!$A$21:$H$186,8,0),0)</f>
        <v>0</v>
      </c>
      <c r="J1108" s="68">
        <f>-IFERROR(VLOOKUP(C1108,SIRTAC!$A$16:$H$1405,8,0),0)</f>
        <v>-110</v>
      </c>
      <c r="K1108" s="68">
        <f>-IFERROR(VLOOKUP(C1108,Gastos!$A$9:$J$1398,10,0),0)</f>
        <v>-432.3</v>
      </c>
      <c r="L1108" s="68">
        <f>-IFERROR(VLOOKUP(C1108,IDC!$A$20:$H$1596,8,0),0)</f>
        <v>-66</v>
      </c>
      <c r="M1108" s="74">
        <f t="shared" si="22"/>
        <v>11000</v>
      </c>
    </row>
    <row r="1109" spans="1:13" customFormat="1">
      <c r="A1109" t="s">
        <v>134</v>
      </c>
      <c r="B1109" t="s">
        <v>11</v>
      </c>
      <c r="C1109" s="51">
        <v>138950747256</v>
      </c>
      <c r="D1109" s="1">
        <v>24656.67</v>
      </c>
      <c r="E1109" s="1">
        <v>15140671.75</v>
      </c>
      <c r="F1109" t="s">
        <v>1280</v>
      </c>
      <c r="I1109" s="16">
        <f>-IFERROR(VLOOKUP(C1109,SIRCUPA!$A$21:$H$186,8,0),0)</f>
        <v>0</v>
      </c>
      <c r="J1109" s="68">
        <f>-IFERROR(VLOOKUP(C1109,SIRTAC!$A$16:$H$1405,8,0),0)</f>
        <v>-261</v>
      </c>
      <c r="K1109" s="68">
        <f>-IFERROR(VLOOKUP(C1109,Gastos!$A$9:$J$1398,10,0),0)</f>
        <v>-1025.73</v>
      </c>
      <c r="L1109" s="68">
        <f>-IFERROR(VLOOKUP(C1109,IDC!$A$20:$H$1596,8,0),0)</f>
        <v>-156.6</v>
      </c>
      <c r="M1109" s="74">
        <f t="shared" si="22"/>
        <v>26099.999999999996</v>
      </c>
    </row>
    <row r="1110" spans="1:13" customFormat="1">
      <c r="A1110" t="s">
        <v>134</v>
      </c>
      <c r="B1110" t="s">
        <v>11</v>
      </c>
      <c r="C1110" s="51">
        <v>138310086197</v>
      </c>
      <c r="D1110" s="1">
        <v>30495.59</v>
      </c>
      <c r="E1110" s="1">
        <v>15171167.34</v>
      </c>
      <c r="F1110" t="s">
        <v>1280</v>
      </c>
      <c r="I1110" s="16">
        <f>-IFERROR(VLOOKUP(C1110,SIRCUPA!$A$21:$H$186,8,0),0)</f>
        <v>0</v>
      </c>
      <c r="J1110" s="68">
        <f>-IFERROR(VLOOKUP(C1110,SIRTAC!$A$16:$H$1405,8,0),0)</f>
        <v>-313</v>
      </c>
      <c r="K1110" s="68">
        <f>-IFERROR(VLOOKUP(C1110,Gastos!$A$9:$J$1398,10,0),0)</f>
        <v>-303.61</v>
      </c>
      <c r="L1110" s="68">
        <f>-IFERROR(VLOOKUP(C1110,IDC!$A$20:$H$1596,8,0),0)</f>
        <v>-187.8</v>
      </c>
      <c r="M1110" s="74">
        <f t="shared" si="22"/>
        <v>31300</v>
      </c>
    </row>
    <row r="1111" spans="1:13" customFormat="1">
      <c r="A1111" t="s">
        <v>134</v>
      </c>
      <c r="B1111" t="s">
        <v>11</v>
      </c>
      <c r="C1111" s="51">
        <v>138951541508</v>
      </c>
      <c r="D1111" s="1">
        <v>60460.800000000003</v>
      </c>
      <c r="E1111" s="1">
        <v>15234692.41</v>
      </c>
      <c r="F1111" t="s">
        <v>1280</v>
      </c>
      <c r="I1111" s="16">
        <f>-IFERROR(VLOOKUP(C1111,SIRCUPA!$A$21:$H$186,8,0),0)</f>
        <v>0</v>
      </c>
      <c r="J1111" s="68">
        <f>-IFERROR(VLOOKUP(C1111,SIRTAC!$A$16:$H$1405,8,0),0)</f>
        <v>-640</v>
      </c>
      <c r="K1111" s="68">
        <f>-IFERROR(VLOOKUP(C1111,Gastos!$A$9:$J$1398,10,0),0)</f>
        <v>-2515.1999999999998</v>
      </c>
      <c r="L1111" s="68">
        <f>-IFERROR(VLOOKUP(C1111,IDC!$A$20:$H$1596,8,0),0)</f>
        <v>-384</v>
      </c>
      <c r="M1111" s="74">
        <f t="shared" si="22"/>
        <v>64000</v>
      </c>
    </row>
    <row r="1112" spans="1:13" customFormat="1">
      <c r="A1112" t="s">
        <v>134</v>
      </c>
      <c r="B1112" t="s">
        <v>11</v>
      </c>
      <c r="C1112" s="51">
        <v>138311072677</v>
      </c>
      <c r="D1112" s="1">
        <v>45889.53</v>
      </c>
      <c r="E1112" s="1">
        <v>15280581.939999999</v>
      </c>
      <c r="F1112" t="s">
        <v>1280</v>
      </c>
      <c r="I1112" s="16">
        <f>-IFERROR(VLOOKUP(C1112,SIRCUPA!$A$21:$H$186,8,0),0)</f>
        <v>0</v>
      </c>
      <c r="J1112" s="68">
        <f>-IFERROR(VLOOKUP(C1112,SIRTAC!$A$16:$H$1405,8,0),0)</f>
        <v>-471</v>
      </c>
      <c r="K1112" s="68">
        <f>-IFERROR(VLOOKUP(C1112,Gastos!$A$9:$J$1398,10,0),0)</f>
        <v>-456.87</v>
      </c>
      <c r="L1112" s="68">
        <f>-IFERROR(VLOOKUP(C1112,IDC!$A$20:$H$1596,8,0),0)</f>
        <v>-282.60000000000002</v>
      </c>
      <c r="M1112" s="74">
        <f t="shared" si="22"/>
        <v>47100</v>
      </c>
    </row>
    <row r="1113" spans="1:13" customFormat="1">
      <c r="A1113" t="s">
        <v>134</v>
      </c>
      <c r="B1113" t="s">
        <v>11</v>
      </c>
      <c r="C1113" s="51">
        <v>138312353835</v>
      </c>
      <c r="D1113" s="1">
        <v>10259.27</v>
      </c>
      <c r="E1113" s="1">
        <v>15290841.210000001</v>
      </c>
      <c r="F1113" t="s">
        <v>1280</v>
      </c>
      <c r="I1113" s="16">
        <f>-IFERROR(VLOOKUP(C1113,SIRCUPA!$A$21:$H$186,8,0),0)</f>
        <v>0</v>
      </c>
      <c r="J1113" s="68">
        <f>-IFERROR(VLOOKUP(C1113,SIRTAC!$A$16:$H$1405,8,0),0)</f>
        <v>-113</v>
      </c>
      <c r="K1113" s="68">
        <f>-IFERROR(VLOOKUP(C1113,Gastos!$A$9:$J$1398,10,0),0)</f>
        <v>-859.93</v>
      </c>
      <c r="L1113" s="68">
        <f>-IFERROR(VLOOKUP(C1113,IDC!$A$20:$H$1596,8,0),0)</f>
        <v>-67.8</v>
      </c>
      <c r="M1113" s="74">
        <f t="shared" si="22"/>
        <v>11300</v>
      </c>
    </row>
    <row r="1114" spans="1:13" customFormat="1">
      <c r="A1114" t="s">
        <v>134</v>
      </c>
      <c r="B1114" t="s">
        <v>11</v>
      </c>
      <c r="C1114" s="51">
        <v>138312563103</v>
      </c>
      <c r="D1114" s="1">
        <v>9353.2800000000007</v>
      </c>
      <c r="E1114" s="1">
        <v>15300194.49</v>
      </c>
      <c r="F1114" t="s">
        <v>1280</v>
      </c>
      <c r="I1114" s="16">
        <f>-IFERROR(VLOOKUP(C1114,SIRCUPA!$A$21:$H$186,8,0),0)</f>
        <v>0</v>
      </c>
      <c r="J1114" s="68">
        <f>-IFERROR(VLOOKUP(C1114,SIRTAC!$A$16:$H$1405,8,0),0)</f>
        <v>-96</v>
      </c>
      <c r="K1114" s="68">
        <f>-IFERROR(VLOOKUP(C1114,Gastos!$A$9:$J$1398,10,0),0)</f>
        <v>-93.12</v>
      </c>
      <c r="L1114" s="68">
        <f>-IFERROR(VLOOKUP(C1114,IDC!$A$20:$H$1596,8,0),0)</f>
        <v>-57.6</v>
      </c>
      <c r="M1114" s="74">
        <f t="shared" si="22"/>
        <v>9600.0000000000018</v>
      </c>
    </row>
    <row r="1115" spans="1:13" customFormat="1">
      <c r="A1115" t="s">
        <v>134</v>
      </c>
      <c r="B1115" t="s">
        <v>11</v>
      </c>
      <c r="C1115" s="51">
        <v>138313163771</v>
      </c>
      <c r="D1115" s="1">
        <v>19583.43</v>
      </c>
      <c r="E1115" s="1">
        <v>15319777.92</v>
      </c>
      <c r="F1115" t="s">
        <v>1280</v>
      </c>
      <c r="I1115" s="16">
        <f>-IFERROR(VLOOKUP(C1115,SIRCUPA!$A$21:$H$186,8,0),0)</f>
        <v>0</v>
      </c>
      <c r="J1115" s="68">
        <f>-IFERROR(VLOOKUP(C1115,SIRTAC!$A$16:$H$1405,8,0),0)</f>
        <v>-201</v>
      </c>
      <c r="K1115" s="68">
        <f>-IFERROR(VLOOKUP(C1115,Gastos!$A$9:$J$1398,10,0),0)</f>
        <v>-194.97</v>
      </c>
      <c r="L1115" s="68">
        <f>-IFERROR(VLOOKUP(C1115,IDC!$A$20:$H$1596,8,0),0)</f>
        <v>-120.6</v>
      </c>
      <c r="M1115" s="74">
        <f t="shared" si="22"/>
        <v>20100</v>
      </c>
    </row>
    <row r="1116" spans="1:13" customFormat="1">
      <c r="A1116" t="s">
        <v>134</v>
      </c>
      <c r="B1116" t="s">
        <v>11</v>
      </c>
      <c r="C1116" s="51">
        <v>138313756607</v>
      </c>
      <c r="D1116" s="1">
        <v>66934.41</v>
      </c>
      <c r="E1116" s="1">
        <v>15386712.33</v>
      </c>
      <c r="F1116" t="s">
        <v>1280</v>
      </c>
      <c r="I1116" s="16">
        <f>-IFERROR(VLOOKUP(C1116,SIRCUPA!$A$21:$H$186,8,0),0)</f>
        <v>0</v>
      </c>
      <c r="J1116" s="68">
        <f>-IFERROR(VLOOKUP(C1116,SIRTAC!$A$16:$H$1405,8,0),0)</f>
        <v>-687</v>
      </c>
      <c r="K1116" s="68">
        <f>-IFERROR(VLOOKUP(C1116,Gastos!$A$9:$J$1398,10,0),0)</f>
        <v>-666.39</v>
      </c>
      <c r="L1116" s="68">
        <f>-IFERROR(VLOOKUP(C1116,IDC!$A$20:$H$1596,8,0),0)</f>
        <v>-412.2</v>
      </c>
      <c r="M1116" s="74">
        <f t="shared" si="22"/>
        <v>68700</v>
      </c>
    </row>
    <row r="1117" spans="1:13" customFormat="1">
      <c r="A1117" t="s">
        <v>134</v>
      </c>
      <c r="B1117" t="s">
        <v>11</v>
      </c>
      <c r="C1117" s="51">
        <v>138955332676</v>
      </c>
      <c r="D1117" s="1">
        <v>21471.83</v>
      </c>
      <c r="E1117" s="1">
        <v>15414909.890000001</v>
      </c>
      <c r="F1117" t="s">
        <v>1280</v>
      </c>
      <c r="I1117" s="16">
        <f>-IFERROR(VLOOKUP(C1117,SIRCUPA!$A$21:$H$186,8,0),0)</f>
        <v>0</v>
      </c>
      <c r="J1117" s="68">
        <f>-IFERROR(VLOOKUP(C1117,SIRTAC!$A$16:$H$1405,8,0),0)</f>
        <v>-236.5</v>
      </c>
      <c r="K1117" s="68">
        <f>-IFERROR(VLOOKUP(C1117,Gastos!$A$9:$J$1398,10,0),0)</f>
        <v>-1799.77</v>
      </c>
      <c r="L1117" s="68">
        <f>-IFERROR(VLOOKUP(C1117,IDC!$A$20:$H$1596,8,0),0)</f>
        <v>-141.9</v>
      </c>
      <c r="M1117" s="74">
        <f t="shared" si="22"/>
        <v>23650.000000000004</v>
      </c>
    </row>
    <row r="1118" spans="1:13" customFormat="1">
      <c r="A1118" t="s">
        <v>134</v>
      </c>
      <c r="B1118" t="s">
        <v>138</v>
      </c>
      <c r="C1118" s="51">
        <v>138215505465</v>
      </c>
      <c r="D1118" s="1">
        <v>2462.1799999999998</v>
      </c>
      <c r="E1118" s="1">
        <v>14455061.42</v>
      </c>
      <c r="F1118" t="s">
        <v>1280</v>
      </c>
      <c r="I1118" s="16">
        <f>-IFERROR(VLOOKUP(C1118,SIRCUPA!$A$21:$H$186,8,0),0)</f>
        <v>-37.729999999999997</v>
      </c>
      <c r="J1118" s="68">
        <f>-IFERROR(VLOOKUP(C1118,SIRTAC!$A$16:$H$1405,8,0),0)</f>
        <v>0</v>
      </c>
      <c r="K1118" s="68">
        <f>-IFERROR(VLOOKUP(C1118,Gastos!$A$9:$J$1398,10,0),0)</f>
        <v>0</v>
      </c>
      <c r="L1118" s="68">
        <f>-IFERROR(VLOOKUP(C1118,IDC!$A$20:$H$1596,8,0),0)</f>
        <v>-15.09</v>
      </c>
      <c r="M1118" s="74">
        <f t="shared" si="22"/>
        <v>2515</v>
      </c>
    </row>
    <row r="1119" spans="1:13" customFormat="1">
      <c r="A1119" t="s">
        <v>134</v>
      </c>
      <c r="B1119" t="s">
        <v>11</v>
      </c>
      <c r="C1119" s="51">
        <v>138955737872</v>
      </c>
      <c r="D1119" s="1">
        <v>20070.580000000002</v>
      </c>
      <c r="E1119" s="1">
        <v>15434980.470000001</v>
      </c>
      <c r="F1119" t="s">
        <v>1280</v>
      </c>
      <c r="I1119" s="16">
        <f>-IFERROR(VLOOKUP(C1119,SIRCUPA!$A$21:$H$186,8,0),0)</f>
        <v>0</v>
      </c>
      <c r="J1119" s="68">
        <f>-IFERROR(VLOOKUP(C1119,SIRTAC!$A$16:$H$1405,8,0),0)</f>
        <v>-206</v>
      </c>
      <c r="K1119" s="68">
        <f>-IFERROR(VLOOKUP(C1119,Gastos!$A$9:$J$1398,10,0),0)</f>
        <v>-199.82</v>
      </c>
      <c r="L1119" s="68">
        <f>-IFERROR(VLOOKUP(C1119,IDC!$A$20:$H$1596,8,0),0)</f>
        <v>-123.6</v>
      </c>
      <c r="M1119" s="74">
        <f t="shared" si="22"/>
        <v>20600</v>
      </c>
    </row>
    <row r="1120" spans="1:13" customFormat="1">
      <c r="A1120" t="s">
        <v>134</v>
      </c>
      <c r="B1120" t="s">
        <v>139</v>
      </c>
      <c r="C1120" s="51">
        <v>138856908296</v>
      </c>
      <c r="D1120">
        <v>802.78</v>
      </c>
      <c r="E1120" s="1">
        <v>14471842.720000001</v>
      </c>
      <c r="F1120" t="s">
        <v>1280</v>
      </c>
      <c r="I1120" s="16">
        <f>-IFERROR(VLOOKUP(C1120,SIRCUPA!$A$21:$H$186,8,0),0)</f>
        <v>-12.3</v>
      </c>
      <c r="J1120" s="68">
        <f>-IFERROR(VLOOKUP(C1120,SIRTAC!$A$16:$H$1405,8,0),0)</f>
        <v>0</v>
      </c>
      <c r="K1120" s="68">
        <f>-IFERROR(VLOOKUP(C1120,Gastos!$A$9:$J$1398,10,0),0)</f>
        <v>0</v>
      </c>
      <c r="L1120" s="68">
        <f>-IFERROR(VLOOKUP(C1120,IDC!$A$20:$H$1596,8,0),0)</f>
        <v>-4.92</v>
      </c>
      <c r="M1120" s="74">
        <f t="shared" si="22"/>
        <v>819.99999999999989</v>
      </c>
    </row>
    <row r="1121" spans="1:13" customFormat="1">
      <c r="A1121" t="s">
        <v>134</v>
      </c>
      <c r="B1121" t="s">
        <v>11</v>
      </c>
      <c r="C1121" s="51">
        <v>138956547972</v>
      </c>
      <c r="D1121" s="1">
        <v>86322.98</v>
      </c>
      <c r="E1121" s="1">
        <v>15521303.449999999</v>
      </c>
      <c r="F1121" t="s">
        <v>1280</v>
      </c>
      <c r="I1121" s="16">
        <f>-IFERROR(VLOOKUP(C1121,SIRCUPA!$A$21:$H$186,8,0),0)</f>
        <v>0</v>
      </c>
      <c r="J1121" s="68">
        <f>-IFERROR(VLOOKUP(C1121,SIRTAC!$A$16:$H$1405,8,0),0)</f>
        <v>-886</v>
      </c>
      <c r="K1121" s="68">
        <f>-IFERROR(VLOOKUP(C1121,Gastos!$A$9:$J$1398,10,0),0)</f>
        <v>-859.42</v>
      </c>
      <c r="L1121" s="68">
        <f>-IFERROR(VLOOKUP(C1121,IDC!$A$20:$H$1596,8,0),0)</f>
        <v>-531.6</v>
      </c>
      <c r="M1121" s="74">
        <f t="shared" si="22"/>
        <v>88600</v>
      </c>
    </row>
    <row r="1122" spans="1:13" customFormat="1">
      <c r="A1122" t="s">
        <v>134</v>
      </c>
      <c r="B1122" t="s">
        <v>11</v>
      </c>
      <c r="C1122" s="51">
        <v>138316277365</v>
      </c>
      <c r="D1122" s="1">
        <v>105686.36</v>
      </c>
      <c r="E1122" s="1">
        <v>15635663.75</v>
      </c>
      <c r="F1122" t="s">
        <v>1280</v>
      </c>
      <c r="I1122" s="16">
        <f>-IFERROR(VLOOKUP(C1122,SIRCUPA!$A$21:$H$186,8,0),0)</f>
        <v>0</v>
      </c>
      <c r="J1122" s="68">
        <f>-IFERROR(VLOOKUP(C1122,SIRTAC!$A$16:$H$1405,8,0),0)</f>
        <v>-1126</v>
      </c>
      <c r="K1122" s="68">
        <f>-IFERROR(VLOOKUP(C1122,Gastos!$A$9:$J$1398,10,0),0)</f>
        <v>-5112.04</v>
      </c>
      <c r="L1122" s="68">
        <f>-IFERROR(VLOOKUP(C1122,IDC!$A$20:$H$1596,8,0),0)</f>
        <v>-675.6</v>
      </c>
      <c r="M1122" s="74">
        <f t="shared" si="22"/>
        <v>112600</v>
      </c>
    </row>
    <row r="1123" spans="1:13" customFormat="1">
      <c r="A1123" t="s">
        <v>134</v>
      </c>
      <c r="B1123" t="s">
        <v>11</v>
      </c>
      <c r="C1123" s="51">
        <v>138316534489</v>
      </c>
      <c r="D1123" s="1">
        <v>10717.3</v>
      </c>
      <c r="E1123" s="1">
        <v>15646381.050000001</v>
      </c>
      <c r="F1123" t="s">
        <v>1280</v>
      </c>
      <c r="I1123" s="16">
        <f>-IFERROR(VLOOKUP(C1123,SIRCUPA!$A$21:$H$186,8,0),0)</f>
        <v>0</v>
      </c>
      <c r="J1123" s="68">
        <f>-IFERROR(VLOOKUP(C1123,SIRTAC!$A$16:$H$1405,8,0),0)</f>
        <v>-110</v>
      </c>
      <c r="K1123" s="68">
        <f>-IFERROR(VLOOKUP(C1123,Gastos!$A$9:$J$1398,10,0),0)</f>
        <v>-106.7</v>
      </c>
      <c r="L1123" s="68">
        <f>-IFERROR(VLOOKUP(C1123,IDC!$A$20:$H$1596,8,0),0)</f>
        <v>-66</v>
      </c>
      <c r="M1123" s="74">
        <f t="shared" si="22"/>
        <v>11000</v>
      </c>
    </row>
    <row r="1124" spans="1:13" customFormat="1">
      <c r="A1124" t="s">
        <v>134</v>
      </c>
      <c r="B1124" t="s">
        <v>11</v>
      </c>
      <c r="C1124" s="51">
        <v>138316537299</v>
      </c>
      <c r="D1124" s="1">
        <v>54463.37</v>
      </c>
      <c r="E1124" s="1">
        <v>15700844.42</v>
      </c>
      <c r="F1124" t="s">
        <v>1280</v>
      </c>
      <c r="I1124" s="16">
        <f>-IFERROR(VLOOKUP(C1124,SIRCUPA!$A$21:$H$186,8,0),0)</f>
        <v>0</v>
      </c>
      <c r="J1124" s="68">
        <f>-IFERROR(VLOOKUP(C1124,SIRTAC!$A$16:$H$1405,8,0),0)</f>
        <v>-559</v>
      </c>
      <c r="K1124" s="68">
        <f>-IFERROR(VLOOKUP(C1124,Gastos!$A$9:$J$1398,10,0),0)</f>
        <v>-542.23</v>
      </c>
      <c r="L1124" s="68">
        <f>-IFERROR(VLOOKUP(C1124,IDC!$A$20:$H$1596,8,0),0)</f>
        <v>-335.4</v>
      </c>
      <c r="M1124" s="74">
        <f t="shared" si="22"/>
        <v>55900.000000000007</v>
      </c>
    </row>
    <row r="1125" spans="1:13" customFormat="1">
      <c r="A1125" t="s">
        <v>134</v>
      </c>
      <c r="B1125" t="s">
        <v>11</v>
      </c>
      <c r="C1125" s="51">
        <v>138957550940</v>
      </c>
      <c r="D1125" s="1">
        <v>41992.33</v>
      </c>
      <c r="E1125" s="1">
        <v>15742836.75</v>
      </c>
      <c r="F1125" t="s">
        <v>1280</v>
      </c>
      <c r="I1125" s="16">
        <f>-IFERROR(VLOOKUP(C1125,SIRCUPA!$A$21:$H$186,8,0),0)</f>
        <v>0</v>
      </c>
      <c r="J1125" s="68">
        <f>-IFERROR(VLOOKUP(C1125,SIRTAC!$A$16:$H$1405,8,0),0)</f>
        <v>-431</v>
      </c>
      <c r="K1125" s="68">
        <f>-IFERROR(VLOOKUP(C1125,Gastos!$A$9:$J$1398,10,0),0)</f>
        <v>-418.07</v>
      </c>
      <c r="L1125" s="68">
        <f>-IFERROR(VLOOKUP(C1125,IDC!$A$20:$H$1596,8,0),0)</f>
        <v>-258.60000000000002</v>
      </c>
      <c r="M1125" s="74">
        <f t="shared" si="22"/>
        <v>43100</v>
      </c>
    </row>
    <row r="1126" spans="1:13" customFormat="1">
      <c r="A1126" t="s">
        <v>134</v>
      </c>
      <c r="B1126" t="s">
        <v>11</v>
      </c>
      <c r="C1126" s="51">
        <v>138316909509</v>
      </c>
      <c r="D1126" s="1">
        <v>31080.17</v>
      </c>
      <c r="E1126" s="1">
        <v>15773916.92</v>
      </c>
      <c r="F1126" t="s">
        <v>1280</v>
      </c>
      <c r="I1126" s="16">
        <f>-IFERROR(VLOOKUP(C1126,SIRCUPA!$A$21:$H$186,8,0),0)</f>
        <v>0</v>
      </c>
      <c r="J1126" s="68">
        <f>-IFERROR(VLOOKUP(C1126,SIRTAC!$A$16:$H$1405,8,0),0)</f>
        <v>-319</v>
      </c>
      <c r="K1126" s="68">
        <f>-IFERROR(VLOOKUP(C1126,Gastos!$A$9:$J$1398,10,0),0)</f>
        <v>-309.43</v>
      </c>
      <c r="L1126" s="68">
        <f>-IFERROR(VLOOKUP(C1126,IDC!$A$20:$H$1596,8,0),0)</f>
        <v>-191.4</v>
      </c>
      <c r="M1126" s="74">
        <f t="shared" si="22"/>
        <v>31900</v>
      </c>
    </row>
    <row r="1127" spans="1:13" customFormat="1">
      <c r="A1127" t="s">
        <v>134</v>
      </c>
      <c r="B1127" t="s">
        <v>11</v>
      </c>
      <c r="C1127" s="51">
        <v>138317483911</v>
      </c>
      <c r="D1127" s="1">
        <v>27962.41</v>
      </c>
      <c r="E1127" s="1">
        <v>15801879.33</v>
      </c>
      <c r="F1127" t="s">
        <v>1280</v>
      </c>
      <c r="I1127" s="16">
        <f>-IFERROR(VLOOKUP(C1127,SIRCUPA!$A$21:$H$186,8,0),0)</f>
        <v>0</v>
      </c>
      <c r="J1127" s="68">
        <f>-IFERROR(VLOOKUP(C1127,SIRTAC!$A$16:$H$1405,8,0),0)</f>
        <v>-287</v>
      </c>
      <c r="K1127" s="68">
        <f>-IFERROR(VLOOKUP(C1127,Gastos!$A$9:$J$1398,10,0),0)</f>
        <v>-278.39</v>
      </c>
      <c r="L1127" s="68">
        <f>-IFERROR(VLOOKUP(C1127,IDC!$A$20:$H$1596,8,0),0)</f>
        <v>-172.2</v>
      </c>
      <c r="M1127" s="74">
        <f t="shared" si="22"/>
        <v>28700</v>
      </c>
    </row>
    <row r="1128" spans="1:13" customFormat="1">
      <c r="A1128" t="s">
        <v>134</v>
      </c>
      <c r="B1128" t="s">
        <v>11</v>
      </c>
      <c r="C1128" s="51">
        <v>138958608370</v>
      </c>
      <c r="D1128" s="1">
        <v>19486</v>
      </c>
      <c r="E1128" s="1">
        <v>15821365.33</v>
      </c>
      <c r="F1128" t="s">
        <v>1280</v>
      </c>
      <c r="I1128" s="16">
        <f>-IFERROR(VLOOKUP(C1128,SIRCUPA!$A$21:$H$186,8,0),0)</f>
        <v>0</v>
      </c>
      <c r="J1128" s="68">
        <f>-IFERROR(VLOOKUP(C1128,SIRTAC!$A$16:$H$1405,8,0),0)</f>
        <v>-200</v>
      </c>
      <c r="K1128" s="68">
        <f>-IFERROR(VLOOKUP(C1128,Gastos!$A$9:$J$1398,10,0),0)</f>
        <v>-194</v>
      </c>
      <c r="L1128" s="68">
        <f>-IFERROR(VLOOKUP(C1128,IDC!$A$20:$H$1596,8,0),0)</f>
        <v>-120</v>
      </c>
      <c r="M1128" s="74">
        <f t="shared" ref="M1128:M1191" si="23">+D1128-I1128-J1128-K1128-L1128</f>
        <v>20000</v>
      </c>
    </row>
    <row r="1129" spans="1:13" customFormat="1">
      <c r="A1129" t="s">
        <v>134</v>
      </c>
      <c r="B1129" t="s">
        <v>11</v>
      </c>
      <c r="C1129" s="51">
        <v>138958597390</v>
      </c>
      <c r="D1129" s="1">
        <v>35854.239999999998</v>
      </c>
      <c r="E1129" s="1">
        <v>15857219.57</v>
      </c>
      <c r="F1129" t="s">
        <v>1280</v>
      </c>
      <c r="I1129" s="16">
        <f>-IFERROR(VLOOKUP(C1129,SIRCUPA!$A$21:$H$186,8,0),0)</f>
        <v>0</v>
      </c>
      <c r="J1129" s="68">
        <f>-IFERROR(VLOOKUP(C1129,SIRTAC!$A$16:$H$1405,8,0),0)</f>
        <v>-368</v>
      </c>
      <c r="K1129" s="68">
        <f>-IFERROR(VLOOKUP(C1129,Gastos!$A$9:$J$1398,10,0),0)</f>
        <v>-356.96</v>
      </c>
      <c r="L1129" s="68">
        <f>-IFERROR(VLOOKUP(C1129,IDC!$A$20:$H$1596,8,0),0)</f>
        <v>-220.8</v>
      </c>
      <c r="M1129" s="74">
        <f t="shared" si="23"/>
        <v>36800</v>
      </c>
    </row>
    <row r="1130" spans="1:13" customFormat="1">
      <c r="A1130" t="s">
        <v>134</v>
      </c>
      <c r="B1130" t="s">
        <v>140</v>
      </c>
      <c r="C1130" s="51">
        <v>138217676459</v>
      </c>
      <c r="D1130" s="1">
        <v>3123.01</v>
      </c>
      <c r="E1130" s="1">
        <v>14790636.85</v>
      </c>
      <c r="F1130" t="s">
        <v>1280</v>
      </c>
      <c r="I1130" s="16">
        <f>-IFERROR(VLOOKUP(C1130,SIRCUPA!$A$21:$H$186,8,0),0)</f>
        <v>-47.85</v>
      </c>
      <c r="J1130" s="68">
        <f>-IFERROR(VLOOKUP(C1130,SIRTAC!$A$16:$H$1405,8,0),0)</f>
        <v>0</v>
      </c>
      <c r="K1130" s="68">
        <f>-IFERROR(VLOOKUP(C1130,Gastos!$A$9:$J$1398,10,0),0)</f>
        <v>0</v>
      </c>
      <c r="L1130" s="68">
        <f>-IFERROR(VLOOKUP(C1130,IDC!$A$20:$H$1596,8,0),0)</f>
        <v>-19.14</v>
      </c>
      <c r="M1130" s="74">
        <f t="shared" si="23"/>
        <v>3190</v>
      </c>
    </row>
    <row r="1131" spans="1:13" customFormat="1">
      <c r="A1131" t="s">
        <v>134</v>
      </c>
      <c r="B1131" t="s">
        <v>11</v>
      </c>
      <c r="C1131" s="51">
        <v>138317694879</v>
      </c>
      <c r="D1131" s="1">
        <v>37405.480000000003</v>
      </c>
      <c r="E1131" s="1">
        <v>15900029.130000001</v>
      </c>
      <c r="F1131" t="s">
        <v>1280</v>
      </c>
      <c r="I1131" s="16">
        <f>-IFERROR(VLOOKUP(C1131,SIRCUPA!$A$21:$H$186,8,0),0)</f>
        <v>0</v>
      </c>
      <c r="J1131" s="68">
        <f>-IFERROR(VLOOKUP(C1131,SIRTAC!$A$16:$H$1405,8,0),0)</f>
        <v>-412</v>
      </c>
      <c r="K1131" s="68">
        <f>-IFERROR(VLOOKUP(C1131,Gastos!$A$9:$J$1398,10,0),0)</f>
        <v>-3135.32</v>
      </c>
      <c r="L1131" s="68">
        <f>-IFERROR(VLOOKUP(C1131,IDC!$A$20:$H$1596,8,0),0)</f>
        <v>-247.2</v>
      </c>
      <c r="M1131" s="74">
        <f t="shared" si="23"/>
        <v>41200</v>
      </c>
    </row>
    <row r="1132" spans="1:13" customFormat="1">
      <c r="A1132" t="s">
        <v>134</v>
      </c>
      <c r="B1132" t="s">
        <v>11</v>
      </c>
      <c r="C1132" s="51">
        <v>138317772859</v>
      </c>
      <c r="D1132" s="1">
        <v>33820.26</v>
      </c>
      <c r="E1132" s="1">
        <v>15933849.390000001</v>
      </c>
      <c r="F1132" t="s">
        <v>1280</v>
      </c>
      <c r="I1132" s="16">
        <f>-IFERROR(VLOOKUP(C1132,SIRCUPA!$A$21:$H$186,8,0),0)</f>
        <v>0</v>
      </c>
      <c r="J1132" s="68">
        <f>-IFERROR(VLOOKUP(C1132,SIRTAC!$A$16:$H$1405,8,0),0)</f>
        <v>-358</v>
      </c>
      <c r="K1132" s="68">
        <f>-IFERROR(VLOOKUP(C1132,Gastos!$A$9:$J$1398,10,0),0)</f>
        <v>-1406.94</v>
      </c>
      <c r="L1132" s="68">
        <f>-IFERROR(VLOOKUP(C1132,IDC!$A$20:$H$1596,8,0),0)</f>
        <v>-214.8</v>
      </c>
      <c r="M1132" s="74">
        <f t="shared" si="23"/>
        <v>35800.000000000007</v>
      </c>
    </row>
    <row r="1133" spans="1:13" customFormat="1">
      <c r="A1133" t="s">
        <v>134</v>
      </c>
      <c r="B1133" t="s">
        <v>11</v>
      </c>
      <c r="C1133" s="51">
        <v>138958894822</v>
      </c>
      <c r="D1133" s="1">
        <v>18024.55</v>
      </c>
      <c r="E1133" s="1">
        <v>15951873.939999999</v>
      </c>
      <c r="F1133" t="s">
        <v>1280</v>
      </c>
      <c r="I1133" s="16">
        <f>-IFERROR(VLOOKUP(C1133,SIRCUPA!$A$21:$H$186,8,0),0)</f>
        <v>0</v>
      </c>
      <c r="J1133" s="68">
        <f>-IFERROR(VLOOKUP(C1133,SIRTAC!$A$16:$H$1405,8,0),0)</f>
        <v>-185</v>
      </c>
      <c r="K1133" s="68">
        <f>-IFERROR(VLOOKUP(C1133,Gastos!$A$9:$J$1398,10,0),0)</f>
        <v>-179.45</v>
      </c>
      <c r="L1133" s="68">
        <f>-IFERROR(VLOOKUP(C1133,IDC!$A$20:$H$1596,8,0),0)</f>
        <v>-111</v>
      </c>
      <c r="M1133" s="74">
        <f t="shared" si="23"/>
        <v>18500</v>
      </c>
    </row>
    <row r="1134" spans="1:13" customFormat="1">
      <c r="A1134" t="s">
        <v>134</v>
      </c>
      <c r="B1134" t="s">
        <v>141</v>
      </c>
      <c r="C1134" s="51">
        <v>138217820543</v>
      </c>
      <c r="D1134">
        <v>739.14</v>
      </c>
      <c r="E1134" s="1">
        <v>14931188.039999999</v>
      </c>
      <c r="F1134" t="s">
        <v>1280</v>
      </c>
      <c r="I1134" s="16">
        <f>-IFERROR(VLOOKUP(C1134,SIRCUPA!$A$21:$H$186,8,0),0)</f>
        <v>-11.33</v>
      </c>
      <c r="J1134" s="68">
        <f>-IFERROR(VLOOKUP(C1134,SIRTAC!$A$16:$H$1405,8,0),0)</f>
        <v>0</v>
      </c>
      <c r="K1134" s="68">
        <f>-IFERROR(VLOOKUP(C1134,Gastos!$A$9:$J$1398,10,0),0)</f>
        <v>0</v>
      </c>
      <c r="L1134" s="68">
        <f>-IFERROR(VLOOKUP(C1134,IDC!$A$20:$H$1596,8,0),0)</f>
        <v>-4.53</v>
      </c>
      <c r="M1134" s="74">
        <f t="shared" si="23"/>
        <v>755</v>
      </c>
    </row>
    <row r="1135" spans="1:13" customFormat="1">
      <c r="A1135" t="s">
        <v>134</v>
      </c>
      <c r="B1135" t="s">
        <v>11</v>
      </c>
      <c r="C1135" s="51">
        <v>138958895424</v>
      </c>
      <c r="D1135" s="1">
        <v>71608.259999999995</v>
      </c>
      <c r="E1135" s="1">
        <v>16023482.199999999</v>
      </c>
      <c r="F1135" t="s">
        <v>1280</v>
      </c>
      <c r="I1135" s="16">
        <f>-IFERROR(VLOOKUP(C1135,SIRCUPA!$A$21:$H$186,8,0),0)</f>
        <v>0</v>
      </c>
      <c r="J1135" s="68">
        <f>-IFERROR(VLOOKUP(C1135,SIRTAC!$A$16:$H$1405,8,0),0)</f>
        <v>-758</v>
      </c>
      <c r="K1135" s="68">
        <f>-IFERROR(VLOOKUP(C1135,Gastos!$A$9:$J$1398,10,0),0)</f>
        <v>-2978.94</v>
      </c>
      <c r="L1135" s="68">
        <f>-IFERROR(VLOOKUP(C1135,IDC!$A$20:$H$1596,8,0),0)</f>
        <v>-454.8</v>
      </c>
      <c r="M1135" s="74">
        <f t="shared" si="23"/>
        <v>75800</v>
      </c>
    </row>
    <row r="1136" spans="1:13" customFormat="1">
      <c r="A1136" t="s">
        <v>134</v>
      </c>
      <c r="B1136" t="s">
        <v>11</v>
      </c>
      <c r="C1136" s="51">
        <v>138318135687</v>
      </c>
      <c r="D1136" s="1">
        <v>18894</v>
      </c>
      <c r="E1136" s="1">
        <v>16042376.199999999</v>
      </c>
      <c r="F1136" t="s">
        <v>1280</v>
      </c>
      <c r="I1136" s="16">
        <f>-IFERROR(VLOOKUP(C1136,SIRCUPA!$A$21:$H$186,8,0),0)</f>
        <v>0</v>
      </c>
      <c r="J1136" s="68">
        <f>-IFERROR(VLOOKUP(C1136,SIRTAC!$A$16:$H$1405,8,0),0)</f>
        <v>-200</v>
      </c>
      <c r="K1136" s="68">
        <f>-IFERROR(VLOOKUP(C1136,Gastos!$A$9:$J$1398,10,0),0)</f>
        <v>-786</v>
      </c>
      <c r="L1136" s="68">
        <f>-IFERROR(VLOOKUP(C1136,IDC!$A$20:$H$1596,8,0),0)</f>
        <v>-120</v>
      </c>
      <c r="M1136" s="74">
        <f t="shared" si="23"/>
        <v>20000</v>
      </c>
    </row>
    <row r="1137" spans="1:13" customFormat="1">
      <c r="A1137" t="s">
        <v>134</v>
      </c>
      <c r="B1137" t="s">
        <v>11</v>
      </c>
      <c r="C1137" s="51">
        <v>138318627905</v>
      </c>
      <c r="D1137" s="1">
        <v>39771.870000000003</v>
      </c>
      <c r="E1137" s="1">
        <v>16082148.07</v>
      </c>
      <c r="F1137" t="s">
        <v>1280</v>
      </c>
      <c r="I1137" s="16">
        <f>-IFERROR(VLOOKUP(C1137,SIRCUPA!$A$21:$H$186,8,0),0)</f>
        <v>0</v>
      </c>
      <c r="J1137" s="68">
        <f>-IFERROR(VLOOKUP(C1137,SIRTAC!$A$16:$H$1405,8,0),0)</f>
        <v>-421</v>
      </c>
      <c r="K1137" s="68">
        <f>-IFERROR(VLOOKUP(C1137,Gastos!$A$9:$J$1398,10,0),0)</f>
        <v>-1654.53</v>
      </c>
      <c r="L1137" s="68">
        <f>-IFERROR(VLOOKUP(C1137,IDC!$A$20:$H$1596,8,0),0)</f>
        <v>-252.6</v>
      </c>
      <c r="M1137" s="74">
        <f t="shared" si="23"/>
        <v>42100</v>
      </c>
    </row>
    <row r="1138" spans="1:13" customFormat="1">
      <c r="A1138" t="s">
        <v>134</v>
      </c>
      <c r="B1138" t="s">
        <v>11</v>
      </c>
      <c r="C1138" s="51">
        <v>138960552954</v>
      </c>
      <c r="D1138" s="1">
        <v>72877.64</v>
      </c>
      <c r="E1138" s="1">
        <v>16155025.710000001</v>
      </c>
      <c r="F1138" t="s">
        <v>1280</v>
      </c>
      <c r="I1138" s="16">
        <f>-IFERROR(VLOOKUP(C1138,SIRCUPA!$A$21:$H$186,8,0),0)</f>
        <v>0</v>
      </c>
      <c r="J1138" s="68">
        <f>-IFERROR(VLOOKUP(C1138,SIRTAC!$A$16:$H$1405,8,0),0)</f>
        <v>-748</v>
      </c>
      <c r="K1138" s="68">
        <f>-IFERROR(VLOOKUP(C1138,Gastos!$A$9:$J$1398,10,0),0)</f>
        <v>-725.56</v>
      </c>
      <c r="L1138" s="68">
        <f>-IFERROR(VLOOKUP(C1138,IDC!$A$20:$H$1596,8,0),0)</f>
        <v>-448.8</v>
      </c>
      <c r="M1138" s="74">
        <f t="shared" si="23"/>
        <v>74800</v>
      </c>
    </row>
    <row r="1139" spans="1:13" customFormat="1">
      <c r="A1139" t="s">
        <v>134</v>
      </c>
      <c r="B1139" t="s">
        <v>11</v>
      </c>
      <c r="C1139" s="51">
        <v>138960529926</v>
      </c>
      <c r="D1139" s="1">
        <v>66934.41</v>
      </c>
      <c r="E1139" s="1">
        <v>16225621.58</v>
      </c>
      <c r="F1139" t="s">
        <v>1280</v>
      </c>
      <c r="I1139" s="16">
        <f>-IFERROR(VLOOKUP(C1139,SIRCUPA!$A$21:$H$186,8,0),0)</f>
        <v>0</v>
      </c>
      <c r="J1139" s="68">
        <f>-IFERROR(VLOOKUP(C1139,SIRTAC!$A$16:$H$1405,8,0),0)</f>
        <v>-687</v>
      </c>
      <c r="K1139" s="68">
        <f>-IFERROR(VLOOKUP(C1139,Gastos!$A$9:$J$1398,10,0),0)</f>
        <v>-666.39</v>
      </c>
      <c r="L1139" s="68">
        <f>-IFERROR(VLOOKUP(C1139,IDC!$A$20:$H$1596,8,0),0)</f>
        <v>-412.2</v>
      </c>
      <c r="M1139" s="74">
        <f t="shared" si="23"/>
        <v>68700</v>
      </c>
    </row>
    <row r="1140" spans="1:13" customFormat="1">
      <c r="A1140" t="s">
        <v>134</v>
      </c>
      <c r="B1140" t="s">
        <v>11</v>
      </c>
      <c r="C1140" s="51">
        <v>138320030417</v>
      </c>
      <c r="D1140" s="1">
        <v>9353.2800000000007</v>
      </c>
      <c r="E1140" s="1">
        <v>16234974.859999999</v>
      </c>
      <c r="F1140" t="s">
        <v>1280</v>
      </c>
      <c r="I1140" s="16">
        <f>-IFERROR(VLOOKUP(C1140,SIRCUPA!$A$21:$H$186,8,0),0)</f>
        <v>0</v>
      </c>
      <c r="J1140" s="68">
        <f>-IFERROR(VLOOKUP(C1140,SIRTAC!$A$16:$H$1405,8,0),0)</f>
        <v>-96</v>
      </c>
      <c r="K1140" s="68">
        <f>-IFERROR(VLOOKUP(C1140,Gastos!$A$9:$J$1398,10,0),0)</f>
        <v>-93.12</v>
      </c>
      <c r="L1140" s="68">
        <f>-IFERROR(VLOOKUP(C1140,IDC!$A$20:$H$1596,8,0),0)</f>
        <v>-57.6</v>
      </c>
      <c r="M1140" s="74">
        <f t="shared" si="23"/>
        <v>9600.0000000000018</v>
      </c>
    </row>
    <row r="1141" spans="1:13" customFormat="1">
      <c r="A1141" t="s">
        <v>134</v>
      </c>
      <c r="B1141" t="s">
        <v>142</v>
      </c>
      <c r="C1141" s="51">
        <v>138306522707</v>
      </c>
      <c r="D1141" s="1">
        <v>1209.06</v>
      </c>
      <c r="E1141" s="1">
        <v>15046086.17</v>
      </c>
      <c r="F1141" t="s">
        <v>1280</v>
      </c>
      <c r="I1141" s="16">
        <f>-IFERROR(VLOOKUP(C1141,SIRCUPA!$A$21:$H$186,8,0),0)</f>
        <v>-18.53</v>
      </c>
      <c r="J1141" s="68">
        <f>-IFERROR(VLOOKUP(C1141,SIRTAC!$A$16:$H$1405,8,0),0)</f>
        <v>0</v>
      </c>
      <c r="K1141" s="68">
        <f>-IFERROR(VLOOKUP(C1141,Gastos!$A$9:$J$1398,10,0),0)</f>
        <v>0</v>
      </c>
      <c r="L1141" s="68">
        <f>-IFERROR(VLOOKUP(C1141,IDC!$A$20:$H$1596,8,0),0)</f>
        <v>-7.41</v>
      </c>
      <c r="M1141" s="74">
        <f t="shared" si="23"/>
        <v>1235</v>
      </c>
    </row>
    <row r="1142" spans="1:13" customFormat="1">
      <c r="A1142" t="s">
        <v>134</v>
      </c>
      <c r="B1142" t="s">
        <v>11</v>
      </c>
      <c r="C1142" s="51">
        <v>138961200208</v>
      </c>
      <c r="D1142" s="1">
        <v>49974.63</v>
      </c>
      <c r="E1142" s="1">
        <v>16284949.49</v>
      </c>
      <c r="F1142" t="s">
        <v>1280</v>
      </c>
      <c r="I1142" s="16">
        <f>-IFERROR(VLOOKUP(C1142,SIRCUPA!$A$21:$H$186,8,0),0)</f>
        <v>0</v>
      </c>
      <c r="J1142" s="68">
        <f>-IFERROR(VLOOKUP(C1142,SIRTAC!$A$16:$H$1405,8,0),0)</f>
        <v>-529</v>
      </c>
      <c r="K1142" s="68">
        <f>-IFERROR(VLOOKUP(C1142,Gastos!$A$9:$J$1398,10,0),0)</f>
        <v>-2078.9699999999998</v>
      </c>
      <c r="L1142" s="68">
        <f>-IFERROR(VLOOKUP(C1142,IDC!$A$20:$H$1596,8,0),0)</f>
        <v>-317.39999999999998</v>
      </c>
      <c r="M1142" s="74">
        <f t="shared" si="23"/>
        <v>52900</v>
      </c>
    </row>
    <row r="1143" spans="1:13" customFormat="1">
      <c r="A1143" t="s">
        <v>149</v>
      </c>
      <c r="B1143" t="s">
        <v>11</v>
      </c>
      <c r="C1143" s="51">
        <v>138961724050</v>
      </c>
      <c r="D1143" s="1">
        <v>10717.3</v>
      </c>
      <c r="E1143" s="1">
        <v>16295666.789999999</v>
      </c>
      <c r="F1143" t="s">
        <v>1280</v>
      </c>
      <c r="I1143" s="16">
        <f>-IFERROR(VLOOKUP(C1143,SIRCUPA!$A$21:$H$186,8,0),0)</f>
        <v>0</v>
      </c>
      <c r="J1143" s="68">
        <f>-IFERROR(VLOOKUP(C1143,SIRTAC!$A$16:$H$1405,8,0),0)</f>
        <v>-110</v>
      </c>
      <c r="K1143" s="68">
        <f>-IFERROR(VLOOKUP(C1143,Gastos!$A$9:$J$1398,10,0),0)</f>
        <v>-106.7</v>
      </c>
      <c r="L1143" s="68">
        <f>-IFERROR(VLOOKUP(C1143,IDC!$A$20:$H$1596,8,0),0)</f>
        <v>-66</v>
      </c>
      <c r="M1143" s="74">
        <f t="shared" si="23"/>
        <v>11000</v>
      </c>
    </row>
    <row r="1144" spans="1:13" customFormat="1">
      <c r="A1144" t="s">
        <v>134</v>
      </c>
      <c r="B1144" t="s">
        <v>16</v>
      </c>
      <c r="C1144" s="51">
        <v>138948009288</v>
      </c>
      <c r="D1144" s="1">
        <v>2398.5500000000002</v>
      </c>
      <c r="E1144" s="1">
        <v>15100507.130000001</v>
      </c>
      <c r="F1144" t="s">
        <v>1280</v>
      </c>
      <c r="I1144" s="16">
        <f>-IFERROR(VLOOKUP(C1144,SIRCUPA!$A$21:$H$186,8,0),0)</f>
        <v>-36.75</v>
      </c>
      <c r="J1144" s="68">
        <f>-IFERROR(VLOOKUP(C1144,SIRTAC!$A$16:$H$1405,8,0),0)</f>
        <v>0</v>
      </c>
      <c r="K1144" s="68">
        <f>-IFERROR(VLOOKUP(C1144,Gastos!$A$9:$J$1398,10,0),0)</f>
        <v>0</v>
      </c>
      <c r="L1144" s="68">
        <f>-IFERROR(VLOOKUP(C1144,IDC!$A$20:$H$1596,8,0),0)</f>
        <v>-14.7</v>
      </c>
      <c r="M1144" s="74">
        <f t="shared" si="23"/>
        <v>2450</v>
      </c>
    </row>
    <row r="1145" spans="1:13" customFormat="1">
      <c r="A1145" t="s">
        <v>149</v>
      </c>
      <c r="B1145" t="s">
        <v>11</v>
      </c>
      <c r="C1145" s="51">
        <v>138321453321</v>
      </c>
      <c r="D1145" s="1">
        <v>119546.61</v>
      </c>
      <c r="E1145" s="1">
        <v>16415213.4</v>
      </c>
      <c r="F1145" t="s">
        <v>1280</v>
      </c>
      <c r="I1145" s="16">
        <f>-IFERROR(VLOOKUP(C1145,SIRCUPA!$A$21:$H$186,8,0),0)</f>
        <v>0</v>
      </c>
      <c r="J1145" s="68">
        <f>-IFERROR(VLOOKUP(C1145,SIRTAC!$A$16:$H$1405,8,0),0)</f>
        <v>-1227</v>
      </c>
      <c r="K1145" s="68">
        <f>-IFERROR(VLOOKUP(C1145,Gastos!$A$9:$J$1398,10,0),0)</f>
        <v>-1190.19</v>
      </c>
      <c r="L1145" s="68">
        <f>-IFERROR(VLOOKUP(C1145,IDC!$A$20:$H$1596,8,0),0)</f>
        <v>-736.2</v>
      </c>
      <c r="M1145" s="74">
        <f t="shared" si="23"/>
        <v>122700</v>
      </c>
    </row>
    <row r="1146" spans="1:13" customFormat="1">
      <c r="A1146" t="s">
        <v>134</v>
      </c>
      <c r="B1146" t="s">
        <v>143</v>
      </c>
      <c r="C1146" s="51">
        <v>138948247016</v>
      </c>
      <c r="D1146">
        <v>244.75</v>
      </c>
      <c r="E1146" s="1">
        <v>15105623.380000001</v>
      </c>
      <c r="F1146" t="s">
        <v>1280</v>
      </c>
      <c r="I1146" s="16">
        <f>-IFERROR(VLOOKUP(C1146,SIRCUPA!$A$21:$H$186,8,0),0)</f>
        <v>-3.75</v>
      </c>
      <c r="J1146" s="68">
        <f>-IFERROR(VLOOKUP(C1146,SIRTAC!$A$16:$H$1405,8,0),0)</f>
        <v>0</v>
      </c>
      <c r="K1146" s="68">
        <f>-IFERROR(VLOOKUP(C1146,Gastos!$A$9:$J$1398,10,0),0)</f>
        <v>0</v>
      </c>
      <c r="L1146" s="68">
        <f>-IFERROR(VLOOKUP(C1146,IDC!$A$20:$H$1596,8,0),0)</f>
        <v>-1.5</v>
      </c>
      <c r="M1146" s="74">
        <f t="shared" si="23"/>
        <v>250</v>
      </c>
    </row>
    <row r="1147" spans="1:13" customFormat="1">
      <c r="A1147" t="s">
        <v>149</v>
      </c>
      <c r="B1147" t="s">
        <v>11</v>
      </c>
      <c r="C1147" s="51">
        <v>138962445080</v>
      </c>
      <c r="D1147" s="1">
        <v>149555.04999999999</v>
      </c>
      <c r="E1147" s="1">
        <v>16564768.449999999</v>
      </c>
      <c r="F1147" t="s">
        <v>1280</v>
      </c>
      <c r="I1147" s="16">
        <f>-IFERROR(VLOOKUP(C1147,SIRCUPA!$A$21:$H$186,8,0),0)</f>
        <v>0</v>
      </c>
      <c r="J1147" s="68">
        <f>-IFERROR(VLOOKUP(C1147,SIRTAC!$A$16:$H$1405,8,0),0)</f>
        <v>-1535</v>
      </c>
      <c r="K1147" s="68">
        <f>-IFERROR(VLOOKUP(C1147,Gastos!$A$9:$J$1398,10,0),0)</f>
        <v>-1488.95</v>
      </c>
      <c r="L1147" s="68">
        <f>-IFERROR(VLOOKUP(C1147,IDC!$A$20:$H$1596,8,0),0)</f>
        <v>-921</v>
      </c>
      <c r="M1147" s="74">
        <f t="shared" si="23"/>
        <v>153500</v>
      </c>
    </row>
    <row r="1148" spans="1:13" customFormat="1">
      <c r="A1148" t="s">
        <v>149</v>
      </c>
      <c r="B1148" t="s">
        <v>11</v>
      </c>
      <c r="C1148" s="51">
        <v>138962720678</v>
      </c>
      <c r="D1148" s="1">
        <v>42382.05</v>
      </c>
      <c r="E1148" s="1">
        <v>16607150.5</v>
      </c>
      <c r="F1148" t="s">
        <v>1280</v>
      </c>
      <c r="I1148" s="16">
        <f>-IFERROR(VLOOKUP(C1148,SIRCUPA!$A$21:$H$186,8,0),0)</f>
        <v>0</v>
      </c>
      <c r="J1148" s="68">
        <f>-IFERROR(VLOOKUP(C1148,SIRTAC!$A$16:$H$1405,8,0),0)</f>
        <v>-435</v>
      </c>
      <c r="K1148" s="68">
        <f>-IFERROR(VLOOKUP(C1148,Gastos!$A$9:$J$1398,10,0),0)</f>
        <v>-421.95</v>
      </c>
      <c r="L1148" s="68">
        <f>-IFERROR(VLOOKUP(C1148,IDC!$A$20:$H$1596,8,0),0)</f>
        <v>-261</v>
      </c>
      <c r="M1148" s="74">
        <f t="shared" si="23"/>
        <v>43500</v>
      </c>
    </row>
    <row r="1149" spans="1:13" customFormat="1">
      <c r="A1149" t="s">
        <v>149</v>
      </c>
      <c r="B1149" t="s">
        <v>11</v>
      </c>
      <c r="C1149" s="51">
        <v>138962805222</v>
      </c>
      <c r="D1149" s="1">
        <v>4871.5</v>
      </c>
      <c r="E1149" s="1">
        <v>16612022</v>
      </c>
      <c r="F1149" t="s">
        <v>1280</v>
      </c>
      <c r="I1149" s="16">
        <f>-IFERROR(VLOOKUP(C1149,SIRCUPA!$A$21:$H$186,8,0),0)</f>
        <v>0</v>
      </c>
      <c r="J1149" s="68">
        <f>-IFERROR(VLOOKUP(C1149,SIRTAC!$A$16:$H$1405,8,0),0)</f>
        <v>-50</v>
      </c>
      <c r="K1149" s="68">
        <f>-IFERROR(VLOOKUP(C1149,Gastos!$A$9:$J$1398,10,0),0)</f>
        <v>-48.5</v>
      </c>
      <c r="L1149" s="68">
        <f>-IFERROR(VLOOKUP(C1149,IDC!$A$20:$H$1596,8,0),0)</f>
        <v>-30</v>
      </c>
      <c r="M1149" s="74">
        <f t="shared" si="23"/>
        <v>5000</v>
      </c>
    </row>
    <row r="1150" spans="1:13" customFormat="1">
      <c r="A1150" t="s">
        <v>134</v>
      </c>
      <c r="B1150" t="s">
        <v>144</v>
      </c>
      <c r="C1150" s="51">
        <v>138950884454</v>
      </c>
      <c r="D1150" s="1">
        <v>3064.27</v>
      </c>
      <c r="E1150" s="1">
        <v>15174231.609999999</v>
      </c>
      <c r="F1150" t="s">
        <v>1280</v>
      </c>
      <c r="I1150" s="16">
        <f>-IFERROR(VLOOKUP(C1150,SIRCUPA!$A$21:$H$186,8,0),0)</f>
        <v>-46.95</v>
      </c>
      <c r="J1150" s="68">
        <f>-IFERROR(VLOOKUP(C1150,SIRTAC!$A$16:$H$1405,8,0),0)</f>
        <v>0</v>
      </c>
      <c r="K1150" s="68">
        <f>-IFERROR(VLOOKUP(C1150,Gastos!$A$9:$J$1398,10,0),0)</f>
        <v>0</v>
      </c>
      <c r="L1150" s="68">
        <f>-IFERROR(VLOOKUP(C1150,IDC!$A$20:$H$1596,8,0),0)</f>
        <v>-18.78</v>
      </c>
      <c r="M1150" s="74">
        <f t="shared" si="23"/>
        <v>3130</v>
      </c>
    </row>
    <row r="1151" spans="1:13" customFormat="1">
      <c r="A1151" t="s">
        <v>149</v>
      </c>
      <c r="B1151" t="s">
        <v>11</v>
      </c>
      <c r="C1151" s="51">
        <v>138321908051</v>
      </c>
      <c r="D1151" s="1">
        <v>70906.990000000005</v>
      </c>
      <c r="E1151" s="1">
        <v>16682928.99</v>
      </c>
      <c r="F1151" t="s">
        <v>1280</v>
      </c>
      <c r="I1151" s="16">
        <f>-IFERROR(VLOOKUP(C1151,SIRCUPA!$A$21:$H$186,8,0),0)</f>
        <v>0</v>
      </c>
      <c r="J1151" s="68">
        <f>-IFERROR(VLOOKUP(C1151,SIRTAC!$A$16:$H$1405,8,0),0)</f>
        <v>-781</v>
      </c>
      <c r="K1151" s="68">
        <f>-IFERROR(VLOOKUP(C1151,Gastos!$A$9:$J$1398,10,0),0)</f>
        <v>-5943.41</v>
      </c>
      <c r="L1151" s="68">
        <f>-IFERROR(VLOOKUP(C1151,IDC!$A$20:$H$1596,8,0),0)</f>
        <v>-468.6</v>
      </c>
      <c r="M1151" s="74">
        <f t="shared" si="23"/>
        <v>78100.000000000015</v>
      </c>
    </row>
    <row r="1152" spans="1:13" customFormat="1">
      <c r="A1152" t="s">
        <v>149</v>
      </c>
      <c r="B1152" t="s">
        <v>11</v>
      </c>
      <c r="C1152" s="51">
        <v>138962996942</v>
      </c>
      <c r="D1152" s="1">
        <v>69370.16</v>
      </c>
      <c r="E1152" s="1">
        <v>16752299.15</v>
      </c>
      <c r="F1152" t="s">
        <v>1280</v>
      </c>
      <c r="I1152" s="16">
        <f>-IFERROR(VLOOKUP(C1152,SIRCUPA!$A$21:$H$186,8,0),0)</f>
        <v>0</v>
      </c>
      <c r="J1152" s="68">
        <f>-IFERROR(VLOOKUP(C1152,SIRTAC!$A$16:$H$1405,8,0),0)</f>
        <v>-712</v>
      </c>
      <c r="K1152" s="68">
        <f>-IFERROR(VLOOKUP(C1152,Gastos!$A$9:$J$1398,10,0),0)</f>
        <v>-690.64</v>
      </c>
      <c r="L1152" s="68">
        <f>-IFERROR(VLOOKUP(C1152,IDC!$A$20:$H$1596,8,0),0)</f>
        <v>-427.2</v>
      </c>
      <c r="M1152" s="74">
        <f t="shared" si="23"/>
        <v>71200</v>
      </c>
    </row>
    <row r="1153" spans="1:13" customFormat="1">
      <c r="A1153" t="s">
        <v>149</v>
      </c>
      <c r="B1153" t="s">
        <v>11</v>
      </c>
      <c r="C1153" s="51">
        <v>138963015400</v>
      </c>
      <c r="D1153" s="1">
        <v>53619.66</v>
      </c>
      <c r="E1153" s="1">
        <v>16805918.809999999</v>
      </c>
      <c r="F1153" t="s">
        <v>1280</v>
      </c>
      <c r="I1153" s="16">
        <f>-IFERROR(VLOOKUP(C1153,SIRCUPA!$A$21:$H$186,8,0),0)</f>
        <v>0</v>
      </c>
      <c r="J1153" s="68">
        <f>-IFERROR(VLOOKUP(C1153,SIRTAC!$A$16:$H$1405,8,0),0)</f>
        <v>-582</v>
      </c>
      <c r="K1153" s="68">
        <f>-IFERROR(VLOOKUP(C1153,Gastos!$A$9:$J$1398,10,0),0)</f>
        <v>-6541.68</v>
      </c>
      <c r="L1153" s="68">
        <f>-IFERROR(VLOOKUP(C1153,IDC!$A$20:$H$1596,8,0),0)</f>
        <v>-366.66</v>
      </c>
      <c r="M1153" s="74">
        <f t="shared" si="23"/>
        <v>61110.000000000007</v>
      </c>
    </row>
    <row r="1154" spans="1:13" customFormat="1">
      <c r="A1154" t="s">
        <v>149</v>
      </c>
      <c r="B1154" t="s">
        <v>11</v>
      </c>
      <c r="C1154" s="51">
        <v>138322192323</v>
      </c>
      <c r="D1154" s="1">
        <v>19744.23</v>
      </c>
      <c r="E1154" s="1">
        <v>16825663.039999999</v>
      </c>
      <c r="F1154" t="s">
        <v>1280</v>
      </c>
      <c r="I1154" s="16">
        <f>-IFERROR(VLOOKUP(C1154,SIRCUPA!$A$21:$H$186,8,0),0)</f>
        <v>0</v>
      </c>
      <c r="J1154" s="68">
        <f>-IFERROR(VLOOKUP(C1154,SIRTAC!$A$16:$H$1405,8,0),0)</f>
        <v>-209</v>
      </c>
      <c r="K1154" s="68">
        <f>-IFERROR(VLOOKUP(C1154,Gastos!$A$9:$J$1398,10,0),0)</f>
        <v>-821.37</v>
      </c>
      <c r="L1154" s="68">
        <f>-IFERROR(VLOOKUP(C1154,IDC!$A$20:$H$1596,8,0),0)</f>
        <v>-125.4</v>
      </c>
      <c r="M1154" s="74">
        <f t="shared" si="23"/>
        <v>20900</v>
      </c>
    </row>
    <row r="1155" spans="1:13" customFormat="1">
      <c r="A1155" t="s">
        <v>149</v>
      </c>
      <c r="B1155" t="s">
        <v>11</v>
      </c>
      <c r="C1155" s="51">
        <v>138963097522</v>
      </c>
      <c r="D1155" s="1">
        <v>38858.120000000003</v>
      </c>
      <c r="E1155" s="1">
        <v>16864521.16</v>
      </c>
      <c r="F1155" t="s">
        <v>1280</v>
      </c>
      <c r="I1155" s="16">
        <f>-IFERROR(VLOOKUP(C1155,SIRCUPA!$A$21:$H$186,8,0),0)</f>
        <v>0</v>
      </c>
      <c r="J1155" s="68">
        <f>-IFERROR(VLOOKUP(C1155,SIRTAC!$A$16:$H$1405,8,0),0)</f>
        <v>-428</v>
      </c>
      <c r="K1155" s="68">
        <f>-IFERROR(VLOOKUP(C1155,Gastos!$A$9:$J$1398,10,0),0)</f>
        <v>-3257.08</v>
      </c>
      <c r="L1155" s="68">
        <f>-IFERROR(VLOOKUP(C1155,IDC!$A$20:$H$1596,8,0),0)</f>
        <v>-256.8</v>
      </c>
      <c r="M1155" s="74">
        <f t="shared" si="23"/>
        <v>42800.000000000007</v>
      </c>
    </row>
    <row r="1156" spans="1:13" customFormat="1">
      <c r="A1156" t="s">
        <v>149</v>
      </c>
      <c r="B1156" t="s">
        <v>11</v>
      </c>
      <c r="C1156" s="51">
        <v>138963123706</v>
      </c>
      <c r="D1156" s="1">
        <v>31912.400000000001</v>
      </c>
      <c r="E1156" s="1">
        <v>16896433.559999999</v>
      </c>
      <c r="F1156" t="s">
        <v>1280</v>
      </c>
      <c r="I1156" s="16">
        <f>-IFERROR(VLOOKUP(C1156,SIRCUPA!$A$21:$H$186,8,0),0)</f>
        <v>0</v>
      </c>
      <c r="J1156" s="68">
        <f>-IFERROR(VLOOKUP(C1156,SIRTAC!$A$16:$H$1405,8,0),0)</f>
        <v>-340</v>
      </c>
      <c r="K1156" s="68">
        <f>-IFERROR(VLOOKUP(C1156,Gastos!$A$9:$J$1398,10,0),0)</f>
        <v>-1543.6</v>
      </c>
      <c r="L1156" s="68">
        <f>-IFERROR(VLOOKUP(C1156,IDC!$A$20:$H$1596,8,0),0)</f>
        <v>-204</v>
      </c>
      <c r="M1156" s="74">
        <f t="shared" si="23"/>
        <v>34000</v>
      </c>
    </row>
    <row r="1157" spans="1:13" customFormat="1">
      <c r="A1157" t="s">
        <v>134</v>
      </c>
      <c r="B1157" t="s">
        <v>145</v>
      </c>
      <c r="C1157" s="51">
        <v>138954494952</v>
      </c>
      <c r="D1157" s="1">
        <v>6725.73</v>
      </c>
      <c r="E1157" s="1">
        <v>15393438.060000001</v>
      </c>
      <c r="F1157" t="s">
        <v>1280</v>
      </c>
      <c r="I1157" s="16">
        <f>-IFERROR(VLOOKUP(C1157,SIRCUPA!$A$21:$H$186,8,0),0)</f>
        <v>-103.05</v>
      </c>
      <c r="J1157" s="68">
        <f>-IFERROR(VLOOKUP(C1157,SIRTAC!$A$16:$H$1405,8,0),0)</f>
        <v>0</v>
      </c>
      <c r="K1157" s="68">
        <f>-IFERROR(VLOOKUP(C1157,Gastos!$A$9:$J$1398,10,0),0)</f>
        <v>0</v>
      </c>
      <c r="L1157" s="68">
        <f>-IFERROR(VLOOKUP(C1157,IDC!$A$20:$H$1596,8,0),0)</f>
        <v>-41.22</v>
      </c>
      <c r="M1157" s="74">
        <f t="shared" si="23"/>
        <v>6870</v>
      </c>
    </row>
    <row r="1158" spans="1:13" customFormat="1">
      <c r="A1158" t="s">
        <v>149</v>
      </c>
      <c r="B1158" t="s">
        <v>11</v>
      </c>
      <c r="C1158" s="51">
        <v>138963448102</v>
      </c>
      <c r="D1158" s="1">
        <v>35074.800000000003</v>
      </c>
      <c r="E1158" s="1">
        <v>16931508.359999999</v>
      </c>
      <c r="F1158" t="s">
        <v>1280</v>
      </c>
      <c r="I1158" s="16">
        <f>-IFERROR(VLOOKUP(C1158,SIRCUPA!$A$21:$H$186,8,0),0)</f>
        <v>0</v>
      </c>
      <c r="J1158" s="68">
        <f>-IFERROR(VLOOKUP(C1158,SIRTAC!$A$16:$H$1405,8,0),0)</f>
        <v>-360</v>
      </c>
      <c r="K1158" s="68">
        <f>-IFERROR(VLOOKUP(C1158,Gastos!$A$9:$J$1398,10,0),0)</f>
        <v>-349.2</v>
      </c>
      <c r="L1158" s="68">
        <f>-IFERROR(VLOOKUP(C1158,IDC!$A$20:$H$1596,8,0),0)</f>
        <v>-216</v>
      </c>
      <c r="M1158" s="74">
        <f t="shared" si="23"/>
        <v>36000</v>
      </c>
    </row>
    <row r="1159" spans="1:13" customFormat="1">
      <c r="A1159" t="s">
        <v>149</v>
      </c>
      <c r="B1159" t="s">
        <v>11</v>
      </c>
      <c r="C1159" s="51">
        <v>138964643346</v>
      </c>
      <c r="D1159" s="1">
        <v>133186.81</v>
      </c>
      <c r="E1159" s="1">
        <v>17064695.170000002</v>
      </c>
      <c r="F1159" t="s">
        <v>1280</v>
      </c>
      <c r="I1159" s="16">
        <f>-IFERROR(VLOOKUP(C1159,SIRCUPA!$A$21:$H$186,8,0),0)</f>
        <v>0</v>
      </c>
      <c r="J1159" s="68">
        <f>-IFERROR(VLOOKUP(C1159,SIRTAC!$A$16:$H$1405,8,0),0)</f>
        <v>-1367</v>
      </c>
      <c r="K1159" s="68">
        <f>-IFERROR(VLOOKUP(C1159,Gastos!$A$9:$J$1398,10,0),0)</f>
        <v>-1325.99</v>
      </c>
      <c r="L1159" s="68">
        <f>-IFERROR(VLOOKUP(C1159,IDC!$A$20:$H$1596,8,0),0)</f>
        <v>-820.2</v>
      </c>
      <c r="M1159" s="74">
        <f t="shared" si="23"/>
        <v>136700</v>
      </c>
    </row>
    <row r="1160" spans="1:13" customFormat="1">
      <c r="A1160" t="s">
        <v>149</v>
      </c>
      <c r="B1160" t="s">
        <v>11</v>
      </c>
      <c r="C1160" s="51">
        <v>138964725768</v>
      </c>
      <c r="D1160" s="1">
        <v>16075.95</v>
      </c>
      <c r="E1160" s="1">
        <v>17087462.579999998</v>
      </c>
      <c r="F1160" t="s">
        <v>1280</v>
      </c>
      <c r="I1160" s="16">
        <f>-IFERROR(VLOOKUP(C1160,SIRCUPA!$A$21:$H$186,8,0),0)</f>
        <v>0</v>
      </c>
      <c r="J1160" s="68">
        <f>-IFERROR(VLOOKUP(C1160,SIRTAC!$A$16:$H$1405,8,0),0)</f>
        <v>-165</v>
      </c>
      <c r="K1160" s="68">
        <f>-IFERROR(VLOOKUP(C1160,Gastos!$A$9:$J$1398,10,0),0)</f>
        <v>-160.05000000000001</v>
      </c>
      <c r="L1160" s="68">
        <f>-IFERROR(VLOOKUP(C1160,IDC!$A$20:$H$1596,8,0),0)</f>
        <v>-99</v>
      </c>
      <c r="M1160" s="74">
        <f t="shared" si="23"/>
        <v>16500</v>
      </c>
    </row>
    <row r="1161" spans="1:13" customFormat="1">
      <c r="A1161" t="s">
        <v>134</v>
      </c>
      <c r="B1161" t="s">
        <v>146</v>
      </c>
      <c r="C1161" s="51">
        <v>138315661395</v>
      </c>
      <c r="D1161" s="1">
        <v>8673.94</v>
      </c>
      <c r="E1161" s="1">
        <v>15529977.390000001</v>
      </c>
      <c r="F1161" t="s">
        <v>1280</v>
      </c>
      <c r="I1161" s="16">
        <f>-IFERROR(VLOOKUP(C1161,SIRCUPA!$A$21:$H$186,8,0),0)</f>
        <v>-132.9</v>
      </c>
      <c r="J1161" s="68">
        <f>-IFERROR(VLOOKUP(C1161,SIRTAC!$A$16:$H$1405,8,0),0)</f>
        <v>0</v>
      </c>
      <c r="K1161" s="68">
        <f>-IFERROR(VLOOKUP(C1161,Gastos!$A$9:$J$1398,10,0),0)</f>
        <v>0</v>
      </c>
      <c r="L1161" s="68">
        <f>-IFERROR(VLOOKUP(C1161,IDC!$A$20:$H$1596,8,0),0)</f>
        <v>-53.16</v>
      </c>
      <c r="M1161" s="74">
        <f t="shared" si="23"/>
        <v>8860</v>
      </c>
    </row>
    <row r="1162" spans="1:13" customFormat="1">
      <c r="A1162" t="s">
        <v>149</v>
      </c>
      <c r="B1162" t="s">
        <v>11</v>
      </c>
      <c r="C1162" s="51">
        <v>138964781728</v>
      </c>
      <c r="D1162" s="1">
        <v>19486</v>
      </c>
      <c r="E1162" s="1">
        <v>17106948.579999998</v>
      </c>
      <c r="F1162" t="s">
        <v>1280</v>
      </c>
      <c r="I1162" s="16">
        <f>-IFERROR(VLOOKUP(C1162,SIRCUPA!$A$21:$H$186,8,0),0)</f>
        <v>0</v>
      </c>
      <c r="J1162" s="68">
        <f>-IFERROR(VLOOKUP(C1162,SIRTAC!$A$16:$H$1405,8,0),0)</f>
        <v>-200</v>
      </c>
      <c r="K1162" s="68">
        <f>-IFERROR(VLOOKUP(C1162,Gastos!$A$9:$J$1398,10,0),0)</f>
        <v>-194</v>
      </c>
      <c r="L1162" s="68">
        <f>-IFERROR(VLOOKUP(C1162,IDC!$A$20:$H$1596,8,0),0)</f>
        <v>-120</v>
      </c>
      <c r="M1162" s="74">
        <f t="shared" si="23"/>
        <v>20000</v>
      </c>
    </row>
    <row r="1163" spans="1:13" customFormat="1">
      <c r="A1163" t="s">
        <v>149</v>
      </c>
      <c r="B1163" t="s">
        <v>11</v>
      </c>
      <c r="C1163" s="51">
        <v>138964996976</v>
      </c>
      <c r="D1163" s="1">
        <v>72682.78</v>
      </c>
      <c r="E1163" s="1">
        <v>17179631.359999999</v>
      </c>
      <c r="F1163" t="s">
        <v>1280</v>
      </c>
      <c r="I1163" s="16">
        <f>-IFERROR(VLOOKUP(C1163,SIRCUPA!$A$21:$H$186,8,0),0)</f>
        <v>0</v>
      </c>
      <c r="J1163" s="68">
        <f>-IFERROR(VLOOKUP(C1163,SIRTAC!$A$16:$H$1405,8,0),0)</f>
        <v>-746</v>
      </c>
      <c r="K1163" s="68">
        <f>-IFERROR(VLOOKUP(C1163,Gastos!$A$9:$J$1398,10,0),0)</f>
        <v>-723.62</v>
      </c>
      <c r="L1163" s="68">
        <f>-IFERROR(VLOOKUP(C1163,IDC!$A$20:$H$1596,8,0),0)</f>
        <v>-447.6</v>
      </c>
      <c r="M1163" s="74">
        <f t="shared" si="23"/>
        <v>74600</v>
      </c>
    </row>
    <row r="1164" spans="1:13" customFormat="1">
      <c r="A1164" t="s">
        <v>149</v>
      </c>
      <c r="B1164" t="s">
        <v>11</v>
      </c>
      <c r="C1164" s="51">
        <v>138966323446</v>
      </c>
      <c r="D1164" s="1">
        <v>9677</v>
      </c>
      <c r="E1164" s="1">
        <v>17189308.359999999</v>
      </c>
      <c r="F1164" t="s">
        <v>1280</v>
      </c>
      <c r="I1164" s="16">
        <f>-IFERROR(VLOOKUP(C1164,SIRCUPA!$A$21:$H$186,8,0),0)</f>
        <v>0</v>
      </c>
      <c r="J1164" s="68">
        <f>-IFERROR(VLOOKUP(C1164,SIRTAC!$A$16:$H$1405,8,0),0)</f>
        <v>-100</v>
      </c>
      <c r="K1164" s="68">
        <f>-IFERROR(VLOOKUP(C1164,Gastos!$A$9:$J$1398,10,0),0)</f>
        <v>-163</v>
      </c>
      <c r="L1164" s="68">
        <f>-IFERROR(VLOOKUP(C1164,IDC!$A$20:$H$1596,8,0),0)</f>
        <v>-60</v>
      </c>
      <c r="M1164" s="74">
        <f t="shared" si="23"/>
        <v>10000</v>
      </c>
    </row>
    <row r="1165" spans="1:13" customFormat="1">
      <c r="A1165" t="s">
        <v>149</v>
      </c>
      <c r="B1165" t="s">
        <v>11</v>
      </c>
      <c r="C1165" s="51">
        <v>138966619264</v>
      </c>
      <c r="D1165" s="1">
        <v>60893.75</v>
      </c>
      <c r="E1165" s="1">
        <v>17250202.109999999</v>
      </c>
      <c r="F1165" t="s">
        <v>1280</v>
      </c>
      <c r="I1165" s="16">
        <f>-IFERROR(VLOOKUP(C1165,SIRCUPA!$A$21:$H$186,8,0),0)</f>
        <v>0</v>
      </c>
      <c r="J1165" s="68">
        <f>-IFERROR(VLOOKUP(C1165,SIRTAC!$A$16:$H$1405,8,0),0)</f>
        <v>-625</v>
      </c>
      <c r="K1165" s="68">
        <f>-IFERROR(VLOOKUP(C1165,Gastos!$A$9:$J$1398,10,0),0)</f>
        <v>-606.25</v>
      </c>
      <c r="L1165" s="68">
        <f>-IFERROR(VLOOKUP(C1165,IDC!$A$20:$H$1596,8,0),0)</f>
        <v>-375</v>
      </c>
      <c r="M1165" s="74">
        <f t="shared" si="23"/>
        <v>62500</v>
      </c>
    </row>
    <row r="1166" spans="1:13" customFormat="1">
      <c r="A1166" t="s">
        <v>151</v>
      </c>
      <c r="B1166" t="s">
        <v>11</v>
      </c>
      <c r="C1166" s="51">
        <v>139256588728</v>
      </c>
      <c r="D1166" s="1">
        <v>9353.2800000000007</v>
      </c>
      <c r="E1166" s="1">
        <v>15870700.23</v>
      </c>
      <c r="F1166" t="s">
        <v>1280</v>
      </c>
      <c r="I1166" s="16">
        <f>-IFERROR(VLOOKUP(C1166,SIRCUPA!$A$21:$H$186,8,0),0)</f>
        <v>0</v>
      </c>
      <c r="J1166" s="68">
        <f>-IFERROR(VLOOKUP(C1166,SIRTAC!$A$16:$H$1405,8,0),0)</f>
        <v>-96</v>
      </c>
      <c r="K1166" s="68">
        <f>-IFERROR(VLOOKUP(C1166,Gastos!$A$9:$J$1398,10,0),0)</f>
        <v>-93.12</v>
      </c>
      <c r="L1166" s="68">
        <f>-IFERROR(VLOOKUP(C1166,IDC!$A$20:$H$1596,8,0),0)</f>
        <v>-57.6</v>
      </c>
      <c r="M1166" s="74">
        <f t="shared" si="23"/>
        <v>9600.0000000000018</v>
      </c>
    </row>
    <row r="1167" spans="1:13" customFormat="1">
      <c r="A1167" t="s">
        <v>151</v>
      </c>
      <c r="B1167" t="s">
        <v>11</v>
      </c>
      <c r="C1167" s="51">
        <v>138615245287</v>
      </c>
      <c r="D1167" s="1">
        <v>9677</v>
      </c>
      <c r="E1167" s="1">
        <v>15880377.23</v>
      </c>
      <c r="F1167" t="s">
        <v>1280</v>
      </c>
      <c r="I1167" s="16">
        <f>-IFERROR(VLOOKUP(C1167,SIRCUPA!$A$21:$H$186,8,0),0)</f>
        <v>0</v>
      </c>
      <c r="J1167" s="68">
        <f>-IFERROR(VLOOKUP(C1167,SIRTAC!$A$16:$H$1405,8,0),0)</f>
        <v>-100</v>
      </c>
      <c r="K1167" s="68">
        <f>-IFERROR(VLOOKUP(C1167,Gastos!$A$9:$J$1398,10,0),0)</f>
        <v>-163</v>
      </c>
      <c r="L1167" s="68">
        <f>-IFERROR(VLOOKUP(C1167,IDC!$A$20:$H$1596,8,0),0)</f>
        <v>-60</v>
      </c>
      <c r="M1167" s="74">
        <f t="shared" si="23"/>
        <v>10000</v>
      </c>
    </row>
    <row r="1168" spans="1:13" customFormat="1">
      <c r="A1168" t="s">
        <v>151</v>
      </c>
      <c r="B1168" t="s">
        <v>11</v>
      </c>
      <c r="C1168" s="51">
        <v>139263142212</v>
      </c>
      <c r="D1168" s="1">
        <v>11691.6</v>
      </c>
      <c r="E1168" s="1">
        <v>15892068.83</v>
      </c>
      <c r="F1168" t="s">
        <v>1280</v>
      </c>
      <c r="I1168" s="16">
        <f>-IFERROR(VLOOKUP(C1168,SIRCUPA!$A$21:$H$186,8,0),0)</f>
        <v>0</v>
      </c>
      <c r="J1168" s="68">
        <f>-IFERROR(VLOOKUP(C1168,SIRTAC!$A$16:$H$1405,8,0),0)</f>
        <v>-120</v>
      </c>
      <c r="K1168" s="68">
        <f>-IFERROR(VLOOKUP(C1168,Gastos!$A$9:$J$1398,10,0),0)</f>
        <v>-116.4</v>
      </c>
      <c r="L1168" s="68">
        <f>-IFERROR(VLOOKUP(C1168,IDC!$A$20:$H$1596,8,0),0)</f>
        <v>-72</v>
      </c>
      <c r="M1168" s="74">
        <f t="shared" si="23"/>
        <v>12000</v>
      </c>
    </row>
    <row r="1169" spans="1:13" customFormat="1">
      <c r="A1169" t="s">
        <v>151</v>
      </c>
      <c r="B1169" t="s">
        <v>11</v>
      </c>
      <c r="C1169" s="51">
        <v>139263155880</v>
      </c>
      <c r="D1169" s="1">
        <v>9447</v>
      </c>
      <c r="E1169" s="1">
        <v>15901515.83</v>
      </c>
      <c r="F1169" t="s">
        <v>1280</v>
      </c>
      <c r="I1169" s="16">
        <f>-IFERROR(VLOOKUP(C1169,SIRCUPA!$A$21:$H$186,8,0),0)</f>
        <v>0</v>
      </c>
      <c r="J1169" s="68">
        <f>-IFERROR(VLOOKUP(C1169,SIRTAC!$A$16:$H$1405,8,0),0)</f>
        <v>-100</v>
      </c>
      <c r="K1169" s="68">
        <f>-IFERROR(VLOOKUP(C1169,Gastos!$A$9:$J$1398,10,0),0)</f>
        <v>-393</v>
      </c>
      <c r="L1169" s="68">
        <f>-IFERROR(VLOOKUP(C1169,IDC!$A$20:$H$1596,8,0),0)</f>
        <v>-60</v>
      </c>
      <c r="M1169" s="74">
        <f t="shared" si="23"/>
        <v>10000</v>
      </c>
    </row>
    <row r="1170" spans="1:13" customFormat="1">
      <c r="A1170" t="s">
        <v>134</v>
      </c>
      <c r="B1170" t="s">
        <v>147</v>
      </c>
      <c r="C1170" s="51">
        <v>138317696189</v>
      </c>
      <c r="D1170" s="1">
        <v>5404.08</v>
      </c>
      <c r="E1170" s="1">
        <v>15862623.65</v>
      </c>
      <c r="F1170" t="s">
        <v>1280</v>
      </c>
      <c r="I1170" s="16">
        <f>-IFERROR(VLOOKUP(C1170,SIRCUPA!$A$21:$H$186,8,0),0)</f>
        <v>-82.8</v>
      </c>
      <c r="J1170" s="68">
        <f>-IFERROR(VLOOKUP(C1170,SIRTAC!$A$16:$H$1405,8,0),0)</f>
        <v>0</v>
      </c>
      <c r="K1170" s="68">
        <f>-IFERROR(VLOOKUP(C1170,Gastos!$A$9:$J$1398,10,0),0)</f>
        <v>0</v>
      </c>
      <c r="L1170" s="68">
        <f>-IFERROR(VLOOKUP(C1170,IDC!$A$20:$H$1596,8,0),0)</f>
        <v>-33.119999999999997</v>
      </c>
      <c r="M1170" s="74">
        <f t="shared" si="23"/>
        <v>5520</v>
      </c>
    </row>
    <row r="1171" spans="1:13" customFormat="1">
      <c r="A1171" t="s">
        <v>151</v>
      </c>
      <c r="B1171" t="s">
        <v>11</v>
      </c>
      <c r="C1171" s="51">
        <v>138620385257</v>
      </c>
      <c r="D1171" s="1">
        <v>22767.27</v>
      </c>
      <c r="E1171" s="1">
        <v>15924283.1</v>
      </c>
      <c r="F1171" t="s">
        <v>1280</v>
      </c>
      <c r="I1171" s="16">
        <f>-IFERROR(VLOOKUP(C1171,SIRCUPA!$A$21:$H$186,8,0),0)</f>
        <v>0</v>
      </c>
      <c r="J1171" s="68">
        <f>-IFERROR(VLOOKUP(C1171,SIRTAC!$A$16:$H$1405,8,0),0)</f>
        <v>-241</v>
      </c>
      <c r="K1171" s="68">
        <f>-IFERROR(VLOOKUP(C1171,Gastos!$A$9:$J$1398,10,0),0)</f>
        <v>-947.13</v>
      </c>
      <c r="L1171" s="68">
        <f>-IFERROR(VLOOKUP(C1171,IDC!$A$20:$H$1596,8,0),0)</f>
        <v>-144.6</v>
      </c>
      <c r="M1171" s="74">
        <f t="shared" si="23"/>
        <v>24100</v>
      </c>
    </row>
    <row r="1172" spans="1:13" customFormat="1">
      <c r="A1172" t="s">
        <v>151</v>
      </c>
      <c r="B1172" t="s">
        <v>11</v>
      </c>
      <c r="C1172" s="51">
        <v>138620961365</v>
      </c>
      <c r="D1172" s="1">
        <v>5845.8</v>
      </c>
      <c r="E1172" s="1">
        <v>15930128.9</v>
      </c>
      <c r="F1172" t="s">
        <v>1280</v>
      </c>
      <c r="I1172" s="16">
        <f>-IFERROR(VLOOKUP(C1172,SIRCUPA!$A$21:$H$186,8,0),0)</f>
        <v>0</v>
      </c>
      <c r="J1172" s="68">
        <f>-IFERROR(VLOOKUP(C1172,SIRTAC!$A$16:$H$1405,8,0),0)</f>
        <v>-60</v>
      </c>
      <c r="K1172" s="68">
        <f>-IFERROR(VLOOKUP(C1172,Gastos!$A$9:$J$1398,10,0),0)</f>
        <v>-58.2</v>
      </c>
      <c r="L1172" s="68">
        <f>-IFERROR(VLOOKUP(C1172,IDC!$A$20:$H$1596,8,0),0)</f>
        <v>-36</v>
      </c>
      <c r="M1172" s="74">
        <f t="shared" si="23"/>
        <v>6000</v>
      </c>
    </row>
    <row r="1173" spans="1:13" customFormat="1">
      <c r="A1173" t="s">
        <v>151</v>
      </c>
      <c r="B1173" t="s">
        <v>11</v>
      </c>
      <c r="C1173" s="51">
        <v>139268810486</v>
      </c>
      <c r="D1173" s="1">
        <v>20783.400000000001</v>
      </c>
      <c r="E1173" s="1">
        <v>15950912.300000001</v>
      </c>
      <c r="F1173" t="s">
        <v>1280</v>
      </c>
      <c r="I1173" s="16">
        <f>-IFERROR(VLOOKUP(C1173,SIRCUPA!$A$21:$H$186,8,0),0)</f>
        <v>0</v>
      </c>
      <c r="J1173" s="68">
        <f>-IFERROR(VLOOKUP(C1173,SIRTAC!$A$16:$H$1405,8,0),0)</f>
        <v>-220</v>
      </c>
      <c r="K1173" s="68">
        <f>-IFERROR(VLOOKUP(C1173,Gastos!$A$9:$J$1398,10,0),0)</f>
        <v>-864.6</v>
      </c>
      <c r="L1173" s="68">
        <f>-IFERROR(VLOOKUP(C1173,IDC!$A$20:$H$1596,8,0),0)</f>
        <v>-132</v>
      </c>
      <c r="M1173" s="74">
        <f t="shared" si="23"/>
        <v>22000</v>
      </c>
    </row>
    <row r="1174" spans="1:13" customFormat="1">
      <c r="A1174" t="s">
        <v>151</v>
      </c>
      <c r="B1174" t="s">
        <v>11</v>
      </c>
      <c r="C1174" s="51">
        <v>138624066329</v>
      </c>
      <c r="D1174" s="1">
        <v>21824.32</v>
      </c>
      <c r="E1174" s="1">
        <v>15972736.619999999</v>
      </c>
      <c r="F1174" t="s">
        <v>1280</v>
      </c>
      <c r="I1174" s="16">
        <f>-IFERROR(VLOOKUP(C1174,SIRCUPA!$A$21:$H$186,8,0),0)</f>
        <v>0</v>
      </c>
      <c r="J1174" s="68">
        <f>-IFERROR(VLOOKUP(C1174,SIRTAC!$A$16:$H$1405,8,0),0)</f>
        <v>-224</v>
      </c>
      <c r="K1174" s="68">
        <f>-IFERROR(VLOOKUP(C1174,Gastos!$A$9:$J$1398,10,0),0)</f>
        <v>-217.28</v>
      </c>
      <c r="L1174" s="68">
        <f>-IFERROR(VLOOKUP(C1174,IDC!$A$20:$H$1596,8,0),0)</f>
        <v>-134.4</v>
      </c>
      <c r="M1174" s="74">
        <f t="shared" si="23"/>
        <v>22400</v>
      </c>
    </row>
    <row r="1175" spans="1:13" customFormat="1">
      <c r="A1175" t="s">
        <v>151</v>
      </c>
      <c r="B1175" t="s">
        <v>11</v>
      </c>
      <c r="C1175" s="51">
        <v>139270327646</v>
      </c>
      <c r="D1175" s="1">
        <v>9743</v>
      </c>
      <c r="E1175" s="1">
        <v>15982479.619999999</v>
      </c>
      <c r="F1175" t="s">
        <v>1280</v>
      </c>
      <c r="I1175" s="16">
        <f>-IFERROR(VLOOKUP(C1175,SIRCUPA!$A$21:$H$186,8,0),0)</f>
        <v>0</v>
      </c>
      <c r="J1175" s="68">
        <f>-IFERROR(VLOOKUP(C1175,SIRTAC!$A$16:$H$1405,8,0),0)</f>
        <v>-100</v>
      </c>
      <c r="K1175" s="68">
        <f>-IFERROR(VLOOKUP(C1175,Gastos!$A$9:$J$1398,10,0),0)</f>
        <v>-97</v>
      </c>
      <c r="L1175" s="68">
        <f>-IFERROR(VLOOKUP(C1175,IDC!$A$20:$H$1596,8,0),0)</f>
        <v>-60</v>
      </c>
      <c r="M1175" s="74">
        <f t="shared" si="23"/>
        <v>10000</v>
      </c>
    </row>
    <row r="1176" spans="1:13" customFormat="1">
      <c r="A1176" t="s">
        <v>151</v>
      </c>
      <c r="B1176" t="s">
        <v>11</v>
      </c>
      <c r="C1176" s="51">
        <v>139271087224</v>
      </c>
      <c r="D1176" s="1">
        <v>28546.99</v>
      </c>
      <c r="E1176" s="1">
        <v>16011026.609999999</v>
      </c>
      <c r="F1176" t="s">
        <v>1280</v>
      </c>
      <c r="I1176" s="16">
        <f>-IFERROR(VLOOKUP(C1176,SIRCUPA!$A$21:$H$186,8,0),0)</f>
        <v>0</v>
      </c>
      <c r="J1176" s="68">
        <f>-IFERROR(VLOOKUP(C1176,SIRTAC!$A$16:$H$1405,8,0),0)</f>
        <v>-293</v>
      </c>
      <c r="K1176" s="68">
        <f>-IFERROR(VLOOKUP(C1176,Gastos!$A$9:$J$1398,10,0),0)</f>
        <v>-284.20999999999998</v>
      </c>
      <c r="L1176" s="68">
        <f>-IFERROR(VLOOKUP(C1176,IDC!$A$20:$H$1596,8,0),0)</f>
        <v>-175.8</v>
      </c>
      <c r="M1176" s="74">
        <f t="shared" si="23"/>
        <v>29300</v>
      </c>
    </row>
    <row r="1177" spans="1:13" customFormat="1">
      <c r="A1177" t="s">
        <v>151</v>
      </c>
      <c r="B1177" t="s">
        <v>11</v>
      </c>
      <c r="C1177" s="51">
        <v>138626144163</v>
      </c>
      <c r="D1177" s="1">
        <v>4676.6400000000003</v>
      </c>
      <c r="E1177" s="1">
        <v>16015703.25</v>
      </c>
      <c r="F1177" t="s">
        <v>1280</v>
      </c>
      <c r="I1177" s="16">
        <f>-IFERROR(VLOOKUP(C1177,SIRCUPA!$A$21:$H$186,8,0),0)</f>
        <v>0</v>
      </c>
      <c r="J1177" s="68">
        <f>-IFERROR(VLOOKUP(C1177,SIRTAC!$A$16:$H$1405,8,0),0)</f>
        <v>-48</v>
      </c>
      <c r="K1177" s="68">
        <f>-IFERROR(VLOOKUP(C1177,Gastos!$A$9:$J$1398,10,0),0)</f>
        <v>-46.56</v>
      </c>
      <c r="L1177" s="68">
        <f>-IFERROR(VLOOKUP(C1177,IDC!$A$20:$H$1596,8,0),0)</f>
        <v>-28.8</v>
      </c>
      <c r="M1177" s="74">
        <f t="shared" si="23"/>
        <v>4800.0000000000009</v>
      </c>
    </row>
    <row r="1178" spans="1:13" customFormat="1">
      <c r="A1178" t="s">
        <v>134</v>
      </c>
      <c r="B1178" t="s">
        <v>148</v>
      </c>
      <c r="C1178" s="51">
        <v>138319640265</v>
      </c>
      <c r="D1178" s="1">
        <v>3661.46</v>
      </c>
      <c r="E1178" s="1">
        <v>16158687.17</v>
      </c>
      <c r="F1178" t="s">
        <v>1280</v>
      </c>
      <c r="I1178" s="16">
        <f>-IFERROR(VLOOKUP(C1178,SIRCUPA!$A$21:$H$186,8,0),0)</f>
        <v>-56.1</v>
      </c>
      <c r="J1178" s="68">
        <f>-IFERROR(VLOOKUP(C1178,SIRTAC!$A$16:$H$1405,8,0),0)</f>
        <v>0</v>
      </c>
      <c r="K1178" s="68">
        <f>-IFERROR(VLOOKUP(C1178,Gastos!$A$9:$J$1398,10,0),0)</f>
        <v>0</v>
      </c>
      <c r="L1178" s="68">
        <f>-IFERROR(VLOOKUP(C1178,IDC!$A$20:$H$1596,8,0),0)</f>
        <v>-22.44</v>
      </c>
      <c r="M1178" s="74">
        <f t="shared" si="23"/>
        <v>3740</v>
      </c>
    </row>
    <row r="1179" spans="1:13" customFormat="1">
      <c r="A1179" t="s">
        <v>151</v>
      </c>
      <c r="B1179" t="s">
        <v>11</v>
      </c>
      <c r="C1179" s="51">
        <v>139271724608</v>
      </c>
      <c r="D1179" s="1">
        <v>4676.6400000000003</v>
      </c>
      <c r="E1179" s="1">
        <v>16020379.890000001</v>
      </c>
      <c r="F1179" t="s">
        <v>1280</v>
      </c>
      <c r="I1179" s="16">
        <f>-IFERROR(VLOOKUP(C1179,SIRCUPA!$A$21:$H$186,8,0),0)</f>
        <v>0</v>
      </c>
      <c r="J1179" s="68">
        <f>-IFERROR(VLOOKUP(C1179,SIRTAC!$A$16:$H$1405,8,0),0)</f>
        <v>-48</v>
      </c>
      <c r="K1179" s="68">
        <f>-IFERROR(VLOOKUP(C1179,Gastos!$A$9:$J$1398,10,0),0)</f>
        <v>-46.56</v>
      </c>
      <c r="L1179" s="68">
        <f>-IFERROR(VLOOKUP(C1179,IDC!$A$20:$H$1596,8,0),0)</f>
        <v>-28.8</v>
      </c>
      <c r="M1179" s="74">
        <f t="shared" si="23"/>
        <v>4800.0000000000009</v>
      </c>
    </row>
    <row r="1180" spans="1:13" customFormat="1">
      <c r="A1180" t="s">
        <v>151</v>
      </c>
      <c r="B1180" t="s">
        <v>11</v>
      </c>
      <c r="C1180" s="51">
        <v>139272015484</v>
      </c>
      <c r="D1180" s="1">
        <v>18511.7</v>
      </c>
      <c r="E1180" s="1">
        <v>16039126.550000001</v>
      </c>
      <c r="F1180" t="s">
        <v>1280</v>
      </c>
      <c r="I1180" s="16">
        <f>-IFERROR(VLOOKUP(C1180,SIRCUPA!$A$21:$H$186,8,0),0)</f>
        <v>0</v>
      </c>
      <c r="J1180" s="68">
        <f>-IFERROR(VLOOKUP(C1180,SIRTAC!$A$16:$H$1405,8,0),0)</f>
        <v>-190</v>
      </c>
      <c r="K1180" s="68">
        <f>-IFERROR(VLOOKUP(C1180,Gastos!$A$9:$J$1398,10,0),0)</f>
        <v>-184.3</v>
      </c>
      <c r="L1180" s="68">
        <f>-IFERROR(VLOOKUP(C1180,IDC!$A$20:$H$1596,8,0),0)</f>
        <v>-114</v>
      </c>
      <c r="M1180" s="74">
        <f t="shared" si="23"/>
        <v>19000</v>
      </c>
    </row>
    <row r="1181" spans="1:13" customFormat="1">
      <c r="A1181" t="s">
        <v>151</v>
      </c>
      <c r="B1181" t="s">
        <v>11</v>
      </c>
      <c r="C1181" s="51">
        <v>139272408922</v>
      </c>
      <c r="D1181" s="1">
        <v>37510.550000000003</v>
      </c>
      <c r="E1181" s="1">
        <v>16076637.1</v>
      </c>
      <c r="F1181" t="s">
        <v>1280</v>
      </c>
      <c r="I1181" s="16">
        <f>-IFERROR(VLOOKUP(C1181,SIRCUPA!$A$21:$H$186,8,0),0)</f>
        <v>0</v>
      </c>
      <c r="J1181" s="68">
        <f>-IFERROR(VLOOKUP(C1181,SIRTAC!$A$16:$H$1405,8,0),0)</f>
        <v>-385</v>
      </c>
      <c r="K1181" s="68">
        <f>-IFERROR(VLOOKUP(C1181,Gastos!$A$9:$J$1398,10,0),0)</f>
        <v>-373.45</v>
      </c>
      <c r="L1181" s="68">
        <f>-IFERROR(VLOOKUP(C1181,IDC!$A$20:$H$1596,8,0),0)</f>
        <v>-231</v>
      </c>
      <c r="M1181" s="74">
        <f t="shared" si="23"/>
        <v>38500</v>
      </c>
    </row>
    <row r="1182" spans="1:13" customFormat="1">
      <c r="A1182" t="s">
        <v>151</v>
      </c>
      <c r="B1182" t="s">
        <v>11</v>
      </c>
      <c r="C1182" s="51">
        <v>139273670082</v>
      </c>
      <c r="D1182" s="1">
        <v>37032.239999999998</v>
      </c>
      <c r="E1182" s="1">
        <v>16113669.34</v>
      </c>
      <c r="F1182" t="s">
        <v>1280</v>
      </c>
      <c r="I1182" s="16">
        <f>-IFERROR(VLOOKUP(C1182,SIRCUPA!$A$21:$H$186,8,0),0)</f>
        <v>0</v>
      </c>
      <c r="J1182" s="68">
        <f>-IFERROR(VLOOKUP(C1182,SIRTAC!$A$16:$H$1405,8,0),0)</f>
        <v>-392</v>
      </c>
      <c r="K1182" s="68">
        <f>-IFERROR(VLOOKUP(C1182,Gastos!$A$9:$J$1398,10,0),0)</f>
        <v>-1540.56</v>
      </c>
      <c r="L1182" s="68">
        <f>-IFERROR(VLOOKUP(C1182,IDC!$A$20:$H$1596,8,0),0)</f>
        <v>-235.2</v>
      </c>
      <c r="M1182" s="74">
        <f t="shared" si="23"/>
        <v>39199.999999999993</v>
      </c>
    </row>
    <row r="1183" spans="1:13" customFormat="1">
      <c r="A1183" t="s">
        <v>151</v>
      </c>
      <c r="B1183" t="s">
        <v>11</v>
      </c>
      <c r="C1183" s="51">
        <v>138628677131</v>
      </c>
      <c r="D1183" s="1">
        <v>31836.39</v>
      </c>
      <c r="E1183" s="1">
        <v>16108473.49</v>
      </c>
      <c r="F1183" t="s">
        <v>1280</v>
      </c>
      <c r="I1183" s="16">
        <f>-IFERROR(VLOOKUP(C1183,SIRCUPA!$A$21:$H$186,8,0),0)</f>
        <v>0</v>
      </c>
      <c r="J1183" s="68">
        <f>-IFERROR(VLOOKUP(C1183,SIRTAC!$A$16:$H$1405,8,0),0)</f>
        <v>-337</v>
      </c>
      <c r="K1183" s="68">
        <f>-IFERROR(VLOOKUP(C1183,Gastos!$A$9:$J$1398,10,0),0)</f>
        <v>-1324.41</v>
      </c>
      <c r="L1183" s="68">
        <f>-IFERROR(VLOOKUP(C1183,IDC!$A$20:$H$1596,8,0),0)</f>
        <v>-202.2</v>
      </c>
      <c r="M1183" s="74">
        <f t="shared" si="23"/>
        <v>33700</v>
      </c>
    </row>
    <row r="1184" spans="1:13" customFormat="1">
      <c r="A1184" t="s">
        <v>151</v>
      </c>
      <c r="B1184" t="s">
        <v>11</v>
      </c>
      <c r="C1184" s="51">
        <v>139274280902</v>
      </c>
      <c r="D1184" s="1">
        <v>4871.5</v>
      </c>
      <c r="E1184" s="1">
        <v>16113344.99</v>
      </c>
      <c r="F1184" t="s">
        <v>1280</v>
      </c>
      <c r="I1184" s="16">
        <f>-IFERROR(VLOOKUP(C1184,SIRCUPA!$A$21:$H$186,8,0),0)</f>
        <v>0</v>
      </c>
      <c r="J1184" s="68">
        <f>-IFERROR(VLOOKUP(C1184,SIRTAC!$A$16:$H$1405,8,0),0)</f>
        <v>-50</v>
      </c>
      <c r="K1184" s="68">
        <f>-IFERROR(VLOOKUP(C1184,Gastos!$A$9:$J$1398,10,0),0)</f>
        <v>-48.5</v>
      </c>
      <c r="L1184" s="68">
        <f>-IFERROR(VLOOKUP(C1184,IDC!$A$20:$H$1596,8,0),0)</f>
        <v>-30</v>
      </c>
      <c r="M1184" s="74">
        <f t="shared" si="23"/>
        <v>5000</v>
      </c>
    </row>
    <row r="1185" spans="1:13" customFormat="1">
      <c r="A1185" t="s">
        <v>151</v>
      </c>
      <c r="B1185" t="s">
        <v>11</v>
      </c>
      <c r="C1185" s="51">
        <v>139275103290</v>
      </c>
      <c r="D1185" s="1">
        <v>4871.5</v>
      </c>
      <c r="E1185" s="1">
        <v>16118705.99</v>
      </c>
      <c r="F1185" t="s">
        <v>1280</v>
      </c>
      <c r="I1185" s="16">
        <f>-IFERROR(VLOOKUP(C1185,SIRCUPA!$A$21:$H$186,8,0),0)</f>
        <v>0</v>
      </c>
      <c r="J1185" s="68">
        <f>-IFERROR(VLOOKUP(C1185,SIRTAC!$A$16:$H$1405,8,0),0)</f>
        <v>-50</v>
      </c>
      <c r="K1185" s="68">
        <f>-IFERROR(VLOOKUP(C1185,Gastos!$A$9:$J$1398,10,0),0)</f>
        <v>-48.5</v>
      </c>
      <c r="L1185" s="68">
        <f>-IFERROR(VLOOKUP(C1185,IDC!$A$20:$H$1596,8,0),0)</f>
        <v>-30</v>
      </c>
      <c r="M1185" s="74">
        <f t="shared" si="23"/>
        <v>5000</v>
      </c>
    </row>
    <row r="1186" spans="1:13" customFormat="1">
      <c r="A1186" t="s">
        <v>151</v>
      </c>
      <c r="B1186" t="s">
        <v>11</v>
      </c>
      <c r="C1186" s="51">
        <v>139275323288</v>
      </c>
      <c r="D1186" s="1">
        <v>17050.25</v>
      </c>
      <c r="E1186" s="1">
        <v>16135756.24</v>
      </c>
      <c r="F1186" t="s">
        <v>1280</v>
      </c>
      <c r="I1186" s="16">
        <f>-IFERROR(VLOOKUP(C1186,SIRCUPA!$A$21:$H$186,8,0),0)</f>
        <v>0</v>
      </c>
      <c r="J1186" s="68">
        <f>-IFERROR(VLOOKUP(C1186,SIRTAC!$A$16:$H$1405,8,0),0)</f>
        <v>-175</v>
      </c>
      <c r="K1186" s="68">
        <f>-IFERROR(VLOOKUP(C1186,Gastos!$A$9:$J$1398,10,0),0)</f>
        <v>-169.75</v>
      </c>
      <c r="L1186" s="68">
        <f>-IFERROR(VLOOKUP(C1186,IDC!$A$20:$H$1596,8,0),0)</f>
        <v>-105</v>
      </c>
      <c r="M1186" s="74">
        <f t="shared" si="23"/>
        <v>17500</v>
      </c>
    </row>
    <row r="1187" spans="1:13" customFormat="1">
      <c r="A1187" t="s">
        <v>151</v>
      </c>
      <c r="B1187" t="s">
        <v>11</v>
      </c>
      <c r="C1187" s="51">
        <v>139276302934</v>
      </c>
      <c r="D1187" s="1">
        <v>21824.32</v>
      </c>
      <c r="E1187" s="1">
        <v>16157580.560000001</v>
      </c>
      <c r="F1187" t="s">
        <v>1280</v>
      </c>
      <c r="I1187" s="16">
        <f>-IFERROR(VLOOKUP(C1187,SIRCUPA!$A$21:$H$186,8,0),0)</f>
        <v>0</v>
      </c>
      <c r="J1187" s="68">
        <f>-IFERROR(VLOOKUP(C1187,SIRTAC!$A$16:$H$1405,8,0),0)</f>
        <v>-224</v>
      </c>
      <c r="K1187" s="68">
        <f>-IFERROR(VLOOKUP(C1187,Gastos!$A$9:$J$1398,10,0),0)</f>
        <v>-217.28</v>
      </c>
      <c r="L1187" s="68">
        <f>-IFERROR(VLOOKUP(C1187,IDC!$A$20:$H$1596,8,0),0)</f>
        <v>-134.4</v>
      </c>
      <c r="M1187" s="74">
        <f t="shared" si="23"/>
        <v>22400</v>
      </c>
    </row>
    <row r="1188" spans="1:13" customFormat="1">
      <c r="A1188" t="s">
        <v>151</v>
      </c>
      <c r="B1188" t="s">
        <v>11</v>
      </c>
      <c r="C1188" s="51">
        <v>138631353807</v>
      </c>
      <c r="D1188" s="1">
        <v>4599.1400000000003</v>
      </c>
      <c r="E1188" s="1">
        <v>16162179.699999999</v>
      </c>
      <c r="F1188" t="s">
        <v>1280</v>
      </c>
      <c r="I1188" s="16">
        <f>-IFERROR(VLOOKUP(C1188,SIRCUPA!$A$21:$H$186,8,0),0)</f>
        <v>0</v>
      </c>
      <c r="J1188" s="68">
        <f>-IFERROR(VLOOKUP(C1188,SIRTAC!$A$16:$H$1405,8,0),0)</f>
        <v>-49</v>
      </c>
      <c r="K1188" s="68">
        <f>-IFERROR(VLOOKUP(C1188,Gastos!$A$9:$J$1398,10,0),0)</f>
        <v>-222.46</v>
      </c>
      <c r="L1188" s="68">
        <f>-IFERROR(VLOOKUP(C1188,IDC!$A$20:$H$1596,8,0),0)</f>
        <v>-29.4</v>
      </c>
      <c r="M1188" s="74">
        <f t="shared" si="23"/>
        <v>4900</v>
      </c>
    </row>
    <row r="1189" spans="1:13" customFormat="1">
      <c r="A1189" t="s">
        <v>151</v>
      </c>
      <c r="B1189" t="s">
        <v>11</v>
      </c>
      <c r="C1189" s="51">
        <v>138633140959</v>
      </c>
      <c r="D1189" s="1">
        <v>11802.7</v>
      </c>
      <c r="E1189" s="1">
        <v>16173982.4</v>
      </c>
      <c r="F1189" t="s">
        <v>1280</v>
      </c>
      <c r="I1189" s="16">
        <f>-IFERROR(VLOOKUP(C1189,SIRCUPA!$A$21:$H$186,8,0),0)</f>
        <v>0</v>
      </c>
      <c r="J1189" s="68">
        <f>-IFERROR(VLOOKUP(C1189,SIRTAC!$A$16:$H$1405,8,0),0)</f>
        <v>-130</v>
      </c>
      <c r="K1189" s="68">
        <f>-IFERROR(VLOOKUP(C1189,Gastos!$A$9:$J$1398,10,0),0)</f>
        <v>-989.3</v>
      </c>
      <c r="L1189" s="68">
        <f>-IFERROR(VLOOKUP(C1189,IDC!$A$20:$H$1596,8,0),0)</f>
        <v>-78</v>
      </c>
      <c r="M1189" s="74">
        <f t="shared" si="23"/>
        <v>13000</v>
      </c>
    </row>
    <row r="1190" spans="1:13" customFormat="1">
      <c r="A1190" t="s">
        <v>151</v>
      </c>
      <c r="B1190" t="s">
        <v>11</v>
      </c>
      <c r="C1190" s="51">
        <v>138633302091</v>
      </c>
      <c r="D1190" s="1">
        <v>4676.6400000000003</v>
      </c>
      <c r="E1190" s="1">
        <v>16178659.039999999</v>
      </c>
      <c r="F1190" t="s">
        <v>1280</v>
      </c>
      <c r="I1190" s="16">
        <f>-IFERROR(VLOOKUP(C1190,SIRCUPA!$A$21:$H$186,8,0),0)</f>
        <v>0</v>
      </c>
      <c r="J1190" s="68">
        <f>-IFERROR(VLOOKUP(C1190,SIRTAC!$A$16:$H$1405,8,0),0)</f>
        <v>-48</v>
      </c>
      <c r="K1190" s="68">
        <f>-IFERROR(VLOOKUP(C1190,Gastos!$A$9:$J$1398,10,0),0)</f>
        <v>-46.56</v>
      </c>
      <c r="L1190" s="68">
        <f>-IFERROR(VLOOKUP(C1190,IDC!$A$20:$H$1596,8,0),0)</f>
        <v>-28.8</v>
      </c>
      <c r="M1190" s="74">
        <f t="shared" si="23"/>
        <v>4800.0000000000009</v>
      </c>
    </row>
    <row r="1191" spans="1:13" customFormat="1">
      <c r="A1191" t="s">
        <v>151</v>
      </c>
      <c r="B1191" t="s">
        <v>11</v>
      </c>
      <c r="C1191" s="51">
        <v>138633435065</v>
      </c>
      <c r="D1191" s="1">
        <v>9548.14</v>
      </c>
      <c r="E1191" s="1">
        <v>16188207.18</v>
      </c>
      <c r="F1191" t="s">
        <v>1280</v>
      </c>
      <c r="I1191" s="16">
        <f>-IFERROR(VLOOKUP(C1191,SIRCUPA!$A$21:$H$186,8,0),0)</f>
        <v>0</v>
      </c>
      <c r="J1191" s="68">
        <f>-IFERROR(VLOOKUP(C1191,SIRTAC!$A$16:$H$1405,8,0),0)</f>
        <v>-98</v>
      </c>
      <c r="K1191" s="68">
        <f>-IFERROR(VLOOKUP(C1191,Gastos!$A$9:$J$1398,10,0),0)</f>
        <v>-95.06</v>
      </c>
      <c r="L1191" s="68">
        <f>-IFERROR(VLOOKUP(C1191,IDC!$A$20:$H$1596,8,0),0)</f>
        <v>-58.8</v>
      </c>
      <c r="M1191" s="74">
        <f t="shared" si="23"/>
        <v>9799.9999999999982</v>
      </c>
    </row>
    <row r="1192" spans="1:13" customFormat="1">
      <c r="A1192" t="s">
        <v>151</v>
      </c>
      <c r="B1192" t="s">
        <v>11</v>
      </c>
      <c r="C1192" s="51">
        <v>138633489427</v>
      </c>
      <c r="D1192" s="1">
        <v>4871.5</v>
      </c>
      <c r="E1192" s="1">
        <v>16193558.390000001</v>
      </c>
      <c r="F1192" t="s">
        <v>1280</v>
      </c>
      <c r="I1192" s="16">
        <f>-IFERROR(VLOOKUP(C1192,SIRCUPA!$A$21:$H$186,8,0),0)</f>
        <v>0</v>
      </c>
      <c r="J1192" s="68">
        <f>-IFERROR(VLOOKUP(C1192,SIRTAC!$A$16:$H$1405,8,0),0)</f>
        <v>-50</v>
      </c>
      <c r="K1192" s="68">
        <f>-IFERROR(VLOOKUP(C1192,Gastos!$A$9:$J$1398,10,0),0)</f>
        <v>-48.5</v>
      </c>
      <c r="L1192" s="68">
        <f>-IFERROR(VLOOKUP(C1192,IDC!$A$20:$H$1596,8,0),0)</f>
        <v>-30</v>
      </c>
      <c r="M1192" s="74">
        <f t="shared" ref="M1192:M1255" si="24">+D1192-I1192-J1192-K1192-L1192</f>
        <v>5000</v>
      </c>
    </row>
    <row r="1193" spans="1:13" customFormat="1">
      <c r="A1193" t="s">
        <v>151</v>
      </c>
      <c r="B1193" t="s">
        <v>11</v>
      </c>
      <c r="C1193" s="51">
        <v>138633605923</v>
      </c>
      <c r="D1193" s="1">
        <v>82472.31</v>
      </c>
      <c r="E1193" s="1">
        <v>16276030.699999999</v>
      </c>
      <c r="F1193" t="s">
        <v>1280</v>
      </c>
      <c r="I1193" s="16">
        <f>-IFERROR(VLOOKUP(C1193,SIRCUPA!$A$21:$H$186,8,0),0)</f>
        <v>0</v>
      </c>
      <c r="J1193" s="68">
        <f>-IFERROR(VLOOKUP(C1193,SIRTAC!$A$16:$H$1405,8,0),0)</f>
        <v>-873</v>
      </c>
      <c r="K1193" s="68">
        <f>-IFERROR(VLOOKUP(C1193,Gastos!$A$9:$J$1398,10,0),0)</f>
        <v>-3430.89</v>
      </c>
      <c r="L1193" s="68">
        <f>-IFERROR(VLOOKUP(C1193,IDC!$A$20:$H$1596,8,0),0)</f>
        <v>-523.79999999999995</v>
      </c>
      <c r="M1193" s="74">
        <f t="shared" si="24"/>
        <v>87300</v>
      </c>
    </row>
    <row r="1194" spans="1:13" customFormat="1">
      <c r="A1194" t="s">
        <v>151</v>
      </c>
      <c r="B1194" t="s">
        <v>11</v>
      </c>
      <c r="C1194" s="51">
        <v>139279213150</v>
      </c>
      <c r="D1194" s="1">
        <v>9743</v>
      </c>
      <c r="E1194" s="1">
        <v>16285773.699999999</v>
      </c>
      <c r="F1194" t="s">
        <v>1280</v>
      </c>
      <c r="I1194" s="16">
        <f>-IFERROR(VLOOKUP(C1194,SIRCUPA!$A$21:$H$186,8,0),0)</f>
        <v>0</v>
      </c>
      <c r="J1194" s="68">
        <f>-IFERROR(VLOOKUP(C1194,SIRTAC!$A$16:$H$1405,8,0),0)</f>
        <v>-100</v>
      </c>
      <c r="K1194" s="68">
        <f>-IFERROR(VLOOKUP(C1194,Gastos!$A$9:$J$1398,10,0),0)</f>
        <v>-97</v>
      </c>
      <c r="L1194" s="68">
        <f>-IFERROR(VLOOKUP(C1194,IDC!$A$20:$H$1596,8,0),0)</f>
        <v>-60</v>
      </c>
      <c r="M1194" s="74">
        <f t="shared" si="24"/>
        <v>10000</v>
      </c>
    </row>
    <row r="1195" spans="1:13" customFormat="1">
      <c r="A1195" t="s">
        <v>149</v>
      </c>
      <c r="B1195" t="s">
        <v>150</v>
      </c>
      <c r="C1195" s="51">
        <v>138323774237</v>
      </c>
      <c r="D1195" s="1">
        <v>6691.46</v>
      </c>
      <c r="E1195" s="1">
        <v>17071386.629999999</v>
      </c>
      <c r="F1195" t="s">
        <v>1280</v>
      </c>
      <c r="I1195" s="16">
        <f>-IFERROR(VLOOKUP(C1195,SIRCUPA!$A$21:$H$186,8,0),0)</f>
        <v>-102.53</v>
      </c>
      <c r="J1195" s="68">
        <f>-IFERROR(VLOOKUP(C1195,SIRTAC!$A$16:$H$1405,8,0),0)</f>
        <v>0</v>
      </c>
      <c r="K1195" s="68">
        <f>-IFERROR(VLOOKUP(C1195,Gastos!$A$9:$J$1398,10,0),0)</f>
        <v>0</v>
      </c>
      <c r="L1195" s="68">
        <f>-IFERROR(VLOOKUP(C1195,IDC!$A$20:$H$1596,8,0),0)</f>
        <v>-41.01</v>
      </c>
      <c r="M1195" s="74">
        <f t="shared" si="24"/>
        <v>6835</v>
      </c>
    </row>
    <row r="1196" spans="1:13" customFormat="1">
      <c r="A1196" t="s">
        <v>151</v>
      </c>
      <c r="B1196" t="s">
        <v>11</v>
      </c>
      <c r="C1196" s="51">
        <v>138634295411</v>
      </c>
      <c r="D1196" s="1">
        <v>2435.75</v>
      </c>
      <c r="E1196" s="1">
        <v>16288209.449999999</v>
      </c>
      <c r="F1196" t="s">
        <v>1280</v>
      </c>
      <c r="I1196" s="16">
        <f>-IFERROR(VLOOKUP(C1196,SIRCUPA!$A$21:$H$186,8,0),0)</f>
        <v>0</v>
      </c>
      <c r="J1196" s="68">
        <f>-IFERROR(VLOOKUP(C1196,SIRTAC!$A$16:$H$1405,8,0),0)</f>
        <v>-25</v>
      </c>
      <c r="K1196" s="68">
        <f>-IFERROR(VLOOKUP(C1196,Gastos!$A$9:$J$1398,10,0),0)</f>
        <v>-24.25</v>
      </c>
      <c r="L1196" s="68">
        <f>-IFERROR(VLOOKUP(C1196,IDC!$A$20:$H$1596,8,0),0)</f>
        <v>-15</v>
      </c>
      <c r="M1196" s="74">
        <f t="shared" si="24"/>
        <v>2500</v>
      </c>
    </row>
    <row r="1197" spans="1:13" customFormat="1">
      <c r="A1197" t="s">
        <v>151</v>
      </c>
      <c r="B1197" t="s">
        <v>11</v>
      </c>
      <c r="C1197" s="51">
        <v>138635021889</v>
      </c>
      <c r="D1197" s="1">
        <v>34879.94</v>
      </c>
      <c r="E1197" s="1">
        <v>16323089.390000001</v>
      </c>
      <c r="F1197" t="s">
        <v>1280</v>
      </c>
      <c r="I1197" s="16">
        <f>-IFERROR(VLOOKUP(C1197,SIRCUPA!$A$21:$H$186,8,0),0)</f>
        <v>0</v>
      </c>
      <c r="J1197" s="68">
        <f>-IFERROR(VLOOKUP(C1197,SIRTAC!$A$16:$H$1405,8,0),0)</f>
        <v>-358</v>
      </c>
      <c r="K1197" s="68">
        <f>-IFERROR(VLOOKUP(C1197,Gastos!$A$9:$J$1398,10,0),0)</f>
        <v>-347.26</v>
      </c>
      <c r="L1197" s="68">
        <f>-IFERROR(VLOOKUP(C1197,IDC!$A$20:$H$1596,8,0),0)</f>
        <v>-214.8</v>
      </c>
      <c r="M1197" s="74">
        <f t="shared" si="24"/>
        <v>35800.000000000007</v>
      </c>
    </row>
    <row r="1198" spans="1:13" customFormat="1">
      <c r="A1198" t="s">
        <v>151</v>
      </c>
      <c r="B1198" t="s">
        <v>11</v>
      </c>
      <c r="C1198" s="51">
        <v>139280438028</v>
      </c>
      <c r="D1198" s="1">
        <v>44135.79</v>
      </c>
      <c r="E1198" s="1">
        <v>16368977.59</v>
      </c>
      <c r="F1198" t="s">
        <v>1280</v>
      </c>
      <c r="I1198" s="16">
        <f>-IFERROR(VLOOKUP(C1198,SIRCUPA!$A$21:$H$186,8,0),0)</f>
        <v>0</v>
      </c>
      <c r="J1198" s="68">
        <f>-IFERROR(VLOOKUP(C1198,SIRTAC!$A$16:$H$1405,8,0),0)</f>
        <v>-453</v>
      </c>
      <c r="K1198" s="68">
        <f>-IFERROR(VLOOKUP(C1198,Gastos!$A$9:$J$1398,10,0),0)</f>
        <v>-439.41</v>
      </c>
      <c r="L1198" s="68">
        <f>-IFERROR(VLOOKUP(C1198,IDC!$A$20:$H$1596,8,0),0)</f>
        <v>-271.8</v>
      </c>
      <c r="M1198" s="74">
        <f t="shared" si="24"/>
        <v>45300.000000000007</v>
      </c>
    </row>
    <row r="1199" spans="1:13" customFormat="1">
      <c r="A1199" t="s">
        <v>151</v>
      </c>
      <c r="B1199" t="s">
        <v>11</v>
      </c>
      <c r="C1199" s="51">
        <v>139280754312</v>
      </c>
      <c r="D1199" s="1">
        <v>13347.91</v>
      </c>
      <c r="E1199" s="1">
        <v>16382325.5</v>
      </c>
      <c r="F1199" t="s">
        <v>1280</v>
      </c>
      <c r="I1199" s="16">
        <f>-IFERROR(VLOOKUP(C1199,SIRCUPA!$A$21:$H$186,8,0),0)</f>
        <v>0</v>
      </c>
      <c r="J1199" s="68">
        <f>-IFERROR(VLOOKUP(C1199,SIRTAC!$A$16:$H$1405,8,0),0)</f>
        <v>-137</v>
      </c>
      <c r="K1199" s="68">
        <f>-IFERROR(VLOOKUP(C1199,Gastos!$A$9:$J$1398,10,0),0)</f>
        <v>-132.88999999999999</v>
      </c>
      <c r="L1199" s="68">
        <f>-IFERROR(VLOOKUP(C1199,IDC!$A$20:$H$1596,8,0),0)</f>
        <v>-82.2</v>
      </c>
      <c r="M1199" s="74">
        <f t="shared" si="24"/>
        <v>13700</v>
      </c>
    </row>
    <row r="1200" spans="1:13" customFormat="1">
      <c r="A1200" t="s">
        <v>151</v>
      </c>
      <c r="B1200" t="s">
        <v>11</v>
      </c>
      <c r="C1200" s="51">
        <v>139281632816</v>
      </c>
      <c r="D1200" s="1">
        <v>2252.64</v>
      </c>
      <c r="E1200" s="1">
        <v>16384578.140000001</v>
      </c>
      <c r="F1200" t="s">
        <v>1280</v>
      </c>
      <c r="I1200" s="16">
        <f>-IFERROR(VLOOKUP(C1200,SIRCUPA!$A$21:$H$186,8,0),0)</f>
        <v>0</v>
      </c>
      <c r="J1200" s="68">
        <f>-IFERROR(VLOOKUP(C1200,SIRTAC!$A$16:$H$1405,8,0),0)</f>
        <v>-24</v>
      </c>
      <c r="K1200" s="68">
        <f>-IFERROR(VLOOKUP(C1200,Gastos!$A$9:$J$1398,10,0),0)</f>
        <v>-108.96</v>
      </c>
      <c r="L1200" s="68">
        <f>-IFERROR(VLOOKUP(C1200,IDC!$A$20:$H$1596,8,0),0)</f>
        <v>-14.4</v>
      </c>
      <c r="M1200" s="74">
        <f t="shared" si="24"/>
        <v>2400</v>
      </c>
    </row>
    <row r="1201" spans="1:13" customFormat="1">
      <c r="A1201" t="s">
        <v>151</v>
      </c>
      <c r="B1201" t="s">
        <v>11</v>
      </c>
      <c r="C1201" s="51">
        <v>138636328031</v>
      </c>
      <c r="D1201" s="1">
        <v>9855.2999999999993</v>
      </c>
      <c r="E1201" s="1">
        <v>16394433.439999999</v>
      </c>
      <c r="F1201" t="s">
        <v>1280</v>
      </c>
      <c r="I1201" s="16">
        <f>-IFERROR(VLOOKUP(C1201,SIRCUPA!$A$21:$H$186,8,0),0)</f>
        <v>0</v>
      </c>
      <c r="J1201" s="68">
        <f>-IFERROR(VLOOKUP(C1201,SIRTAC!$A$16:$H$1405,8,0),0)</f>
        <v>-105</v>
      </c>
      <c r="K1201" s="68">
        <f>-IFERROR(VLOOKUP(C1201,Gastos!$A$9:$J$1398,10,0),0)</f>
        <v>-476.7</v>
      </c>
      <c r="L1201" s="68">
        <f>-IFERROR(VLOOKUP(C1201,IDC!$A$20:$H$1596,8,0),0)</f>
        <v>-63</v>
      </c>
      <c r="M1201" s="74">
        <f t="shared" si="24"/>
        <v>10500</v>
      </c>
    </row>
    <row r="1202" spans="1:13" customFormat="1">
      <c r="A1202" t="s">
        <v>151</v>
      </c>
      <c r="B1202" t="s">
        <v>11</v>
      </c>
      <c r="C1202" s="51">
        <v>139281926234</v>
      </c>
      <c r="D1202" s="1">
        <v>2435.75</v>
      </c>
      <c r="E1202" s="1">
        <v>16396869.189999999</v>
      </c>
      <c r="F1202" t="s">
        <v>1280</v>
      </c>
      <c r="I1202" s="16">
        <f>-IFERROR(VLOOKUP(C1202,SIRCUPA!$A$21:$H$186,8,0),0)</f>
        <v>0</v>
      </c>
      <c r="J1202" s="68">
        <f>-IFERROR(VLOOKUP(C1202,SIRTAC!$A$16:$H$1405,8,0),0)</f>
        <v>-25</v>
      </c>
      <c r="K1202" s="68">
        <f>-IFERROR(VLOOKUP(C1202,Gastos!$A$9:$J$1398,10,0),0)</f>
        <v>-24.25</v>
      </c>
      <c r="L1202" s="68">
        <f>-IFERROR(VLOOKUP(C1202,IDC!$A$20:$H$1596,8,0),0)</f>
        <v>-15</v>
      </c>
      <c r="M1202" s="74">
        <f t="shared" si="24"/>
        <v>2500</v>
      </c>
    </row>
    <row r="1203" spans="1:13" customFormat="1">
      <c r="A1203" t="s">
        <v>151</v>
      </c>
      <c r="B1203" t="s">
        <v>11</v>
      </c>
      <c r="C1203" s="51">
        <v>139281911322</v>
      </c>
      <c r="D1203" s="1">
        <v>30982.74</v>
      </c>
      <c r="E1203" s="1">
        <v>16427851.93</v>
      </c>
      <c r="F1203" t="s">
        <v>1280</v>
      </c>
      <c r="I1203" s="16">
        <f>-IFERROR(VLOOKUP(C1203,SIRCUPA!$A$21:$H$186,8,0),0)</f>
        <v>0</v>
      </c>
      <c r="J1203" s="68">
        <f>-IFERROR(VLOOKUP(C1203,SIRTAC!$A$16:$H$1405,8,0),0)</f>
        <v>-318</v>
      </c>
      <c r="K1203" s="68">
        <f>-IFERROR(VLOOKUP(C1203,Gastos!$A$9:$J$1398,10,0),0)</f>
        <v>-308.45999999999998</v>
      </c>
      <c r="L1203" s="68">
        <f>-IFERROR(VLOOKUP(C1203,IDC!$A$20:$H$1596,8,0),0)</f>
        <v>-190.8</v>
      </c>
      <c r="M1203" s="74">
        <f t="shared" si="24"/>
        <v>31800</v>
      </c>
    </row>
    <row r="1204" spans="1:13" customFormat="1">
      <c r="A1204" t="s">
        <v>151</v>
      </c>
      <c r="B1204" t="s">
        <v>11</v>
      </c>
      <c r="C1204" s="51">
        <v>138636840479</v>
      </c>
      <c r="D1204" s="1">
        <v>92769.54</v>
      </c>
      <c r="E1204" s="1">
        <v>16523734.689999999</v>
      </c>
      <c r="F1204" t="s">
        <v>1280</v>
      </c>
      <c r="I1204" s="16">
        <f>-IFERROR(VLOOKUP(C1204,SIRCUPA!$A$21:$H$186,8,0),0)</f>
        <v>0</v>
      </c>
      <c r="J1204" s="68">
        <f>-IFERROR(VLOOKUP(C1204,SIRTAC!$A$16:$H$1405,8,0),0)</f>
        <v>-982</v>
      </c>
      <c r="K1204" s="68">
        <f>-IFERROR(VLOOKUP(C1204,Gastos!$A$9:$J$1398,10,0),0)</f>
        <v>-3859.26</v>
      </c>
      <c r="L1204" s="68">
        <f>-IFERROR(VLOOKUP(C1204,IDC!$A$20:$H$1596,8,0),0)</f>
        <v>-589.20000000000005</v>
      </c>
      <c r="M1204" s="74">
        <f t="shared" si="24"/>
        <v>98199.999999999985</v>
      </c>
    </row>
    <row r="1205" spans="1:13" customFormat="1">
      <c r="A1205" t="s">
        <v>151</v>
      </c>
      <c r="B1205" t="s">
        <v>11</v>
      </c>
      <c r="C1205" s="51">
        <v>138637654465</v>
      </c>
      <c r="D1205" s="1">
        <v>29423.86</v>
      </c>
      <c r="E1205" s="1">
        <v>16553158.550000001</v>
      </c>
      <c r="F1205" t="s">
        <v>1280</v>
      </c>
      <c r="I1205" s="16">
        <f>-IFERROR(VLOOKUP(C1205,SIRCUPA!$A$21:$H$186,8,0),0)</f>
        <v>0</v>
      </c>
      <c r="J1205" s="68">
        <f>-IFERROR(VLOOKUP(C1205,SIRTAC!$A$16:$H$1405,8,0),0)</f>
        <v>-302</v>
      </c>
      <c r="K1205" s="68">
        <f>-IFERROR(VLOOKUP(C1205,Gastos!$A$9:$J$1398,10,0),0)</f>
        <v>-292.94</v>
      </c>
      <c r="L1205" s="68">
        <f>-IFERROR(VLOOKUP(C1205,IDC!$A$20:$H$1596,8,0),0)</f>
        <v>-181.2</v>
      </c>
      <c r="M1205" s="74">
        <f t="shared" si="24"/>
        <v>30200</v>
      </c>
    </row>
    <row r="1206" spans="1:13" customFormat="1">
      <c r="A1206" t="s">
        <v>151</v>
      </c>
      <c r="B1206" t="s">
        <v>11</v>
      </c>
      <c r="C1206" s="51">
        <v>138637623891</v>
      </c>
      <c r="D1206" s="1">
        <v>4723.5</v>
      </c>
      <c r="E1206" s="1">
        <v>16557882.050000001</v>
      </c>
      <c r="F1206" t="s">
        <v>1280</v>
      </c>
      <c r="I1206" s="16">
        <f>-IFERROR(VLOOKUP(C1206,SIRCUPA!$A$21:$H$186,8,0),0)</f>
        <v>0</v>
      </c>
      <c r="J1206" s="68">
        <f>-IFERROR(VLOOKUP(C1206,SIRTAC!$A$16:$H$1405,8,0),0)</f>
        <v>-50</v>
      </c>
      <c r="K1206" s="68">
        <f>-IFERROR(VLOOKUP(C1206,Gastos!$A$9:$J$1398,10,0),0)</f>
        <v>-196.5</v>
      </c>
      <c r="L1206" s="68">
        <f>-IFERROR(VLOOKUP(C1206,IDC!$A$20:$H$1596,8,0),0)</f>
        <v>-30</v>
      </c>
      <c r="M1206" s="74">
        <f t="shared" si="24"/>
        <v>5000</v>
      </c>
    </row>
    <row r="1207" spans="1:13" customFormat="1">
      <c r="A1207" t="s">
        <v>158</v>
      </c>
      <c r="B1207" t="s">
        <v>11</v>
      </c>
      <c r="C1207" s="51">
        <v>139283314144</v>
      </c>
      <c r="D1207" s="1">
        <v>82718.070000000007</v>
      </c>
      <c r="E1207" s="1">
        <v>16640600.119999999</v>
      </c>
      <c r="F1207" t="s">
        <v>1280</v>
      </c>
      <c r="I1207" s="16">
        <f>-IFERROR(VLOOKUP(C1207,SIRCUPA!$A$21:$H$186,8,0),0)</f>
        <v>0</v>
      </c>
      <c r="J1207" s="68">
        <f>-IFERROR(VLOOKUP(C1207,SIRTAC!$A$16:$H$1405,8,0),0)</f>
        <v>-849</v>
      </c>
      <c r="K1207" s="68">
        <f>-IFERROR(VLOOKUP(C1207,Gastos!$A$9:$J$1398,10,0),0)</f>
        <v>-823.53</v>
      </c>
      <c r="L1207" s="68">
        <f>-IFERROR(VLOOKUP(C1207,IDC!$A$20:$H$1596,8,0),0)</f>
        <v>-509.4</v>
      </c>
      <c r="M1207" s="74">
        <f t="shared" si="24"/>
        <v>84900</v>
      </c>
    </row>
    <row r="1208" spans="1:13" customFormat="1">
      <c r="A1208" t="s">
        <v>158</v>
      </c>
      <c r="B1208" t="s">
        <v>11</v>
      </c>
      <c r="C1208" s="51">
        <v>138638180357</v>
      </c>
      <c r="D1208" s="1">
        <v>17683.54</v>
      </c>
      <c r="E1208" s="1">
        <v>16662439.51</v>
      </c>
      <c r="F1208" t="s">
        <v>1280</v>
      </c>
      <c r="I1208" s="16">
        <f>-IFERROR(VLOOKUP(C1208,SIRCUPA!$A$21:$H$186,8,0),0)</f>
        <v>0</v>
      </c>
      <c r="J1208" s="68">
        <f>-IFERROR(VLOOKUP(C1208,SIRTAC!$A$16:$H$1405,8,0),0)</f>
        <v>-181.5</v>
      </c>
      <c r="K1208" s="68">
        <f>-IFERROR(VLOOKUP(C1208,Gastos!$A$9:$J$1398,10,0),0)</f>
        <v>-176.06</v>
      </c>
      <c r="L1208" s="68">
        <f>-IFERROR(VLOOKUP(C1208,IDC!$A$20:$H$1596,8,0),0)</f>
        <v>-108.9</v>
      </c>
      <c r="M1208" s="74">
        <f t="shared" si="24"/>
        <v>18150.000000000004</v>
      </c>
    </row>
    <row r="1209" spans="1:13" customFormat="1">
      <c r="A1209" t="s">
        <v>158</v>
      </c>
      <c r="B1209" t="s">
        <v>11</v>
      </c>
      <c r="C1209" s="51">
        <v>139283485552</v>
      </c>
      <c r="D1209" s="1">
        <v>4539.5</v>
      </c>
      <c r="E1209" s="1">
        <v>16668755.890000001</v>
      </c>
      <c r="F1209" t="s">
        <v>1280</v>
      </c>
      <c r="I1209" s="16">
        <f>-IFERROR(VLOOKUP(C1209,SIRCUPA!$A$21:$H$186,8,0),0)</f>
        <v>0</v>
      </c>
      <c r="J1209" s="68">
        <f>-IFERROR(VLOOKUP(C1209,SIRTAC!$A$16:$H$1405,8,0),0)</f>
        <v>-50</v>
      </c>
      <c r="K1209" s="68">
        <f>-IFERROR(VLOOKUP(C1209,Gastos!$A$9:$J$1398,10,0),0)</f>
        <v>-380.5</v>
      </c>
      <c r="L1209" s="68">
        <f>-IFERROR(VLOOKUP(C1209,IDC!$A$20:$H$1596,8,0),0)</f>
        <v>-30</v>
      </c>
      <c r="M1209" s="74">
        <f t="shared" si="24"/>
        <v>5000</v>
      </c>
    </row>
    <row r="1210" spans="1:13" customFormat="1">
      <c r="A1210" t="s">
        <v>158</v>
      </c>
      <c r="B1210" t="s">
        <v>11</v>
      </c>
      <c r="C1210" s="51">
        <v>139283523776</v>
      </c>
      <c r="D1210" s="1">
        <v>25624.09</v>
      </c>
      <c r="E1210" s="1">
        <v>16694379.98</v>
      </c>
      <c r="F1210" t="s">
        <v>1280</v>
      </c>
      <c r="I1210" s="16">
        <f>-IFERROR(VLOOKUP(C1210,SIRCUPA!$A$21:$H$186,8,0),0)</f>
        <v>0</v>
      </c>
      <c r="J1210" s="68">
        <f>-IFERROR(VLOOKUP(C1210,SIRTAC!$A$16:$H$1405,8,0),0)</f>
        <v>-263</v>
      </c>
      <c r="K1210" s="68">
        <f>-IFERROR(VLOOKUP(C1210,Gastos!$A$9:$J$1398,10,0),0)</f>
        <v>-255.11</v>
      </c>
      <c r="L1210" s="68">
        <f>-IFERROR(VLOOKUP(C1210,IDC!$A$20:$H$1596,8,0),0)</f>
        <v>-157.80000000000001</v>
      </c>
      <c r="M1210" s="74">
        <f t="shared" si="24"/>
        <v>26300</v>
      </c>
    </row>
    <row r="1211" spans="1:13" customFormat="1">
      <c r="A1211" t="s">
        <v>158</v>
      </c>
      <c r="B1211" t="s">
        <v>11</v>
      </c>
      <c r="C1211" s="51">
        <v>138638356415</v>
      </c>
      <c r="D1211" s="1">
        <v>47029.22</v>
      </c>
      <c r="E1211" s="1">
        <v>16742696.58</v>
      </c>
      <c r="F1211" t="s">
        <v>1280</v>
      </c>
      <c r="I1211" s="16">
        <f>-IFERROR(VLOOKUP(C1211,SIRCUPA!$A$21:$H$186,8,0),0)</f>
        <v>0</v>
      </c>
      <c r="J1211" s="68">
        <f>-IFERROR(VLOOKUP(C1211,SIRTAC!$A$16:$H$1405,8,0),0)</f>
        <v>-518</v>
      </c>
      <c r="K1211" s="68">
        <f>-IFERROR(VLOOKUP(C1211,Gastos!$A$9:$J$1398,10,0),0)</f>
        <v>-3941.98</v>
      </c>
      <c r="L1211" s="68">
        <f>-IFERROR(VLOOKUP(C1211,IDC!$A$20:$H$1596,8,0),0)</f>
        <v>-310.8</v>
      </c>
      <c r="M1211" s="74">
        <f t="shared" si="24"/>
        <v>51800.000000000007</v>
      </c>
    </row>
    <row r="1212" spans="1:13" customFormat="1">
      <c r="A1212" t="s">
        <v>158</v>
      </c>
      <c r="B1212" t="s">
        <v>11</v>
      </c>
      <c r="C1212" s="51">
        <v>139283726956</v>
      </c>
      <c r="D1212" s="1">
        <v>4774.07</v>
      </c>
      <c r="E1212" s="1">
        <v>16747470.65</v>
      </c>
      <c r="F1212" t="s">
        <v>1280</v>
      </c>
      <c r="I1212" s="16">
        <f>-IFERROR(VLOOKUP(C1212,SIRCUPA!$A$21:$H$186,8,0),0)</f>
        <v>0</v>
      </c>
      <c r="J1212" s="68">
        <f>-IFERROR(VLOOKUP(C1212,SIRTAC!$A$16:$H$1405,8,0),0)</f>
        <v>-49</v>
      </c>
      <c r="K1212" s="68">
        <f>-IFERROR(VLOOKUP(C1212,Gastos!$A$9:$J$1398,10,0),0)</f>
        <v>-47.53</v>
      </c>
      <c r="L1212" s="68">
        <f>-IFERROR(VLOOKUP(C1212,IDC!$A$20:$H$1596,8,0),0)</f>
        <v>-29.4</v>
      </c>
      <c r="M1212" s="74">
        <f t="shared" si="24"/>
        <v>4899.9999999999991</v>
      </c>
    </row>
    <row r="1213" spans="1:13" customFormat="1">
      <c r="A1213" t="s">
        <v>158</v>
      </c>
      <c r="B1213" t="s">
        <v>11</v>
      </c>
      <c r="C1213" s="51">
        <v>138638643557</v>
      </c>
      <c r="D1213" s="1">
        <v>4871.5</v>
      </c>
      <c r="E1213" s="1">
        <v>16752342.15</v>
      </c>
      <c r="F1213" t="s">
        <v>1280</v>
      </c>
      <c r="I1213" s="16">
        <f>-IFERROR(VLOOKUP(C1213,SIRCUPA!$A$21:$H$186,8,0),0)</f>
        <v>0</v>
      </c>
      <c r="J1213" s="68">
        <f>-IFERROR(VLOOKUP(C1213,SIRTAC!$A$16:$H$1405,8,0),0)</f>
        <v>-50</v>
      </c>
      <c r="K1213" s="68">
        <f>-IFERROR(VLOOKUP(C1213,Gastos!$A$9:$J$1398,10,0),0)</f>
        <v>-48.5</v>
      </c>
      <c r="L1213" s="68">
        <f>-IFERROR(VLOOKUP(C1213,IDC!$A$20:$H$1596,8,0),0)</f>
        <v>-30</v>
      </c>
      <c r="M1213" s="74">
        <f t="shared" si="24"/>
        <v>5000</v>
      </c>
    </row>
    <row r="1214" spans="1:13" customFormat="1">
      <c r="A1214" t="s">
        <v>158</v>
      </c>
      <c r="B1214" t="s">
        <v>11</v>
      </c>
      <c r="C1214" s="51">
        <v>139284640396</v>
      </c>
      <c r="D1214" s="1">
        <v>43942.36</v>
      </c>
      <c r="E1214" s="1">
        <v>16796284.510000002</v>
      </c>
      <c r="F1214" t="s">
        <v>1280</v>
      </c>
      <c r="I1214" s="16">
        <f>-IFERROR(VLOOKUP(C1214,SIRCUPA!$A$21:$H$186,8,0),0)</f>
        <v>0</v>
      </c>
      <c r="J1214" s="68">
        <f>-IFERROR(VLOOKUP(C1214,SIRTAC!$A$16:$H$1405,8,0),0)</f>
        <v>-484</v>
      </c>
      <c r="K1214" s="68">
        <f>-IFERROR(VLOOKUP(C1214,Gastos!$A$9:$J$1398,10,0),0)</f>
        <v>-3683.24</v>
      </c>
      <c r="L1214" s="68">
        <f>-IFERROR(VLOOKUP(C1214,IDC!$A$20:$H$1596,8,0),0)</f>
        <v>-290.39999999999998</v>
      </c>
      <c r="M1214" s="74">
        <f t="shared" si="24"/>
        <v>48400</v>
      </c>
    </row>
    <row r="1215" spans="1:13" customFormat="1">
      <c r="A1215" t="s">
        <v>158</v>
      </c>
      <c r="B1215" t="s">
        <v>11</v>
      </c>
      <c r="C1215" s="51">
        <v>138639507879</v>
      </c>
      <c r="D1215" s="1">
        <v>4676.6400000000003</v>
      </c>
      <c r="E1215" s="1">
        <v>16800961.149999999</v>
      </c>
      <c r="F1215" t="s">
        <v>1280</v>
      </c>
      <c r="I1215" s="16">
        <f>-IFERROR(VLOOKUP(C1215,SIRCUPA!$A$21:$H$186,8,0),0)</f>
        <v>0</v>
      </c>
      <c r="J1215" s="68">
        <f>-IFERROR(VLOOKUP(C1215,SIRTAC!$A$16:$H$1405,8,0),0)</f>
        <v>-48</v>
      </c>
      <c r="K1215" s="68">
        <f>-IFERROR(VLOOKUP(C1215,Gastos!$A$9:$J$1398,10,0),0)</f>
        <v>-46.56</v>
      </c>
      <c r="L1215" s="68">
        <f>-IFERROR(VLOOKUP(C1215,IDC!$A$20:$H$1596,8,0),0)</f>
        <v>-28.8</v>
      </c>
      <c r="M1215" s="74">
        <f t="shared" si="24"/>
        <v>4800.0000000000009</v>
      </c>
    </row>
    <row r="1216" spans="1:13" customFormat="1">
      <c r="A1216" t="s">
        <v>158</v>
      </c>
      <c r="B1216" t="s">
        <v>11</v>
      </c>
      <c r="C1216" s="51">
        <v>138639685509</v>
      </c>
      <c r="D1216" s="1">
        <v>4871.5</v>
      </c>
      <c r="E1216" s="1">
        <v>16805832.649999999</v>
      </c>
      <c r="F1216" t="s">
        <v>1280</v>
      </c>
      <c r="I1216" s="16">
        <f>-IFERROR(VLOOKUP(C1216,SIRCUPA!$A$21:$H$186,8,0),0)</f>
        <v>0</v>
      </c>
      <c r="J1216" s="68">
        <f>-IFERROR(VLOOKUP(C1216,SIRTAC!$A$16:$H$1405,8,0),0)</f>
        <v>-50</v>
      </c>
      <c r="K1216" s="68">
        <f>-IFERROR(VLOOKUP(C1216,Gastos!$A$9:$J$1398,10,0),0)</f>
        <v>-48.5</v>
      </c>
      <c r="L1216" s="68">
        <f>-IFERROR(VLOOKUP(C1216,IDC!$A$20:$H$1596,8,0),0)</f>
        <v>-30</v>
      </c>
      <c r="M1216" s="74">
        <f t="shared" si="24"/>
        <v>5000</v>
      </c>
    </row>
    <row r="1217" spans="1:13" customFormat="1">
      <c r="A1217" t="s">
        <v>151</v>
      </c>
      <c r="B1217" t="s">
        <v>153</v>
      </c>
      <c r="C1217" s="51">
        <v>138626440873</v>
      </c>
      <c r="D1217">
        <v>234.96</v>
      </c>
      <c r="E1217" s="1">
        <v>16020614.85</v>
      </c>
      <c r="F1217" t="s">
        <v>1280</v>
      </c>
      <c r="I1217" s="16">
        <f>-IFERROR(VLOOKUP(C1217,SIRCUPA!$A$21:$H$186,8,0),0)</f>
        <v>-3.6</v>
      </c>
      <c r="J1217" s="68">
        <f>-IFERROR(VLOOKUP(C1217,SIRTAC!$A$16:$H$1405,8,0),0)</f>
        <v>0</v>
      </c>
      <c r="K1217" s="68">
        <f>-IFERROR(VLOOKUP(C1217,Gastos!$A$9:$J$1398,10,0),0)</f>
        <v>0</v>
      </c>
      <c r="L1217" s="68">
        <f>-IFERROR(VLOOKUP(C1217,IDC!$A$20:$H$1596,8,0),0)</f>
        <v>-1.44</v>
      </c>
      <c r="M1217" s="74">
        <f t="shared" si="24"/>
        <v>240</v>
      </c>
    </row>
    <row r="1218" spans="1:13" customFormat="1">
      <c r="A1218" t="s">
        <v>158</v>
      </c>
      <c r="B1218" t="s">
        <v>11</v>
      </c>
      <c r="C1218" s="51">
        <v>138639735813</v>
      </c>
      <c r="D1218" s="1">
        <v>66734.460000000006</v>
      </c>
      <c r="E1218" s="1">
        <v>16872567.109999999</v>
      </c>
      <c r="F1218" t="s">
        <v>1280</v>
      </c>
      <c r="I1218" s="16">
        <f>-IFERROR(VLOOKUP(C1218,SIRCUPA!$A$21:$H$186,8,0),0)</f>
        <v>0</v>
      </c>
      <c r="J1218" s="68">
        <f>-IFERROR(VLOOKUP(C1218,SIRTAC!$A$16:$H$1405,8,0),0)</f>
        <v>-711</v>
      </c>
      <c r="K1218" s="68">
        <f>-IFERROR(VLOOKUP(C1218,Gastos!$A$9:$J$1398,10,0),0)</f>
        <v>-3227.94</v>
      </c>
      <c r="L1218" s="68">
        <f>-IFERROR(VLOOKUP(C1218,IDC!$A$20:$H$1596,8,0),0)</f>
        <v>-426.6</v>
      </c>
      <c r="M1218" s="74">
        <f t="shared" si="24"/>
        <v>71100.000000000015</v>
      </c>
    </row>
    <row r="1219" spans="1:13" customFormat="1">
      <c r="A1219" t="s">
        <v>158</v>
      </c>
      <c r="B1219" t="s">
        <v>11</v>
      </c>
      <c r="C1219" s="51">
        <v>138640068139</v>
      </c>
      <c r="D1219" s="1">
        <v>9743</v>
      </c>
      <c r="E1219" s="1">
        <v>16882310.109999999</v>
      </c>
      <c r="F1219" t="s">
        <v>1280</v>
      </c>
      <c r="I1219" s="16">
        <f>-IFERROR(VLOOKUP(C1219,SIRCUPA!$A$21:$H$186,8,0),0)</f>
        <v>0</v>
      </c>
      <c r="J1219" s="68">
        <f>-IFERROR(VLOOKUP(C1219,SIRTAC!$A$16:$H$1405,8,0),0)</f>
        <v>-100</v>
      </c>
      <c r="K1219" s="68">
        <f>-IFERROR(VLOOKUP(C1219,Gastos!$A$9:$J$1398,10,0),0)</f>
        <v>-97</v>
      </c>
      <c r="L1219" s="68">
        <f>-IFERROR(VLOOKUP(C1219,IDC!$A$20:$H$1596,8,0),0)</f>
        <v>-60</v>
      </c>
      <c r="M1219" s="74">
        <f t="shared" si="24"/>
        <v>10000</v>
      </c>
    </row>
    <row r="1220" spans="1:13" customFormat="1">
      <c r="A1220" t="s">
        <v>158</v>
      </c>
      <c r="B1220" t="s">
        <v>11</v>
      </c>
      <c r="C1220" s="51">
        <v>139285356220</v>
      </c>
      <c r="D1220" s="1">
        <v>4871.5</v>
      </c>
      <c r="E1220" s="1">
        <v>16887181.609999999</v>
      </c>
      <c r="F1220" t="s">
        <v>1280</v>
      </c>
      <c r="I1220" s="16">
        <f>-IFERROR(VLOOKUP(C1220,SIRCUPA!$A$21:$H$186,8,0),0)</f>
        <v>0</v>
      </c>
      <c r="J1220" s="68">
        <f>-IFERROR(VLOOKUP(C1220,SIRTAC!$A$16:$H$1405,8,0),0)</f>
        <v>-50</v>
      </c>
      <c r="K1220" s="68">
        <f>-IFERROR(VLOOKUP(C1220,Gastos!$A$9:$J$1398,10,0),0)</f>
        <v>-48.5</v>
      </c>
      <c r="L1220" s="68">
        <f>-IFERROR(VLOOKUP(C1220,IDC!$A$20:$H$1596,8,0),0)</f>
        <v>-30</v>
      </c>
      <c r="M1220" s="74">
        <f t="shared" si="24"/>
        <v>5000</v>
      </c>
    </row>
    <row r="1221" spans="1:13" customFormat="1">
      <c r="A1221" t="s">
        <v>158</v>
      </c>
      <c r="B1221" t="s">
        <v>11</v>
      </c>
      <c r="C1221" s="51">
        <v>138640123705</v>
      </c>
      <c r="D1221" s="1">
        <v>4871.5</v>
      </c>
      <c r="E1221" s="1">
        <v>16892053.109999999</v>
      </c>
      <c r="F1221" t="s">
        <v>1280</v>
      </c>
      <c r="I1221" s="16">
        <f>-IFERROR(VLOOKUP(C1221,SIRCUPA!$A$21:$H$186,8,0),0)</f>
        <v>0</v>
      </c>
      <c r="J1221" s="68">
        <f>-IFERROR(VLOOKUP(C1221,SIRTAC!$A$16:$H$1405,8,0),0)</f>
        <v>-50</v>
      </c>
      <c r="K1221" s="68">
        <f>-IFERROR(VLOOKUP(C1221,Gastos!$A$9:$J$1398,10,0),0)</f>
        <v>-48.5</v>
      </c>
      <c r="L1221" s="68">
        <f>-IFERROR(VLOOKUP(C1221,IDC!$A$20:$H$1596,8,0),0)</f>
        <v>-30</v>
      </c>
      <c r="M1221" s="74">
        <f t="shared" si="24"/>
        <v>5000</v>
      </c>
    </row>
    <row r="1222" spans="1:13" customFormat="1">
      <c r="A1222" t="s">
        <v>158</v>
      </c>
      <c r="B1222" t="s">
        <v>11</v>
      </c>
      <c r="C1222" s="51">
        <v>138640349487</v>
      </c>
      <c r="D1222" s="1">
        <v>4871.5</v>
      </c>
      <c r="E1222" s="1">
        <v>16896924.609999999</v>
      </c>
      <c r="F1222" t="s">
        <v>1280</v>
      </c>
      <c r="I1222" s="16">
        <f>-IFERROR(VLOOKUP(C1222,SIRCUPA!$A$21:$H$186,8,0),0)</f>
        <v>0</v>
      </c>
      <c r="J1222" s="68">
        <f>-IFERROR(VLOOKUP(C1222,SIRTAC!$A$16:$H$1405,8,0),0)</f>
        <v>-50</v>
      </c>
      <c r="K1222" s="68">
        <f>-IFERROR(VLOOKUP(C1222,Gastos!$A$9:$J$1398,10,0),0)</f>
        <v>-48.5</v>
      </c>
      <c r="L1222" s="68">
        <f>-IFERROR(VLOOKUP(C1222,IDC!$A$20:$H$1596,8,0),0)</f>
        <v>-30</v>
      </c>
      <c r="M1222" s="74">
        <f t="shared" si="24"/>
        <v>5000</v>
      </c>
    </row>
    <row r="1223" spans="1:13" customFormat="1">
      <c r="A1223" t="s">
        <v>158</v>
      </c>
      <c r="B1223" t="s">
        <v>11</v>
      </c>
      <c r="C1223" s="51">
        <v>139285806502</v>
      </c>
      <c r="D1223" s="1">
        <v>53683.93</v>
      </c>
      <c r="E1223" s="1">
        <v>16950608.539999999</v>
      </c>
      <c r="F1223" t="s">
        <v>1280</v>
      </c>
      <c r="I1223" s="16">
        <f>-IFERROR(VLOOKUP(C1223,SIRCUPA!$A$21:$H$186,8,0),0)</f>
        <v>0</v>
      </c>
      <c r="J1223" s="68">
        <f>-IFERROR(VLOOKUP(C1223,SIRTAC!$A$16:$H$1405,8,0),0)</f>
        <v>-551</v>
      </c>
      <c r="K1223" s="68">
        <f>-IFERROR(VLOOKUP(C1223,Gastos!$A$9:$J$1398,10,0),0)</f>
        <v>-534.47</v>
      </c>
      <c r="L1223" s="68">
        <f>-IFERROR(VLOOKUP(C1223,IDC!$A$20:$H$1596,8,0),0)</f>
        <v>-330.6</v>
      </c>
      <c r="M1223" s="74">
        <f t="shared" si="24"/>
        <v>55100</v>
      </c>
    </row>
    <row r="1224" spans="1:13" customFormat="1">
      <c r="A1224" t="s">
        <v>151</v>
      </c>
      <c r="B1224" t="s">
        <v>154</v>
      </c>
      <c r="C1224" s="51">
        <v>139274304686</v>
      </c>
      <c r="D1224">
        <v>489.5</v>
      </c>
      <c r="E1224" s="1">
        <v>16113834.49</v>
      </c>
      <c r="F1224" t="s">
        <v>1280</v>
      </c>
      <c r="I1224" s="16">
        <f>-IFERROR(VLOOKUP(C1224,SIRCUPA!$A$21:$H$186,8,0),0)</f>
        <v>-7.5</v>
      </c>
      <c r="J1224" s="68">
        <f>-IFERROR(VLOOKUP(C1224,SIRTAC!$A$16:$H$1405,8,0),0)</f>
        <v>0</v>
      </c>
      <c r="K1224" s="68">
        <f>-IFERROR(VLOOKUP(C1224,Gastos!$A$9:$J$1398,10,0),0)</f>
        <v>0</v>
      </c>
      <c r="L1224" s="68">
        <f>-IFERROR(VLOOKUP(C1224,IDC!$A$20:$H$1596,8,0),0)</f>
        <v>-3</v>
      </c>
      <c r="M1224" s="74">
        <f t="shared" si="24"/>
        <v>500</v>
      </c>
    </row>
    <row r="1225" spans="1:13" customFormat="1">
      <c r="A1225" t="s">
        <v>158</v>
      </c>
      <c r="B1225" t="s">
        <v>11</v>
      </c>
      <c r="C1225" s="51">
        <v>138640656927</v>
      </c>
      <c r="D1225" s="1">
        <v>51958.5</v>
      </c>
      <c r="E1225" s="1">
        <v>17002567.039999999</v>
      </c>
      <c r="F1225" t="s">
        <v>1280</v>
      </c>
      <c r="I1225" s="16">
        <f>-IFERROR(VLOOKUP(C1225,SIRCUPA!$A$21:$H$186,8,0),0)</f>
        <v>0</v>
      </c>
      <c r="J1225" s="68">
        <f>-IFERROR(VLOOKUP(C1225,SIRTAC!$A$16:$H$1405,8,0),0)</f>
        <v>-550</v>
      </c>
      <c r="K1225" s="68">
        <f>-IFERROR(VLOOKUP(C1225,Gastos!$A$9:$J$1398,10,0),0)</f>
        <v>-2161.5</v>
      </c>
      <c r="L1225" s="68">
        <f>-IFERROR(VLOOKUP(C1225,IDC!$A$20:$H$1596,8,0),0)</f>
        <v>-330</v>
      </c>
      <c r="M1225" s="74">
        <f t="shared" si="24"/>
        <v>55000</v>
      </c>
    </row>
    <row r="1226" spans="1:13" customFormat="1">
      <c r="A1226" t="s">
        <v>158</v>
      </c>
      <c r="B1226" t="s">
        <v>11</v>
      </c>
      <c r="C1226" s="51">
        <v>139286070746</v>
      </c>
      <c r="D1226" s="1">
        <v>9743</v>
      </c>
      <c r="E1226" s="1">
        <v>17012310.039999999</v>
      </c>
      <c r="F1226" t="s">
        <v>1280</v>
      </c>
      <c r="I1226" s="16">
        <f>-IFERROR(VLOOKUP(C1226,SIRCUPA!$A$21:$H$186,8,0),0)</f>
        <v>0</v>
      </c>
      <c r="J1226" s="68">
        <f>-IFERROR(VLOOKUP(C1226,SIRTAC!$A$16:$H$1405,8,0),0)</f>
        <v>-100</v>
      </c>
      <c r="K1226" s="68">
        <f>-IFERROR(VLOOKUP(C1226,Gastos!$A$9:$J$1398,10,0),0)</f>
        <v>-97</v>
      </c>
      <c r="L1226" s="68">
        <f>-IFERROR(VLOOKUP(C1226,IDC!$A$20:$H$1596,8,0),0)</f>
        <v>-60</v>
      </c>
      <c r="M1226" s="74">
        <f t="shared" si="24"/>
        <v>10000</v>
      </c>
    </row>
    <row r="1227" spans="1:13" customFormat="1">
      <c r="A1227" t="s">
        <v>158</v>
      </c>
      <c r="B1227" t="s">
        <v>11</v>
      </c>
      <c r="C1227" s="51">
        <v>139286071896</v>
      </c>
      <c r="D1227" s="1">
        <v>4676.6400000000003</v>
      </c>
      <c r="E1227" s="1">
        <v>17016986.68</v>
      </c>
      <c r="F1227" t="s">
        <v>1280</v>
      </c>
      <c r="I1227" s="16">
        <f>-IFERROR(VLOOKUP(C1227,SIRCUPA!$A$21:$H$186,8,0),0)</f>
        <v>0</v>
      </c>
      <c r="J1227" s="68">
        <f>-IFERROR(VLOOKUP(C1227,SIRTAC!$A$16:$H$1405,8,0),0)</f>
        <v>-48</v>
      </c>
      <c r="K1227" s="68">
        <f>-IFERROR(VLOOKUP(C1227,Gastos!$A$9:$J$1398,10,0),0)</f>
        <v>-46.56</v>
      </c>
      <c r="L1227" s="68">
        <f>-IFERROR(VLOOKUP(C1227,IDC!$A$20:$H$1596,8,0),0)</f>
        <v>-28.8</v>
      </c>
      <c r="M1227" s="74">
        <f t="shared" si="24"/>
        <v>4800.0000000000009</v>
      </c>
    </row>
    <row r="1228" spans="1:13" customFormat="1">
      <c r="A1228" t="s">
        <v>158</v>
      </c>
      <c r="B1228" t="s">
        <v>11</v>
      </c>
      <c r="C1228" s="51">
        <v>138640943505</v>
      </c>
      <c r="D1228" s="1">
        <v>4871.5</v>
      </c>
      <c r="E1228" s="1">
        <v>17021858.18</v>
      </c>
      <c r="F1228" t="s">
        <v>1280</v>
      </c>
      <c r="I1228" s="16">
        <f>-IFERROR(VLOOKUP(C1228,SIRCUPA!$A$21:$H$186,8,0),0)</f>
        <v>0</v>
      </c>
      <c r="J1228" s="68">
        <f>-IFERROR(VLOOKUP(C1228,SIRTAC!$A$16:$H$1405,8,0),0)</f>
        <v>-50</v>
      </c>
      <c r="K1228" s="68">
        <f>-IFERROR(VLOOKUP(C1228,Gastos!$A$9:$J$1398,10,0),0)</f>
        <v>-48.5</v>
      </c>
      <c r="L1228" s="68">
        <f>-IFERROR(VLOOKUP(C1228,IDC!$A$20:$H$1596,8,0),0)</f>
        <v>-30</v>
      </c>
      <c r="M1228" s="74">
        <f t="shared" si="24"/>
        <v>5000</v>
      </c>
    </row>
    <row r="1229" spans="1:13" customFormat="1">
      <c r="A1229" t="s">
        <v>158</v>
      </c>
      <c r="B1229" t="s">
        <v>11</v>
      </c>
      <c r="C1229" s="51">
        <v>139286339902</v>
      </c>
      <c r="D1229" s="1">
        <v>32054.47</v>
      </c>
      <c r="E1229" s="1">
        <v>17053912.649999999</v>
      </c>
      <c r="F1229" t="s">
        <v>1280</v>
      </c>
      <c r="I1229" s="16">
        <f>-IFERROR(VLOOKUP(C1229,SIRCUPA!$A$21:$H$186,8,0),0)</f>
        <v>0</v>
      </c>
      <c r="J1229" s="68">
        <f>-IFERROR(VLOOKUP(C1229,SIRTAC!$A$16:$H$1405,8,0),0)</f>
        <v>-329</v>
      </c>
      <c r="K1229" s="68">
        <f>-IFERROR(VLOOKUP(C1229,Gastos!$A$9:$J$1398,10,0),0)</f>
        <v>-319.13</v>
      </c>
      <c r="L1229" s="68">
        <f>-IFERROR(VLOOKUP(C1229,IDC!$A$20:$H$1596,8,0),0)</f>
        <v>-197.4</v>
      </c>
      <c r="M1229" s="74">
        <f t="shared" si="24"/>
        <v>32900</v>
      </c>
    </row>
    <row r="1230" spans="1:13" customFormat="1">
      <c r="A1230" t="s">
        <v>158</v>
      </c>
      <c r="B1230" t="s">
        <v>11</v>
      </c>
      <c r="C1230" s="51">
        <v>138641600673</v>
      </c>
      <c r="D1230" s="1">
        <v>30222.92</v>
      </c>
      <c r="E1230" s="1">
        <v>17085746.02</v>
      </c>
      <c r="F1230" t="s">
        <v>1280</v>
      </c>
      <c r="I1230" s="16">
        <f>-IFERROR(VLOOKUP(C1230,SIRCUPA!$A$21:$H$186,8,0),0)</f>
        <v>0</v>
      </c>
      <c r="J1230" s="68">
        <f>-IFERROR(VLOOKUP(C1230,SIRTAC!$A$16:$H$1405,8,0),0)</f>
        <v>-322</v>
      </c>
      <c r="K1230" s="68">
        <f>-IFERROR(VLOOKUP(C1230,Gastos!$A$9:$J$1398,10,0),0)</f>
        <v>-1461.88</v>
      </c>
      <c r="L1230" s="68">
        <f>-IFERROR(VLOOKUP(C1230,IDC!$A$20:$H$1596,8,0),0)</f>
        <v>-193.2</v>
      </c>
      <c r="M1230" s="74">
        <f t="shared" si="24"/>
        <v>32200</v>
      </c>
    </row>
    <row r="1231" spans="1:13" customFormat="1">
      <c r="A1231" t="s">
        <v>158</v>
      </c>
      <c r="B1231" t="s">
        <v>11</v>
      </c>
      <c r="C1231" s="51">
        <v>139286935926</v>
      </c>
      <c r="D1231" s="1">
        <v>10230.15</v>
      </c>
      <c r="E1231" s="1">
        <v>17095976.170000002</v>
      </c>
      <c r="F1231" t="s">
        <v>1280</v>
      </c>
      <c r="I1231" s="16">
        <f>-IFERROR(VLOOKUP(C1231,SIRCUPA!$A$21:$H$186,8,0),0)</f>
        <v>0</v>
      </c>
      <c r="J1231" s="68">
        <f>-IFERROR(VLOOKUP(C1231,SIRTAC!$A$16:$H$1405,8,0),0)</f>
        <v>-105</v>
      </c>
      <c r="K1231" s="68">
        <f>-IFERROR(VLOOKUP(C1231,Gastos!$A$9:$J$1398,10,0),0)</f>
        <v>-101.85</v>
      </c>
      <c r="L1231" s="68">
        <f>-IFERROR(VLOOKUP(C1231,IDC!$A$20:$H$1596,8,0),0)</f>
        <v>-63</v>
      </c>
      <c r="M1231" s="74">
        <f t="shared" si="24"/>
        <v>10500</v>
      </c>
    </row>
    <row r="1232" spans="1:13" customFormat="1">
      <c r="A1232" t="s">
        <v>151</v>
      </c>
      <c r="B1232" t="s">
        <v>155</v>
      </c>
      <c r="C1232" s="51">
        <v>138633472447</v>
      </c>
      <c r="D1232">
        <v>479.71</v>
      </c>
      <c r="E1232" s="1">
        <v>16188686.890000001</v>
      </c>
      <c r="F1232" t="s">
        <v>1280</v>
      </c>
      <c r="I1232" s="16">
        <f>-IFERROR(VLOOKUP(C1232,SIRCUPA!$A$21:$H$186,8,0),0)</f>
        <v>-7.35</v>
      </c>
      <c r="J1232" s="68">
        <f>-IFERROR(VLOOKUP(C1232,SIRTAC!$A$16:$H$1405,8,0),0)</f>
        <v>0</v>
      </c>
      <c r="K1232" s="68">
        <f>-IFERROR(VLOOKUP(C1232,Gastos!$A$9:$J$1398,10,0),0)</f>
        <v>0</v>
      </c>
      <c r="L1232" s="68">
        <f>-IFERROR(VLOOKUP(C1232,IDC!$A$20:$H$1596,8,0),0)</f>
        <v>-2.94</v>
      </c>
      <c r="M1232" s="74">
        <f t="shared" si="24"/>
        <v>490</v>
      </c>
    </row>
    <row r="1233" spans="1:13" customFormat="1">
      <c r="A1233" t="s">
        <v>158</v>
      </c>
      <c r="B1233" t="s">
        <v>11</v>
      </c>
      <c r="C1233" s="51">
        <v>139287660210</v>
      </c>
      <c r="D1233" s="1">
        <v>4693</v>
      </c>
      <c r="E1233" s="1">
        <v>17100669.170000002</v>
      </c>
      <c r="F1233" t="s">
        <v>1280</v>
      </c>
      <c r="I1233" s="16">
        <f>-IFERROR(VLOOKUP(C1233,SIRCUPA!$A$21:$H$186,8,0),0)</f>
        <v>0</v>
      </c>
      <c r="J1233" s="68">
        <f>-IFERROR(VLOOKUP(C1233,SIRTAC!$A$16:$H$1405,8,0),0)</f>
        <v>-50</v>
      </c>
      <c r="K1233" s="68">
        <f>-IFERROR(VLOOKUP(C1233,Gastos!$A$9:$J$1398,10,0),0)</f>
        <v>-227</v>
      </c>
      <c r="L1233" s="68">
        <f>-IFERROR(VLOOKUP(C1233,IDC!$A$20:$H$1596,8,0),0)</f>
        <v>-30</v>
      </c>
      <c r="M1233" s="74">
        <f t="shared" si="24"/>
        <v>5000</v>
      </c>
    </row>
    <row r="1234" spans="1:13" customFormat="1">
      <c r="A1234" t="s">
        <v>158</v>
      </c>
      <c r="B1234" t="s">
        <v>11</v>
      </c>
      <c r="C1234" s="51">
        <v>139287633758</v>
      </c>
      <c r="D1234" s="1">
        <v>37904.82</v>
      </c>
      <c r="E1234" s="1">
        <v>17138573.989999998</v>
      </c>
      <c r="F1234" t="s">
        <v>1280</v>
      </c>
      <c r="I1234" s="16">
        <f>-IFERROR(VLOOKUP(C1234,SIRCUPA!$A$21:$H$186,8,0),0)</f>
        <v>0</v>
      </c>
      <c r="J1234" s="68">
        <f>-IFERROR(VLOOKUP(C1234,SIRTAC!$A$16:$H$1405,8,0),0)</f>
        <v>-417.5</v>
      </c>
      <c r="K1234" s="68">
        <f>-IFERROR(VLOOKUP(C1234,Gastos!$A$9:$J$1398,10,0),0)</f>
        <v>-3177.18</v>
      </c>
      <c r="L1234" s="68">
        <f>-IFERROR(VLOOKUP(C1234,IDC!$A$20:$H$1596,8,0),0)</f>
        <v>-250.5</v>
      </c>
      <c r="M1234" s="74">
        <f t="shared" si="24"/>
        <v>41750</v>
      </c>
    </row>
    <row r="1235" spans="1:13" customFormat="1">
      <c r="A1235" t="s">
        <v>158</v>
      </c>
      <c r="B1235" t="s">
        <v>11</v>
      </c>
      <c r="C1235" s="51">
        <v>138642549705</v>
      </c>
      <c r="D1235" s="1">
        <v>46998.82</v>
      </c>
      <c r="E1235" s="1">
        <v>17185572.809999999</v>
      </c>
      <c r="F1235" t="s">
        <v>1280</v>
      </c>
      <c r="I1235" s="16">
        <f>-IFERROR(VLOOKUP(C1235,SIRCUPA!$A$21:$H$186,8,0),0)</f>
        <v>0</v>
      </c>
      <c r="J1235" s="68">
        <f>-IFERROR(VLOOKUP(C1235,SIRTAC!$A$16:$H$1405,8,0),0)</f>
        <v>-497.5</v>
      </c>
      <c r="K1235" s="68">
        <f>-IFERROR(VLOOKUP(C1235,Gastos!$A$9:$J$1398,10,0),0)</f>
        <v>-1955.18</v>
      </c>
      <c r="L1235" s="68">
        <f>-IFERROR(VLOOKUP(C1235,IDC!$A$20:$H$1596,8,0),0)</f>
        <v>-298.5</v>
      </c>
      <c r="M1235" s="74">
        <f t="shared" si="24"/>
        <v>49750</v>
      </c>
    </row>
    <row r="1236" spans="1:13" customFormat="1">
      <c r="A1236" t="s">
        <v>158</v>
      </c>
      <c r="B1236" t="s">
        <v>11</v>
      </c>
      <c r="C1236" s="51">
        <v>138642802769</v>
      </c>
      <c r="D1236" s="1">
        <v>4871.5</v>
      </c>
      <c r="E1236" s="1">
        <v>17190444.309999999</v>
      </c>
      <c r="F1236" t="s">
        <v>1280</v>
      </c>
      <c r="I1236" s="16">
        <f>-IFERROR(VLOOKUP(C1236,SIRCUPA!$A$21:$H$186,8,0),0)</f>
        <v>0</v>
      </c>
      <c r="J1236" s="68">
        <f>-IFERROR(VLOOKUP(C1236,SIRTAC!$A$16:$H$1405,8,0),0)</f>
        <v>-50</v>
      </c>
      <c r="K1236" s="68">
        <f>-IFERROR(VLOOKUP(C1236,Gastos!$A$9:$J$1398,10,0),0)</f>
        <v>-48.5</v>
      </c>
      <c r="L1236" s="68">
        <f>-IFERROR(VLOOKUP(C1236,IDC!$A$20:$H$1596,8,0),0)</f>
        <v>-30</v>
      </c>
      <c r="M1236" s="74">
        <f t="shared" si="24"/>
        <v>5000</v>
      </c>
    </row>
    <row r="1237" spans="1:13" customFormat="1">
      <c r="A1237" t="s">
        <v>158</v>
      </c>
      <c r="B1237" t="s">
        <v>11</v>
      </c>
      <c r="C1237" s="51">
        <v>139288035188</v>
      </c>
      <c r="D1237" s="1">
        <v>5017.6400000000003</v>
      </c>
      <c r="E1237" s="1">
        <v>17195461.949999999</v>
      </c>
      <c r="F1237" t="s">
        <v>1280</v>
      </c>
      <c r="I1237" s="16">
        <f>-IFERROR(VLOOKUP(C1237,SIRCUPA!$A$21:$H$186,8,0),0)</f>
        <v>0</v>
      </c>
      <c r="J1237" s="68">
        <f>-IFERROR(VLOOKUP(C1237,SIRTAC!$A$16:$H$1405,8,0),0)</f>
        <v>-51.5</v>
      </c>
      <c r="K1237" s="68">
        <f>-IFERROR(VLOOKUP(C1237,Gastos!$A$9:$J$1398,10,0),0)</f>
        <v>-49.96</v>
      </c>
      <c r="L1237" s="68">
        <f>-IFERROR(VLOOKUP(C1237,IDC!$A$20:$H$1596,8,0),0)</f>
        <v>-30.9</v>
      </c>
      <c r="M1237" s="74">
        <f t="shared" si="24"/>
        <v>5150</v>
      </c>
    </row>
    <row r="1238" spans="1:13" customFormat="1">
      <c r="A1238" t="s">
        <v>151</v>
      </c>
      <c r="B1238" t="s">
        <v>156</v>
      </c>
      <c r="C1238" s="51">
        <v>138635067467</v>
      </c>
      <c r="D1238" s="1">
        <v>1752.41</v>
      </c>
      <c r="E1238" s="1">
        <v>16324841.800000001</v>
      </c>
      <c r="F1238" t="s">
        <v>1280</v>
      </c>
      <c r="I1238" s="16">
        <f>-IFERROR(VLOOKUP(C1238,SIRCUPA!$A$21:$H$186,8,0),0)</f>
        <v>-26.85</v>
      </c>
      <c r="J1238" s="68">
        <f>-IFERROR(VLOOKUP(C1238,SIRTAC!$A$16:$H$1405,8,0),0)</f>
        <v>0</v>
      </c>
      <c r="K1238" s="68">
        <f>-IFERROR(VLOOKUP(C1238,Gastos!$A$9:$J$1398,10,0),0)</f>
        <v>0</v>
      </c>
      <c r="L1238" s="68">
        <f>-IFERROR(VLOOKUP(C1238,IDC!$A$20:$H$1596,8,0),0)</f>
        <v>-10.74</v>
      </c>
      <c r="M1238" s="74">
        <f t="shared" si="24"/>
        <v>1790</v>
      </c>
    </row>
    <row r="1239" spans="1:13" customFormat="1">
      <c r="A1239" t="s">
        <v>158</v>
      </c>
      <c r="B1239" t="s">
        <v>11</v>
      </c>
      <c r="C1239" s="51">
        <v>138643137433</v>
      </c>
      <c r="D1239" s="1">
        <v>4871.5</v>
      </c>
      <c r="E1239" s="1">
        <v>17200333.449999999</v>
      </c>
      <c r="F1239" t="s">
        <v>1280</v>
      </c>
      <c r="I1239" s="16">
        <f>-IFERROR(VLOOKUP(C1239,SIRCUPA!$A$21:$H$186,8,0),0)</f>
        <v>0</v>
      </c>
      <c r="J1239" s="68">
        <f>-IFERROR(VLOOKUP(C1239,SIRTAC!$A$16:$H$1405,8,0),0)</f>
        <v>-50</v>
      </c>
      <c r="K1239" s="68">
        <f>-IFERROR(VLOOKUP(C1239,Gastos!$A$9:$J$1398,10,0),0)</f>
        <v>-48.5</v>
      </c>
      <c r="L1239" s="68">
        <f>-IFERROR(VLOOKUP(C1239,IDC!$A$20:$H$1596,8,0),0)</f>
        <v>-30</v>
      </c>
      <c r="M1239" s="74">
        <f t="shared" si="24"/>
        <v>5000</v>
      </c>
    </row>
    <row r="1240" spans="1:13" customFormat="1">
      <c r="A1240" t="s">
        <v>158</v>
      </c>
      <c r="B1240" t="s">
        <v>11</v>
      </c>
      <c r="C1240" s="51">
        <v>138643246265</v>
      </c>
      <c r="D1240" s="1">
        <v>4871.5</v>
      </c>
      <c r="E1240" s="1">
        <v>17205204.949999999</v>
      </c>
      <c r="F1240" t="s">
        <v>1280</v>
      </c>
      <c r="I1240" s="16">
        <f>-IFERROR(VLOOKUP(C1240,SIRCUPA!$A$21:$H$186,8,0),0)</f>
        <v>0</v>
      </c>
      <c r="J1240" s="68">
        <f>-IFERROR(VLOOKUP(C1240,SIRTAC!$A$16:$H$1405,8,0),0)</f>
        <v>-50</v>
      </c>
      <c r="K1240" s="68">
        <f>-IFERROR(VLOOKUP(C1240,Gastos!$A$9:$J$1398,10,0),0)</f>
        <v>-48.5</v>
      </c>
      <c r="L1240" s="68">
        <f>-IFERROR(VLOOKUP(C1240,IDC!$A$20:$H$1596,8,0),0)</f>
        <v>-30</v>
      </c>
      <c r="M1240" s="74">
        <f t="shared" si="24"/>
        <v>5000</v>
      </c>
    </row>
    <row r="1241" spans="1:13" customFormat="1">
      <c r="A1241" t="s">
        <v>158</v>
      </c>
      <c r="B1241" t="s">
        <v>11</v>
      </c>
      <c r="C1241" s="51">
        <v>139288624988</v>
      </c>
      <c r="D1241" s="1">
        <v>2922.9</v>
      </c>
      <c r="E1241" s="1">
        <v>17208127.850000001</v>
      </c>
      <c r="F1241" t="s">
        <v>1280</v>
      </c>
      <c r="I1241" s="16">
        <f>-IFERROR(VLOOKUP(C1241,SIRCUPA!$A$21:$H$186,8,0),0)</f>
        <v>0</v>
      </c>
      <c r="J1241" s="68">
        <f>-IFERROR(VLOOKUP(C1241,SIRTAC!$A$16:$H$1405,8,0),0)</f>
        <v>-30</v>
      </c>
      <c r="K1241" s="68">
        <f>-IFERROR(VLOOKUP(C1241,Gastos!$A$9:$J$1398,10,0),0)</f>
        <v>-29.1</v>
      </c>
      <c r="L1241" s="68">
        <f>-IFERROR(VLOOKUP(C1241,IDC!$A$20:$H$1596,8,0),0)</f>
        <v>-18</v>
      </c>
      <c r="M1241" s="74">
        <f t="shared" si="24"/>
        <v>3000</v>
      </c>
    </row>
    <row r="1242" spans="1:13" customFormat="1">
      <c r="A1242" t="s">
        <v>158</v>
      </c>
      <c r="B1242" t="s">
        <v>11</v>
      </c>
      <c r="C1242" s="51">
        <v>138643534943</v>
      </c>
      <c r="D1242" s="1">
        <v>37950.22</v>
      </c>
      <c r="E1242" s="1">
        <v>17246078.07</v>
      </c>
      <c r="F1242" t="s">
        <v>1280</v>
      </c>
      <c r="I1242" s="16">
        <f>-IFERROR(VLOOKUP(C1242,SIRCUPA!$A$21:$H$186,8,0),0)</f>
        <v>0</v>
      </c>
      <c r="J1242" s="68">
        <f>-IFERROR(VLOOKUP(C1242,SIRTAC!$A$16:$H$1405,8,0),0)</f>
        <v>-418</v>
      </c>
      <c r="K1242" s="68">
        <f>-IFERROR(VLOOKUP(C1242,Gastos!$A$9:$J$1398,10,0),0)</f>
        <v>-3180.98</v>
      </c>
      <c r="L1242" s="68">
        <f>-IFERROR(VLOOKUP(C1242,IDC!$A$20:$H$1596,8,0),0)</f>
        <v>-250.8</v>
      </c>
      <c r="M1242" s="74">
        <f t="shared" si="24"/>
        <v>41800.000000000007</v>
      </c>
    </row>
    <row r="1243" spans="1:13" customFormat="1">
      <c r="A1243" t="s">
        <v>158</v>
      </c>
      <c r="B1243" t="s">
        <v>11</v>
      </c>
      <c r="C1243" s="51">
        <v>138643607209</v>
      </c>
      <c r="D1243" s="1">
        <v>18609.13</v>
      </c>
      <c r="E1243" s="1">
        <v>17264687.199999999</v>
      </c>
      <c r="F1243" t="s">
        <v>1280</v>
      </c>
      <c r="I1243" s="16">
        <f>-IFERROR(VLOOKUP(C1243,SIRCUPA!$A$21:$H$186,8,0),0)</f>
        <v>0</v>
      </c>
      <c r="J1243" s="68">
        <f>-IFERROR(VLOOKUP(C1243,SIRTAC!$A$16:$H$1405,8,0),0)</f>
        <v>-191</v>
      </c>
      <c r="K1243" s="68">
        <f>-IFERROR(VLOOKUP(C1243,Gastos!$A$9:$J$1398,10,0),0)</f>
        <v>-185.27</v>
      </c>
      <c r="L1243" s="68">
        <f>-IFERROR(VLOOKUP(C1243,IDC!$A$20:$H$1596,8,0),0)</f>
        <v>-114.6</v>
      </c>
      <c r="M1243" s="74">
        <f t="shared" si="24"/>
        <v>19100</v>
      </c>
    </row>
    <row r="1244" spans="1:13" customFormat="1">
      <c r="A1244" t="s">
        <v>158</v>
      </c>
      <c r="B1244" t="s">
        <v>11</v>
      </c>
      <c r="C1244" s="51">
        <v>138643629879</v>
      </c>
      <c r="D1244" s="1">
        <v>4871.5</v>
      </c>
      <c r="E1244" s="1">
        <v>17269558.699999999</v>
      </c>
      <c r="F1244" t="s">
        <v>1280</v>
      </c>
      <c r="I1244" s="16">
        <f>-IFERROR(VLOOKUP(C1244,SIRCUPA!$A$21:$H$186,8,0),0)</f>
        <v>0</v>
      </c>
      <c r="J1244" s="68">
        <f>-IFERROR(VLOOKUP(C1244,SIRTAC!$A$16:$H$1405,8,0),0)</f>
        <v>-50</v>
      </c>
      <c r="K1244" s="68">
        <f>-IFERROR(VLOOKUP(C1244,Gastos!$A$9:$J$1398,10,0),0)</f>
        <v>-48.5</v>
      </c>
      <c r="L1244" s="68">
        <f>-IFERROR(VLOOKUP(C1244,IDC!$A$20:$H$1596,8,0),0)</f>
        <v>-30</v>
      </c>
      <c r="M1244" s="74">
        <f t="shared" si="24"/>
        <v>5000</v>
      </c>
    </row>
    <row r="1245" spans="1:13" customFormat="1">
      <c r="A1245" t="s">
        <v>151</v>
      </c>
      <c r="B1245" t="s">
        <v>157</v>
      </c>
      <c r="C1245" s="51">
        <v>138636696367</v>
      </c>
      <c r="D1245" s="1">
        <v>3113.22</v>
      </c>
      <c r="E1245" s="1">
        <v>16430965.15</v>
      </c>
      <c r="F1245" t="s">
        <v>1280</v>
      </c>
      <c r="I1245" s="16">
        <f>-IFERROR(VLOOKUP(C1245,SIRCUPA!$A$21:$H$186,8,0),0)</f>
        <v>-47.7</v>
      </c>
      <c r="J1245" s="68">
        <f>-IFERROR(VLOOKUP(C1245,SIRTAC!$A$16:$H$1405,8,0),0)</f>
        <v>0</v>
      </c>
      <c r="K1245" s="68">
        <f>-IFERROR(VLOOKUP(C1245,Gastos!$A$9:$J$1398,10,0),0)</f>
        <v>0</v>
      </c>
      <c r="L1245" s="68">
        <f>-IFERROR(VLOOKUP(C1245,IDC!$A$20:$H$1596,8,0),0)</f>
        <v>-19.079999999999998</v>
      </c>
      <c r="M1245" s="74">
        <f t="shared" si="24"/>
        <v>3179.9999999999995</v>
      </c>
    </row>
    <row r="1246" spans="1:13" customFormat="1">
      <c r="A1246" t="s">
        <v>158</v>
      </c>
      <c r="B1246" t="s">
        <v>11</v>
      </c>
      <c r="C1246" s="51">
        <v>138643753585</v>
      </c>
      <c r="D1246" s="1">
        <v>13797.42</v>
      </c>
      <c r="E1246" s="1">
        <v>17283356.120000001</v>
      </c>
      <c r="F1246" t="s">
        <v>1280</v>
      </c>
      <c r="I1246" s="16">
        <f>-IFERROR(VLOOKUP(C1246,SIRCUPA!$A$21:$H$186,8,0),0)</f>
        <v>0</v>
      </c>
      <c r="J1246" s="68">
        <f>-IFERROR(VLOOKUP(C1246,SIRTAC!$A$16:$H$1405,8,0),0)</f>
        <v>-147</v>
      </c>
      <c r="K1246" s="68">
        <f>-IFERROR(VLOOKUP(C1246,Gastos!$A$9:$J$1398,10,0),0)</f>
        <v>-667.38</v>
      </c>
      <c r="L1246" s="68">
        <f>-IFERROR(VLOOKUP(C1246,IDC!$A$20:$H$1596,8,0),0)</f>
        <v>-88.2</v>
      </c>
      <c r="M1246" s="74">
        <f t="shared" si="24"/>
        <v>14700</v>
      </c>
    </row>
    <row r="1247" spans="1:13" customFormat="1">
      <c r="A1247" t="s">
        <v>158</v>
      </c>
      <c r="B1247" t="s">
        <v>11</v>
      </c>
      <c r="C1247" s="51">
        <v>139289109558</v>
      </c>
      <c r="D1247" s="1">
        <v>23529.34</v>
      </c>
      <c r="E1247" s="1">
        <v>17306885.460000001</v>
      </c>
      <c r="F1247" t="s">
        <v>1280</v>
      </c>
      <c r="I1247" s="16">
        <f>-IFERROR(VLOOKUP(C1247,SIRCUPA!$A$21:$H$186,8,0),0)</f>
        <v>0</v>
      </c>
      <c r="J1247" s="68">
        <f>-IFERROR(VLOOKUP(C1247,SIRTAC!$A$16:$H$1405,8,0),0)</f>
        <v>-241.5</v>
      </c>
      <c r="K1247" s="68">
        <f>-IFERROR(VLOOKUP(C1247,Gastos!$A$9:$J$1398,10,0),0)</f>
        <v>-234.26</v>
      </c>
      <c r="L1247" s="68">
        <f>-IFERROR(VLOOKUP(C1247,IDC!$A$20:$H$1596,8,0),0)</f>
        <v>-144.9</v>
      </c>
      <c r="M1247" s="74">
        <f t="shared" si="24"/>
        <v>24150</v>
      </c>
    </row>
    <row r="1248" spans="1:13" customFormat="1">
      <c r="A1248" t="s">
        <v>158</v>
      </c>
      <c r="B1248" t="s">
        <v>11</v>
      </c>
      <c r="C1248" s="51">
        <v>138644107181</v>
      </c>
      <c r="D1248" s="1">
        <v>4676.6400000000003</v>
      </c>
      <c r="E1248" s="1">
        <v>17311562.100000001</v>
      </c>
      <c r="F1248" t="s">
        <v>1280</v>
      </c>
      <c r="I1248" s="16">
        <f>-IFERROR(VLOOKUP(C1248,SIRCUPA!$A$21:$H$186,8,0),0)</f>
        <v>0</v>
      </c>
      <c r="J1248" s="68">
        <f>-IFERROR(VLOOKUP(C1248,SIRTAC!$A$16:$H$1405,8,0),0)</f>
        <v>-48</v>
      </c>
      <c r="K1248" s="68">
        <f>-IFERROR(VLOOKUP(C1248,Gastos!$A$9:$J$1398,10,0),0)</f>
        <v>-46.56</v>
      </c>
      <c r="L1248" s="68">
        <f>-IFERROR(VLOOKUP(C1248,IDC!$A$20:$H$1596,8,0),0)</f>
        <v>-28.8</v>
      </c>
      <c r="M1248" s="74">
        <f t="shared" si="24"/>
        <v>4800.0000000000009</v>
      </c>
    </row>
    <row r="1249" spans="1:13" customFormat="1">
      <c r="A1249" t="s">
        <v>158</v>
      </c>
      <c r="B1249" t="s">
        <v>11</v>
      </c>
      <c r="C1249" s="51">
        <v>139289529016</v>
      </c>
      <c r="D1249" s="1">
        <v>2419.25</v>
      </c>
      <c r="E1249" s="1">
        <v>17313981.350000001</v>
      </c>
      <c r="F1249" t="s">
        <v>1280</v>
      </c>
      <c r="I1249" s="16">
        <f>-IFERROR(VLOOKUP(C1249,SIRCUPA!$A$21:$H$186,8,0),0)</f>
        <v>0</v>
      </c>
      <c r="J1249" s="68">
        <f>-IFERROR(VLOOKUP(C1249,SIRTAC!$A$16:$H$1405,8,0),0)</f>
        <v>-25</v>
      </c>
      <c r="K1249" s="68">
        <f>-IFERROR(VLOOKUP(C1249,Gastos!$A$9:$J$1398,10,0),0)</f>
        <v>-40.75</v>
      </c>
      <c r="L1249" s="68">
        <f>-IFERROR(VLOOKUP(C1249,IDC!$A$20:$H$1596,8,0),0)</f>
        <v>-15</v>
      </c>
      <c r="M1249" s="74">
        <f t="shared" si="24"/>
        <v>2500</v>
      </c>
    </row>
    <row r="1250" spans="1:13" customFormat="1">
      <c r="A1250" t="s">
        <v>158</v>
      </c>
      <c r="B1250" t="s">
        <v>159</v>
      </c>
      <c r="C1250" s="51">
        <v>138638016173</v>
      </c>
      <c r="D1250" s="1">
        <v>4155.8500000000004</v>
      </c>
      <c r="E1250" s="1">
        <v>16644755.970000001</v>
      </c>
      <c r="F1250" t="s">
        <v>1280</v>
      </c>
      <c r="I1250" s="16">
        <f>-IFERROR(VLOOKUP(C1250,SIRCUPA!$A$21:$H$186,8,0),0)</f>
        <v>-63.68</v>
      </c>
      <c r="J1250" s="68">
        <f>-IFERROR(VLOOKUP(C1250,SIRTAC!$A$16:$H$1405,8,0),0)</f>
        <v>0</v>
      </c>
      <c r="K1250" s="68">
        <f>-IFERROR(VLOOKUP(C1250,Gastos!$A$9:$J$1398,10,0),0)</f>
        <v>0</v>
      </c>
      <c r="L1250" s="68">
        <f>-IFERROR(VLOOKUP(C1250,IDC!$A$20:$H$1596,8,0),0)</f>
        <v>-25.47</v>
      </c>
      <c r="M1250" s="74">
        <f t="shared" si="24"/>
        <v>4245.0000000000009</v>
      </c>
    </row>
    <row r="1251" spans="1:13" customFormat="1">
      <c r="A1251" t="s">
        <v>158</v>
      </c>
      <c r="B1251" t="s">
        <v>11</v>
      </c>
      <c r="C1251" s="51">
        <v>138644468175</v>
      </c>
      <c r="D1251" s="1">
        <v>63621.79</v>
      </c>
      <c r="E1251" s="1">
        <v>17377603.140000001</v>
      </c>
      <c r="F1251" t="s">
        <v>1280</v>
      </c>
      <c r="I1251" s="16">
        <f>-IFERROR(VLOOKUP(C1251,SIRCUPA!$A$21:$H$186,8,0),0)</f>
        <v>0</v>
      </c>
      <c r="J1251" s="68">
        <f>-IFERROR(VLOOKUP(C1251,SIRTAC!$A$16:$H$1405,8,0),0)</f>
        <v>-653</v>
      </c>
      <c r="K1251" s="68">
        <f>-IFERROR(VLOOKUP(C1251,Gastos!$A$9:$J$1398,10,0),0)</f>
        <v>-633.41</v>
      </c>
      <c r="L1251" s="68">
        <f>-IFERROR(VLOOKUP(C1251,IDC!$A$20:$H$1596,8,0),0)</f>
        <v>-391.8</v>
      </c>
      <c r="M1251" s="74">
        <f t="shared" si="24"/>
        <v>65300.000000000007</v>
      </c>
    </row>
    <row r="1252" spans="1:13" customFormat="1">
      <c r="A1252" t="s">
        <v>158</v>
      </c>
      <c r="B1252" t="s">
        <v>16</v>
      </c>
      <c r="C1252" s="51">
        <v>139283452990</v>
      </c>
      <c r="D1252" s="1">
        <v>1776.88</v>
      </c>
      <c r="E1252" s="1">
        <v>16664216.390000001</v>
      </c>
      <c r="F1252" t="s">
        <v>1280</v>
      </c>
      <c r="I1252" s="16">
        <f>-IFERROR(VLOOKUP(C1252,SIRCUPA!$A$21:$H$186,8,0),0)</f>
        <v>-27.23</v>
      </c>
      <c r="J1252" s="68">
        <f>-IFERROR(VLOOKUP(C1252,SIRTAC!$A$16:$H$1405,8,0),0)</f>
        <v>0</v>
      </c>
      <c r="K1252" s="68">
        <f>-IFERROR(VLOOKUP(C1252,Gastos!$A$9:$J$1398,10,0),0)</f>
        <v>0</v>
      </c>
      <c r="L1252" s="68">
        <f>-IFERROR(VLOOKUP(C1252,IDC!$A$20:$H$1596,8,0),0)</f>
        <v>-10.89</v>
      </c>
      <c r="M1252" s="74">
        <f t="shared" si="24"/>
        <v>1815.0000000000002</v>
      </c>
    </row>
    <row r="1253" spans="1:13" customFormat="1">
      <c r="A1253" t="s">
        <v>164</v>
      </c>
      <c r="B1253" t="s">
        <v>11</v>
      </c>
      <c r="C1253" s="51">
        <v>138834348251</v>
      </c>
      <c r="D1253" s="1">
        <v>42284.62</v>
      </c>
      <c r="E1253" s="1">
        <v>17382534.34</v>
      </c>
      <c r="F1253" t="s">
        <v>1280</v>
      </c>
      <c r="I1253" s="16">
        <f>-IFERROR(VLOOKUP(C1253,SIRCUPA!$A$21:$H$186,8,0),0)</f>
        <v>0</v>
      </c>
      <c r="J1253" s="68">
        <f>-IFERROR(VLOOKUP(C1253,SIRTAC!$A$16:$H$1405,8,0),0)</f>
        <v>-434</v>
      </c>
      <c r="K1253" s="68">
        <f>-IFERROR(VLOOKUP(C1253,Gastos!$A$9:$J$1398,10,0),0)</f>
        <v>-420.98</v>
      </c>
      <c r="L1253" s="68">
        <f>-IFERROR(VLOOKUP(C1253,IDC!$A$20:$H$1596,8,0),0)</f>
        <v>-260.39999999999998</v>
      </c>
      <c r="M1253" s="74">
        <f t="shared" si="24"/>
        <v>43400.000000000007</v>
      </c>
    </row>
    <row r="1254" spans="1:13" customFormat="1">
      <c r="A1254" t="s">
        <v>164</v>
      </c>
      <c r="B1254" t="s">
        <v>11</v>
      </c>
      <c r="C1254" s="51">
        <v>138835077283</v>
      </c>
      <c r="D1254" s="1">
        <v>38921.64</v>
      </c>
      <c r="E1254" s="1">
        <v>17423580.41</v>
      </c>
      <c r="F1254" t="s">
        <v>1280</v>
      </c>
      <c r="I1254" s="16">
        <f>-IFERROR(VLOOKUP(C1254,SIRCUPA!$A$21:$H$186,8,0),0)</f>
        <v>0</v>
      </c>
      <c r="J1254" s="68">
        <f>-IFERROR(VLOOKUP(C1254,SIRTAC!$A$16:$H$1405,8,0),0)</f>
        <v>-412</v>
      </c>
      <c r="K1254" s="68">
        <f>-IFERROR(VLOOKUP(C1254,Gastos!$A$9:$J$1398,10,0),0)</f>
        <v>-1619.16</v>
      </c>
      <c r="L1254" s="68">
        <f>-IFERROR(VLOOKUP(C1254,IDC!$A$20:$H$1596,8,0),0)</f>
        <v>-247.2</v>
      </c>
      <c r="M1254" s="74">
        <f t="shared" si="24"/>
        <v>41200</v>
      </c>
    </row>
    <row r="1255" spans="1:13" customFormat="1">
      <c r="A1255" t="s">
        <v>158</v>
      </c>
      <c r="B1255" t="s">
        <v>160</v>
      </c>
      <c r="C1255" s="51">
        <v>138638300625</v>
      </c>
      <c r="D1255" s="1">
        <v>1287.3800000000001</v>
      </c>
      <c r="E1255" s="1">
        <v>16695667.359999999</v>
      </c>
      <c r="F1255" t="s">
        <v>1280</v>
      </c>
      <c r="I1255" s="16">
        <f>-IFERROR(VLOOKUP(C1255,SIRCUPA!$A$21:$H$186,8,0),0)</f>
        <v>-19.73</v>
      </c>
      <c r="J1255" s="68">
        <f>-IFERROR(VLOOKUP(C1255,SIRTAC!$A$16:$H$1405,8,0),0)</f>
        <v>0</v>
      </c>
      <c r="K1255" s="68">
        <f>-IFERROR(VLOOKUP(C1255,Gastos!$A$9:$J$1398,10,0),0)</f>
        <v>0</v>
      </c>
      <c r="L1255" s="68">
        <f>-IFERROR(VLOOKUP(C1255,IDC!$A$20:$H$1596,8,0),0)</f>
        <v>-7.89</v>
      </c>
      <c r="M1255" s="74">
        <f t="shared" si="24"/>
        <v>1315.0000000000002</v>
      </c>
    </row>
    <row r="1256" spans="1:13" customFormat="1">
      <c r="A1256" t="s">
        <v>164</v>
      </c>
      <c r="B1256" t="s">
        <v>11</v>
      </c>
      <c r="C1256" s="51">
        <v>139482937318</v>
      </c>
      <c r="D1256" s="1">
        <v>38354.82</v>
      </c>
      <c r="E1256" s="1">
        <v>17461935.23</v>
      </c>
      <c r="F1256" t="s">
        <v>1280</v>
      </c>
      <c r="I1256" s="16">
        <f>-IFERROR(VLOOKUP(C1256,SIRCUPA!$A$21:$H$186,8,0),0)</f>
        <v>0</v>
      </c>
      <c r="J1256" s="68">
        <f>-IFERROR(VLOOKUP(C1256,SIRTAC!$A$16:$H$1405,8,0),0)</f>
        <v>-406</v>
      </c>
      <c r="K1256" s="68">
        <f>-IFERROR(VLOOKUP(C1256,Gastos!$A$9:$J$1398,10,0),0)</f>
        <v>-1595.58</v>
      </c>
      <c r="L1256" s="68">
        <f>-IFERROR(VLOOKUP(C1256,IDC!$A$20:$H$1596,8,0),0)</f>
        <v>-243.6</v>
      </c>
      <c r="M1256" s="74">
        <f t="shared" ref="M1256:M1319" si="25">+D1256-I1256-J1256-K1256-L1256</f>
        <v>40600</v>
      </c>
    </row>
    <row r="1257" spans="1:13" customFormat="1">
      <c r="A1257" t="s">
        <v>164</v>
      </c>
      <c r="B1257" t="s">
        <v>11</v>
      </c>
      <c r="C1257" s="51">
        <v>138837039887</v>
      </c>
      <c r="D1257" s="1">
        <v>29758.05</v>
      </c>
      <c r="E1257" s="1">
        <v>17491693.280000001</v>
      </c>
      <c r="F1257" t="s">
        <v>1280</v>
      </c>
      <c r="I1257" s="16">
        <f>-IFERROR(VLOOKUP(C1257,SIRCUPA!$A$21:$H$186,8,0),0)</f>
        <v>0</v>
      </c>
      <c r="J1257" s="68">
        <f>-IFERROR(VLOOKUP(C1257,SIRTAC!$A$16:$H$1405,8,0),0)</f>
        <v>-315</v>
      </c>
      <c r="K1257" s="68">
        <f>-IFERROR(VLOOKUP(C1257,Gastos!$A$9:$J$1398,10,0),0)</f>
        <v>-1237.95</v>
      </c>
      <c r="L1257" s="68">
        <f>-IFERROR(VLOOKUP(C1257,IDC!$A$20:$H$1596,8,0),0)</f>
        <v>-189</v>
      </c>
      <c r="M1257" s="74">
        <f t="shared" si="25"/>
        <v>31500</v>
      </c>
    </row>
    <row r="1258" spans="1:13" customFormat="1">
      <c r="A1258" t="s">
        <v>164</v>
      </c>
      <c r="B1258" t="s">
        <v>11</v>
      </c>
      <c r="C1258" s="51">
        <v>139483867620</v>
      </c>
      <c r="D1258" s="1">
        <v>26829.48</v>
      </c>
      <c r="E1258" s="1">
        <v>17518522.760000002</v>
      </c>
      <c r="F1258" t="s">
        <v>1280</v>
      </c>
      <c r="I1258" s="16">
        <f>-IFERROR(VLOOKUP(C1258,SIRCUPA!$A$21:$H$186,8,0),0)</f>
        <v>0</v>
      </c>
      <c r="J1258" s="68">
        <f>-IFERROR(VLOOKUP(C1258,SIRTAC!$A$16:$H$1405,8,0),0)</f>
        <v>-284</v>
      </c>
      <c r="K1258" s="68">
        <f>-IFERROR(VLOOKUP(C1258,Gastos!$A$9:$J$1398,10,0),0)</f>
        <v>-1116.1199999999999</v>
      </c>
      <c r="L1258" s="68">
        <f>-IFERROR(VLOOKUP(C1258,IDC!$A$20:$H$1596,8,0),0)</f>
        <v>-170.4</v>
      </c>
      <c r="M1258" s="74">
        <f t="shared" si="25"/>
        <v>28400</v>
      </c>
    </row>
    <row r="1259" spans="1:13" customFormat="1">
      <c r="A1259" t="s">
        <v>164</v>
      </c>
      <c r="B1259" t="s">
        <v>11</v>
      </c>
      <c r="C1259" s="51">
        <v>138838194005</v>
      </c>
      <c r="D1259" s="1">
        <v>31930.86</v>
      </c>
      <c r="E1259" s="1">
        <v>17550453.620000001</v>
      </c>
      <c r="F1259" t="s">
        <v>1280</v>
      </c>
      <c r="I1259" s="16">
        <f>-IFERROR(VLOOKUP(C1259,SIRCUPA!$A$21:$H$186,8,0),0)</f>
        <v>0</v>
      </c>
      <c r="J1259" s="68">
        <f>-IFERROR(VLOOKUP(C1259,SIRTAC!$A$16:$H$1405,8,0),0)</f>
        <v>-338</v>
      </c>
      <c r="K1259" s="68">
        <f>-IFERROR(VLOOKUP(C1259,Gastos!$A$9:$J$1398,10,0),0)</f>
        <v>-1328.34</v>
      </c>
      <c r="L1259" s="68">
        <f>-IFERROR(VLOOKUP(C1259,IDC!$A$20:$H$1596,8,0),0)</f>
        <v>-202.8</v>
      </c>
      <c r="M1259" s="74">
        <f t="shared" si="25"/>
        <v>33800</v>
      </c>
    </row>
    <row r="1260" spans="1:13" customFormat="1">
      <c r="A1260" t="s">
        <v>164</v>
      </c>
      <c r="B1260" t="s">
        <v>11</v>
      </c>
      <c r="C1260" s="51">
        <v>139485985744</v>
      </c>
      <c r="D1260" s="1">
        <v>25916.38</v>
      </c>
      <c r="E1260" s="1">
        <v>17576370</v>
      </c>
      <c r="F1260" t="s">
        <v>1280</v>
      </c>
      <c r="I1260" s="16">
        <f>-IFERROR(VLOOKUP(C1260,SIRCUPA!$A$21:$H$186,8,0),0)</f>
        <v>0</v>
      </c>
      <c r="J1260" s="68">
        <f>-IFERROR(VLOOKUP(C1260,SIRTAC!$A$16:$H$1405,8,0),0)</f>
        <v>-266</v>
      </c>
      <c r="K1260" s="68">
        <f>-IFERROR(VLOOKUP(C1260,Gastos!$A$9:$J$1398,10,0),0)</f>
        <v>-258.02</v>
      </c>
      <c r="L1260" s="68">
        <f>-IFERROR(VLOOKUP(C1260,IDC!$A$20:$H$1596,8,0),0)</f>
        <v>-159.6</v>
      </c>
      <c r="M1260" s="74">
        <f t="shared" si="25"/>
        <v>26600</v>
      </c>
    </row>
    <row r="1261" spans="1:13" customFormat="1">
      <c r="A1261" t="s">
        <v>164</v>
      </c>
      <c r="B1261" t="s">
        <v>11</v>
      </c>
      <c r="C1261" s="51">
        <v>138839833769</v>
      </c>
      <c r="D1261" s="1">
        <v>40823.17</v>
      </c>
      <c r="E1261" s="1">
        <v>17619797.309999999</v>
      </c>
      <c r="F1261" t="s">
        <v>1280</v>
      </c>
      <c r="I1261" s="16">
        <f>-IFERROR(VLOOKUP(C1261,SIRCUPA!$A$21:$H$186,8,0),0)</f>
        <v>0</v>
      </c>
      <c r="J1261" s="68">
        <f>-IFERROR(VLOOKUP(C1261,SIRTAC!$A$16:$H$1405,8,0),0)</f>
        <v>-419</v>
      </c>
      <c r="K1261" s="68">
        <f>-IFERROR(VLOOKUP(C1261,Gastos!$A$9:$J$1398,10,0),0)</f>
        <v>-406.43</v>
      </c>
      <c r="L1261" s="68">
        <f>-IFERROR(VLOOKUP(C1261,IDC!$A$20:$H$1596,8,0),0)</f>
        <v>-251.4</v>
      </c>
      <c r="M1261" s="74">
        <f t="shared" si="25"/>
        <v>41900</v>
      </c>
    </row>
    <row r="1262" spans="1:13" customFormat="1">
      <c r="A1262" t="s">
        <v>164</v>
      </c>
      <c r="B1262" t="s">
        <v>11</v>
      </c>
      <c r="C1262" s="51">
        <v>138841317619</v>
      </c>
      <c r="D1262" s="1">
        <v>80771.850000000006</v>
      </c>
      <c r="E1262" s="1">
        <v>17702620.16</v>
      </c>
      <c r="F1262" t="s">
        <v>1280</v>
      </c>
      <c r="I1262" s="16">
        <f>-IFERROR(VLOOKUP(C1262,SIRCUPA!$A$21:$H$186,8,0),0)</f>
        <v>0</v>
      </c>
      <c r="J1262" s="68">
        <f>-IFERROR(VLOOKUP(C1262,SIRTAC!$A$16:$H$1405,8,0),0)</f>
        <v>-855</v>
      </c>
      <c r="K1262" s="68">
        <f>-IFERROR(VLOOKUP(C1262,Gastos!$A$9:$J$1398,10,0),0)</f>
        <v>-3360.15</v>
      </c>
      <c r="L1262" s="68">
        <f>-IFERROR(VLOOKUP(C1262,IDC!$A$20:$H$1596,8,0),0)</f>
        <v>-513</v>
      </c>
      <c r="M1262" s="74">
        <f t="shared" si="25"/>
        <v>85500</v>
      </c>
    </row>
    <row r="1263" spans="1:13" customFormat="1">
      <c r="A1263" t="s">
        <v>164</v>
      </c>
      <c r="B1263" t="s">
        <v>11</v>
      </c>
      <c r="C1263" s="51">
        <v>139488051760</v>
      </c>
      <c r="D1263" s="1">
        <v>49202.15</v>
      </c>
      <c r="E1263" s="1">
        <v>17751822.309999999</v>
      </c>
      <c r="F1263" t="s">
        <v>1280</v>
      </c>
      <c r="I1263" s="16">
        <f>-IFERROR(VLOOKUP(C1263,SIRCUPA!$A$21:$H$186,8,0),0)</f>
        <v>0</v>
      </c>
      <c r="J1263" s="68">
        <f>-IFERROR(VLOOKUP(C1263,SIRTAC!$A$16:$H$1405,8,0),0)</f>
        <v>-505</v>
      </c>
      <c r="K1263" s="68">
        <f>-IFERROR(VLOOKUP(C1263,Gastos!$A$9:$J$1398,10,0),0)</f>
        <v>-489.85</v>
      </c>
      <c r="L1263" s="68">
        <f>-IFERROR(VLOOKUP(C1263,IDC!$A$20:$H$1596,8,0),0)</f>
        <v>-303</v>
      </c>
      <c r="M1263" s="74">
        <f t="shared" si="25"/>
        <v>50500</v>
      </c>
    </row>
    <row r="1264" spans="1:13" customFormat="1">
      <c r="A1264" t="s">
        <v>164</v>
      </c>
      <c r="B1264" t="s">
        <v>11</v>
      </c>
      <c r="C1264" s="51">
        <v>139489872526</v>
      </c>
      <c r="D1264" s="1">
        <v>46571.54</v>
      </c>
      <c r="E1264" s="1">
        <v>17798393.850000001</v>
      </c>
      <c r="F1264" t="s">
        <v>1280</v>
      </c>
      <c r="I1264" s="16">
        <f>-IFERROR(VLOOKUP(C1264,SIRCUPA!$A$21:$H$186,8,0),0)</f>
        <v>0</v>
      </c>
      <c r="J1264" s="68">
        <f>-IFERROR(VLOOKUP(C1264,SIRTAC!$A$16:$H$1405,8,0),0)</f>
        <v>-478</v>
      </c>
      <c r="K1264" s="68">
        <f>-IFERROR(VLOOKUP(C1264,Gastos!$A$9:$J$1398,10,0),0)</f>
        <v>-463.66</v>
      </c>
      <c r="L1264" s="68">
        <f>-IFERROR(VLOOKUP(C1264,IDC!$A$20:$H$1596,8,0),0)</f>
        <v>-286.8</v>
      </c>
      <c r="M1264" s="74">
        <f t="shared" si="25"/>
        <v>47800.000000000007</v>
      </c>
    </row>
    <row r="1265" spans="1:13" customFormat="1">
      <c r="A1265" t="s">
        <v>164</v>
      </c>
      <c r="B1265" t="s">
        <v>11</v>
      </c>
      <c r="C1265" s="51">
        <v>139489922698</v>
      </c>
      <c r="D1265" s="1">
        <v>9548.14</v>
      </c>
      <c r="E1265" s="1">
        <v>17807941.989999998</v>
      </c>
      <c r="F1265" t="s">
        <v>1280</v>
      </c>
      <c r="I1265" s="16">
        <f>-IFERROR(VLOOKUP(C1265,SIRCUPA!$A$21:$H$186,8,0),0)</f>
        <v>0</v>
      </c>
      <c r="J1265" s="68">
        <f>-IFERROR(VLOOKUP(C1265,SIRTAC!$A$16:$H$1405,8,0),0)</f>
        <v>-98</v>
      </c>
      <c r="K1265" s="68">
        <f>-IFERROR(VLOOKUP(C1265,Gastos!$A$9:$J$1398,10,0),0)</f>
        <v>-95.06</v>
      </c>
      <c r="L1265" s="68">
        <f>-IFERROR(VLOOKUP(C1265,IDC!$A$20:$H$1596,8,0),0)</f>
        <v>-58.8</v>
      </c>
      <c r="M1265" s="74">
        <f t="shared" si="25"/>
        <v>9799.9999999999982</v>
      </c>
    </row>
    <row r="1266" spans="1:13" customFormat="1">
      <c r="A1266" t="s">
        <v>164</v>
      </c>
      <c r="B1266" t="s">
        <v>11</v>
      </c>
      <c r="C1266" s="51">
        <v>139489925702</v>
      </c>
      <c r="D1266" s="1">
        <v>12753.45</v>
      </c>
      <c r="E1266" s="1">
        <v>17820695.440000001</v>
      </c>
      <c r="F1266" t="s">
        <v>1280</v>
      </c>
      <c r="I1266" s="16">
        <f>-IFERROR(VLOOKUP(C1266,SIRCUPA!$A$21:$H$186,8,0),0)</f>
        <v>0</v>
      </c>
      <c r="J1266" s="68">
        <f>-IFERROR(VLOOKUP(C1266,SIRTAC!$A$16:$H$1405,8,0),0)</f>
        <v>-135</v>
      </c>
      <c r="K1266" s="68">
        <f>-IFERROR(VLOOKUP(C1266,Gastos!$A$9:$J$1398,10,0),0)</f>
        <v>-530.54999999999995</v>
      </c>
      <c r="L1266" s="68">
        <f>-IFERROR(VLOOKUP(C1266,IDC!$A$20:$H$1596,8,0),0)</f>
        <v>-81</v>
      </c>
      <c r="M1266" s="74">
        <f t="shared" si="25"/>
        <v>13500</v>
      </c>
    </row>
    <row r="1267" spans="1:13" customFormat="1">
      <c r="A1267" t="s">
        <v>168</v>
      </c>
      <c r="B1267" t="s">
        <v>11</v>
      </c>
      <c r="C1267" s="51">
        <v>139490512936</v>
      </c>
      <c r="D1267" s="1">
        <v>28059.84</v>
      </c>
      <c r="E1267" s="1">
        <v>17848755.280000001</v>
      </c>
      <c r="F1267" t="s">
        <v>1280</v>
      </c>
      <c r="I1267" s="16">
        <f>-IFERROR(VLOOKUP(C1267,SIRCUPA!$A$21:$H$186,8,0),0)</f>
        <v>0</v>
      </c>
      <c r="J1267" s="68">
        <f>-IFERROR(VLOOKUP(C1267,SIRTAC!$A$16:$H$1405,8,0),0)</f>
        <v>-288</v>
      </c>
      <c r="K1267" s="68">
        <f>-IFERROR(VLOOKUP(C1267,Gastos!$A$9:$J$1398,10,0),0)</f>
        <v>-279.36</v>
      </c>
      <c r="L1267" s="68">
        <f>-IFERROR(VLOOKUP(C1267,IDC!$A$20:$H$1596,8,0),0)</f>
        <v>-172.8</v>
      </c>
      <c r="M1267" s="74">
        <f t="shared" si="25"/>
        <v>28800</v>
      </c>
    </row>
    <row r="1268" spans="1:13" customFormat="1">
      <c r="A1268" t="s">
        <v>168</v>
      </c>
      <c r="B1268" t="s">
        <v>11</v>
      </c>
      <c r="C1268" s="51">
        <v>138845223977</v>
      </c>
      <c r="D1268" s="1">
        <v>22847.33</v>
      </c>
      <c r="E1268" s="1">
        <v>17871602.609999999</v>
      </c>
      <c r="F1268" t="s">
        <v>1280</v>
      </c>
      <c r="I1268" s="16">
        <f>-IFERROR(VLOOKUP(C1268,SIRCUPA!$A$21:$H$186,8,0),0)</f>
        <v>0</v>
      </c>
      <c r="J1268" s="68">
        <f>-IFERROR(VLOOKUP(C1268,SIRTAC!$A$16:$H$1405,8,0),0)</f>
        <v>-234.5</v>
      </c>
      <c r="K1268" s="68">
        <f>-IFERROR(VLOOKUP(C1268,Gastos!$A$9:$J$1398,10,0),0)</f>
        <v>-227.47</v>
      </c>
      <c r="L1268" s="68">
        <f>-IFERROR(VLOOKUP(C1268,IDC!$A$20:$H$1596,8,0),0)</f>
        <v>-140.69999999999999</v>
      </c>
      <c r="M1268" s="74">
        <f t="shared" si="25"/>
        <v>23450.000000000004</v>
      </c>
    </row>
    <row r="1269" spans="1:13" customFormat="1">
      <c r="A1269" t="s">
        <v>168</v>
      </c>
      <c r="B1269" t="s">
        <v>11</v>
      </c>
      <c r="C1269" s="51">
        <v>138845587111</v>
      </c>
      <c r="D1269" s="1">
        <v>45110.09</v>
      </c>
      <c r="E1269" s="1">
        <v>17916712.699999999</v>
      </c>
      <c r="F1269" t="s">
        <v>1280</v>
      </c>
      <c r="I1269" s="16">
        <f>-IFERROR(VLOOKUP(C1269,SIRCUPA!$A$21:$H$186,8,0),0)</f>
        <v>0</v>
      </c>
      <c r="J1269" s="68">
        <f>-IFERROR(VLOOKUP(C1269,SIRTAC!$A$16:$H$1405,8,0),0)</f>
        <v>-463</v>
      </c>
      <c r="K1269" s="68">
        <f>-IFERROR(VLOOKUP(C1269,Gastos!$A$9:$J$1398,10,0),0)</f>
        <v>-449.11</v>
      </c>
      <c r="L1269" s="68">
        <f>-IFERROR(VLOOKUP(C1269,IDC!$A$20:$H$1596,8,0),0)</f>
        <v>-277.8</v>
      </c>
      <c r="M1269" s="74">
        <f t="shared" si="25"/>
        <v>46300</v>
      </c>
    </row>
    <row r="1270" spans="1:13" customFormat="1">
      <c r="A1270" t="s">
        <v>168</v>
      </c>
      <c r="B1270" t="s">
        <v>11</v>
      </c>
      <c r="C1270" s="51">
        <v>138846734249</v>
      </c>
      <c r="D1270" s="1">
        <v>16270.81</v>
      </c>
      <c r="E1270" s="1">
        <v>17932983.510000002</v>
      </c>
      <c r="F1270" t="s">
        <v>1280</v>
      </c>
      <c r="I1270" s="16">
        <f>-IFERROR(VLOOKUP(C1270,SIRCUPA!$A$21:$H$186,8,0),0)</f>
        <v>0</v>
      </c>
      <c r="J1270" s="68">
        <f>-IFERROR(VLOOKUP(C1270,SIRTAC!$A$16:$H$1405,8,0),0)</f>
        <v>-167</v>
      </c>
      <c r="K1270" s="68">
        <f>-IFERROR(VLOOKUP(C1270,Gastos!$A$9:$J$1398,10,0),0)</f>
        <v>-161.99</v>
      </c>
      <c r="L1270" s="68">
        <f>-IFERROR(VLOOKUP(C1270,IDC!$A$20:$H$1596,8,0),0)</f>
        <v>-100.2</v>
      </c>
      <c r="M1270" s="74">
        <f t="shared" si="25"/>
        <v>16700</v>
      </c>
    </row>
    <row r="1271" spans="1:13" customFormat="1">
      <c r="A1271" t="s">
        <v>168</v>
      </c>
      <c r="B1271" t="s">
        <v>11</v>
      </c>
      <c r="C1271" s="51">
        <v>139493377384</v>
      </c>
      <c r="D1271" s="1">
        <v>4871.5</v>
      </c>
      <c r="E1271" s="1">
        <v>17938672.469999999</v>
      </c>
      <c r="F1271" t="s">
        <v>1280</v>
      </c>
      <c r="I1271" s="16">
        <f>-IFERROR(VLOOKUP(C1271,SIRCUPA!$A$21:$H$186,8,0),0)</f>
        <v>0</v>
      </c>
      <c r="J1271" s="68">
        <f>-IFERROR(VLOOKUP(C1271,SIRTAC!$A$16:$H$1405,8,0),0)</f>
        <v>-50</v>
      </c>
      <c r="K1271" s="68">
        <f>-IFERROR(VLOOKUP(C1271,Gastos!$A$9:$J$1398,10,0),0)</f>
        <v>-48.5</v>
      </c>
      <c r="L1271" s="68">
        <f>-IFERROR(VLOOKUP(C1271,IDC!$A$20:$H$1596,8,0),0)</f>
        <v>-30</v>
      </c>
      <c r="M1271" s="74">
        <f t="shared" si="25"/>
        <v>5000</v>
      </c>
    </row>
    <row r="1272" spans="1:13" customFormat="1">
      <c r="A1272" t="s">
        <v>168</v>
      </c>
      <c r="B1272" t="s">
        <v>11</v>
      </c>
      <c r="C1272" s="51">
        <v>138847199637</v>
      </c>
      <c r="D1272" s="1">
        <v>4676.6400000000003</v>
      </c>
      <c r="E1272" s="1">
        <v>17943349.109999999</v>
      </c>
      <c r="F1272" t="s">
        <v>1280</v>
      </c>
      <c r="I1272" s="16">
        <f>-IFERROR(VLOOKUP(C1272,SIRCUPA!$A$21:$H$186,8,0),0)</f>
        <v>0</v>
      </c>
      <c r="J1272" s="68">
        <f>-IFERROR(VLOOKUP(C1272,SIRTAC!$A$16:$H$1405,8,0),0)</f>
        <v>-48</v>
      </c>
      <c r="K1272" s="68">
        <f>-IFERROR(VLOOKUP(C1272,Gastos!$A$9:$J$1398,10,0),0)</f>
        <v>-46.56</v>
      </c>
      <c r="L1272" s="68">
        <f>-IFERROR(VLOOKUP(C1272,IDC!$A$20:$H$1596,8,0),0)</f>
        <v>-28.8</v>
      </c>
      <c r="M1272" s="74">
        <f t="shared" si="25"/>
        <v>4800.0000000000009</v>
      </c>
    </row>
    <row r="1273" spans="1:13" customFormat="1">
      <c r="A1273" t="s">
        <v>158</v>
      </c>
      <c r="B1273" t="s">
        <v>161</v>
      </c>
      <c r="C1273" s="51">
        <v>139286484298</v>
      </c>
      <c r="D1273" s="1">
        <v>1610.45</v>
      </c>
      <c r="E1273" s="1">
        <v>17055523.100000001</v>
      </c>
      <c r="F1273" t="s">
        <v>1280</v>
      </c>
      <c r="I1273" s="16">
        <f>-IFERROR(VLOOKUP(C1273,SIRCUPA!$A$21:$H$186,8,0),0)</f>
        <v>-24.68</v>
      </c>
      <c r="J1273" s="68">
        <f>-IFERROR(VLOOKUP(C1273,SIRTAC!$A$16:$H$1405,8,0),0)</f>
        <v>0</v>
      </c>
      <c r="K1273" s="68">
        <f>-IFERROR(VLOOKUP(C1273,Gastos!$A$9:$J$1398,10,0),0)</f>
        <v>0</v>
      </c>
      <c r="L1273" s="68">
        <f>-IFERROR(VLOOKUP(C1273,IDC!$A$20:$H$1596,8,0),0)</f>
        <v>-9.8699999999999992</v>
      </c>
      <c r="M1273" s="74">
        <f t="shared" si="25"/>
        <v>1645</v>
      </c>
    </row>
    <row r="1274" spans="1:13" customFormat="1">
      <c r="A1274" t="s">
        <v>168</v>
      </c>
      <c r="B1274" t="s">
        <v>11</v>
      </c>
      <c r="C1274" s="51">
        <v>138847521569</v>
      </c>
      <c r="D1274" s="1">
        <v>36316</v>
      </c>
      <c r="E1274" s="1">
        <v>17979665.109999999</v>
      </c>
      <c r="F1274" t="s">
        <v>1280</v>
      </c>
      <c r="I1274" s="16">
        <f>-IFERROR(VLOOKUP(C1274,SIRCUPA!$A$21:$H$186,8,0),0)</f>
        <v>0</v>
      </c>
      <c r="J1274" s="68">
        <f>-IFERROR(VLOOKUP(C1274,SIRTAC!$A$16:$H$1405,8,0),0)</f>
        <v>-400</v>
      </c>
      <c r="K1274" s="68">
        <f>-IFERROR(VLOOKUP(C1274,Gastos!$A$9:$J$1398,10,0),0)</f>
        <v>-3044</v>
      </c>
      <c r="L1274" s="68">
        <f>-IFERROR(VLOOKUP(C1274,IDC!$A$20:$H$1596,8,0),0)</f>
        <v>-240</v>
      </c>
      <c r="M1274" s="74">
        <f t="shared" si="25"/>
        <v>40000</v>
      </c>
    </row>
    <row r="1275" spans="1:13" customFormat="1">
      <c r="A1275" t="s">
        <v>168</v>
      </c>
      <c r="B1275" t="s">
        <v>11</v>
      </c>
      <c r="C1275" s="51">
        <v>138848287941</v>
      </c>
      <c r="D1275" s="1">
        <v>44720.37</v>
      </c>
      <c r="E1275" s="1">
        <v>18024385.48</v>
      </c>
      <c r="F1275" t="s">
        <v>1280</v>
      </c>
      <c r="I1275" s="16">
        <f>-IFERROR(VLOOKUP(C1275,SIRCUPA!$A$21:$H$186,8,0),0)</f>
        <v>0</v>
      </c>
      <c r="J1275" s="68">
        <f>-IFERROR(VLOOKUP(C1275,SIRTAC!$A$16:$H$1405,8,0),0)</f>
        <v>-459</v>
      </c>
      <c r="K1275" s="68">
        <f>-IFERROR(VLOOKUP(C1275,Gastos!$A$9:$J$1398,10,0),0)</f>
        <v>-445.23</v>
      </c>
      <c r="L1275" s="68">
        <f>-IFERROR(VLOOKUP(C1275,IDC!$A$20:$H$1596,8,0),0)</f>
        <v>-275.39999999999998</v>
      </c>
      <c r="M1275" s="74">
        <f t="shared" si="25"/>
        <v>45900.000000000007</v>
      </c>
    </row>
    <row r="1276" spans="1:13" customFormat="1">
      <c r="A1276" t="s">
        <v>168</v>
      </c>
      <c r="B1276" t="s">
        <v>11</v>
      </c>
      <c r="C1276" s="51">
        <v>138946899375</v>
      </c>
      <c r="D1276" s="1">
        <v>5358.65</v>
      </c>
      <c r="E1276" s="1">
        <v>11743687.48</v>
      </c>
      <c r="F1276" t="s">
        <v>1280</v>
      </c>
      <c r="I1276" s="16">
        <f>-IFERROR(VLOOKUP(C1276,SIRCUPA!$A$21:$H$186,8,0),0)</f>
        <v>0</v>
      </c>
      <c r="J1276" s="68">
        <f>-IFERROR(VLOOKUP(C1276,SIRTAC!$A$16:$H$1405,8,0),0)</f>
        <v>-55</v>
      </c>
      <c r="K1276" s="68">
        <f>-IFERROR(VLOOKUP(C1276,Gastos!$A$9:$J$1398,10,0),0)</f>
        <v>-53.35</v>
      </c>
      <c r="L1276" s="68">
        <f>-IFERROR(VLOOKUP(C1276,IDC!$A$20:$H$1596,8,0),0)</f>
        <v>-33</v>
      </c>
      <c r="M1276" s="74">
        <f t="shared" si="25"/>
        <v>5500</v>
      </c>
    </row>
    <row r="1277" spans="1:13" customFormat="1">
      <c r="A1277" t="s">
        <v>168</v>
      </c>
      <c r="B1277" t="s">
        <v>11</v>
      </c>
      <c r="C1277" s="51">
        <v>139599090974</v>
      </c>
      <c r="D1277" s="1">
        <v>49934.5</v>
      </c>
      <c r="E1277" s="1">
        <v>11793621.98</v>
      </c>
      <c r="F1277" t="s">
        <v>1280</v>
      </c>
      <c r="I1277" s="16">
        <f>-IFERROR(VLOOKUP(C1277,SIRCUPA!$A$21:$H$186,8,0),0)</f>
        <v>0</v>
      </c>
      <c r="J1277" s="68">
        <f>-IFERROR(VLOOKUP(C1277,SIRTAC!$A$16:$H$1405,8,0),0)</f>
        <v>-550</v>
      </c>
      <c r="K1277" s="68">
        <f>-IFERROR(VLOOKUP(C1277,Gastos!$A$9:$J$1398,10,0),0)</f>
        <v>-4185.5</v>
      </c>
      <c r="L1277" s="68">
        <f>-IFERROR(VLOOKUP(C1277,IDC!$A$20:$H$1596,8,0),0)</f>
        <v>-330</v>
      </c>
      <c r="M1277" s="74">
        <f t="shared" si="25"/>
        <v>55000</v>
      </c>
    </row>
    <row r="1278" spans="1:13" customFormat="1">
      <c r="A1278" t="s">
        <v>168</v>
      </c>
      <c r="B1278" t="s">
        <v>11</v>
      </c>
      <c r="C1278" s="51">
        <v>138959611901</v>
      </c>
      <c r="D1278" s="1">
        <v>13073.76</v>
      </c>
      <c r="E1278" s="1">
        <v>11809387.99</v>
      </c>
      <c r="F1278" t="s">
        <v>1280</v>
      </c>
      <c r="I1278" s="16">
        <f>-IFERROR(VLOOKUP(C1278,SIRCUPA!$A$21:$H$186,8,0),0)</f>
        <v>0</v>
      </c>
      <c r="J1278" s="68">
        <f>-IFERROR(VLOOKUP(C1278,SIRTAC!$A$16:$H$1405,8,0),0)</f>
        <v>-144</v>
      </c>
      <c r="K1278" s="68">
        <f>-IFERROR(VLOOKUP(C1278,Gastos!$A$9:$J$1398,10,0),0)</f>
        <v>-1095.8399999999999</v>
      </c>
      <c r="L1278" s="68">
        <f>-IFERROR(VLOOKUP(C1278,IDC!$A$20:$H$1596,8,0),0)</f>
        <v>-86.4</v>
      </c>
      <c r="M1278" s="74">
        <f t="shared" si="25"/>
        <v>14400</v>
      </c>
    </row>
    <row r="1279" spans="1:13" customFormat="1">
      <c r="A1279" t="s">
        <v>168</v>
      </c>
      <c r="B1279" t="s">
        <v>11</v>
      </c>
      <c r="C1279" s="51">
        <v>138960532407</v>
      </c>
      <c r="D1279" s="1">
        <v>18705.060000000001</v>
      </c>
      <c r="E1279" s="1">
        <v>11828093.050000001</v>
      </c>
      <c r="F1279" t="s">
        <v>1280</v>
      </c>
      <c r="I1279" s="16">
        <f>-IFERROR(VLOOKUP(C1279,SIRCUPA!$A$21:$H$186,8,0),0)</f>
        <v>0</v>
      </c>
      <c r="J1279" s="68">
        <f>-IFERROR(VLOOKUP(C1279,SIRTAC!$A$16:$H$1405,8,0),0)</f>
        <v>-198</v>
      </c>
      <c r="K1279" s="68">
        <f>-IFERROR(VLOOKUP(C1279,Gastos!$A$9:$J$1398,10,0),0)</f>
        <v>-778.14</v>
      </c>
      <c r="L1279" s="68">
        <f>-IFERROR(VLOOKUP(C1279,IDC!$A$20:$H$1596,8,0),0)</f>
        <v>-118.8</v>
      </c>
      <c r="M1279" s="74">
        <f t="shared" si="25"/>
        <v>19800</v>
      </c>
    </row>
    <row r="1280" spans="1:13" customFormat="1">
      <c r="A1280" t="s">
        <v>168</v>
      </c>
      <c r="B1280" t="s">
        <v>11</v>
      </c>
      <c r="C1280" s="51">
        <v>138963343339</v>
      </c>
      <c r="D1280" s="1">
        <v>4357.92</v>
      </c>
      <c r="E1280" s="1">
        <v>11832450.970000001</v>
      </c>
      <c r="F1280" t="s">
        <v>1280</v>
      </c>
      <c r="I1280" s="16">
        <f>-IFERROR(VLOOKUP(C1280,SIRCUPA!$A$21:$H$186,8,0),0)</f>
        <v>0</v>
      </c>
      <c r="J1280" s="68">
        <f>-IFERROR(VLOOKUP(C1280,SIRTAC!$A$16:$H$1405,8,0),0)</f>
        <v>-48</v>
      </c>
      <c r="K1280" s="68">
        <f>-IFERROR(VLOOKUP(C1280,Gastos!$A$9:$J$1398,10,0),0)</f>
        <v>-365.28</v>
      </c>
      <c r="L1280" s="68">
        <f>-IFERROR(VLOOKUP(C1280,IDC!$A$20:$H$1596,8,0),0)</f>
        <v>-28.8</v>
      </c>
      <c r="M1280" s="74">
        <f t="shared" si="25"/>
        <v>4800</v>
      </c>
    </row>
    <row r="1281" spans="1:13" customFormat="1">
      <c r="A1281" t="s">
        <v>168</v>
      </c>
      <c r="B1281" t="s">
        <v>11</v>
      </c>
      <c r="C1281" s="51">
        <v>138963614327</v>
      </c>
      <c r="D1281" s="1">
        <v>34046.25</v>
      </c>
      <c r="E1281" s="1">
        <v>11866497.220000001</v>
      </c>
      <c r="F1281" t="s">
        <v>1280</v>
      </c>
      <c r="I1281" s="16">
        <f>-IFERROR(VLOOKUP(C1281,SIRCUPA!$A$21:$H$186,8,0),0)</f>
        <v>0</v>
      </c>
      <c r="J1281" s="68">
        <f>-IFERROR(VLOOKUP(C1281,SIRTAC!$A$16:$H$1405,8,0),0)</f>
        <v>-375</v>
      </c>
      <c r="K1281" s="68">
        <f>-IFERROR(VLOOKUP(C1281,Gastos!$A$9:$J$1398,10,0),0)</f>
        <v>-2853.75</v>
      </c>
      <c r="L1281" s="68">
        <f>-IFERROR(VLOOKUP(C1281,IDC!$A$20:$H$1596,8,0),0)</f>
        <v>-225</v>
      </c>
      <c r="M1281" s="74">
        <f t="shared" si="25"/>
        <v>37500</v>
      </c>
    </row>
    <row r="1282" spans="1:13" customFormat="1">
      <c r="A1282" t="s">
        <v>168</v>
      </c>
      <c r="B1282" t="s">
        <v>11</v>
      </c>
      <c r="C1282" s="51">
        <v>138965535883</v>
      </c>
      <c r="D1282" s="1">
        <v>9447</v>
      </c>
      <c r="E1282" s="1">
        <v>11875944.220000001</v>
      </c>
      <c r="F1282" t="s">
        <v>1280</v>
      </c>
      <c r="I1282" s="16">
        <f>-IFERROR(VLOOKUP(C1282,SIRCUPA!$A$21:$H$186,8,0),0)</f>
        <v>0</v>
      </c>
      <c r="J1282" s="68">
        <f>-IFERROR(VLOOKUP(C1282,SIRTAC!$A$16:$H$1405,8,0),0)</f>
        <v>-100</v>
      </c>
      <c r="K1282" s="68">
        <f>-IFERROR(VLOOKUP(C1282,Gastos!$A$9:$J$1398,10,0),0)</f>
        <v>-393</v>
      </c>
      <c r="L1282" s="68">
        <f>-IFERROR(VLOOKUP(C1282,IDC!$A$20:$H$1596,8,0),0)</f>
        <v>-60</v>
      </c>
      <c r="M1282" s="74">
        <f t="shared" si="25"/>
        <v>10000</v>
      </c>
    </row>
    <row r="1283" spans="1:13" customFormat="1">
      <c r="A1283" t="s">
        <v>168</v>
      </c>
      <c r="B1283" t="s">
        <v>11</v>
      </c>
      <c r="C1283" s="51">
        <v>138965717981</v>
      </c>
      <c r="D1283" s="1">
        <v>9447</v>
      </c>
      <c r="E1283" s="1">
        <v>11885391.220000001</v>
      </c>
      <c r="F1283" t="s">
        <v>1280</v>
      </c>
      <c r="I1283" s="16">
        <f>-IFERROR(VLOOKUP(C1283,SIRCUPA!$A$21:$H$186,8,0),0)</f>
        <v>0</v>
      </c>
      <c r="J1283" s="68">
        <f>-IFERROR(VLOOKUP(C1283,SIRTAC!$A$16:$H$1405,8,0),0)</f>
        <v>-100</v>
      </c>
      <c r="K1283" s="68">
        <f>-IFERROR(VLOOKUP(C1283,Gastos!$A$9:$J$1398,10,0),0)</f>
        <v>-393</v>
      </c>
      <c r="L1283" s="68">
        <f>-IFERROR(VLOOKUP(C1283,IDC!$A$20:$H$1596,8,0),0)</f>
        <v>-60</v>
      </c>
      <c r="M1283" s="74">
        <f t="shared" si="25"/>
        <v>10000</v>
      </c>
    </row>
    <row r="1284" spans="1:13" customFormat="1">
      <c r="A1284" t="s">
        <v>168</v>
      </c>
      <c r="B1284" t="s">
        <v>11</v>
      </c>
      <c r="C1284" s="51">
        <v>138966237485</v>
      </c>
      <c r="D1284" s="1">
        <v>9069.1200000000008</v>
      </c>
      <c r="E1284" s="1">
        <v>11894460.34</v>
      </c>
      <c r="F1284" t="s">
        <v>1280</v>
      </c>
      <c r="I1284" s="16">
        <f>-IFERROR(VLOOKUP(C1284,SIRCUPA!$A$21:$H$186,8,0),0)</f>
        <v>0</v>
      </c>
      <c r="J1284" s="68">
        <f>-IFERROR(VLOOKUP(C1284,SIRTAC!$A$16:$H$1405,8,0),0)</f>
        <v>-96</v>
      </c>
      <c r="K1284" s="68">
        <f>-IFERROR(VLOOKUP(C1284,Gastos!$A$9:$J$1398,10,0),0)</f>
        <v>-377.28</v>
      </c>
      <c r="L1284" s="68">
        <f>-IFERROR(VLOOKUP(C1284,IDC!$A$20:$H$1596,8,0),0)</f>
        <v>-57.6</v>
      </c>
      <c r="M1284" s="74">
        <f t="shared" si="25"/>
        <v>9600.0000000000018</v>
      </c>
    </row>
    <row r="1285" spans="1:13" customFormat="1">
      <c r="A1285" t="s">
        <v>168</v>
      </c>
      <c r="B1285" t="s">
        <v>11</v>
      </c>
      <c r="C1285" s="51">
        <v>139613303416</v>
      </c>
      <c r="D1285" s="1">
        <v>28254.7</v>
      </c>
      <c r="E1285" s="1">
        <v>11922715.039999999</v>
      </c>
      <c r="F1285" t="s">
        <v>1280</v>
      </c>
      <c r="I1285" s="16">
        <f>-IFERROR(VLOOKUP(C1285,SIRCUPA!$A$21:$H$186,8,0),0)</f>
        <v>0</v>
      </c>
      <c r="J1285" s="68">
        <f>-IFERROR(VLOOKUP(C1285,SIRTAC!$A$16:$H$1405,8,0),0)</f>
        <v>-290</v>
      </c>
      <c r="K1285" s="68">
        <f>-IFERROR(VLOOKUP(C1285,Gastos!$A$9:$J$1398,10,0),0)</f>
        <v>-281.3</v>
      </c>
      <c r="L1285" s="68">
        <f>-IFERROR(VLOOKUP(C1285,IDC!$A$20:$H$1596,8,0),0)</f>
        <v>-174</v>
      </c>
      <c r="M1285" s="74">
        <f t="shared" si="25"/>
        <v>29000</v>
      </c>
    </row>
    <row r="1286" spans="1:13" customFormat="1">
      <c r="A1286" t="s">
        <v>168</v>
      </c>
      <c r="B1286" t="s">
        <v>11</v>
      </c>
      <c r="C1286" s="51">
        <v>138967782947</v>
      </c>
      <c r="D1286" s="1">
        <v>4838.5</v>
      </c>
      <c r="E1286" s="1">
        <v>11927553.539999999</v>
      </c>
      <c r="F1286" t="s">
        <v>1280</v>
      </c>
      <c r="I1286" s="16">
        <f>-IFERROR(VLOOKUP(C1286,SIRCUPA!$A$21:$H$186,8,0),0)</f>
        <v>0</v>
      </c>
      <c r="J1286" s="68">
        <f>-IFERROR(VLOOKUP(C1286,SIRTAC!$A$16:$H$1405,8,0),0)</f>
        <v>-50</v>
      </c>
      <c r="K1286" s="68">
        <f>-IFERROR(VLOOKUP(C1286,Gastos!$A$9:$J$1398,10,0),0)</f>
        <v>-81.5</v>
      </c>
      <c r="L1286" s="68">
        <f>-IFERROR(VLOOKUP(C1286,IDC!$A$20:$H$1596,8,0),0)</f>
        <v>-30</v>
      </c>
      <c r="M1286" s="74">
        <f t="shared" si="25"/>
        <v>5000</v>
      </c>
    </row>
    <row r="1287" spans="1:13" customFormat="1">
      <c r="A1287" t="s">
        <v>168</v>
      </c>
      <c r="B1287" t="s">
        <v>11</v>
      </c>
      <c r="C1287" s="51">
        <v>139615922224</v>
      </c>
      <c r="D1287" s="1">
        <v>20367.62</v>
      </c>
      <c r="E1287" s="1">
        <v>11947921.16</v>
      </c>
      <c r="F1287" t="s">
        <v>1280</v>
      </c>
      <c r="I1287" s="16">
        <f>-IFERROR(VLOOKUP(C1287,SIRCUPA!$A$21:$H$186,8,0),0)</f>
        <v>0</v>
      </c>
      <c r="J1287" s="68">
        <f>-IFERROR(VLOOKUP(C1287,SIRTAC!$A$16:$H$1405,8,0),0)</f>
        <v>-217</v>
      </c>
      <c r="K1287" s="68">
        <f>-IFERROR(VLOOKUP(C1287,Gastos!$A$9:$J$1398,10,0),0)</f>
        <v>-985.18</v>
      </c>
      <c r="L1287" s="68">
        <f>-IFERROR(VLOOKUP(C1287,IDC!$A$20:$H$1596,8,0),0)</f>
        <v>-130.19999999999999</v>
      </c>
      <c r="M1287" s="74">
        <f t="shared" si="25"/>
        <v>21700</v>
      </c>
    </row>
    <row r="1288" spans="1:13" customFormat="1">
      <c r="A1288" t="s">
        <v>168</v>
      </c>
      <c r="B1288" t="s">
        <v>11</v>
      </c>
      <c r="C1288" s="51">
        <v>138969778077</v>
      </c>
      <c r="D1288" s="1">
        <v>57154.35</v>
      </c>
      <c r="E1288" s="1">
        <v>12005075.51</v>
      </c>
      <c r="F1288" t="s">
        <v>1280</v>
      </c>
      <c r="I1288" s="16">
        <f>-IFERROR(VLOOKUP(C1288,SIRCUPA!$A$21:$H$186,8,0),0)</f>
        <v>0</v>
      </c>
      <c r="J1288" s="68">
        <f>-IFERROR(VLOOKUP(C1288,SIRTAC!$A$16:$H$1405,8,0),0)</f>
        <v>-605</v>
      </c>
      <c r="K1288" s="68">
        <f>-IFERROR(VLOOKUP(C1288,Gastos!$A$9:$J$1398,10,0),0)</f>
        <v>-2377.65</v>
      </c>
      <c r="L1288" s="68">
        <f>-IFERROR(VLOOKUP(C1288,IDC!$A$20:$H$1596,8,0),0)</f>
        <v>-363</v>
      </c>
      <c r="M1288" s="74">
        <f t="shared" si="25"/>
        <v>60500</v>
      </c>
    </row>
    <row r="1289" spans="1:13" customFormat="1">
      <c r="A1289" t="s">
        <v>168</v>
      </c>
      <c r="B1289" t="s">
        <v>11</v>
      </c>
      <c r="C1289" s="51">
        <v>139617244154</v>
      </c>
      <c r="D1289" s="1">
        <v>33710.78</v>
      </c>
      <c r="E1289" s="1">
        <v>12038786.289999999</v>
      </c>
      <c r="F1289" t="s">
        <v>1280</v>
      </c>
      <c r="I1289" s="16">
        <f>-IFERROR(VLOOKUP(C1289,SIRCUPA!$A$21:$H$186,8,0),0)</f>
        <v>0</v>
      </c>
      <c r="J1289" s="68">
        <f>-IFERROR(VLOOKUP(C1289,SIRTAC!$A$16:$H$1405,8,0),0)</f>
        <v>-346</v>
      </c>
      <c r="K1289" s="68">
        <f>-IFERROR(VLOOKUP(C1289,Gastos!$A$9:$J$1398,10,0),0)</f>
        <v>-335.62</v>
      </c>
      <c r="L1289" s="68">
        <f>-IFERROR(VLOOKUP(C1289,IDC!$A$20:$H$1596,8,0),0)</f>
        <v>-207.6</v>
      </c>
      <c r="M1289" s="74">
        <f t="shared" si="25"/>
        <v>34600</v>
      </c>
    </row>
    <row r="1290" spans="1:13" customFormat="1">
      <c r="A1290" t="s">
        <v>168</v>
      </c>
      <c r="B1290" t="s">
        <v>11</v>
      </c>
      <c r="C1290" s="51">
        <v>138970709575</v>
      </c>
      <c r="D1290" s="1">
        <v>9743</v>
      </c>
      <c r="E1290" s="1">
        <v>12048529.289999999</v>
      </c>
      <c r="F1290" t="s">
        <v>1280</v>
      </c>
      <c r="I1290" s="16">
        <f>-IFERROR(VLOOKUP(C1290,SIRCUPA!$A$21:$H$186,8,0),0)</f>
        <v>0</v>
      </c>
      <c r="J1290" s="68">
        <f>-IFERROR(VLOOKUP(C1290,SIRTAC!$A$16:$H$1405,8,0),0)</f>
        <v>-100</v>
      </c>
      <c r="K1290" s="68">
        <f>-IFERROR(VLOOKUP(C1290,Gastos!$A$9:$J$1398,10,0),0)</f>
        <v>-97</v>
      </c>
      <c r="L1290" s="68">
        <f>-IFERROR(VLOOKUP(C1290,IDC!$A$20:$H$1596,8,0),0)</f>
        <v>-60</v>
      </c>
      <c r="M1290" s="74">
        <f t="shared" si="25"/>
        <v>10000</v>
      </c>
    </row>
    <row r="1291" spans="1:13" customFormat="1">
      <c r="A1291" t="s">
        <v>168</v>
      </c>
      <c r="B1291" t="s">
        <v>11</v>
      </c>
      <c r="C1291" s="51">
        <v>139618386762</v>
      </c>
      <c r="D1291" s="1">
        <v>37693.53</v>
      </c>
      <c r="E1291" s="1">
        <v>12087201.82</v>
      </c>
      <c r="F1291" t="s">
        <v>1280</v>
      </c>
      <c r="I1291" s="16">
        <f>-IFERROR(VLOOKUP(C1291,SIRCUPA!$A$21:$H$186,8,0),0)</f>
        <v>0</v>
      </c>
      <c r="J1291" s="68">
        <f>-IFERROR(VLOOKUP(C1291,SIRTAC!$A$16:$H$1405,8,0),0)</f>
        <v>-399</v>
      </c>
      <c r="K1291" s="68">
        <f>-IFERROR(VLOOKUP(C1291,Gastos!$A$9:$J$1398,10,0),0)</f>
        <v>-1568.07</v>
      </c>
      <c r="L1291" s="68">
        <f>-IFERROR(VLOOKUP(C1291,IDC!$A$20:$H$1596,8,0),0)</f>
        <v>-239.4</v>
      </c>
      <c r="M1291" s="74">
        <f t="shared" si="25"/>
        <v>39900</v>
      </c>
    </row>
    <row r="1292" spans="1:13" customFormat="1">
      <c r="A1292" t="s">
        <v>158</v>
      </c>
      <c r="B1292" t="s">
        <v>162</v>
      </c>
      <c r="C1292" s="51">
        <v>138644454343</v>
      </c>
      <c r="D1292" s="1">
        <v>3196.43</v>
      </c>
      <c r="E1292" s="1">
        <v>17380799.57</v>
      </c>
      <c r="F1292" t="s">
        <v>1280</v>
      </c>
      <c r="I1292" s="16">
        <f>-IFERROR(VLOOKUP(C1292,SIRCUPA!$A$21:$H$186,8,0),0)</f>
        <v>-48.98</v>
      </c>
      <c r="J1292" s="68">
        <f>-IFERROR(VLOOKUP(C1292,SIRTAC!$A$16:$H$1405,8,0),0)</f>
        <v>0</v>
      </c>
      <c r="K1292" s="68">
        <f>-IFERROR(VLOOKUP(C1292,Gastos!$A$9:$J$1398,10,0),0)</f>
        <v>0</v>
      </c>
      <c r="L1292" s="68">
        <f>-IFERROR(VLOOKUP(C1292,IDC!$A$20:$H$1596,8,0),0)</f>
        <v>-19.59</v>
      </c>
      <c r="M1292" s="74">
        <f t="shared" si="25"/>
        <v>3265</v>
      </c>
    </row>
    <row r="1293" spans="1:13" customFormat="1">
      <c r="A1293" t="s">
        <v>168</v>
      </c>
      <c r="B1293" t="s">
        <v>11</v>
      </c>
      <c r="C1293" s="51">
        <v>139618771272</v>
      </c>
      <c r="D1293" s="1">
        <v>40622.1</v>
      </c>
      <c r="E1293" s="1">
        <v>12127823.92</v>
      </c>
      <c r="F1293" t="s">
        <v>1280</v>
      </c>
      <c r="I1293" s="16">
        <f>-IFERROR(VLOOKUP(C1293,SIRCUPA!$A$21:$H$186,8,0),0)</f>
        <v>0</v>
      </c>
      <c r="J1293" s="68">
        <f>-IFERROR(VLOOKUP(C1293,SIRTAC!$A$16:$H$1405,8,0),0)</f>
        <v>-430</v>
      </c>
      <c r="K1293" s="68">
        <f>-IFERROR(VLOOKUP(C1293,Gastos!$A$9:$J$1398,10,0),0)</f>
        <v>-1689.9</v>
      </c>
      <c r="L1293" s="68">
        <f>-IFERROR(VLOOKUP(C1293,IDC!$A$20:$H$1596,8,0),0)</f>
        <v>-258</v>
      </c>
      <c r="M1293" s="74">
        <f t="shared" si="25"/>
        <v>43000</v>
      </c>
    </row>
    <row r="1294" spans="1:13" customFormat="1">
      <c r="A1294" t="s">
        <v>168</v>
      </c>
      <c r="B1294" t="s">
        <v>11</v>
      </c>
      <c r="C1294" s="51">
        <v>139619856274</v>
      </c>
      <c r="D1294" s="1">
        <v>4838.5</v>
      </c>
      <c r="E1294" s="1">
        <v>12132662.42</v>
      </c>
      <c r="F1294" t="s">
        <v>1280</v>
      </c>
      <c r="I1294" s="16">
        <f>-IFERROR(VLOOKUP(C1294,SIRCUPA!$A$21:$H$186,8,0),0)</f>
        <v>0</v>
      </c>
      <c r="J1294" s="68">
        <f>-IFERROR(VLOOKUP(C1294,SIRTAC!$A$16:$H$1405,8,0),0)</f>
        <v>-50</v>
      </c>
      <c r="K1294" s="68">
        <f>-IFERROR(VLOOKUP(C1294,Gastos!$A$9:$J$1398,10,0),0)</f>
        <v>-81.5</v>
      </c>
      <c r="L1294" s="68">
        <f>-IFERROR(VLOOKUP(C1294,IDC!$A$20:$H$1596,8,0),0)</f>
        <v>-30</v>
      </c>
      <c r="M1294" s="74">
        <f t="shared" si="25"/>
        <v>5000</v>
      </c>
    </row>
    <row r="1295" spans="1:13" customFormat="1">
      <c r="A1295" t="s">
        <v>168</v>
      </c>
      <c r="B1295" t="s">
        <v>11</v>
      </c>
      <c r="C1295" s="51">
        <v>138973548859</v>
      </c>
      <c r="D1295" s="1">
        <v>36731.11</v>
      </c>
      <c r="E1295" s="1">
        <v>12169393.529999999</v>
      </c>
      <c r="F1295" t="s">
        <v>1280</v>
      </c>
      <c r="I1295" s="16">
        <f>-IFERROR(VLOOKUP(C1295,SIRCUPA!$A$21:$H$186,8,0),0)</f>
        <v>0</v>
      </c>
      <c r="J1295" s="68">
        <f>-IFERROR(VLOOKUP(C1295,SIRTAC!$A$16:$H$1405,8,0),0)</f>
        <v>-377</v>
      </c>
      <c r="K1295" s="68">
        <f>-IFERROR(VLOOKUP(C1295,Gastos!$A$9:$J$1398,10,0),0)</f>
        <v>-365.69</v>
      </c>
      <c r="L1295" s="68">
        <f>-IFERROR(VLOOKUP(C1295,IDC!$A$20:$H$1596,8,0),0)</f>
        <v>-226.2</v>
      </c>
      <c r="M1295" s="74">
        <f t="shared" si="25"/>
        <v>37700</v>
      </c>
    </row>
    <row r="1296" spans="1:13" customFormat="1">
      <c r="A1296" t="s">
        <v>164</v>
      </c>
      <c r="B1296" t="s">
        <v>165</v>
      </c>
      <c r="C1296" s="51">
        <v>139480526116</v>
      </c>
      <c r="D1296" s="1">
        <v>2124.4299999999998</v>
      </c>
      <c r="E1296" s="1">
        <v>17384658.77</v>
      </c>
      <c r="F1296" t="s">
        <v>1280</v>
      </c>
      <c r="I1296" s="16">
        <f>-IFERROR(VLOOKUP(C1296,SIRCUPA!$A$21:$H$186,8,0),0)</f>
        <v>-32.549999999999997</v>
      </c>
      <c r="J1296" s="68">
        <f>-IFERROR(VLOOKUP(C1296,SIRTAC!$A$16:$H$1405,8,0),0)</f>
        <v>0</v>
      </c>
      <c r="K1296" s="68">
        <f>-IFERROR(VLOOKUP(C1296,Gastos!$A$9:$J$1398,10,0),0)</f>
        <v>0</v>
      </c>
      <c r="L1296" s="68">
        <f>-IFERROR(VLOOKUP(C1296,IDC!$A$20:$H$1596,8,0),0)</f>
        <v>-13.02</v>
      </c>
      <c r="M1296" s="74">
        <f t="shared" si="25"/>
        <v>2170</v>
      </c>
    </row>
    <row r="1297" spans="1:13" customFormat="1">
      <c r="A1297" t="s">
        <v>168</v>
      </c>
      <c r="B1297" t="s">
        <v>11</v>
      </c>
      <c r="C1297" s="51">
        <v>139620716118</v>
      </c>
      <c r="D1297" s="1">
        <v>8715.84</v>
      </c>
      <c r="E1297" s="1">
        <v>12178109.369999999</v>
      </c>
      <c r="F1297" t="s">
        <v>1280</v>
      </c>
      <c r="I1297" s="16">
        <f>-IFERROR(VLOOKUP(C1297,SIRCUPA!$A$21:$H$186,8,0),0)</f>
        <v>0</v>
      </c>
      <c r="J1297" s="68">
        <f>-IFERROR(VLOOKUP(C1297,SIRTAC!$A$16:$H$1405,8,0),0)</f>
        <v>-96</v>
      </c>
      <c r="K1297" s="68">
        <f>-IFERROR(VLOOKUP(C1297,Gastos!$A$9:$J$1398,10,0),0)</f>
        <v>-730.56</v>
      </c>
      <c r="L1297" s="68">
        <f>-IFERROR(VLOOKUP(C1297,IDC!$A$20:$H$1596,8,0),0)</f>
        <v>-57.6</v>
      </c>
      <c r="M1297" s="74">
        <f t="shared" si="25"/>
        <v>9600</v>
      </c>
    </row>
    <row r="1298" spans="1:13" customFormat="1">
      <c r="A1298" t="s">
        <v>168</v>
      </c>
      <c r="B1298" t="s">
        <v>11</v>
      </c>
      <c r="C1298" s="51">
        <v>139621844894</v>
      </c>
      <c r="D1298" s="1">
        <v>86628.99</v>
      </c>
      <c r="E1298" s="1">
        <v>12264738.359999999</v>
      </c>
      <c r="F1298" t="s">
        <v>1280</v>
      </c>
      <c r="I1298" s="16">
        <f>-IFERROR(VLOOKUP(C1298,SIRCUPA!$A$21:$H$186,8,0),0)</f>
        <v>0</v>
      </c>
      <c r="J1298" s="68">
        <f>-IFERROR(VLOOKUP(C1298,SIRTAC!$A$16:$H$1405,8,0),0)</f>
        <v>-917</v>
      </c>
      <c r="K1298" s="68">
        <f>-IFERROR(VLOOKUP(C1298,Gastos!$A$9:$J$1398,10,0),0)</f>
        <v>-3603.81</v>
      </c>
      <c r="L1298" s="68">
        <f>-IFERROR(VLOOKUP(C1298,IDC!$A$20:$H$1596,8,0),0)</f>
        <v>-550.20000000000005</v>
      </c>
      <c r="M1298" s="74">
        <f t="shared" si="25"/>
        <v>91700</v>
      </c>
    </row>
    <row r="1299" spans="1:13" customFormat="1">
      <c r="A1299" t="s">
        <v>168</v>
      </c>
      <c r="B1299" t="s">
        <v>11</v>
      </c>
      <c r="C1299" s="51">
        <v>138975586959</v>
      </c>
      <c r="D1299" s="1">
        <v>63861.72</v>
      </c>
      <c r="E1299" s="1">
        <v>12328600.08</v>
      </c>
      <c r="F1299" t="s">
        <v>1280</v>
      </c>
      <c r="I1299" s="16">
        <f>-IFERROR(VLOOKUP(C1299,SIRCUPA!$A$21:$H$186,8,0),0)</f>
        <v>0</v>
      </c>
      <c r="J1299" s="68">
        <f>-IFERROR(VLOOKUP(C1299,SIRTAC!$A$16:$H$1405,8,0),0)</f>
        <v>-676</v>
      </c>
      <c r="K1299" s="68">
        <f>-IFERROR(VLOOKUP(C1299,Gastos!$A$9:$J$1398,10,0),0)</f>
        <v>-2656.68</v>
      </c>
      <c r="L1299" s="68">
        <f>-IFERROR(VLOOKUP(C1299,IDC!$A$20:$H$1596,8,0),0)</f>
        <v>-405.6</v>
      </c>
      <c r="M1299" s="74">
        <f t="shared" si="25"/>
        <v>67600</v>
      </c>
    </row>
    <row r="1300" spans="1:13" customFormat="1">
      <c r="A1300" t="s">
        <v>168</v>
      </c>
      <c r="B1300" t="s">
        <v>11</v>
      </c>
      <c r="C1300" s="51">
        <v>139622764004</v>
      </c>
      <c r="D1300" s="1">
        <v>69175.3</v>
      </c>
      <c r="E1300" s="1">
        <v>12397775.380000001</v>
      </c>
      <c r="F1300" t="s">
        <v>1280</v>
      </c>
      <c r="I1300" s="16">
        <f>-IFERROR(VLOOKUP(C1300,SIRCUPA!$A$21:$H$186,8,0),0)</f>
        <v>0</v>
      </c>
      <c r="J1300" s="68">
        <f>-IFERROR(VLOOKUP(C1300,SIRTAC!$A$16:$H$1405,8,0),0)</f>
        <v>-710</v>
      </c>
      <c r="K1300" s="68">
        <f>-IFERROR(VLOOKUP(C1300,Gastos!$A$9:$J$1398,10,0),0)</f>
        <v>-688.7</v>
      </c>
      <c r="L1300" s="68">
        <f>-IFERROR(VLOOKUP(C1300,IDC!$A$20:$H$1596,8,0),0)</f>
        <v>-426</v>
      </c>
      <c r="M1300" s="74">
        <f t="shared" si="25"/>
        <v>71000</v>
      </c>
    </row>
    <row r="1301" spans="1:13" customFormat="1">
      <c r="A1301" t="s">
        <v>168</v>
      </c>
      <c r="B1301" t="s">
        <v>11</v>
      </c>
      <c r="C1301" s="51">
        <v>138976300439</v>
      </c>
      <c r="D1301" s="1">
        <v>105516.69</v>
      </c>
      <c r="E1301" s="1">
        <v>12503292.07</v>
      </c>
      <c r="F1301" t="s">
        <v>1280</v>
      </c>
      <c r="I1301" s="16">
        <f>-IFERROR(VLOOKUP(C1301,SIRCUPA!$A$21:$H$186,8,0),0)</f>
        <v>0</v>
      </c>
      <c r="J1301" s="68">
        <f>-IFERROR(VLOOKUP(C1301,SIRTAC!$A$16:$H$1405,8,0),0)</f>
        <v>-1083</v>
      </c>
      <c r="K1301" s="68">
        <f>-IFERROR(VLOOKUP(C1301,Gastos!$A$9:$J$1398,10,0),0)</f>
        <v>-1050.51</v>
      </c>
      <c r="L1301" s="68">
        <f>-IFERROR(VLOOKUP(C1301,IDC!$A$20:$H$1596,8,0),0)</f>
        <v>-649.79999999999995</v>
      </c>
      <c r="M1301" s="74">
        <f t="shared" si="25"/>
        <v>108300</v>
      </c>
    </row>
    <row r="1302" spans="1:13" customFormat="1">
      <c r="A1302" t="s">
        <v>168</v>
      </c>
      <c r="B1302" t="s">
        <v>11</v>
      </c>
      <c r="C1302" s="51">
        <v>139623660942</v>
      </c>
      <c r="D1302" s="1">
        <v>8378.98</v>
      </c>
      <c r="E1302" s="1">
        <v>12511671.050000001</v>
      </c>
      <c r="F1302" t="s">
        <v>1280</v>
      </c>
      <c r="I1302" s="16">
        <f>-IFERROR(VLOOKUP(C1302,SIRCUPA!$A$21:$H$186,8,0),0)</f>
        <v>0</v>
      </c>
      <c r="J1302" s="68">
        <f>-IFERROR(VLOOKUP(C1302,SIRTAC!$A$16:$H$1405,8,0),0)</f>
        <v>-86</v>
      </c>
      <c r="K1302" s="68">
        <f>-IFERROR(VLOOKUP(C1302,Gastos!$A$9:$J$1398,10,0),0)</f>
        <v>-83.42</v>
      </c>
      <c r="L1302" s="68">
        <f>-IFERROR(VLOOKUP(C1302,IDC!$A$20:$H$1596,8,0),0)</f>
        <v>-51.6</v>
      </c>
      <c r="M1302" s="74">
        <f t="shared" si="25"/>
        <v>8600</v>
      </c>
    </row>
    <row r="1303" spans="1:13" customFormat="1">
      <c r="A1303" t="s">
        <v>164</v>
      </c>
      <c r="B1303" t="s">
        <v>166</v>
      </c>
      <c r="C1303" s="51">
        <v>139485979798</v>
      </c>
      <c r="D1303" s="1">
        <v>2604.14</v>
      </c>
      <c r="E1303" s="1">
        <v>17578974.140000001</v>
      </c>
      <c r="F1303" t="s">
        <v>1280</v>
      </c>
      <c r="I1303" s="16">
        <f>-IFERROR(VLOOKUP(C1303,SIRCUPA!$A$21:$H$186,8,0),0)</f>
        <v>-39.9</v>
      </c>
      <c r="J1303" s="68">
        <f>-IFERROR(VLOOKUP(C1303,SIRTAC!$A$16:$H$1405,8,0),0)</f>
        <v>0</v>
      </c>
      <c r="K1303" s="68">
        <f>-IFERROR(VLOOKUP(C1303,Gastos!$A$9:$J$1398,10,0),0)</f>
        <v>0</v>
      </c>
      <c r="L1303" s="68">
        <f>-IFERROR(VLOOKUP(C1303,IDC!$A$20:$H$1596,8,0),0)</f>
        <v>-15.96</v>
      </c>
      <c r="M1303" s="74">
        <f t="shared" si="25"/>
        <v>2660</v>
      </c>
    </row>
    <row r="1304" spans="1:13" customFormat="1">
      <c r="A1304" t="s">
        <v>171</v>
      </c>
      <c r="B1304" t="s">
        <v>11</v>
      </c>
      <c r="C1304" s="51">
        <v>139624260564</v>
      </c>
      <c r="D1304" s="1">
        <v>9986.9</v>
      </c>
      <c r="E1304" s="1">
        <v>12521657.949999999</v>
      </c>
      <c r="F1304" t="s">
        <v>1280</v>
      </c>
      <c r="I1304" s="16">
        <f>-IFERROR(VLOOKUP(C1304,SIRCUPA!$A$21:$H$186,8,0),0)</f>
        <v>0</v>
      </c>
      <c r="J1304" s="68">
        <f>-IFERROR(VLOOKUP(C1304,SIRTAC!$A$16:$H$1405,8,0),0)</f>
        <v>-110</v>
      </c>
      <c r="K1304" s="68">
        <f>-IFERROR(VLOOKUP(C1304,Gastos!$A$9:$J$1398,10,0),0)</f>
        <v>-837.1</v>
      </c>
      <c r="L1304" s="68">
        <f>-IFERROR(VLOOKUP(C1304,IDC!$A$20:$H$1596,8,0),0)</f>
        <v>-66</v>
      </c>
      <c r="M1304" s="74">
        <f t="shared" si="25"/>
        <v>11000</v>
      </c>
    </row>
    <row r="1305" spans="1:13" customFormat="1">
      <c r="A1305" t="s">
        <v>164</v>
      </c>
      <c r="B1305" t="s">
        <v>167</v>
      </c>
      <c r="C1305" s="51">
        <v>139486139202</v>
      </c>
      <c r="D1305" s="1">
        <v>2051</v>
      </c>
      <c r="E1305" s="1">
        <v>17621848.309999999</v>
      </c>
      <c r="F1305" t="s">
        <v>1280</v>
      </c>
      <c r="I1305" s="16">
        <f>-IFERROR(VLOOKUP(C1305,SIRCUPA!$A$21:$H$186,8,0),0)</f>
        <v>-31.43</v>
      </c>
      <c r="J1305" s="68">
        <f>-IFERROR(VLOOKUP(C1305,SIRTAC!$A$16:$H$1405,8,0),0)</f>
        <v>0</v>
      </c>
      <c r="K1305" s="68">
        <f>-IFERROR(VLOOKUP(C1305,Gastos!$A$9:$J$1398,10,0),0)</f>
        <v>0</v>
      </c>
      <c r="L1305" s="68">
        <f>-IFERROR(VLOOKUP(C1305,IDC!$A$20:$H$1596,8,0),0)</f>
        <v>-12.57</v>
      </c>
      <c r="M1305" s="74">
        <f t="shared" si="25"/>
        <v>2095</v>
      </c>
    </row>
    <row r="1306" spans="1:13" customFormat="1">
      <c r="A1306" t="s">
        <v>171</v>
      </c>
      <c r="B1306" t="s">
        <v>11</v>
      </c>
      <c r="C1306" s="51">
        <v>139625026608</v>
      </c>
      <c r="D1306" s="1">
        <v>50858.46</v>
      </c>
      <c r="E1306" s="1">
        <v>12572516.41</v>
      </c>
      <c r="F1306" t="s">
        <v>1280</v>
      </c>
      <c r="I1306" s="16">
        <f>-IFERROR(VLOOKUP(C1306,SIRCUPA!$A$21:$H$186,8,0),0)</f>
        <v>0</v>
      </c>
      <c r="J1306" s="68">
        <f>-IFERROR(VLOOKUP(C1306,SIRTAC!$A$16:$H$1405,8,0),0)</f>
        <v>-522</v>
      </c>
      <c r="K1306" s="68">
        <f>-IFERROR(VLOOKUP(C1306,Gastos!$A$9:$J$1398,10,0),0)</f>
        <v>-506.34</v>
      </c>
      <c r="L1306" s="68">
        <f>-IFERROR(VLOOKUP(C1306,IDC!$A$20:$H$1596,8,0),0)</f>
        <v>-313.2</v>
      </c>
      <c r="M1306" s="74">
        <f t="shared" si="25"/>
        <v>52199.999999999993</v>
      </c>
    </row>
    <row r="1307" spans="1:13" customFormat="1">
      <c r="A1307" t="s">
        <v>171</v>
      </c>
      <c r="B1307" t="s">
        <v>11</v>
      </c>
      <c r="C1307" s="51">
        <v>138978259553</v>
      </c>
      <c r="D1307" s="1">
        <v>7414.94</v>
      </c>
      <c r="E1307" s="1">
        <v>12579931.35</v>
      </c>
      <c r="F1307" t="s">
        <v>1280</v>
      </c>
      <c r="I1307" s="16">
        <f>-IFERROR(VLOOKUP(C1307,SIRCUPA!$A$21:$H$186,8,0),0)</f>
        <v>0</v>
      </c>
      <c r="J1307" s="68">
        <f>-IFERROR(VLOOKUP(C1307,SIRTAC!$A$16:$H$1405,8,0),0)</f>
        <v>-79</v>
      </c>
      <c r="K1307" s="68">
        <f>-IFERROR(VLOOKUP(C1307,Gastos!$A$9:$J$1398,10,0),0)</f>
        <v>-358.66</v>
      </c>
      <c r="L1307" s="68">
        <f>-IFERROR(VLOOKUP(C1307,IDC!$A$20:$H$1596,8,0),0)</f>
        <v>-47.4</v>
      </c>
      <c r="M1307" s="74">
        <f t="shared" si="25"/>
        <v>7899.9999999999991</v>
      </c>
    </row>
    <row r="1308" spans="1:13" customFormat="1">
      <c r="A1308" t="s">
        <v>171</v>
      </c>
      <c r="B1308" t="s">
        <v>11</v>
      </c>
      <c r="C1308" s="51">
        <v>139625329332</v>
      </c>
      <c r="D1308" s="1">
        <v>64523.01</v>
      </c>
      <c r="E1308" s="1">
        <v>12644454.359999999</v>
      </c>
      <c r="F1308" t="s">
        <v>1280</v>
      </c>
      <c r="I1308" s="16">
        <f>-IFERROR(VLOOKUP(C1308,SIRCUPA!$A$21:$H$186,8,0),0)</f>
        <v>0</v>
      </c>
      <c r="J1308" s="68">
        <f>-IFERROR(VLOOKUP(C1308,SIRTAC!$A$16:$H$1405,8,0),0)</f>
        <v>-683</v>
      </c>
      <c r="K1308" s="68">
        <f>-IFERROR(VLOOKUP(C1308,Gastos!$A$9:$J$1398,10,0),0)</f>
        <v>-2684.19</v>
      </c>
      <c r="L1308" s="68">
        <f>-IFERROR(VLOOKUP(C1308,IDC!$A$20:$H$1596,8,0),0)</f>
        <v>-409.8</v>
      </c>
      <c r="M1308" s="74">
        <f t="shared" si="25"/>
        <v>68300</v>
      </c>
    </row>
    <row r="1309" spans="1:13" customFormat="1">
      <c r="A1309" t="s">
        <v>171</v>
      </c>
      <c r="B1309" t="s">
        <v>11</v>
      </c>
      <c r="C1309" s="51">
        <v>138978844689</v>
      </c>
      <c r="D1309" s="1">
        <v>74241.66</v>
      </c>
      <c r="E1309" s="1">
        <v>12718696.02</v>
      </c>
      <c r="F1309" t="s">
        <v>1280</v>
      </c>
      <c r="I1309" s="16">
        <f>-IFERROR(VLOOKUP(C1309,SIRCUPA!$A$21:$H$186,8,0),0)</f>
        <v>0</v>
      </c>
      <c r="J1309" s="68">
        <f>-IFERROR(VLOOKUP(C1309,SIRTAC!$A$16:$H$1405,8,0),0)</f>
        <v>-762</v>
      </c>
      <c r="K1309" s="68">
        <f>-IFERROR(VLOOKUP(C1309,Gastos!$A$9:$J$1398,10,0),0)</f>
        <v>-739.14</v>
      </c>
      <c r="L1309" s="68">
        <f>-IFERROR(VLOOKUP(C1309,IDC!$A$20:$H$1596,8,0),0)</f>
        <v>-457.2</v>
      </c>
      <c r="M1309" s="74">
        <f t="shared" si="25"/>
        <v>76200</v>
      </c>
    </row>
    <row r="1310" spans="1:13" customFormat="1">
      <c r="A1310" t="s">
        <v>171</v>
      </c>
      <c r="B1310" t="s">
        <v>11</v>
      </c>
      <c r="C1310" s="51">
        <v>138978851547</v>
      </c>
      <c r="D1310" s="1">
        <v>15588.8</v>
      </c>
      <c r="E1310" s="1">
        <v>12734284.82</v>
      </c>
      <c r="F1310" t="s">
        <v>1280</v>
      </c>
      <c r="I1310" s="16">
        <f>-IFERROR(VLOOKUP(C1310,SIRCUPA!$A$21:$H$186,8,0),0)</f>
        <v>0</v>
      </c>
      <c r="J1310" s="68">
        <f>-IFERROR(VLOOKUP(C1310,SIRTAC!$A$16:$H$1405,8,0),0)</f>
        <v>-160</v>
      </c>
      <c r="K1310" s="68">
        <f>-IFERROR(VLOOKUP(C1310,Gastos!$A$9:$J$1398,10,0),0)</f>
        <v>-155.19999999999999</v>
      </c>
      <c r="L1310" s="68">
        <f>-IFERROR(VLOOKUP(C1310,IDC!$A$20:$H$1596,8,0),0)</f>
        <v>-96</v>
      </c>
      <c r="M1310" s="74">
        <f t="shared" si="25"/>
        <v>16000</v>
      </c>
    </row>
    <row r="1311" spans="1:13" customFormat="1">
      <c r="A1311" t="s">
        <v>171</v>
      </c>
      <c r="B1311" t="s">
        <v>11</v>
      </c>
      <c r="C1311" s="51">
        <v>139626692140</v>
      </c>
      <c r="D1311" s="1">
        <v>42284.62</v>
      </c>
      <c r="E1311" s="1">
        <v>12776569.439999999</v>
      </c>
      <c r="F1311" t="s">
        <v>1280</v>
      </c>
      <c r="I1311" s="16">
        <f>-IFERROR(VLOOKUP(C1311,SIRCUPA!$A$21:$H$186,8,0),0)</f>
        <v>0</v>
      </c>
      <c r="J1311" s="68">
        <f>-IFERROR(VLOOKUP(C1311,SIRTAC!$A$16:$H$1405,8,0),0)</f>
        <v>-434</v>
      </c>
      <c r="K1311" s="68">
        <f>-IFERROR(VLOOKUP(C1311,Gastos!$A$9:$J$1398,10,0),0)</f>
        <v>-420.98</v>
      </c>
      <c r="L1311" s="68">
        <f>-IFERROR(VLOOKUP(C1311,IDC!$A$20:$H$1596,8,0),0)</f>
        <v>-260.39999999999998</v>
      </c>
      <c r="M1311" s="74">
        <f t="shared" si="25"/>
        <v>43400.000000000007</v>
      </c>
    </row>
    <row r="1312" spans="1:13" customFormat="1">
      <c r="A1312" t="s">
        <v>171</v>
      </c>
      <c r="B1312" t="s">
        <v>11</v>
      </c>
      <c r="C1312" s="51">
        <v>138979990983</v>
      </c>
      <c r="D1312" s="1">
        <v>76872.27</v>
      </c>
      <c r="E1312" s="1">
        <v>12853441.710000001</v>
      </c>
      <c r="F1312" t="s">
        <v>1280</v>
      </c>
      <c r="I1312" s="16">
        <f>-IFERROR(VLOOKUP(C1312,SIRCUPA!$A$21:$H$186,8,0),0)</f>
        <v>0</v>
      </c>
      <c r="J1312" s="68">
        <f>-IFERROR(VLOOKUP(C1312,SIRTAC!$A$16:$H$1405,8,0),0)</f>
        <v>-789</v>
      </c>
      <c r="K1312" s="68">
        <f>-IFERROR(VLOOKUP(C1312,Gastos!$A$9:$J$1398,10,0),0)</f>
        <v>-765.33</v>
      </c>
      <c r="L1312" s="68">
        <f>-IFERROR(VLOOKUP(C1312,IDC!$A$20:$H$1596,8,0),0)</f>
        <v>-473.4</v>
      </c>
      <c r="M1312" s="74">
        <f t="shared" si="25"/>
        <v>78900</v>
      </c>
    </row>
    <row r="1313" spans="1:13" customFormat="1">
      <c r="A1313" t="s">
        <v>171</v>
      </c>
      <c r="B1313" t="s">
        <v>11</v>
      </c>
      <c r="C1313" s="51">
        <v>139626843748</v>
      </c>
      <c r="D1313" s="1">
        <v>4871.5</v>
      </c>
      <c r="E1313" s="1">
        <v>12858313.210000001</v>
      </c>
      <c r="F1313" t="s">
        <v>1280</v>
      </c>
      <c r="I1313" s="16">
        <f>-IFERROR(VLOOKUP(C1313,SIRCUPA!$A$21:$H$186,8,0),0)</f>
        <v>0</v>
      </c>
      <c r="J1313" s="68">
        <f>-IFERROR(VLOOKUP(C1313,SIRTAC!$A$16:$H$1405,8,0),0)</f>
        <v>-50</v>
      </c>
      <c r="K1313" s="68">
        <f>-IFERROR(VLOOKUP(C1313,Gastos!$A$9:$J$1398,10,0),0)</f>
        <v>-48.5</v>
      </c>
      <c r="L1313" s="68">
        <f>-IFERROR(VLOOKUP(C1313,IDC!$A$20:$H$1596,8,0),0)</f>
        <v>-30</v>
      </c>
      <c r="M1313" s="74">
        <f t="shared" si="25"/>
        <v>5000</v>
      </c>
    </row>
    <row r="1314" spans="1:13" customFormat="1">
      <c r="A1314" t="s">
        <v>171</v>
      </c>
      <c r="B1314" t="s">
        <v>11</v>
      </c>
      <c r="C1314" s="51">
        <v>138980531813</v>
      </c>
      <c r="D1314" s="1">
        <v>11147.46</v>
      </c>
      <c r="E1314" s="1">
        <v>12869460.67</v>
      </c>
      <c r="F1314" t="s">
        <v>1280</v>
      </c>
      <c r="I1314" s="16">
        <f>-IFERROR(VLOOKUP(C1314,SIRCUPA!$A$21:$H$186,8,0),0)</f>
        <v>0</v>
      </c>
      <c r="J1314" s="68">
        <f>-IFERROR(VLOOKUP(C1314,SIRTAC!$A$16:$H$1405,8,0),0)</f>
        <v>-118</v>
      </c>
      <c r="K1314" s="68">
        <f>-IFERROR(VLOOKUP(C1314,Gastos!$A$9:$J$1398,10,0),0)</f>
        <v>-463.74</v>
      </c>
      <c r="L1314" s="68">
        <f>-IFERROR(VLOOKUP(C1314,IDC!$A$20:$H$1596,8,0),0)</f>
        <v>-70.8</v>
      </c>
      <c r="M1314" s="74">
        <f t="shared" si="25"/>
        <v>11799.999999999998</v>
      </c>
    </row>
    <row r="1315" spans="1:13" customFormat="1">
      <c r="A1315" t="s">
        <v>168</v>
      </c>
      <c r="B1315" t="s">
        <v>169</v>
      </c>
      <c r="C1315" s="51">
        <v>138846676695</v>
      </c>
      <c r="D1315">
        <v>817.46</v>
      </c>
      <c r="E1315" s="1">
        <v>17933800.969999999</v>
      </c>
      <c r="F1315" t="s">
        <v>1280</v>
      </c>
      <c r="I1315" s="16">
        <f>-IFERROR(VLOOKUP(C1315,SIRCUPA!$A$21:$H$186,8,0),0)</f>
        <v>-12.53</v>
      </c>
      <c r="J1315" s="68">
        <f>-IFERROR(VLOOKUP(C1315,SIRTAC!$A$16:$H$1405,8,0),0)</f>
        <v>0</v>
      </c>
      <c r="K1315" s="68">
        <f>-IFERROR(VLOOKUP(C1315,Gastos!$A$9:$J$1398,10,0),0)</f>
        <v>0</v>
      </c>
      <c r="L1315" s="68">
        <f>-IFERROR(VLOOKUP(C1315,IDC!$A$20:$H$1596,8,0),0)</f>
        <v>-5.01</v>
      </c>
      <c r="M1315" s="74">
        <f t="shared" si="25"/>
        <v>835</v>
      </c>
    </row>
    <row r="1316" spans="1:13" customFormat="1">
      <c r="A1316" t="s">
        <v>171</v>
      </c>
      <c r="B1316" t="s">
        <v>11</v>
      </c>
      <c r="C1316" s="51">
        <v>138981018173</v>
      </c>
      <c r="D1316" s="1">
        <v>28157.27</v>
      </c>
      <c r="E1316" s="1">
        <v>12897617.939999999</v>
      </c>
      <c r="F1316" t="s">
        <v>1280</v>
      </c>
      <c r="I1316" s="16">
        <f>-IFERROR(VLOOKUP(C1316,SIRCUPA!$A$21:$H$186,8,0),0)</f>
        <v>0</v>
      </c>
      <c r="J1316" s="68">
        <f>-IFERROR(VLOOKUP(C1316,SIRTAC!$A$16:$H$1405,8,0),0)</f>
        <v>-289</v>
      </c>
      <c r="K1316" s="68">
        <f>-IFERROR(VLOOKUP(C1316,Gastos!$A$9:$J$1398,10,0),0)</f>
        <v>-280.33</v>
      </c>
      <c r="L1316" s="68">
        <f>-IFERROR(VLOOKUP(C1316,IDC!$A$20:$H$1596,8,0),0)</f>
        <v>-173.4</v>
      </c>
      <c r="M1316" s="74">
        <f t="shared" si="25"/>
        <v>28900.000000000004</v>
      </c>
    </row>
    <row r="1317" spans="1:13" customFormat="1">
      <c r="A1317" t="s">
        <v>171</v>
      </c>
      <c r="B1317" t="s">
        <v>11</v>
      </c>
      <c r="C1317" s="51">
        <v>139627710518</v>
      </c>
      <c r="D1317" s="1">
        <v>35009.78</v>
      </c>
      <c r="E1317" s="1">
        <v>12932627.720000001</v>
      </c>
      <c r="F1317" t="s">
        <v>1280</v>
      </c>
      <c r="I1317" s="16">
        <f>-IFERROR(VLOOKUP(C1317,SIRCUPA!$A$21:$H$186,8,0),0)</f>
        <v>0</v>
      </c>
      <c r="J1317" s="68">
        <f>-IFERROR(VLOOKUP(C1317,SIRTAC!$A$16:$H$1405,8,0),0)</f>
        <v>-373</v>
      </c>
      <c r="K1317" s="68">
        <f>-IFERROR(VLOOKUP(C1317,Gastos!$A$9:$J$1398,10,0),0)</f>
        <v>-1693.42</v>
      </c>
      <c r="L1317" s="68">
        <f>-IFERROR(VLOOKUP(C1317,IDC!$A$20:$H$1596,8,0),0)</f>
        <v>-223.8</v>
      </c>
      <c r="M1317" s="74">
        <f t="shared" si="25"/>
        <v>37300</v>
      </c>
    </row>
    <row r="1318" spans="1:13" customFormat="1">
      <c r="A1318" t="s">
        <v>171</v>
      </c>
      <c r="B1318" t="s">
        <v>11</v>
      </c>
      <c r="C1318" s="51">
        <v>138981406123</v>
      </c>
      <c r="D1318" s="1">
        <v>30300.73</v>
      </c>
      <c r="E1318" s="1">
        <v>12962928.449999999</v>
      </c>
      <c r="F1318" t="s">
        <v>1280</v>
      </c>
      <c r="I1318" s="16">
        <f>-IFERROR(VLOOKUP(C1318,SIRCUPA!$A$21:$H$186,8,0),0)</f>
        <v>0</v>
      </c>
      <c r="J1318" s="68">
        <f>-IFERROR(VLOOKUP(C1318,SIRTAC!$A$16:$H$1405,8,0),0)</f>
        <v>-311</v>
      </c>
      <c r="K1318" s="68">
        <f>-IFERROR(VLOOKUP(C1318,Gastos!$A$9:$J$1398,10,0),0)</f>
        <v>-301.67</v>
      </c>
      <c r="L1318" s="68">
        <f>-IFERROR(VLOOKUP(C1318,IDC!$A$20:$H$1596,8,0),0)</f>
        <v>-186.6</v>
      </c>
      <c r="M1318" s="74">
        <f t="shared" si="25"/>
        <v>31099.999999999996</v>
      </c>
    </row>
    <row r="1319" spans="1:13" customFormat="1">
      <c r="A1319" t="s">
        <v>171</v>
      </c>
      <c r="B1319" t="s">
        <v>11</v>
      </c>
      <c r="C1319" s="51">
        <v>139628504836</v>
      </c>
      <c r="D1319" s="1">
        <v>9743</v>
      </c>
      <c r="E1319" s="1">
        <v>12972671.449999999</v>
      </c>
      <c r="F1319" t="s">
        <v>1280</v>
      </c>
      <c r="I1319" s="16">
        <f>-IFERROR(VLOOKUP(C1319,SIRCUPA!$A$21:$H$186,8,0),0)</f>
        <v>0</v>
      </c>
      <c r="J1319" s="68">
        <f>-IFERROR(VLOOKUP(C1319,SIRTAC!$A$16:$H$1405,8,0),0)</f>
        <v>-100</v>
      </c>
      <c r="K1319" s="68">
        <f>-IFERROR(VLOOKUP(C1319,Gastos!$A$9:$J$1398,10,0),0)</f>
        <v>-97</v>
      </c>
      <c r="L1319" s="68">
        <f>-IFERROR(VLOOKUP(C1319,IDC!$A$20:$H$1596,8,0),0)</f>
        <v>-60</v>
      </c>
      <c r="M1319" s="74">
        <f t="shared" si="25"/>
        <v>10000</v>
      </c>
    </row>
    <row r="1320" spans="1:13" customFormat="1">
      <c r="A1320" t="s">
        <v>171</v>
      </c>
      <c r="B1320" t="s">
        <v>11</v>
      </c>
      <c r="C1320" s="51">
        <v>139628583816</v>
      </c>
      <c r="D1320" s="1">
        <v>18901.419999999998</v>
      </c>
      <c r="E1320" s="1">
        <v>12991572.869999999</v>
      </c>
      <c r="F1320" t="s">
        <v>1280</v>
      </c>
      <c r="I1320" s="16">
        <f>-IFERROR(VLOOKUP(C1320,SIRCUPA!$A$21:$H$186,8,0),0)</f>
        <v>0</v>
      </c>
      <c r="J1320" s="68">
        <f>-IFERROR(VLOOKUP(C1320,SIRTAC!$A$16:$H$1405,8,0),0)</f>
        <v>-194</v>
      </c>
      <c r="K1320" s="68">
        <f>-IFERROR(VLOOKUP(C1320,Gastos!$A$9:$J$1398,10,0),0)</f>
        <v>-188.18</v>
      </c>
      <c r="L1320" s="68">
        <f>-IFERROR(VLOOKUP(C1320,IDC!$A$20:$H$1596,8,0),0)</f>
        <v>-116.4</v>
      </c>
      <c r="M1320" s="74">
        <f t="shared" ref="M1320:M1383" si="26">+D1320-I1320-J1320-K1320-L1320</f>
        <v>19400</v>
      </c>
    </row>
    <row r="1321" spans="1:13" customFormat="1">
      <c r="A1321" t="s">
        <v>171</v>
      </c>
      <c r="B1321" t="s">
        <v>11</v>
      </c>
      <c r="C1321" s="51">
        <v>138982147639</v>
      </c>
      <c r="D1321" s="1">
        <v>4871.5</v>
      </c>
      <c r="E1321" s="1">
        <v>12996444.369999999</v>
      </c>
      <c r="F1321" t="s">
        <v>1280</v>
      </c>
      <c r="I1321" s="16">
        <f>-IFERROR(VLOOKUP(C1321,SIRCUPA!$A$21:$H$186,8,0),0)</f>
        <v>0</v>
      </c>
      <c r="J1321" s="68">
        <f>-IFERROR(VLOOKUP(C1321,SIRTAC!$A$16:$H$1405,8,0),0)</f>
        <v>-50</v>
      </c>
      <c r="K1321" s="68">
        <f>-IFERROR(VLOOKUP(C1321,Gastos!$A$9:$J$1398,10,0),0)</f>
        <v>-48.5</v>
      </c>
      <c r="L1321" s="68">
        <f>-IFERROR(VLOOKUP(C1321,IDC!$A$20:$H$1596,8,0),0)</f>
        <v>-30</v>
      </c>
      <c r="M1321" s="74">
        <f t="shared" si="26"/>
        <v>5000</v>
      </c>
    </row>
    <row r="1322" spans="1:13" customFormat="1">
      <c r="A1322" t="s">
        <v>171</v>
      </c>
      <c r="B1322" t="s">
        <v>11</v>
      </c>
      <c r="C1322" s="51">
        <v>138982236909</v>
      </c>
      <c r="D1322" s="1">
        <v>5358.65</v>
      </c>
      <c r="E1322" s="1">
        <v>13001803.02</v>
      </c>
      <c r="F1322" t="s">
        <v>1280</v>
      </c>
      <c r="I1322" s="16">
        <f>-IFERROR(VLOOKUP(C1322,SIRCUPA!$A$21:$H$186,8,0),0)</f>
        <v>0</v>
      </c>
      <c r="J1322" s="68">
        <f>-IFERROR(VLOOKUP(C1322,SIRTAC!$A$16:$H$1405,8,0),0)</f>
        <v>-55</v>
      </c>
      <c r="K1322" s="68">
        <f>-IFERROR(VLOOKUP(C1322,Gastos!$A$9:$J$1398,10,0),0)</f>
        <v>-53.35</v>
      </c>
      <c r="L1322" s="68">
        <f>-IFERROR(VLOOKUP(C1322,IDC!$A$20:$H$1596,8,0),0)</f>
        <v>-33</v>
      </c>
      <c r="M1322" s="74">
        <f t="shared" si="26"/>
        <v>5500</v>
      </c>
    </row>
    <row r="1323" spans="1:13" customFormat="1">
      <c r="A1323" t="s">
        <v>171</v>
      </c>
      <c r="B1323" t="s">
        <v>11</v>
      </c>
      <c r="C1323" s="51">
        <v>138982300437</v>
      </c>
      <c r="D1323" s="1">
        <v>5358.65</v>
      </c>
      <c r="E1323" s="1">
        <v>13007161.67</v>
      </c>
      <c r="F1323" t="s">
        <v>1280</v>
      </c>
      <c r="I1323" s="16">
        <f>-IFERROR(VLOOKUP(C1323,SIRCUPA!$A$21:$H$186,8,0),0)</f>
        <v>0</v>
      </c>
      <c r="J1323" s="68">
        <f>-IFERROR(VLOOKUP(C1323,SIRTAC!$A$16:$H$1405,8,0),0)</f>
        <v>-55</v>
      </c>
      <c r="K1323" s="68">
        <f>-IFERROR(VLOOKUP(C1323,Gastos!$A$9:$J$1398,10,0),0)</f>
        <v>-53.35</v>
      </c>
      <c r="L1323" s="68">
        <f>-IFERROR(VLOOKUP(C1323,IDC!$A$20:$H$1596,8,0),0)</f>
        <v>-33</v>
      </c>
      <c r="M1323" s="74">
        <f t="shared" si="26"/>
        <v>5500</v>
      </c>
    </row>
    <row r="1324" spans="1:13" customFormat="1">
      <c r="A1324" t="s">
        <v>171</v>
      </c>
      <c r="B1324" t="s">
        <v>11</v>
      </c>
      <c r="C1324" s="51">
        <v>138982362887</v>
      </c>
      <c r="D1324" s="1">
        <v>4676.6400000000003</v>
      </c>
      <c r="E1324" s="1">
        <v>13011838.310000001</v>
      </c>
      <c r="F1324" t="s">
        <v>1280</v>
      </c>
      <c r="I1324" s="16">
        <f>-IFERROR(VLOOKUP(C1324,SIRCUPA!$A$21:$H$186,8,0),0)</f>
        <v>0</v>
      </c>
      <c r="J1324" s="68">
        <f>-IFERROR(VLOOKUP(C1324,SIRTAC!$A$16:$H$1405,8,0),0)</f>
        <v>-48</v>
      </c>
      <c r="K1324" s="68">
        <f>-IFERROR(VLOOKUP(C1324,Gastos!$A$9:$J$1398,10,0),0)</f>
        <v>-46.56</v>
      </c>
      <c r="L1324" s="68">
        <f>-IFERROR(VLOOKUP(C1324,IDC!$A$20:$H$1596,8,0),0)</f>
        <v>-28.8</v>
      </c>
      <c r="M1324" s="74">
        <f t="shared" si="26"/>
        <v>4800.0000000000009</v>
      </c>
    </row>
    <row r="1325" spans="1:13" customFormat="1">
      <c r="A1325" t="s">
        <v>171</v>
      </c>
      <c r="B1325" t="s">
        <v>11</v>
      </c>
      <c r="C1325" s="51">
        <v>138982602723</v>
      </c>
      <c r="D1325" s="1">
        <v>13445.34</v>
      </c>
      <c r="E1325" s="1">
        <v>13025283.65</v>
      </c>
      <c r="F1325" t="s">
        <v>1280</v>
      </c>
      <c r="I1325" s="16">
        <f>-IFERROR(VLOOKUP(C1325,SIRCUPA!$A$21:$H$186,8,0),0)</f>
        <v>0</v>
      </c>
      <c r="J1325" s="68">
        <f>-IFERROR(VLOOKUP(C1325,SIRTAC!$A$16:$H$1405,8,0),0)</f>
        <v>-138</v>
      </c>
      <c r="K1325" s="68">
        <f>-IFERROR(VLOOKUP(C1325,Gastos!$A$9:$J$1398,10,0),0)</f>
        <v>-133.86000000000001</v>
      </c>
      <c r="L1325" s="68">
        <f>-IFERROR(VLOOKUP(C1325,IDC!$A$20:$H$1596,8,0),0)</f>
        <v>-82.8</v>
      </c>
      <c r="M1325" s="74">
        <f t="shared" si="26"/>
        <v>13800</v>
      </c>
    </row>
    <row r="1326" spans="1:13" customFormat="1">
      <c r="A1326" t="s">
        <v>168</v>
      </c>
      <c r="B1326" t="s">
        <v>93</v>
      </c>
      <c r="C1326" s="51">
        <v>138952390031</v>
      </c>
      <c r="D1326" s="1">
        <v>2692.25</v>
      </c>
      <c r="E1326" s="1">
        <v>11796314.23</v>
      </c>
      <c r="F1326" t="s">
        <v>1280</v>
      </c>
      <c r="I1326" s="16">
        <f>-IFERROR(VLOOKUP(C1326,SIRCUPA!$A$21:$H$186,8,0),0)</f>
        <v>-41.25</v>
      </c>
      <c r="J1326" s="68">
        <f>-IFERROR(VLOOKUP(C1326,SIRTAC!$A$16:$H$1405,8,0),0)</f>
        <v>0</v>
      </c>
      <c r="K1326" s="68">
        <f>-IFERROR(VLOOKUP(C1326,Gastos!$A$9:$J$1398,10,0),0)</f>
        <v>0</v>
      </c>
      <c r="L1326" s="68">
        <f>-IFERROR(VLOOKUP(C1326,IDC!$A$20:$H$1596,8,0),0)</f>
        <v>-16.5</v>
      </c>
      <c r="M1326" s="74">
        <f t="shared" si="26"/>
        <v>2750</v>
      </c>
    </row>
    <row r="1327" spans="1:13" customFormat="1">
      <c r="A1327" t="s">
        <v>171</v>
      </c>
      <c r="B1327" t="s">
        <v>11</v>
      </c>
      <c r="C1327" s="51">
        <v>138982952411</v>
      </c>
      <c r="D1327" s="1">
        <v>4871.5</v>
      </c>
      <c r="E1327" s="1">
        <v>13030155.15</v>
      </c>
      <c r="F1327" t="s">
        <v>1280</v>
      </c>
      <c r="I1327" s="16">
        <f>-IFERROR(VLOOKUP(C1327,SIRCUPA!$A$21:$H$186,8,0),0)</f>
        <v>0</v>
      </c>
      <c r="J1327" s="68">
        <f>-IFERROR(VLOOKUP(C1327,SIRTAC!$A$16:$H$1405,8,0),0)</f>
        <v>-50</v>
      </c>
      <c r="K1327" s="68">
        <f>-IFERROR(VLOOKUP(C1327,Gastos!$A$9:$J$1398,10,0),0)</f>
        <v>-48.5</v>
      </c>
      <c r="L1327" s="68">
        <f>-IFERROR(VLOOKUP(C1327,IDC!$A$20:$H$1596,8,0),0)</f>
        <v>-30</v>
      </c>
      <c r="M1327" s="74">
        <f t="shared" si="26"/>
        <v>5000</v>
      </c>
    </row>
    <row r="1328" spans="1:13" customFormat="1">
      <c r="A1328" t="s">
        <v>171</v>
      </c>
      <c r="B1328" t="s">
        <v>11</v>
      </c>
      <c r="C1328" s="51">
        <v>138982968973</v>
      </c>
      <c r="D1328" s="1">
        <v>29096.76</v>
      </c>
      <c r="E1328" s="1">
        <v>13059251.91</v>
      </c>
      <c r="F1328" t="s">
        <v>1280</v>
      </c>
      <c r="I1328" s="16">
        <f>-IFERROR(VLOOKUP(C1328,SIRCUPA!$A$21:$H$186,8,0),0)</f>
        <v>0</v>
      </c>
      <c r="J1328" s="68">
        <f>-IFERROR(VLOOKUP(C1328,SIRTAC!$A$16:$H$1405,8,0),0)</f>
        <v>-308</v>
      </c>
      <c r="K1328" s="68">
        <f>-IFERROR(VLOOKUP(C1328,Gastos!$A$9:$J$1398,10,0),0)</f>
        <v>-1210.44</v>
      </c>
      <c r="L1328" s="68">
        <f>-IFERROR(VLOOKUP(C1328,IDC!$A$20:$H$1596,8,0),0)</f>
        <v>-184.8</v>
      </c>
      <c r="M1328" s="74">
        <f t="shared" si="26"/>
        <v>30799.999999999996</v>
      </c>
    </row>
    <row r="1329" spans="1:13" customFormat="1">
      <c r="A1329" t="s">
        <v>171</v>
      </c>
      <c r="B1329" t="s">
        <v>11</v>
      </c>
      <c r="C1329" s="51">
        <v>139630051996</v>
      </c>
      <c r="D1329" s="1">
        <v>24649.79</v>
      </c>
      <c r="E1329" s="1">
        <v>13083901.699999999</v>
      </c>
      <c r="F1329" t="s">
        <v>1280</v>
      </c>
      <c r="I1329" s="16">
        <f>-IFERROR(VLOOKUP(C1329,SIRCUPA!$A$21:$H$186,8,0),0)</f>
        <v>0</v>
      </c>
      <c r="J1329" s="68">
        <f>-IFERROR(VLOOKUP(C1329,SIRTAC!$A$16:$H$1405,8,0),0)</f>
        <v>-253</v>
      </c>
      <c r="K1329" s="68">
        <f>-IFERROR(VLOOKUP(C1329,Gastos!$A$9:$J$1398,10,0),0)</f>
        <v>-245.41</v>
      </c>
      <c r="L1329" s="68">
        <f>-IFERROR(VLOOKUP(C1329,IDC!$A$20:$H$1596,8,0),0)</f>
        <v>-151.80000000000001</v>
      </c>
      <c r="M1329" s="74">
        <f t="shared" si="26"/>
        <v>25300</v>
      </c>
    </row>
    <row r="1330" spans="1:13" customFormat="1">
      <c r="A1330" t="s">
        <v>171</v>
      </c>
      <c r="B1330" t="s">
        <v>11</v>
      </c>
      <c r="C1330" s="51">
        <v>139630170634</v>
      </c>
      <c r="D1330" s="1">
        <v>56704.26</v>
      </c>
      <c r="E1330" s="1">
        <v>13140605.960000001</v>
      </c>
      <c r="F1330" t="s">
        <v>1280</v>
      </c>
      <c r="I1330" s="16">
        <f>-IFERROR(VLOOKUP(C1330,SIRCUPA!$A$21:$H$186,8,0),0)</f>
        <v>0</v>
      </c>
      <c r="J1330" s="68">
        <f>-IFERROR(VLOOKUP(C1330,SIRTAC!$A$16:$H$1405,8,0),0)</f>
        <v>-582</v>
      </c>
      <c r="K1330" s="68">
        <f>-IFERROR(VLOOKUP(C1330,Gastos!$A$9:$J$1398,10,0),0)</f>
        <v>-564.54</v>
      </c>
      <c r="L1330" s="68">
        <f>-IFERROR(VLOOKUP(C1330,IDC!$A$20:$H$1596,8,0),0)</f>
        <v>-349.2</v>
      </c>
      <c r="M1330" s="74">
        <f t="shared" si="26"/>
        <v>58200</v>
      </c>
    </row>
    <row r="1331" spans="1:13" customFormat="1">
      <c r="A1331" t="s">
        <v>171</v>
      </c>
      <c r="B1331" t="s">
        <v>11</v>
      </c>
      <c r="C1331" s="51">
        <v>139630137722</v>
      </c>
      <c r="D1331" s="1">
        <v>56304.12</v>
      </c>
      <c r="E1331" s="1">
        <v>13196910.08</v>
      </c>
      <c r="F1331" t="s">
        <v>1280</v>
      </c>
      <c r="I1331" s="16">
        <f>-IFERROR(VLOOKUP(C1331,SIRCUPA!$A$21:$H$186,8,0),0)</f>
        <v>0</v>
      </c>
      <c r="J1331" s="68">
        <f>-IFERROR(VLOOKUP(C1331,SIRTAC!$A$16:$H$1405,8,0),0)</f>
        <v>-596</v>
      </c>
      <c r="K1331" s="68">
        <f>-IFERROR(VLOOKUP(C1331,Gastos!$A$9:$J$1398,10,0),0)</f>
        <v>-2342.2800000000002</v>
      </c>
      <c r="L1331" s="68">
        <f>-IFERROR(VLOOKUP(C1331,IDC!$A$20:$H$1596,8,0),0)</f>
        <v>-357.6</v>
      </c>
      <c r="M1331" s="74">
        <f t="shared" si="26"/>
        <v>59600</v>
      </c>
    </row>
    <row r="1332" spans="1:13" customFormat="1">
      <c r="A1332" t="s">
        <v>171</v>
      </c>
      <c r="B1332" t="s">
        <v>11</v>
      </c>
      <c r="C1332" s="51">
        <v>139630171806</v>
      </c>
      <c r="D1332" s="1">
        <v>5358.65</v>
      </c>
      <c r="E1332" s="1">
        <v>13202268.73</v>
      </c>
      <c r="F1332" t="s">
        <v>1280</v>
      </c>
      <c r="I1332" s="16">
        <f>-IFERROR(VLOOKUP(C1332,SIRCUPA!$A$21:$H$186,8,0),0)</f>
        <v>0</v>
      </c>
      <c r="J1332" s="68">
        <f>-IFERROR(VLOOKUP(C1332,SIRTAC!$A$16:$H$1405,8,0),0)</f>
        <v>-55</v>
      </c>
      <c r="K1332" s="68">
        <f>-IFERROR(VLOOKUP(C1332,Gastos!$A$9:$J$1398,10,0),0)</f>
        <v>-53.35</v>
      </c>
      <c r="L1332" s="68">
        <f>-IFERROR(VLOOKUP(C1332,IDC!$A$20:$H$1596,8,0),0)</f>
        <v>-33</v>
      </c>
      <c r="M1332" s="74">
        <f t="shared" si="26"/>
        <v>5500</v>
      </c>
    </row>
    <row r="1333" spans="1:13" customFormat="1">
      <c r="A1333" t="s">
        <v>171</v>
      </c>
      <c r="B1333" t="s">
        <v>11</v>
      </c>
      <c r="C1333" s="51">
        <v>138983545497</v>
      </c>
      <c r="D1333" s="1">
        <v>34977.370000000003</v>
      </c>
      <c r="E1333" s="1">
        <v>13237515.32</v>
      </c>
      <c r="F1333" t="s">
        <v>1280</v>
      </c>
      <c r="I1333" s="16">
        <f>-IFERROR(VLOOKUP(C1333,SIRCUPA!$A$21:$H$186,8,0),0)</f>
        <v>0</v>
      </c>
      <c r="J1333" s="68">
        <f>-IFERROR(VLOOKUP(C1333,SIRTAC!$A$16:$H$1405,8,0),0)</f>
        <v>-359</v>
      </c>
      <c r="K1333" s="68">
        <f>-IFERROR(VLOOKUP(C1333,Gastos!$A$9:$J$1398,10,0),0)</f>
        <v>-348.23</v>
      </c>
      <c r="L1333" s="68">
        <f>-IFERROR(VLOOKUP(C1333,IDC!$A$20:$H$1596,8,0),0)</f>
        <v>-215.4</v>
      </c>
      <c r="M1333" s="74">
        <f t="shared" si="26"/>
        <v>35900.000000000007</v>
      </c>
    </row>
    <row r="1334" spans="1:13" customFormat="1">
      <c r="A1334" t="s">
        <v>171</v>
      </c>
      <c r="B1334" t="s">
        <v>11</v>
      </c>
      <c r="C1334" s="51">
        <v>139630576538</v>
      </c>
      <c r="D1334" s="1">
        <v>4871.5</v>
      </c>
      <c r="E1334" s="1">
        <v>13242386.82</v>
      </c>
      <c r="F1334" t="s">
        <v>1280</v>
      </c>
      <c r="I1334" s="16">
        <f>-IFERROR(VLOOKUP(C1334,SIRCUPA!$A$21:$H$186,8,0),0)</f>
        <v>0</v>
      </c>
      <c r="J1334" s="68">
        <f>-IFERROR(VLOOKUP(C1334,SIRTAC!$A$16:$H$1405,8,0),0)</f>
        <v>-50</v>
      </c>
      <c r="K1334" s="68">
        <f>-IFERROR(VLOOKUP(C1334,Gastos!$A$9:$J$1398,10,0),0)</f>
        <v>-48.5</v>
      </c>
      <c r="L1334" s="68">
        <f>-IFERROR(VLOOKUP(C1334,IDC!$A$20:$H$1596,8,0),0)</f>
        <v>-30</v>
      </c>
      <c r="M1334" s="74">
        <f t="shared" si="26"/>
        <v>5000</v>
      </c>
    </row>
    <row r="1335" spans="1:13" customFormat="1">
      <c r="A1335" t="s">
        <v>171</v>
      </c>
      <c r="B1335" t="s">
        <v>11</v>
      </c>
      <c r="C1335" s="51">
        <v>139630636244</v>
      </c>
      <c r="D1335" s="1">
        <v>4676.6400000000003</v>
      </c>
      <c r="E1335" s="1">
        <v>13247063.460000001</v>
      </c>
      <c r="F1335" t="s">
        <v>1280</v>
      </c>
      <c r="I1335" s="16">
        <f>-IFERROR(VLOOKUP(C1335,SIRCUPA!$A$21:$H$186,8,0),0)</f>
        <v>0</v>
      </c>
      <c r="J1335" s="68">
        <f>-IFERROR(VLOOKUP(C1335,SIRTAC!$A$16:$H$1405,8,0),0)</f>
        <v>-48</v>
      </c>
      <c r="K1335" s="68">
        <f>-IFERROR(VLOOKUP(C1335,Gastos!$A$9:$J$1398,10,0),0)</f>
        <v>-46.56</v>
      </c>
      <c r="L1335" s="68">
        <f>-IFERROR(VLOOKUP(C1335,IDC!$A$20:$H$1596,8,0),0)</f>
        <v>-28.8</v>
      </c>
      <c r="M1335" s="74">
        <f t="shared" si="26"/>
        <v>4800.0000000000009</v>
      </c>
    </row>
    <row r="1336" spans="1:13" customFormat="1">
      <c r="A1336" t="s">
        <v>171</v>
      </c>
      <c r="B1336" t="s">
        <v>11</v>
      </c>
      <c r="C1336" s="51">
        <v>139630821520</v>
      </c>
      <c r="D1336" s="1">
        <v>51832.76</v>
      </c>
      <c r="E1336" s="1">
        <v>13298896.220000001</v>
      </c>
      <c r="F1336" t="s">
        <v>1280</v>
      </c>
      <c r="I1336" s="16">
        <f>-IFERROR(VLOOKUP(C1336,SIRCUPA!$A$21:$H$186,8,0),0)</f>
        <v>0</v>
      </c>
      <c r="J1336" s="68">
        <f>-IFERROR(VLOOKUP(C1336,SIRTAC!$A$16:$H$1405,8,0),0)</f>
        <v>-532</v>
      </c>
      <c r="K1336" s="68">
        <f>-IFERROR(VLOOKUP(C1336,Gastos!$A$9:$J$1398,10,0),0)</f>
        <v>-516.04</v>
      </c>
      <c r="L1336" s="68">
        <f>-IFERROR(VLOOKUP(C1336,IDC!$A$20:$H$1596,8,0),0)</f>
        <v>-319.2</v>
      </c>
      <c r="M1336" s="74">
        <f t="shared" si="26"/>
        <v>53200</v>
      </c>
    </row>
    <row r="1337" spans="1:13" customFormat="1">
      <c r="A1337" t="s">
        <v>171</v>
      </c>
      <c r="B1337" t="s">
        <v>11</v>
      </c>
      <c r="C1337" s="51">
        <v>138984089477</v>
      </c>
      <c r="D1337" s="1">
        <v>14029.92</v>
      </c>
      <c r="E1337" s="1">
        <v>13312926.140000001</v>
      </c>
      <c r="F1337" t="s">
        <v>1280</v>
      </c>
      <c r="I1337" s="16">
        <f>-IFERROR(VLOOKUP(C1337,SIRCUPA!$A$21:$H$186,8,0),0)</f>
        <v>0</v>
      </c>
      <c r="J1337" s="68">
        <f>-IFERROR(VLOOKUP(C1337,SIRTAC!$A$16:$H$1405,8,0),0)</f>
        <v>-144</v>
      </c>
      <c r="K1337" s="68">
        <f>-IFERROR(VLOOKUP(C1337,Gastos!$A$9:$J$1398,10,0),0)</f>
        <v>-139.68</v>
      </c>
      <c r="L1337" s="68">
        <f>-IFERROR(VLOOKUP(C1337,IDC!$A$20:$H$1596,8,0),0)</f>
        <v>-86.4</v>
      </c>
      <c r="M1337" s="74">
        <f t="shared" si="26"/>
        <v>14400</v>
      </c>
    </row>
    <row r="1338" spans="1:13" customFormat="1">
      <c r="A1338" t="s">
        <v>171</v>
      </c>
      <c r="B1338" t="s">
        <v>11</v>
      </c>
      <c r="C1338" s="51">
        <v>138984279097</v>
      </c>
      <c r="D1338" s="1">
        <v>19354</v>
      </c>
      <c r="E1338" s="1">
        <v>13332985.02</v>
      </c>
      <c r="F1338" t="s">
        <v>1280</v>
      </c>
      <c r="I1338" s="16">
        <f>-IFERROR(VLOOKUP(C1338,SIRCUPA!$A$21:$H$186,8,0),0)</f>
        <v>0</v>
      </c>
      <c r="J1338" s="68">
        <f>-IFERROR(VLOOKUP(C1338,SIRTAC!$A$16:$H$1405,8,0),0)</f>
        <v>-200</v>
      </c>
      <c r="K1338" s="68">
        <f>-IFERROR(VLOOKUP(C1338,Gastos!$A$9:$J$1398,10,0),0)</f>
        <v>-326</v>
      </c>
      <c r="L1338" s="68">
        <f>-IFERROR(VLOOKUP(C1338,IDC!$A$20:$H$1596,8,0),0)</f>
        <v>-120</v>
      </c>
      <c r="M1338" s="74">
        <f t="shared" si="26"/>
        <v>20000</v>
      </c>
    </row>
    <row r="1339" spans="1:13" customFormat="1">
      <c r="A1339" t="s">
        <v>171</v>
      </c>
      <c r="B1339" t="s">
        <v>11</v>
      </c>
      <c r="C1339" s="51">
        <v>139631095712</v>
      </c>
      <c r="D1339" s="1">
        <v>121202.92</v>
      </c>
      <c r="E1339" s="1">
        <v>13454187.939999999</v>
      </c>
      <c r="F1339" t="s">
        <v>1280</v>
      </c>
      <c r="I1339" s="16">
        <f>-IFERROR(VLOOKUP(C1339,SIRCUPA!$A$21:$H$186,8,0),0)</f>
        <v>0</v>
      </c>
      <c r="J1339" s="68">
        <f>-IFERROR(VLOOKUP(C1339,SIRTAC!$A$16:$H$1405,8,0),0)</f>
        <v>-1244</v>
      </c>
      <c r="K1339" s="68">
        <f>-IFERROR(VLOOKUP(C1339,Gastos!$A$9:$J$1398,10,0),0)</f>
        <v>-1206.68</v>
      </c>
      <c r="L1339" s="68">
        <f>-IFERROR(VLOOKUP(C1339,IDC!$A$20:$H$1596,8,0),0)</f>
        <v>-746.4</v>
      </c>
      <c r="M1339" s="74">
        <f t="shared" si="26"/>
        <v>124399.99999999999</v>
      </c>
    </row>
    <row r="1340" spans="1:13" customFormat="1">
      <c r="A1340" t="s">
        <v>168</v>
      </c>
      <c r="B1340" t="s">
        <v>170</v>
      </c>
      <c r="C1340" s="51">
        <v>139617382916</v>
      </c>
      <c r="D1340">
        <v>979</v>
      </c>
      <c r="E1340" s="1">
        <v>12049508.289999999</v>
      </c>
      <c r="F1340" t="s">
        <v>1280</v>
      </c>
      <c r="I1340" s="16">
        <f>-IFERROR(VLOOKUP(C1340,SIRCUPA!$A$21:$H$186,8,0),0)</f>
        <v>-15</v>
      </c>
      <c r="J1340" s="68">
        <f>-IFERROR(VLOOKUP(C1340,SIRTAC!$A$16:$H$1405,8,0),0)</f>
        <v>0</v>
      </c>
      <c r="K1340" s="68">
        <f>-IFERROR(VLOOKUP(C1340,Gastos!$A$9:$J$1398,10,0),0)</f>
        <v>0</v>
      </c>
      <c r="L1340" s="68">
        <f>-IFERROR(VLOOKUP(C1340,IDC!$A$20:$H$1596,8,0),0)</f>
        <v>-6</v>
      </c>
      <c r="M1340" s="74">
        <f t="shared" si="26"/>
        <v>1000</v>
      </c>
    </row>
    <row r="1341" spans="1:13" customFormat="1">
      <c r="A1341" t="s">
        <v>171</v>
      </c>
      <c r="B1341" t="s">
        <v>11</v>
      </c>
      <c r="C1341" s="51">
        <v>139631277772</v>
      </c>
      <c r="D1341" s="1">
        <v>68103.570000000007</v>
      </c>
      <c r="E1341" s="1">
        <v>13522291.51</v>
      </c>
      <c r="F1341" t="s">
        <v>1280</v>
      </c>
      <c r="I1341" s="16">
        <f>-IFERROR(VLOOKUP(C1341,SIRCUPA!$A$21:$H$186,8,0),0)</f>
        <v>0</v>
      </c>
      <c r="J1341" s="68">
        <f>-IFERROR(VLOOKUP(C1341,SIRTAC!$A$16:$H$1405,8,0),0)</f>
        <v>-699</v>
      </c>
      <c r="K1341" s="68">
        <f>-IFERROR(VLOOKUP(C1341,Gastos!$A$9:$J$1398,10,0),0)</f>
        <v>-678.03</v>
      </c>
      <c r="L1341" s="68">
        <f>-IFERROR(VLOOKUP(C1341,IDC!$A$20:$H$1596,8,0),0)</f>
        <v>-419.4</v>
      </c>
      <c r="M1341" s="74">
        <f t="shared" si="26"/>
        <v>69900</v>
      </c>
    </row>
    <row r="1342" spans="1:13" customFormat="1">
      <c r="A1342" t="s">
        <v>171</v>
      </c>
      <c r="B1342" t="s">
        <v>11</v>
      </c>
      <c r="C1342" s="51">
        <v>138984795275</v>
      </c>
      <c r="D1342" s="1">
        <v>53586.5</v>
      </c>
      <c r="E1342" s="1">
        <v>13575878.01</v>
      </c>
      <c r="F1342" t="s">
        <v>1280</v>
      </c>
      <c r="I1342" s="16">
        <f>-IFERROR(VLOOKUP(C1342,SIRCUPA!$A$21:$H$186,8,0),0)</f>
        <v>0</v>
      </c>
      <c r="J1342" s="68">
        <f>-IFERROR(VLOOKUP(C1342,SIRTAC!$A$16:$H$1405,8,0),0)</f>
        <v>-550</v>
      </c>
      <c r="K1342" s="68">
        <f>-IFERROR(VLOOKUP(C1342,Gastos!$A$9:$J$1398,10,0),0)</f>
        <v>-533.5</v>
      </c>
      <c r="L1342" s="68">
        <f>-IFERROR(VLOOKUP(C1342,IDC!$A$20:$H$1596,8,0),0)</f>
        <v>-330</v>
      </c>
      <c r="M1342" s="74">
        <f t="shared" si="26"/>
        <v>55000</v>
      </c>
    </row>
    <row r="1343" spans="1:13" customFormat="1">
      <c r="A1343" t="s">
        <v>171</v>
      </c>
      <c r="B1343" t="s">
        <v>11</v>
      </c>
      <c r="C1343" s="51">
        <v>138984902535</v>
      </c>
      <c r="D1343" s="1">
        <v>23480.63</v>
      </c>
      <c r="E1343" s="1">
        <v>13599358.640000001</v>
      </c>
      <c r="F1343" t="s">
        <v>1280</v>
      </c>
      <c r="I1343" s="16">
        <f>-IFERROR(VLOOKUP(C1343,SIRCUPA!$A$21:$H$186,8,0),0)</f>
        <v>0</v>
      </c>
      <c r="J1343" s="68">
        <f>-IFERROR(VLOOKUP(C1343,SIRTAC!$A$16:$H$1405,8,0),0)</f>
        <v>-241</v>
      </c>
      <c r="K1343" s="68">
        <f>-IFERROR(VLOOKUP(C1343,Gastos!$A$9:$J$1398,10,0),0)</f>
        <v>-233.77</v>
      </c>
      <c r="L1343" s="68">
        <f>-IFERROR(VLOOKUP(C1343,IDC!$A$20:$H$1596,8,0),0)</f>
        <v>-144.6</v>
      </c>
      <c r="M1343" s="74">
        <f t="shared" si="26"/>
        <v>24100</v>
      </c>
    </row>
    <row r="1344" spans="1:13" customFormat="1">
      <c r="A1344" t="s">
        <v>171</v>
      </c>
      <c r="B1344" t="s">
        <v>11</v>
      </c>
      <c r="C1344" s="51">
        <v>139631549822</v>
      </c>
      <c r="D1344" s="1">
        <v>4871.5</v>
      </c>
      <c r="E1344" s="1">
        <v>13604230.140000001</v>
      </c>
      <c r="F1344" t="s">
        <v>1280</v>
      </c>
      <c r="I1344" s="16">
        <f>-IFERROR(VLOOKUP(C1344,SIRCUPA!$A$21:$H$186,8,0),0)</f>
        <v>0</v>
      </c>
      <c r="J1344" s="68">
        <f>-IFERROR(VLOOKUP(C1344,SIRTAC!$A$16:$H$1405,8,0),0)</f>
        <v>-50</v>
      </c>
      <c r="K1344" s="68">
        <f>-IFERROR(VLOOKUP(C1344,Gastos!$A$9:$J$1398,10,0),0)</f>
        <v>-48.5</v>
      </c>
      <c r="L1344" s="68">
        <f>-IFERROR(VLOOKUP(C1344,IDC!$A$20:$H$1596,8,0),0)</f>
        <v>-30</v>
      </c>
      <c r="M1344" s="74">
        <f t="shared" si="26"/>
        <v>5000</v>
      </c>
    </row>
    <row r="1345" spans="1:13" customFormat="1">
      <c r="A1345" t="s">
        <v>171</v>
      </c>
      <c r="B1345" t="s">
        <v>11</v>
      </c>
      <c r="C1345" s="51">
        <v>139063218521</v>
      </c>
      <c r="D1345" s="1">
        <v>20460.3</v>
      </c>
      <c r="E1345" s="1">
        <v>13624690.439999999</v>
      </c>
      <c r="F1345" t="s">
        <v>1280</v>
      </c>
      <c r="I1345" s="16">
        <f>-IFERROR(VLOOKUP(C1345,SIRCUPA!$A$21:$H$186,8,0),0)</f>
        <v>0</v>
      </c>
      <c r="J1345" s="68">
        <f>-IFERROR(VLOOKUP(C1345,SIRTAC!$A$16:$H$1405,8,0),0)</f>
        <v>-210</v>
      </c>
      <c r="K1345" s="68">
        <f>-IFERROR(VLOOKUP(C1345,Gastos!$A$9:$J$1398,10,0),0)</f>
        <v>-203.7</v>
      </c>
      <c r="L1345" s="68">
        <f>-IFERROR(VLOOKUP(C1345,IDC!$A$20:$H$1596,8,0),0)</f>
        <v>-126</v>
      </c>
      <c r="M1345" s="74">
        <f t="shared" si="26"/>
        <v>21000</v>
      </c>
    </row>
    <row r="1346" spans="1:13" customFormat="1">
      <c r="A1346" t="s">
        <v>171</v>
      </c>
      <c r="B1346" t="s">
        <v>11</v>
      </c>
      <c r="C1346" s="51">
        <v>139072847851</v>
      </c>
      <c r="D1346" s="1">
        <v>4358</v>
      </c>
      <c r="E1346" s="1">
        <v>13629048.439999999</v>
      </c>
      <c r="F1346" t="s">
        <v>1280</v>
      </c>
      <c r="I1346" s="16">
        <f>-IFERROR(VLOOKUP(C1346,SIRCUPA!$A$21:$H$186,8,0),0)</f>
        <v>0</v>
      </c>
      <c r="J1346" s="68">
        <f>-IFERROR(VLOOKUP(C1346,SIRTAC!$A$16:$H$1405,8,0),0)</f>
        <v>-50</v>
      </c>
      <c r="K1346" s="68">
        <f>-IFERROR(VLOOKUP(C1346,Gastos!$A$9:$J$1398,10,0),0)</f>
        <v>-562</v>
      </c>
      <c r="L1346" s="68">
        <f>-IFERROR(VLOOKUP(C1346,IDC!$A$20:$H$1596,8,0),0)</f>
        <v>-30</v>
      </c>
      <c r="M1346" s="74">
        <f t="shared" si="26"/>
        <v>5000</v>
      </c>
    </row>
    <row r="1347" spans="1:13" customFormat="1">
      <c r="A1347" t="s">
        <v>171</v>
      </c>
      <c r="B1347" t="s">
        <v>11</v>
      </c>
      <c r="C1347" s="51">
        <v>139720219596</v>
      </c>
      <c r="D1347" s="1">
        <v>9353.2800000000007</v>
      </c>
      <c r="E1347" s="1">
        <v>13638401.720000001</v>
      </c>
      <c r="F1347" t="s">
        <v>1280</v>
      </c>
      <c r="I1347" s="16">
        <f>-IFERROR(VLOOKUP(C1347,SIRCUPA!$A$21:$H$186,8,0),0)</f>
        <v>0</v>
      </c>
      <c r="J1347" s="68">
        <f>-IFERROR(VLOOKUP(C1347,SIRTAC!$A$16:$H$1405,8,0),0)</f>
        <v>-96</v>
      </c>
      <c r="K1347" s="68">
        <f>-IFERROR(VLOOKUP(C1347,Gastos!$A$9:$J$1398,10,0),0)</f>
        <v>-93.12</v>
      </c>
      <c r="L1347" s="68">
        <f>-IFERROR(VLOOKUP(C1347,IDC!$A$20:$H$1596,8,0),0)</f>
        <v>-57.6</v>
      </c>
      <c r="M1347" s="74">
        <f t="shared" si="26"/>
        <v>9600.0000000000018</v>
      </c>
    </row>
    <row r="1348" spans="1:13" customFormat="1">
      <c r="A1348" t="s">
        <v>171</v>
      </c>
      <c r="B1348" t="s">
        <v>11</v>
      </c>
      <c r="C1348" s="51">
        <v>139073157963</v>
      </c>
      <c r="D1348" s="1">
        <v>11496.74</v>
      </c>
      <c r="E1348" s="1">
        <v>13649898.460000001</v>
      </c>
      <c r="F1348" t="s">
        <v>1280</v>
      </c>
      <c r="I1348" s="16">
        <f>-IFERROR(VLOOKUP(C1348,SIRCUPA!$A$21:$H$186,8,0),0)</f>
        <v>0</v>
      </c>
      <c r="J1348" s="68">
        <f>-IFERROR(VLOOKUP(C1348,SIRTAC!$A$16:$H$1405,8,0),0)</f>
        <v>-118</v>
      </c>
      <c r="K1348" s="68">
        <f>-IFERROR(VLOOKUP(C1348,Gastos!$A$9:$J$1398,10,0),0)</f>
        <v>-114.46</v>
      </c>
      <c r="L1348" s="68">
        <f>-IFERROR(VLOOKUP(C1348,IDC!$A$20:$H$1596,8,0),0)</f>
        <v>-70.8</v>
      </c>
      <c r="M1348" s="74">
        <f t="shared" si="26"/>
        <v>11799.999999999998</v>
      </c>
    </row>
    <row r="1349" spans="1:13" customFormat="1">
      <c r="A1349" t="s">
        <v>171</v>
      </c>
      <c r="B1349" t="s">
        <v>11</v>
      </c>
      <c r="C1349" s="51">
        <v>139074196447</v>
      </c>
      <c r="D1349" s="1">
        <v>24357.5</v>
      </c>
      <c r="E1349" s="1">
        <v>13674255.960000001</v>
      </c>
      <c r="F1349" t="s">
        <v>1280</v>
      </c>
      <c r="I1349" s="16">
        <f>-IFERROR(VLOOKUP(C1349,SIRCUPA!$A$21:$H$186,8,0),0)</f>
        <v>0</v>
      </c>
      <c r="J1349" s="68">
        <f>-IFERROR(VLOOKUP(C1349,SIRTAC!$A$16:$H$1405,8,0),0)</f>
        <v>-250</v>
      </c>
      <c r="K1349" s="68">
        <f>-IFERROR(VLOOKUP(C1349,Gastos!$A$9:$J$1398,10,0),0)</f>
        <v>-242.5</v>
      </c>
      <c r="L1349" s="68">
        <f>-IFERROR(VLOOKUP(C1349,IDC!$A$20:$H$1596,8,0),0)</f>
        <v>-150</v>
      </c>
      <c r="M1349" s="74">
        <f t="shared" si="26"/>
        <v>25000</v>
      </c>
    </row>
    <row r="1350" spans="1:13" customFormat="1">
      <c r="A1350" t="s">
        <v>171</v>
      </c>
      <c r="B1350" t="s">
        <v>11</v>
      </c>
      <c r="C1350" s="51">
        <v>139721874566</v>
      </c>
      <c r="D1350" s="1">
        <v>13981.56</v>
      </c>
      <c r="E1350" s="1">
        <v>13688237.52</v>
      </c>
      <c r="F1350" t="s">
        <v>1280</v>
      </c>
      <c r="I1350" s="16">
        <f>-IFERROR(VLOOKUP(C1350,SIRCUPA!$A$21:$H$186,8,0),0)</f>
        <v>0</v>
      </c>
      <c r="J1350" s="68">
        <f>-IFERROR(VLOOKUP(C1350,SIRTAC!$A$16:$H$1405,8,0),0)</f>
        <v>-148</v>
      </c>
      <c r="K1350" s="68">
        <f>-IFERROR(VLOOKUP(C1350,Gastos!$A$9:$J$1398,10,0),0)</f>
        <v>-581.64</v>
      </c>
      <c r="L1350" s="68">
        <f>-IFERROR(VLOOKUP(C1350,IDC!$A$20:$H$1596,8,0),0)</f>
        <v>-88.8</v>
      </c>
      <c r="M1350" s="74">
        <f t="shared" si="26"/>
        <v>14799.999999999998</v>
      </c>
    </row>
    <row r="1351" spans="1:13" customFormat="1">
      <c r="A1351" t="s">
        <v>171</v>
      </c>
      <c r="B1351" t="s">
        <v>11</v>
      </c>
      <c r="C1351" s="51">
        <v>139723099764</v>
      </c>
      <c r="D1351" s="1">
        <v>19973.150000000001</v>
      </c>
      <c r="E1351" s="1">
        <v>13708210.67</v>
      </c>
      <c r="F1351" t="s">
        <v>1280</v>
      </c>
      <c r="I1351" s="16">
        <f>-IFERROR(VLOOKUP(C1351,SIRCUPA!$A$21:$H$186,8,0),0)</f>
        <v>0</v>
      </c>
      <c r="J1351" s="68">
        <f>-IFERROR(VLOOKUP(C1351,SIRTAC!$A$16:$H$1405,8,0),0)</f>
        <v>-205</v>
      </c>
      <c r="K1351" s="68">
        <f>-IFERROR(VLOOKUP(C1351,Gastos!$A$9:$J$1398,10,0),0)</f>
        <v>-198.85</v>
      </c>
      <c r="L1351" s="68">
        <f>-IFERROR(VLOOKUP(C1351,IDC!$A$20:$H$1596,8,0),0)</f>
        <v>-123</v>
      </c>
      <c r="M1351" s="74">
        <f t="shared" si="26"/>
        <v>20500</v>
      </c>
    </row>
    <row r="1352" spans="1:13" customFormat="1">
      <c r="A1352" t="s">
        <v>171</v>
      </c>
      <c r="B1352" t="s">
        <v>11</v>
      </c>
      <c r="C1352" s="51">
        <v>139077062539</v>
      </c>
      <c r="D1352" s="1">
        <v>4723.5</v>
      </c>
      <c r="E1352" s="1">
        <v>13712934.17</v>
      </c>
      <c r="F1352" t="s">
        <v>1280</v>
      </c>
      <c r="I1352" s="16">
        <f>-IFERROR(VLOOKUP(C1352,SIRCUPA!$A$21:$H$186,8,0),0)</f>
        <v>0</v>
      </c>
      <c r="J1352" s="68">
        <f>-IFERROR(VLOOKUP(C1352,SIRTAC!$A$16:$H$1405,8,0),0)</f>
        <v>-50</v>
      </c>
      <c r="K1352" s="68">
        <f>-IFERROR(VLOOKUP(C1352,Gastos!$A$9:$J$1398,10,0),0)</f>
        <v>-196.5</v>
      </c>
      <c r="L1352" s="68">
        <f>-IFERROR(VLOOKUP(C1352,IDC!$A$20:$H$1596,8,0),0)</f>
        <v>-30</v>
      </c>
      <c r="M1352" s="74">
        <f t="shared" si="26"/>
        <v>5000</v>
      </c>
    </row>
    <row r="1353" spans="1:13" customFormat="1">
      <c r="A1353" t="s">
        <v>171</v>
      </c>
      <c r="B1353" t="s">
        <v>11</v>
      </c>
      <c r="C1353" s="51">
        <v>139724393082</v>
      </c>
      <c r="D1353" s="1">
        <v>9447</v>
      </c>
      <c r="E1353" s="1">
        <v>13722381.17</v>
      </c>
      <c r="F1353" t="s">
        <v>1280</v>
      </c>
      <c r="I1353" s="16">
        <f>-IFERROR(VLOOKUP(C1353,SIRCUPA!$A$21:$H$186,8,0),0)</f>
        <v>0</v>
      </c>
      <c r="J1353" s="68">
        <f>-IFERROR(VLOOKUP(C1353,SIRTAC!$A$16:$H$1405,8,0),0)</f>
        <v>-100</v>
      </c>
      <c r="K1353" s="68">
        <f>-IFERROR(VLOOKUP(C1353,Gastos!$A$9:$J$1398,10,0),0)</f>
        <v>-393</v>
      </c>
      <c r="L1353" s="68">
        <f>-IFERROR(VLOOKUP(C1353,IDC!$A$20:$H$1596,8,0),0)</f>
        <v>-60</v>
      </c>
      <c r="M1353" s="74">
        <f t="shared" si="26"/>
        <v>10000</v>
      </c>
    </row>
    <row r="1354" spans="1:13" customFormat="1">
      <c r="A1354" t="s">
        <v>171</v>
      </c>
      <c r="B1354" t="s">
        <v>11</v>
      </c>
      <c r="C1354" s="51">
        <v>139079138431</v>
      </c>
      <c r="D1354" s="1">
        <v>9677</v>
      </c>
      <c r="E1354" s="1">
        <v>13732058.17</v>
      </c>
      <c r="F1354" t="s">
        <v>1280</v>
      </c>
      <c r="I1354" s="16">
        <f>-IFERROR(VLOOKUP(C1354,SIRCUPA!$A$21:$H$186,8,0),0)</f>
        <v>0</v>
      </c>
      <c r="J1354" s="68">
        <f>-IFERROR(VLOOKUP(C1354,SIRTAC!$A$16:$H$1405,8,0),0)</f>
        <v>-100</v>
      </c>
      <c r="K1354" s="68">
        <f>-IFERROR(VLOOKUP(C1354,Gastos!$A$9:$J$1398,10,0),0)</f>
        <v>-163</v>
      </c>
      <c r="L1354" s="68">
        <f>-IFERROR(VLOOKUP(C1354,IDC!$A$20:$H$1596,8,0),0)</f>
        <v>-60</v>
      </c>
      <c r="M1354" s="74">
        <f t="shared" si="26"/>
        <v>10000</v>
      </c>
    </row>
    <row r="1355" spans="1:13" customFormat="1">
      <c r="A1355" t="s">
        <v>171</v>
      </c>
      <c r="B1355" t="s">
        <v>11</v>
      </c>
      <c r="C1355" s="51">
        <v>139729250792</v>
      </c>
      <c r="D1355" s="1">
        <v>7794.4</v>
      </c>
      <c r="E1355" s="1">
        <v>13739852.57</v>
      </c>
      <c r="F1355" t="s">
        <v>1280</v>
      </c>
      <c r="I1355" s="16">
        <f>-IFERROR(VLOOKUP(C1355,SIRCUPA!$A$21:$H$186,8,0),0)</f>
        <v>0</v>
      </c>
      <c r="J1355" s="68">
        <f>-IFERROR(VLOOKUP(C1355,SIRTAC!$A$16:$H$1405,8,0),0)</f>
        <v>-80</v>
      </c>
      <c r="K1355" s="68">
        <f>-IFERROR(VLOOKUP(C1355,Gastos!$A$9:$J$1398,10,0),0)</f>
        <v>-77.599999999999994</v>
      </c>
      <c r="L1355" s="68">
        <f>-IFERROR(VLOOKUP(C1355,IDC!$A$20:$H$1596,8,0),0)</f>
        <v>-48</v>
      </c>
      <c r="M1355" s="74">
        <f t="shared" si="26"/>
        <v>8000</v>
      </c>
    </row>
    <row r="1356" spans="1:13" customFormat="1">
      <c r="A1356" t="s">
        <v>171</v>
      </c>
      <c r="B1356" t="s">
        <v>11</v>
      </c>
      <c r="C1356" s="51">
        <v>139082306869</v>
      </c>
      <c r="D1356" s="1">
        <v>45759</v>
      </c>
      <c r="E1356" s="1">
        <v>13785611.57</v>
      </c>
      <c r="F1356" t="s">
        <v>1280</v>
      </c>
      <c r="I1356" s="16">
        <f>-IFERROR(VLOOKUP(C1356,SIRCUPA!$A$21:$H$186,8,0),0)</f>
        <v>0</v>
      </c>
      <c r="J1356" s="68">
        <f>-IFERROR(VLOOKUP(C1356,SIRTAC!$A$16:$H$1405,8,0),0)</f>
        <v>-525</v>
      </c>
      <c r="K1356" s="68">
        <f>-IFERROR(VLOOKUP(C1356,Gastos!$A$9:$J$1398,10,0),0)</f>
        <v>-5901</v>
      </c>
      <c r="L1356" s="68">
        <f>-IFERROR(VLOOKUP(C1356,IDC!$A$20:$H$1596,8,0),0)</f>
        <v>-315</v>
      </c>
      <c r="M1356" s="74">
        <f t="shared" si="26"/>
        <v>52500</v>
      </c>
    </row>
    <row r="1357" spans="1:13" customFormat="1">
      <c r="A1357" t="s">
        <v>171</v>
      </c>
      <c r="B1357" t="s">
        <v>11</v>
      </c>
      <c r="C1357" s="51">
        <v>139082797497</v>
      </c>
      <c r="D1357" s="1">
        <v>47545.84</v>
      </c>
      <c r="E1357" s="1">
        <v>13833157.41</v>
      </c>
      <c r="F1357" t="s">
        <v>1280</v>
      </c>
      <c r="I1357" s="16">
        <f>-IFERROR(VLOOKUP(C1357,SIRCUPA!$A$21:$H$186,8,0),0)</f>
        <v>0</v>
      </c>
      <c r="J1357" s="68">
        <f>-IFERROR(VLOOKUP(C1357,SIRTAC!$A$16:$H$1405,8,0),0)</f>
        <v>-488</v>
      </c>
      <c r="K1357" s="68">
        <f>-IFERROR(VLOOKUP(C1357,Gastos!$A$9:$J$1398,10,0),0)</f>
        <v>-473.36</v>
      </c>
      <c r="L1357" s="68">
        <f>-IFERROR(VLOOKUP(C1357,IDC!$A$20:$H$1596,8,0),0)</f>
        <v>-292.8</v>
      </c>
      <c r="M1357" s="74">
        <f t="shared" si="26"/>
        <v>48800</v>
      </c>
    </row>
    <row r="1358" spans="1:13" customFormat="1">
      <c r="A1358" t="s">
        <v>171</v>
      </c>
      <c r="B1358" t="s">
        <v>11</v>
      </c>
      <c r="C1358" s="51">
        <v>139082973003</v>
      </c>
      <c r="D1358" s="1">
        <v>9447</v>
      </c>
      <c r="E1358" s="1">
        <v>13842604.41</v>
      </c>
      <c r="F1358" t="s">
        <v>1280</v>
      </c>
      <c r="I1358" s="16">
        <f>-IFERROR(VLOOKUP(C1358,SIRCUPA!$A$21:$H$186,8,0),0)</f>
        <v>0</v>
      </c>
      <c r="J1358" s="68">
        <f>-IFERROR(VLOOKUP(C1358,SIRTAC!$A$16:$H$1405,8,0),0)</f>
        <v>-100</v>
      </c>
      <c r="K1358" s="68">
        <f>-IFERROR(VLOOKUP(C1358,Gastos!$A$9:$J$1398,10,0),0)</f>
        <v>-393</v>
      </c>
      <c r="L1358" s="68">
        <f>-IFERROR(VLOOKUP(C1358,IDC!$A$20:$H$1596,8,0),0)</f>
        <v>-60</v>
      </c>
      <c r="M1358" s="74">
        <f t="shared" si="26"/>
        <v>10000</v>
      </c>
    </row>
    <row r="1359" spans="1:13" customFormat="1">
      <c r="A1359" t="s">
        <v>171</v>
      </c>
      <c r="B1359" t="s">
        <v>11</v>
      </c>
      <c r="C1359" s="51">
        <v>139730594000</v>
      </c>
      <c r="D1359" s="1">
        <v>46384.77</v>
      </c>
      <c r="E1359" s="1">
        <v>13888989.18</v>
      </c>
      <c r="F1359" t="s">
        <v>1280</v>
      </c>
      <c r="I1359" s="16">
        <f>-IFERROR(VLOOKUP(C1359,SIRCUPA!$A$21:$H$186,8,0),0)</f>
        <v>0</v>
      </c>
      <c r="J1359" s="68">
        <f>-IFERROR(VLOOKUP(C1359,SIRTAC!$A$16:$H$1405,8,0),0)</f>
        <v>-491</v>
      </c>
      <c r="K1359" s="68">
        <f>-IFERROR(VLOOKUP(C1359,Gastos!$A$9:$J$1398,10,0),0)</f>
        <v>-1929.63</v>
      </c>
      <c r="L1359" s="68">
        <f>-IFERROR(VLOOKUP(C1359,IDC!$A$20:$H$1596,8,0),0)</f>
        <v>-294.60000000000002</v>
      </c>
      <c r="M1359" s="74">
        <f t="shared" si="26"/>
        <v>49099.999999999993</v>
      </c>
    </row>
    <row r="1360" spans="1:13" customFormat="1">
      <c r="A1360" t="s">
        <v>171</v>
      </c>
      <c r="B1360" t="s">
        <v>11</v>
      </c>
      <c r="C1360" s="51">
        <v>139083518057</v>
      </c>
      <c r="D1360" s="1">
        <v>77807.03</v>
      </c>
      <c r="E1360" s="1">
        <v>13966796.210000001</v>
      </c>
      <c r="F1360" t="s">
        <v>1280</v>
      </c>
      <c r="I1360" s="16">
        <f>-IFERROR(VLOOKUP(C1360,SIRCUPA!$A$21:$H$186,8,0),0)</f>
        <v>0</v>
      </c>
      <c r="J1360" s="68">
        <f>-IFERROR(VLOOKUP(C1360,SIRTAC!$A$16:$H$1405,8,0),0)</f>
        <v>-857</v>
      </c>
      <c r="K1360" s="68">
        <f>-IFERROR(VLOOKUP(C1360,Gastos!$A$9:$J$1398,10,0),0)</f>
        <v>-6521.77</v>
      </c>
      <c r="L1360" s="68">
        <f>-IFERROR(VLOOKUP(C1360,IDC!$A$20:$H$1596,8,0),0)</f>
        <v>-514.20000000000005</v>
      </c>
      <c r="M1360" s="74">
        <f t="shared" si="26"/>
        <v>85700</v>
      </c>
    </row>
    <row r="1361" spans="1:13" customFormat="1">
      <c r="A1361" t="s">
        <v>171</v>
      </c>
      <c r="B1361" t="s">
        <v>11</v>
      </c>
      <c r="C1361" s="51">
        <v>139084107193</v>
      </c>
      <c r="D1361" s="1">
        <v>36633.68</v>
      </c>
      <c r="E1361" s="1">
        <v>14003429.890000001</v>
      </c>
      <c r="F1361" t="s">
        <v>1280</v>
      </c>
      <c r="I1361" s="16">
        <f>-IFERROR(VLOOKUP(C1361,SIRCUPA!$A$21:$H$186,8,0),0)</f>
        <v>0</v>
      </c>
      <c r="J1361" s="68">
        <f>-IFERROR(VLOOKUP(C1361,SIRTAC!$A$16:$H$1405,8,0),0)</f>
        <v>-376</v>
      </c>
      <c r="K1361" s="68">
        <f>-IFERROR(VLOOKUP(C1361,Gastos!$A$9:$J$1398,10,0),0)</f>
        <v>-364.72</v>
      </c>
      <c r="L1361" s="68">
        <f>-IFERROR(VLOOKUP(C1361,IDC!$A$20:$H$1596,8,0),0)</f>
        <v>-225.6</v>
      </c>
      <c r="M1361" s="74">
        <f t="shared" si="26"/>
        <v>37600</v>
      </c>
    </row>
    <row r="1362" spans="1:13" customFormat="1">
      <c r="A1362" t="s">
        <v>171</v>
      </c>
      <c r="B1362" t="s">
        <v>11</v>
      </c>
      <c r="C1362" s="51">
        <v>139085202049</v>
      </c>
      <c r="D1362" s="1">
        <v>4723.5</v>
      </c>
      <c r="E1362" s="1">
        <v>14008153.390000001</v>
      </c>
      <c r="F1362" t="s">
        <v>1280</v>
      </c>
      <c r="I1362" s="16">
        <f>-IFERROR(VLOOKUP(C1362,SIRCUPA!$A$21:$H$186,8,0),0)</f>
        <v>0</v>
      </c>
      <c r="J1362" s="68">
        <f>-IFERROR(VLOOKUP(C1362,SIRTAC!$A$16:$H$1405,8,0),0)</f>
        <v>-50</v>
      </c>
      <c r="K1362" s="68">
        <f>-IFERROR(VLOOKUP(C1362,Gastos!$A$9:$J$1398,10,0),0)</f>
        <v>-196.5</v>
      </c>
      <c r="L1362" s="68">
        <f>-IFERROR(VLOOKUP(C1362,IDC!$A$20:$H$1596,8,0),0)</f>
        <v>-30</v>
      </c>
      <c r="M1362" s="74">
        <f t="shared" si="26"/>
        <v>5000</v>
      </c>
    </row>
    <row r="1363" spans="1:13" customFormat="1">
      <c r="A1363" t="s">
        <v>171</v>
      </c>
      <c r="B1363" t="s">
        <v>11</v>
      </c>
      <c r="C1363" s="51">
        <v>139734214508</v>
      </c>
      <c r="D1363" s="1">
        <v>48663.44</v>
      </c>
      <c r="E1363" s="1">
        <v>14056816.83</v>
      </c>
      <c r="F1363" t="s">
        <v>1280</v>
      </c>
      <c r="I1363" s="16">
        <f>-IFERROR(VLOOKUP(C1363,SIRCUPA!$A$21:$H$186,8,0),0)</f>
        <v>0</v>
      </c>
      <c r="J1363" s="68">
        <f>-IFERROR(VLOOKUP(C1363,SIRTAC!$A$16:$H$1405,8,0),0)</f>
        <v>-536</v>
      </c>
      <c r="K1363" s="68">
        <f>-IFERROR(VLOOKUP(C1363,Gastos!$A$9:$J$1398,10,0),0)</f>
        <v>-4078.96</v>
      </c>
      <c r="L1363" s="68">
        <f>-IFERROR(VLOOKUP(C1363,IDC!$A$20:$H$1596,8,0),0)</f>
        <v>-321.60000000000002</v>
      </c>
      <c r="M1363" s="74">
        <f t="shared" si="26"/>
        <v>53600</v>
      </c>
    </row>
    <row r="1364" spans="1:13" customFormat="1">
      <c r="A1364" t="s">
        <v>171</v>
      </c>
      <c r="B1364" t="s">
        <v>11</v>
      </c>
      <c r="C1364" s="51">
        <v>139087122709</v>
      </c>
      <c r="D1364" s="1">
        <v>13225.8</v>
      </c>
      <c r="E1364" s="1">
        <v>14070042.630000001</v>
      </c>
      <c r="F1364" t="s">
        <v>1280</v>
      </c>
      <c r="I1364" s="16">
        <f>-IFERROR(VLOOKUP(C1364,SIRCUPA!$A$21:$H$186,8,0),0)</f>
        <v>0</v>
      </c>
      <c r="J1364" s="68">
        <f>-IFERROR(VLOOKUP(C1364,SIRTAC!$A$16:$H$1405,8,0),0)</f>
        <v>-140</v>
      </c>
      <c r="K1364" s="68">
        <f>-IFERROR(VLOOKUP(C1364,Gastos!$A$9:$J$1398,10,0),0)</f>
        <v>-550.20000000000005</v>
      </c>
      <c r="L1364" s="68">
        <f>-IFERROR(VLOOKUP(C1364,IDC!$A$20:$H$1596,8,0),0)</f>
        <v>-84</v>
      </c>
      <c r="M1364" s="74">
        <f t="shared" si="26"/>
        <v>14000</v>
      </c>
    </row>
    <row r="1365" spans="1:13" customFormat="1">
      <c r="A1365" t="s">
        <v>171</v>
      </c>
      <c r="B1365" t="s">
        <v>11</v>
      </c>
      <c r="C1365" s="51">
        <v>139734505018</v>
      </c>
      <c r="D1365" s="1">
        <v>51904.58</v>
      </c>
      <c r="E1365" s="1">
        <v>14121947.210000001</v>
      </c>
      <c r="F1365" t="s">
        <v>1280</v>
      </c>
      <c r="I1365" s="16">
        <f>-IFERROR(VLOOKUP(C1365,SIRCUPA!$A$21:$H$186,8,0),0)</f>
        <v>0</v>
      </c>
      <c r="J1365" s="68">
        <f>-IFERROR(VLOOKUP(C1365,SIRTAC!$A$16:$H$1405,8,0),0)</f>
        <v>-553</v>
      </c>
      <c r="K1365" s="68">
        <f>-IFERROR(VLOOKUP(C1365,Gastos!$A$9:$J$1398,10,0),0)</f>
        <v>-2510.62</v>
      </c>
      <c r="L1365" s="68">
        <f>-IFERROR(VLOOKUP(C1365,IDC!$A$20:$H$1596,8,0),0)</f>
        <v>-331.8</v>
      </c>
      <c r="M1365" s="74">
        <f t="shared" si="26"/>
        <v>55300.000000000007</v>
      </c>
    </row>
    <row r="1366" spans="1:13" customFormat="1">
      <c r="A1366" t="s">
        <v>171</v>
      </c>
      <c r="B1366" t="s">
        <v>11</v>
      </c>
      <c r="C1366" s="51">
        <v>139087711755</v>
      </c>
      <c r="D1366" s="1">
        <v>24649.79</v>
      </c>
      <c r="E1366" s="1">
        <v>14146597</v>
      </c>
      <c r="F1366" t="s">
        <v>1280</v>
      </c>
      <c r="I1366" s="16">
        <f>-IFERROR(VLOOKUP(C1366,SIRCUPA!$A$21:$H$186,8,0),0)</f>
        <v>0</v>
      </c>
      <c r="J1366" s="68">
        <f>-IFERROR(VLOOKUP(C1366,SIRTAC!$A$16:$H$1405,8,0),0)</f>
        <v>-253</v>
      </c>
      <c r="K1366" s="68">
        <f>-IFERROR(VLOOKUP(C1366,Gastos!$A$9:$J$1398,10,0),0)</f>
        <v>-245.41</v>
      </c>
      <c r="L1366" s="68">
        <f>-IFERROR(VLOOKUP(C1366,IDC!$A$20:$H$1596,8,0),0)</f>
        <v>-151.80000000000001</v>
      </c>
      <c r="M1366" s="74">
        <f t="shared" si="26"/>
        <v>25300</v>
      </c>
    </row>
    <row r="1367" spans="1:13" customFormat="1">
      <c r="A1367" t="s">
        <v>171</v>
      </c>
      <c r="B1367" t="s">
        <v>11</v>
      </c>
      <c r="C1367" s="51">
        <v>139089424897</v>
      </c>
      <c r="D1367" s="1">
        <v>4871.5</v>
      </c>
      <c r="E1367" s="1">
        <v>14153945.369999999</v>
      </c>
      <c r="F1367" t="s">
        <v>1280</v>
      </c>
      <c r="I1367" s="16">
        <f>-IFERROR(VLOOKUP(C1367,SIRCUPA!$A$21:$H$186,8,0),0)</f>
        <v>0</v>
      </c>
      <c r="J1367" s="68">
        <f>-IFERROR(VLOOKUP(C1367,SIRTAC!$A$16:$H$1405,8,0),0)</f>
        <v>-50</v>
      </c>
      <c r="K1367" s="68">
        <f>-IFERROR(VLOOKUP(C1367,Gastos!$A$9:$J$1398,10,0),0)</f>
        <v>-48.5</v>
      </c>
      <c r="L1367" s="68">
        <f>-IFERROR(VLOOKUP(C1367,IDC!$A$20:$H$1596,8,0),0)</f>
        <v>-30</v>
      </c>
      <c r="M1367" s="74">
        <f t="shared" si="26"/>
        <v>5000</v>
      </c>
    </row>
    <row r="1368" spans="1:13" customFormat="1">
      <c r="A1368" t="s">
        <v>171</v>
      </c>
      <c r="B1368" t="s">
        <v>11</v>
      </c>
      <c r="C1368" s="51">
        <v>139736694770</v>
      </c>
      <c r="D1368" s="1">
        <v>40141.160000000003</v>
      </c>
      <c r="E1368" s="1">
        <v>14194576.029999999</v>
      </c>
      <c r="F1368" t="s">
        <v>1280</v>
      </c>
      <c r="I1368" s="16">
        <f>-IFERROR(VLOOKUP(C1368,SIRCUPA!$A$21:$H$186,8,0),0)</f>
        <v>0</v>
      </c>
      <c r="J1368" s="68">
        <f>-IFERROR(VLOOKUP(C1368,SIRTAC!$A$16:$H$1405,8,0),0)</f>
        <v>-412</v>
      </c>
      <c r="K1368" s="68">
        <f>-IFERROR(VLOOKUP(C1368,Gastos!$A$9:$J$1398,10,0),0)</f>
        <v>-399.64</v>
      </c>
      <c r="L1368" s="68">
        <f>-IFERROR(VLOOKUP(C1368,IDC!$A$20:$H$1596,8,0),0)</f>
        <v>-247.2</v>
      </c>
      <c r="M1368" s="74">
        <f t="shared" si="26"/>
        <v>41200</v>
      </c>
    </row>
    <row r="1369" spans="1:13" customFormat="1">
      <c r="A1369" t="s">
        <v>171</v>
      </c>
      <c r="B1369" t="s">
        <v>11</v>
      </c>
      <c r="C1369" s="51">
        <v>139089767285</v>
      </c>
      <c r="D1369" s="1">
        <v>19257.23</v>
      </c>
      <c r="E1369" s="1">
        <v>14213833.26</v>
      </c>
      <c r="F1369" t="s">
        <v>1280</v>
      </c>
      <c r="I1369" s="16">
        <f>-IFERROR(VLOOKUP(C1369,SIRCUPA!$A$21:$H$186,8,0),0)</f>
        <v>0</v>
      </c>
      <c r="J1369" s="68">
        <f>-IFERROR(VLOOKUP(C1369,SIRTAC!$A$16:$H$1405,8,0),0)</f>
        <v>-199</v>
      </c>
      <c r="K1369" s="68">
        <f>-IFERROR(VLOOKUP(C1369,Gastos!$A$9:$J$1398,10,0),0)</f>
        <v>-324.37</v>
      </c>
      <c r="L1369" s="68">
        <f>-IFERROR(VLOOKUP(C1369,IDC!$A$20:$H$1596,8,0),0)</f>
        <v>-119.4</v>
      </c>
      <c r="M1369" s="74">
        <f t="shared" si="26"/>
        <v>19900</v>
      </c>
    </row>
    <row r="1370" spans="1:13" customFormat="1">
      <c r="A1370" t="s">
        <v>171</v>
      </c>
      <c r="B1370" t="s">
        <v>11</v>
      </c>
      <c r="C1370" s="51">
        <v>139090047369</v>
      </c>
      <c r="D1370" s="1">
        <v>26890.68</v>
      </c>
      <c r="E1370" s="1">
        <v>14240723.939999999</v>
      </c>
      <c r="F1370" t="s">
        <v>1280</v>
      </c>
      <c r="I1370" s="16">
        <f>-IFERROR(VLOOKUP(C1370,SIRCUPA!$A$21:$H$186,8,0),0)</f>
        <v>0</v>
      </c>
      <c r="J1370" s="68">
        <f>-IFERROR(VLOOKUP(C1370,SIRTAC!$A$16:$H$1405,8,0),0)</f>
        <v>-276</v>
      </c>
      <c r="K1370" s="68">
        <f>-IFERROR(VLOOKUP(C1370,Gastos!$A$9:$J$1398,10,0),0)</f>
        <v>-267.72000000000003</v>
      </c>
      <c r="L1370" s="68">
        <f>-IFERROR(VLOOKUP(C1370,IDC!$A$20:$H$1596,8,0),0)</f>
        <v>-165.6</v>
      </c>
      <c r="M1370" s="74">
        <f t="shared" si="26"/>
        <v>27600</v>
      </c>
    </row>
    <row r="1371" spans="1:13" customFormat="1">
      <c r="A1371" t="s">
        <v>171</v>
      </c>
      <c r="B1371" t="s">
        <v>11</v>
      </c>
      <c r="C1371" s="51">
        <v>139090278709</v>
      </c>
      <c r="D1371" s="1">
        <v>71135.91</v>
      </c>
      <c r="E1371" s="1">
        <v>14314561.890000001</v>
      </c>
      <c r="F1371" t="s">
        <v>1280</v>
      </c>
      <c r="I1371" s="16">
        <f>-IFERROR(VLOOKUP(C1371,SIRCUPA!$A$21:$H$186,8,0),0)</f>
        <v>0</v>
      </c>
      <c r="J1371" s="68">
        <f>-IFERROR(VLOOKUP(C1371,SIRTAC!$A$16:$H$1405,8,0),0)</f>
        <v>-753</v>
      </c>
      <c r="K1371" s="68">
        <f>-IFERROR(VLOOKUP(C1371,Gastos!$A$9:$J$1398,10,0),0)</f>
        <v>-2959.29</v>
      </c>
      <c r="L1371" s="68">
        <f>-IFERROR(VLOOKUP(C1371,IDC!$A$20:$H$1596,8,0),0)</f>
        <v>-451.8</v>
      </c>
      <c r="M1371" s="74">
        <f t="shared" si="26"/>
        <v>75300</v>
      </c>
    </row>
    <row r="1372" spans="1:13" customFormat="1">
      <c r="A1372" t="s">
        <v>171</v>
      </c>
      <c r="B1372" t="s">
        <v>11</v>
      </c>
      <c r="C1372" s="51">
        <v>139738821200</v>
      </c>
      <c r="D1372" s="1">
        <v>33321.06</v>
      </c>
      <c r="E1372" s="1">
        <v>14347882.949999999</v>
      </c>
      <c r="F1372" t="s">
        <v>1280</v>
      </c>
      <c r="I1372" s="16">
        <f>-IFERROR(VLOOKUP(C1372,SIRCUPA!$A$21:$H$186,8,0),0)</f>
        <v>0</v>
      </c>
      <c r="J1372" s="68">
        <f>-IFERROR(VLOOKUP(C1372,SIRTAC!$A$16:$H$1405,8,0),0)</f>
        <v>-342</v>
      </c>
      <c r="K1372" s="68">
        <f>-IFERROR(VLOOKUP(C1372,Gastos!$A$9:$J$1398,10,0),0)</f>
        <v>-331.74</v>
      </c>
      <c r="L1372" s="68">
        <f>-IFERROR(VLOOKUP(C1372,IDC!$A$20:$H$1596,8,0),0)</f>
        <v>-205.2</v>
      </c>
      <c r="M1372" s="74">
        <f t="shared" si="26"/>
        <v>34199.999999999993</v>
      </c>
    </row>
    <row r="1373" spans="1:13" customFormat="1">
      <c r="A1373" t="s">
        <v>171</v>
      </c>
      <c r="B1373" t="s">
        <v>11</v>
      </c>
      <c r="C1373" s="51">
        <v>139092164837</v>
      </c>
      <c r="D1373" s="1">
        <v>85835.83</v>
      </c>
      <c r="E1373" s="1">
        <v>14433718.779999999</v>
      </c>
      <c r="F1373" t="s">
        <v>1280</v>
      </c>
      <c r="I1373" s="16">
        <f>-IFERROR(VLOOKUP(C1373,SIRCUPA!$A$21:$H$186,8,0),0)</f>
        <v>0</v>
      </c>
      <c r="J1373" s="68">
        <f>-IFERROR(VLOOKUP(C1373,SIRTAC!$A$16:$H$1405,8,0),0)</f>
        <v>-881</v>
      </c>
      <c r="K1373" s="68">
        <f>-IFERROR(VLOOKUP(C1373,Gastos!$A$9:$J$1398,10,0),0)</f>
        <v>-854.57</v>
      </c>
      <c r="L1373" s="68">
        <f>-IFERROR(VLOOKUP(C1373,IDC!$A$20:$H$1596,8,0),0)</f>
        <v>-528.6</v>
      </c>
      <c r="M1373" s="74">
        <f t="shared" si="26"/>
        <v>88100.000000000015</v>
      </c>
    </row>
    <row r="1374" spans="1:13" customFormat="1">
      <c r="A1374" t="s">
        <v>177</v>
      </c>
      <c r="B1374" t="s">
        <v>11</v>
      </c>
      <c r="C1374" s="51">
        <v>139740074742</v>
      </c>
      <c r="D1374" s="1">
        <v>9548.14</v>
      </c>
      <c r="E1374" s="1">
        <v>14443266.92</v>
      </c>
      <c r="F1374" t="s">
        <v>1280</v>
      </c>
      <c r="I1374" s="16">
        <f>-IFERROR(VLOOKUP(C1374,SIRCUPA!$A$21:$H$186,8,0),0)</f>
        <v>0</v>
      </c>
      <c r="J1374" s="68">
        <f>-IFERROR(VLOOKUP(C1374,SIRTAC!$A$16:$H$1405,8,0),0)</f>
        <v>-98</v>
      </c>
      <c r="K1374" s="68">
        <f>-IFERROR(VLOOKUP(C1374,Gastos!$A$9:$J$1398,10,0),0)</f>
        <v>-95.06</v>
      </c>
      <c r="L1374" s="68">
        <f>-IFERROR(VLOOKUP(C1374,IDC!$A$20:$H$1596,8,0),0)</f>
        <v>-58.8</v>
      </c>
      <c r="M1374" s="74">
        <f t="shared" si="26"/>
        <v>9799.9999999999982</v>
      </c>
    </row>
    <row r="1375" spans="1:13" customFormat="1">
      <c r="A1375" t="s">
        <v>177</v>
      </c>
      <c r="B1375" t="s">
        <v>11</v>
      </c>
      <c r="C1375" s="51">
        <v>139093374485</v>
      </c>
      <c r="D1375" s="1">
        <v>19291.14</v>
      </c>
      <c r="E1375" s="1">
        <v>14462558.060000001</v>
      </c>
      <c r="F1375" t="s">
        <v>1280</v>
      </c>
      <c r="I1375" s="16">
        <f>-IFERROR(VLOOKUP(C1375,SIRCUPA!$A$21:$H$186,8,0),0)</f>
        <v>0</v>
      </c>
      <c r="J1375" s="68">
        <f>-IFERROR(VLOOKUP(C1375,SIRTAC!$A$16:$H$1405,8,0),0)</f>
        <v>-198</v>
      </c>
      <c r="K1375" s="68">
        <f>-IFERROR(VLOOKUP(C1375,Gastos!$A$9:$J$1398,10,0),0)</f>
        <v>-192.06</v>
      </c>
      <c r="L1375" s="68">
        <f>-IFERROR(VLOOKUP(C1375,IDC!$A$20:$H$1596,8,0),0)</f>
        <v>-118.8</v>
      </c>
      <c r="M1375" s="74">
        <f t="shared" si="26"/>
        <v>19800</v>
      </c>
    </row>
    <row r="1376" spans="1:13" customFormat="1">
      <c r="A1376" t="s">
        <v>177</v>
      </c>
      <c r="B1376" t="s">
        <v>11</v>
      </c>
      <c r="C1376" s="51">
        <v>139093878133</v>
      </c>
      <c r="D1376" s="1">
        <v>29852.52</v>
      </c>
      <c r="E1376" s="1">
        <v>14493379.789999999</v>
      </c>
      <c r="F1376" t="s">
        <v>1280</v>
      </c>
      <c r="I1376" s="16">
        <f>-IFERROR(VLOOKUP(C1376,SIRCUPA!$A$21:$H$186,8,0),0)</f>
        <v>0</v>
      </c>
      <c r="J1376" s="68">
        <f>-IFERROR(VLOOKUP(C1376,SIRTAC!$A$16:$H$1405,8,0),0)</f>
        <v>-316</v>
      </c>
      <c r="K1376" s="68">
        <f>-IFERROR(VLOOKUP(C1376,Gastos!$A$9:$J$1398,10,0),0)</f>
        <v>-1241.8800000000001</v>
      </c>
      <c r="L1376" s="68">
        <f>-IFERROR(VLOOKUP(C1376,IDC!$A$20:$H$1596,8,0),0)</f>
        <v>-189.6</v>
      </c>
      <c r="M1376" s="74">
        <f t="shared" si="26"/>
        <v>31600</v>
      </c>
    </row>
    <row r="1377" spans="1:13" customFormat="1">
      <c r="A1377" t="s">
        <v>171</v>
      </c>
      <c r="B1377" t="s">
        <v>172</v>
      </c>
      <c r="C1377" s="51">
        <v>138983534997</v>
      </c>
      <c r="D1377">
        <v>269.22000000000003</v>
      </c>
      <c r="E1377" s="1">
        <v>13202537.949999999</v>
      </c>
      <c r="F1377" t="s">
        <v>1280</v>
      </c>
      <c r="I1377" s="16">
        <f>-IFERROR(VLOOKUP(C1377,SIRCUPA!$A$21:$H$186,8,0),0)</f>
        <v>-4.13</v>
      </c>
      <c r="J1377" s="68">
        <f>-IFERROR(VLOOKUP(C1377,SIRTAC!$A$16:$H$1405,8,0),0)</f>
        <v>0</v>
      </c>
      <c r="K1377" s="68">
        <f>-IFERROR(VLOOKUP(C1377,Gastos!$A$9:$J$1398,10,0),0)</f>
        <v>0</v>
      </c>
      <c r="L1377" s="68">
        <f>-IFERROR(VLOOKUP(C1377,IDC!$A$20:$H$1596,8,0),0)</f>
        <v>-1.65</v>
      </c>
      <c r="M1377" s="74">
        <f t="shared" si="26"/>
        <v>275</v>
      </c>
    </row>
    <row r="1378" spans="1:13" customFormat="1">
      <c r="A1378" t="s">
        <v>177</v>
      </c>
      <c r="B1378" t="s">
        <v>11</v>
      </c>
      <c r="C1378" s="51">
        <v>139094071125</v>
      </c>
      <c r="D1378" s="1">
        <v>18138.240000000002</v>
      </c>
      <c r="E1378" s="1">
        <v>14511518.029999999</v>
      </c>
      <c r="F1378" t="s">
        <v>1280</v>
      </c>
      <c r="I1378" s="16">
        <f>-IFERROR(VLOOKUP(C1378,SIRCUPA!$A$21:$H$186,8,0),0)</f>
        <v>0</v>
      </c>
      <c r="J1378" s="68">
        <f>-IFERROR(VLOOKUP(C1378,SIRTAC!$A$16:$H$1405,8,0),0)</f>
        <v>-192</v>
      </c>
      <c r="K1378" s="68">
        <f>-IFERROR(VLOOKUP(C1378,Gastos!$A$9:$J$1398,10,0),0)</f>
        <v>-754.56</v>
      </c>
      <c r="L1378" s="68">
        <f>-IFERROR(VLOOKUP(C1378,IDC!$A$20:$H$1596,8,0),0)</f>
        <v>-115.2</v>
      </c>
      <c r="M1378" s="74">
        <f t="shared" si="26"/>
        <v>19200.000000000004</v>
      </c>
    </row>
    <row r="1379" spans="1:13" customFormat="1">
      <c r="A1379" t="s">
        <v>177</v>
      </c>
      <c r="B1379" t="s">
        <v>11</v>
      </c>
      <c r="C1379" s="51">
        <v>139741640206</v>
      </c>
      <c r="D1379" s="1">
        <v>9743</v>
      </c>
      <c r="E1379" s="1">
        <v>14521261.029999999</v>
      </c>
      <c r="F1379" t="s">
        <v>1280</v>
      </c>
      <c r="I1379" s="16">
        <f>-IFERROR(VLOOKUP(C1379,SIRCUPA!$A$21:$H$186,8,0),0)</f>
        <v>0</v>
      </c>
      <c r="J1379" s="68">
        <f>-IFERROR(VLOOKUP(C1379,SIRTAC!$A$16:$H$1405,8,0),0)</f>
        <v>-100</v>
      </c>
      <c r="K1379" s="68">
        <f>-IFERROR(VLOOKUP(C1379,Gastos!$A$9:$J$1398,10,0),0)</f>
        <v>-97</v>
      </c>
      <c r="L1379" s="68">
        <f>-IFERROR(VLOOKUP(C1379,IDC!$A$20:$H$1596,8,0),0)</f>
        <v>-60</v>
      </c>
      <c r="M1379" s="74">
        <f t="shared" si="26"/>
        <v>10000</v>
      </c>
    </row>
    <row r="1380" spans="1:13" customFormat="1">
      <c r="A1380" t="s">
        <v>177</v>
      </c>
      <c r="B1380" t="s">
        <v>11</v>
      </c>
      <c r="C1380" s="51">
        <v>139094631503</v>
      </c>
      <c r="D1380" s="1">
        <v>147373.20000000001</v>
      </c>
      <c r="E1380" s="1">
        <v>14668634.23</v>
      </c>
      <c r="F1380" t="s">
        <v>1280</v>
      </c>
      <c r="I1380" s="16">
        <f>-IFERROR(VLOOKUP(C1380,SIRCUPA!$A$21:$H$186,8,0),0)</f>
        <v>0</v>
      </c>
      <c r="J1380" s="68">
        <f>-IFERROR(VLOOKUP(C1380,SIRTAC!$A$16:$H$1405,8,0),0)</f>
        <v>-1560</v>
      </c>
      <c r="K1380" s="68">
        <f>-IFERROR(VLOOKUP(C1380,Gastos!$A$9:$J$1398,10,0),0)</f>
        <v>-6130.8</v>
      </c>
      <c r="L1380" s="68">
        <f>-IFERROR(VLOOKUP(C1380,IDC!$A$20:$H$1596,8,0),0)</f>
        <v>-936</v>
      </c>
      <c r="M1380" s="74">
        <f t="shared" si="26"/>
        <v>156000</v>
      </c>
    </row>
    <row r="1381" spans="1:13" customFormat="1">
      <c r="A1381" t="s">
        <v>177</v>
      </c>
      <c r="B1381" t="s">
        <v>11</v>
      </c>
      <c r="C1381" s="51">
        <v>139742005488</v>
      </c>
      <c r="D1381" s="1">
        <v>9743</v>
      </c>
      <c r="E1381" s="1">
        <v>14678377.23</v>
      </c>
      <c r="F1381" t="s">
        <v>1280</v>
      </c>
      <c r="I1381" s="16">
        <f>-IFERROR(VLOOKUP(C1381,SIRCUPA!$A$21:$H$186,8,0),0)</f>
        <v>0</v>
      </c>
      <c r="J1381" s="68">
        <f>-IFERROR(VLOOKUP(C1381,SIRTAC!$A$16:$H$1405,8,0),0)</f>
        <v>-100</v>
      </c>
      <c r="K1381" s="68">
        <f>-IFERROR(VLOOKUP(C1381,Gastos!$A$9:$J$1398,10,0),0)</f>
        <v>-97</v>
      </c>
      <c r="L1381" s="68">
        <f>-IFERROR(VLOOKUP(C1381,IDC!$A$20:$H$1596,8,0),0)</f>
        <v>-60</v>
      </c>
      <c r="M1381" s="74">
        <f t="shared" si="26"/>
        <v>10000</v>
      </c>
    </row>
    <row r="1382" spans="1:13" customFormat="1">
      <c r="A1382" t="s">
        <v>177</v>
      </c>
      <c r="B1382" t="s">
        <v>11</v>
      </c>
      <c r="C1382" s="51">
        <v>139742125860</v>
      </c>
      <c r="D1382" s="1">
        <v>54171.08</v>
      </c>
      <c r="E1382" s="1">
        <v>14732548.310000001</v>
      </c>
      <c r="F1382" t="s">
        <v>1280</v>
      </c>
      <c r="I1382" s="16">
        <f>-IFERROR(VLOOKUP(C1382,SIRCUPA!$A$21:$H$186,8,0),0)</f>
        <v>0</v>
      </c>
      <c r="J1382" s="68">
        <f>-IFERROR(VLOOKUP(C1382,SIRTAC!$A$16:$H$1405,8,0),0)</f>
        <v>-556</v>
      </c>
      <c r="K1382" s="68">
        <f>-IFERROR(VLOOKUP(C1382,Gastos!$A$9:$J$1398,10,0),0)</f>
        <v>-539.32000000000005</v>
      </c>
      <c r="L1382" s="68">
        <f>-IFERROR(VLOOKUP(C1382,IDC!$A$20:$H$1596,8,0),0)</f>
        <v>-333.6</v>
      </c>
      <c r="M1382" s="74">
        <f t="shared" si="26"/>
        <v>55600</v>
      </c>
    </row>
    <row r="1383" spans="1:13" customFormat="1">
      <c r="A1383" t="s">
        <v>171</v>
      </c>
      <c r="B1383" t="s">
        <v>173</v>
      </c>
      <c r="C1383" s="51">
        <v>139630899542</v>
      </c>
      <c r="D1383">
        <v>704.88</v>
      </c>
      <c r="E1383" s="1">
        <v>13313631.02</v>
      </c>
      <c r="F1383" t="s">
        <v>1280</v>
      </c>
      <c r="I1383" s="16">
        <f>-IFERROR(VLOOKUP(C1383,SIRCUPA!$A$21:$H$186,8,0),0)</f>
        <v>-10.8</v>
      </c>
      <c r="J1383" s="68">
        <f>-IFERROR(VLOOKUP(C1383,SIRTAC!$A$16:$H$1405,8,0),0)</f>
        <v>0</v>
      </c>
      <c r="K1383" s="68">
        <f>-IFERROR(VLOOKUP(C1383,Gastos!$A$9:$J$1398,10,0),0)</f>
        <v>0</v>
      </c>
      <c r="L1383" s="68">
        <f>-IFERROR(VLOOKUP(C1383,IDC!$A$20:$H$1596,8,0),0)</f>
        <v>-4.32</v>
      </c>
      <c r="M1383" s="74">
        <f t="shared" si="26"/>
        <v>720</v>
      </c>
    </row>
    <row r="1384" spans="1:13" customFormat="1">
      <c r="A1384" t="s">
        <v>177</v>
      </c>
      <c r="B1384" t="s">
        <v>11</v>
      </c>
      <c r="C1384" s="51">
        <v>139742356014</v>
      </c>
      <c r="D1384" s="1">
        <v>81433.14</v>
      </c>
      <c r="E1384" s="1">
        <v>14813981.449999999</v>
      </c>
      <c r="F1384" t="s">
        <v>1280</v>
      </c>
      <c r="I1384" s="16">
        <f>-IFERROR(VLOOKUP(C1384,SIRCUPA!$A$21:$H$186,8,0),0)</f>
        <v>0</v>
      </c>
      <c r="J1384" s="68">
        <f>-IFERROR(VLOOKUP(C1384,SIRTAC!$A$16:$H$1405,8,0),0)</f>
        <v>-862</v>
      </c>
      <c r="K1384" s="68">
        <f>-IFERROR(VLOOKUP(C1384,Gastos!$A$9:$J$1398,10,0),0)</f>
        <v>-3387.66</v>
      </c>
      <c r="L1384" s="68">
        <f>-IFERROR(VLOOKUP(C1384,IDC!$A$20:$H$1596,8,0),0)</f>
        <v>-517.20000000000005</v>
      </c>
      <c r="M1384" s="74">
        <f t="shared" ref="M1384:M1447" si="27">+D1384-I1384-J1384-K1384-L1384</f>
        <v>86200</v>
      </c>
    </row>
    <row r="1385" spans="1:13" customFormat="1">
      <c r="A1385" t="s">
        <v>177</v>
      </c>
      <c r="B1385" t="s">
        <v>11</v>
      </c>
      <c r="C1385" s="51">
        <v>139742892010</v>
      </c>
      <c r="D1385" s="1">
        <v>45110.09</v>
      </c>
      <c r="E1385" s="1">
        <v>14859091.539999999</v>
      </c>
      <c r="F1385" t="s">
        <v>1280</v>
      </c>
      <c r="I1385" s="16">
        <f>-IFERROR(VLOOKUP(C1385,SIRCUPA!$A$21:$H$186,8,0),0)</f>
        <v>0</v>
      </c>
      <c r="J1385" s="68">
        <f>-IFERROR(VLOOKUP(C1385,SIRTAC!$A$16:$H$1405,8,0),0)</f>
        <v>-463</v>
      </c>
      <c r="K1385" s="68">
        <f>-IFERROR(VLOOKUP(C1385,Gastos!$A$9:$J$1398,10,0),0)</f>
        <v>-449.11</v>
      </c>
      <c r="L1385" s="68">
        <f>-IFERROR(VLOOKUP(C1385,IDC!$A$20:$H$1596,8,0),0)</f>
        <v>-277.8</v>
      </c>
      <c r="M1385" s="74">
        <f t="shared" si="27"/>
        <v>46300</v>
      </c>
    </row>
    <row r="1386" spans="1:13" customFormat="1">
      <c r="A1386" t="s">
        <v>177</v>
      </c>
      <c r="B1386" t="s">
        <v>11</v>
      </c>
      <c r="C1386" s="51">
        <v>139743113042</v>
      </c>
      <c r="D1386" s="1">
        <v>55145.38</v>
      </c>
      <c r="E1386" s="1">
        <v>14916503.300000001</v>
      </c>
      <c r="F1386" t="s">
        <v>1280</v>
      </c>
      <c r="I1386" s="16">
        <f>-IFERROR(VLOOKUP(C1386,SIRCUPA!$A$21:$H$186,8,0),0)</f>
        <v>0</v>
      </c>
      <c r="J1386" s="68">
        <f>-IFERROR(VLOOKUP(C1386,SIRTAC!$A$16:$H$1405,8,0),0)</f>
        <v>-566</v>
      </c>
      <c r="K1386" s="68">
        <f>-IFERROR(VLOOKUP(C1386,Gastos!$A$9:$J$1398,10,0),0)</f>
        <v>-549.02</v>
      </c>
      <c r="L1386" s="68">
        <f>-IFERROR(VLOOKUP(C1386,IDC!$A$20:$H$1596,8,0),0)</f>
        <v>-339.6</v>
      </c>
      <c r="M1386" s="74">
        <f t="shared" si="27"/>
        <v>56599.999999999993</v>
      </c>
    </row>
    <row r="1387" spans="1:13" customFormat="1">
      <c r="A1387" t="s">
        <v>177</v>
      </c>
      <c r="B1387" t="s">
        <v>11</v>
      </c>
      <c r="C1387" s="51">
        <v>139095819989</v>
      </c>
      <c r="D1387" s="1">
        <v>13257.49</v>
      </c>
      <c r="E1387" s="1">
        <v>14932531.359999999</v>
      </c>
      <c r="F1387" t="s">
        <v>1280</v>
      </c>
      <c r="I1387" s="16">
        <f>-IFERROR(VLOOKUP(C1387,SIRCUPA!$A$21:$H$186,8,0),0)</f>
        <v>0</v>
      </c>
      <c r="J1387" s="68">
        <f>-IFERROR(VLOOKUP(C1387,SIRTAC!$A$16:$H$1405,8,0),0)</f>
        <v>-137</v>
      </c>
      <c r="K1387" s="68">
        <f>-IFERROR(VLOOKUP(C1387,Gastos!$A$9:$J$1398,10,0),0)</f>
        <v>-223.31</v>
      </c>
      <c r="L1387" s="68">
        <f>-IFERROR(VLOOKUP(C1387,IDC!$A$20:$H$1596,8,0),0)</f>
        <v>-82.2</v>
      </c>
      <c r="M1387" s="74">
        <f t="shared" si="27"/>
        <v>13700</v>
      </c>
    </row>
    <row r="1388" spans="1:13" customFormat="1">
      <c r="A1388" t="s">
        <v>177</v>
      </c>
      <c r="B1388" t="s">
        <v>11</v>
      </c>
      <c r="C1388" s="51">
        <v>139096355877</v>
      </c>
      <c r="D1388" s="1">
        <v>69077.87</v>
      </c>
      <c r="E1388" s="1">
        <v>15001609.23</v>
      </c>
      <c r="F1388" t="s">
        <v>1280</v>
      </c>
      <c r="I1388" s="16">
        <f>-IFERROR(VLOOKUP(C1388,SIRCUPA!$A$21:$H$186,8,0),0)</f>
        <v>0</v>
      </c>
      <c r="J1388" s="68">
        <f>-IFERROR(VLOOKUP(C1388,SIRTAC!$A$16:$H$1405,8,0),0)</f>
        <v>-709</v>
      </c>
      <c r="K1388" s="68">
        <f>-IFERROR(VLOOKUP(C1388,Gastos!$A$9:$J$1398,10,0),0)</f>
        <v>-687.73</v>
      </c>
      <c r="L1388" s="68">
        <f>-IFERROR(VLOOKUP(C1388,IDC!$A$20:$H$1596,8,0),0)</f>
        <v>-425.4</v>
      </c>
      <c r="M1388" s="74">
        <f t="shared" si="27"/>
        <v>70899.999999999985</v>
      </c>
    </row>
    <row r="1389" spans="1:13" customFormat="1">
      <c r="A1389" t="s">
        <v>177</v>
      </c>
      <c r="B1389" t="s">
        <v>11</v>
      </c>
      <c r="C1389" s="51">
        <v>139743764936</v>
      </c>
      <c r="D1389" s="1">
        <v>35331.78</v>
      </c>
      <c r="E1389" s="1">
        <v>15036941.01</v>
      </c>
      <c r="F1389" t="s">
        <v>1280</v>
      </c>
      <c r="I1389" s="16">
        <f>-IFERROR(VLOOKUP(C1389,SIRCUPA!$A$21:$H$186,8,0),0)</f>
        <v>0</v>
      </c>
      <c r="J1389" s="68">
        <f>-IFERROR(VLOOKUP(C1389,SIRTAC!$A$16:$H$1405,8,0),0)</f>
        <v>-374</v>
      </c>
      <c r="K1389" s="68">
        <f>-IFERROR(VLOOKUP(C1389,Gastos!$A$9:$J$1398,10,0),0)</f>
        <v>-1469.82</v>
      </c>
      <c r="L1389" s="68">
        <f>-IFERROR(VLOOKUP(C1389,IDC!$A$20:$H$1596,8,0),0)</f>
        <v>-224.4</v>
      </c>
      <c r="M1389" s="74">
        <f t="shared" si="27"/>
        <v>37400</v>
      </c>
    </row>
    <row r="1390" spans="1:13" customFormat="1">
      <c r="A1390" t="s">
        <v>177</v>
      </c>
      <c r="B1390" t="s">
        <v>11</v>
      </c>
      <c r="C1390" s="51">
        <v>139743954796</v>
      </c>
      <c r="D1390" s="1">
        <v>27585.24</v>
      </c>
      <c r="E1390" s="1">
        <v>15064526.25</v>
      </c>
      <c r="F1390" t="s">
        <v>1280</v>
      </c>
      <c r="I1390" s="16">
        <f>-IFERROR(VLOOKUP(C1390,SIRCUPA!$A$21:$H$186,8,0),0)</f>
        <v>0</v>
      </c>
      <c r="J1390" s="68">
        <f>-IFERROR(VLOOKUP(C1390,SIRTAC!$A$16:$H$1405,8,0),0)</f>
        <v>-292</v>
      </c>
      <c r="K1390" s="68">
        <f>-IFERROR(VLOOKUP(C1390,Gastos!$A$9:$J$1398,10,0),0)</f>
        <v>-1147.56</v>
      </c>
      <c r="L1390" s="68">
        <f>-IFERROR(VLOOKUP(C1390,IDC!$A$20:$H$1596,8,0),0)</f>
        <v>-175.2</v>
      </c>
      <c r="M1390" s="74">
        <f t="shared" si="27"/>
        <v>29200.000000000004</v>
      </c>
    </row>
    <row r="1391" spans="1:13" customFormat="1">
      <c r="A1391" t="s">
        <v>177</v>
      </c>
      <c r="B1391" t="s">
        <v>11</v>
      </c>
      <c r="C1391" s="51">
        <v>139744308788</v>
      </c>
      <c r="D1391" s="1">
        <v>10035.290000000001</v>
      </c>
      <c r="E1391" s="1">
        <v>15074561.539999999</v>
      </c>
      <c r="F1391" t="s">
        <v>1280</v>
      </c>
      <c r="I1391" s="16">
        <f>-IFERROR(VLOOKUP(C1391,SIRCUPA!$A$21:$H$186,8,0),0)</f>
        <v>0</v>
      </c>
      <c r="J1391" s="68">
        <f>-IFERROR(VLOOKUP(C1391,SIRTAC!$A$16:$H$1405,8,0),0)</f>
        <v>-103</v>
      </c>
      <c r="K1391" s="68">
        <f>-IFERROR(VLOOKUP(C1391,Gastos!$A$9:$J$1398,10,0),0)</f>
        <v>-99.91</v>
      </c>
      <c r="L1391" s="68">
        <f>-IFERROR(VLOOKUP(C1391,IDC!$A$20:$H$1596,8,0),0)</f>
        <v>-61.8</v>
      </c>
      <c r="M1391" s="74">
        <f t="shared" si="27"/>
        <v>10300</v>
      </c>
    </row>
    <row r="1392" spans="1:13" customFormat="1">
      <c r="A1392" t="s">
        <v>177</v>
      </c>
      <c r="B1392" t="s">
        <v>11</v>
      </c>
      <c r="C1392" s="51">
        <v>139745018564</v>
      </c>
      <c r="D1392" s="1">
        <v>56509.4</v>
      </c>
      <c r="E1392" s="1">
        <v>15131070.939999999</v>
      </c>
      <c r="F1392" t="s">
        <v>1280</v>
      </c>
      <c r="I1392" s="16">
        <f>-IFERROR(VLOOKUP(C1392,SIRCUPA!$A$21:$H$186,8,0),0)</f>
        <v>0</v>
      </c>
      <c r="J1392" s="68">
        <f>-IFERROR(VLOOKUP(C1392,SIRTAC!$A$16:$H$1405,8,0),0)</f>
        <v>-580</v>
      </c>
      <c r="K1392" s="68">
        <f>-IFERROR(VLOOKUP(C1392,Gastos!$A$9:$J$1398,10,0),0)</f>
        <v>-562.6</v>
      </c>
      <c r="L1392" s="68">
        <f>-IFERROR(VLOOKUP(C1392,IDC!$A$20:$H$1596,8,0),0)</f>
        <v>-348</v>
      </c>
      <c r="M1392" s="74">
        <f t="shared" si="27"/>
        <v>58000</v>
      </c>
    </row>
    <row r="1393" spans="1:13" customFormat="1">
      <c r="A1393" t="s">
        <v>177</v>
      </c>
      <c r="B1393" t="s">
        <v>11</v>
      </c>
      <c r="C1393" s="51">
        <v>139745156910</v>
      </c>
      <c r="D1393" s="1">
        <v>31175.1</v>
      </c>
      <c r="E1393" s="1">
        <v>15162246.039999999</v>
      </c>
      <c r="F1393" t="s">
        <v>1280</v>
      </c>
      <c r="I1393" s="16">
        <f>-IFERROR(VLOOKUP(C1393,SIRCUPA!$A$21:$H$186,8,0),0)</f>
        <v>0</v>
      </c>
      <c r="J1393" s="68">
        <f>-IFERROR(VLOOKUP(C1393,SIRTAC!$A$16:$H$1405,8,0),0)</f>
        <v>-330</v>
      </c>
      <c r="K1393" s="68">
        <f>-IFERROR(VLOOKUP(C1393,Gastos!$A$9:$J$1398,10,0),0)</f>
        <v>-1296.9000000000001</v>
      </c>
      <c r="L1393" s="68">
        <f>-IFERROR(VLOOKUP(C1393,IDC!$A$20:$H$1596,8,0),0)</f>
        <v>-198</v>
      </c>
      <c r="M1393" s="74">
        <f t="shared" si="27"/>
        <v>33000</v>
      </c>
    </row>
    <row r="1394" spans="1:13" customFormat="1">
      <c r="A1394" t="s">
        <v>177</v>
      </c>
      <c r="B1394" t="s">
        <v>11</v>
      </c>
      <c r="C1394" s="51">
        <v>139745222594</v>
      </c>
      <c r="D1394" s="1">
        <v>106845.57</v>
      </c>
      <c r="E1394" s="1">
        <v>15269091.609999999</v>
      </c>
      <c r="F1394" t="s">
        <v>1280</v>
      </c>
      <c r="I1394" s="16">
        <f>-IFERROR(VLOOKUP(C1394,SIRCUPA!$A$21:$H$186,8,0),0)</f>
        <v>0</v>
      </c>
      <c r="J1394" s="68">
        <f>-IFERROR(VLOOKUP(C1394,SIRTAC!$A$16:$H$1405,8,0),0)</f>
        <v>-1131</v>
      </c>
      <c r="K1394" s="68">
        <f>-IFERROR(VLOOKUP(C1394,Gastos!$A$9:$J$1398,10,0),0)</f>
        <v>-4444.83</v>
      </c>
      <c r="L1394" s="68">
        <f>-IFERROR(VLOOKUP(C1394,IDC!$A$20:$H$1596,8,0),0)</f>
        <v>-678.6</v>
      </c>
      <c r="M1394" s="74">
        <f t="shared" si="27"/>
        <v>113100.00000000001</v>
      </c>
    </row>
    <row r="1395" spans="1:13" customFormat="1">
      <c r="A1395" t="s">
        <v>177</v>
      </c>
      <c r="B1395" t="s">
        <v>11</v>
      </c>
      <c r="C1395" s="51">
        <v>139098023351</v>
      </c>
      <c r="D1395" s="1">
        <v>14906.79</v>
      </c>
      <c r="E1395" s="1">
        <v>15283998.4</v>
      </c>
      <c r="F1395" t="s">
        <v>1280</v>
      </c>
      <c r="I1395" s="16">
        <f>-IFERROR(VLOOKUP(C1395,SIRCUPA!$A$21:$H$186,8,0),0)</f>
        <v>0</v>
      </c>
      <c r="J1395" s="68">
        <f>-IFERROR(VLOOKUP(C1395,SIRTAC!$A$16:$H$1405,8,0),0)</f>
        <v>-153</v>
      </c>
      <c r="K1395" s="68">
        <f>-IFERROR(VLOOKUP(C1395,Gastos!$A$9:$J$1398,10,0),0)</f>
        <v>-148.41</v>
      </c>
      <c r="L1395" s="68">
        <f>-IFERROR(VLOOKUP(C1395,IDC!$A$20:$H$1596,8,0),0)</f>
        <v>-91.8</v>
      </c>
      <c r="M1395" s="74">
        <f t="shared" si="27"/>
        <v>15300</v>
      </c>
    </row>
    <row r="1396" spans="1:13" customFormat="1">
      <c r="A1396" t="s">
        <v>177</v>
      </c>
      <c r="B1396" t="s">
        <v>11</v>
      </c>
      <c r="C1396" s="51">
        <v>139098272395</v>
      </c>
      <c r="D1396" s="1">
        <v>74436.52</v>
      </c>
      <c r="E1396" s="1">
        <v>15358434.92</v>
      </c>
      <c r="F1396" t="s">
        <v>1280</v>
      </c>
      <c r="I1396" s="16">
        <f>-IFERROR(VLOOKUP(C1396,SIRCUPA!$A$21:$H$186,8,0),0)</f>
        <v>0</v>
      </c>
      <c r="J1396" s="68">
        <f>-IFERROR(VLOOKUP(C1396,SIRTAC!$A$16:$H$1405,8,0),0)</f>
        <v>-764</v>
      </c>
      <c r="K1396" s="68">
        <f>-IFERROR(VLOOKUP(C1396,Gastos!$A$9:$J$1398,10,0),0)</f>
        <v>-741.08</v>
      </c>
      <c r="L1396" s="68">
        <f>-IFERROR(VLOOKUP(C1396,IDC!$A$20:$H$1596,8,0),0)</f>
        <v>-458.4</v>
      </c>
      <c r="M1396" s="74">
        <f t="shared" si="27"/>
        <v>76400</v>
      </c>
    </row>
    <row r="1397" spans="1:13" customFormat="1">
      <c r="A1397" t="s">
        <v>177</v>
      </c>
      <c r="B1397" t="s">
        <v>11</v>
      </c>
      <c r="C1397" s="51">
        <v>139746116204</v>
      </c>
      <c r="D1397" s="1">
        <v>39946.300000000003</v>
      </c>
      <c r="E1397" s="1">
        <v>15398381.220000001</v>
      </c>
      <c r="F1397" t="s">
        <v>1280</v>
      </c>
      <c r="I1397" s="16">
        <f>-IFERROR(VLOOKUP(C1397,SIRCUPA!$A$21:$H$186,8,0),0)</f>
        <v>0</v>
      </c>
      <c r="J1397" s="68">
        <f>-IFERROR(VLOOKUP(C1397,SIRTAC!$A$16:$H$1405,8,0),0)</f>
        <v>-410</v>
      </c>
      <c r="K1397" s="68">
        <f>-IFERROR(VLOOKUP(C1397,Gastos!$A$9:$J$1398,10,0),0)</f>
        <v>-397.7</v>
      </c>
      <c r="L1397" s="68">
        <f>-IFERROR(VLOOKUP(C1397,IDC!$A$20:$H$1596,8,0),0)</f>
        <v>-246</v>
      </c>
      <c r="M1397" s="74">
        <f t="shared" si="27"/>
        <v>41000</v>
      </c>
    </row>
    <row r="1398" spans="1:13" customFormat="1">
      <c r="A1398" t="s">
        <v>177</v>
      </c>
      <c r="B1398" t="s">
        <v>11</v>
      </c>
      <c r="C1398" s="51">
        <v>139746110436</v>
      </c>
      <c r="D1398" s="1">
        <v>44135.79</v>
      </c>
      <c r="E1398" s="1">
        <v>15442517.01</v>
      </c>
      <c r="F1398" t="s">
        <v>1280</v>
      </c>
      <c r="I1398" s="16">
        <f>-IFERROR(VLOOKUP(C1398,SIRCUPA!$A$21:$H$186,8,0),0)</f>
        <v>0</v>
      </c>
      <c r="J1398" s="68">
        <f>-IFERROR(VLOOKUP(C1398,SIRTAC!$A$16:$H$1405,8,0),0)</f>
        <v>-453</v>
      </c>
      <c r="K1398" s="68">
        <f>-IFERROR(VLOOKUP(C1398,Gastos!$A$9:$J$1398,10,0),0)</f>
        <v>-439.41</v>
      </c>
      <c r="L1398" s="68">
        <f>-IFERROR(VLOOKUP(C1398,IDC!$A$20:$H$1596,8,0),0)</f>
        <v>-271.8</v>
      </c>
      <c r="M1398" s="74">
        <f t="shared" si="27"/>
        <v>45300.000000000007</v>
      </c>
    </row>
    <row r="1399" spans="1:13" customFormat="1">
      <c r="A1399" t="s">
        <v>177</v>
      </c>
      <c r="B1399" t="s">
        <v>11</v>
      </c>
      <c r="C1399" s="51">
        <v>139746069422</v>
      </c>
      <c r="D1399" s="1">
        <v>15393.94</v>
      </c>
      <c r="E1399" s="1">
        <v>15457910.949999999</v>
      </c>
      <c r="F1399" t="s">
        <v>1280</v>
      </c>
      <c r="I1399" s="16">
        <f>-IFERROR(VLOOKUP(C1399,SIRCUPA!$A$21:$H$186,8,0),0)</f>
        <v>0</v>
      </c>
      <c r="J1399" s="68">
        <f>-IFERROR(VLOOKUP(C1399,SIRTAC!$A$16:$H$1405,8,0),0)</f>
        <v>-158</v>
      </c>
      <c r="K1399" s="68">
        <f>-IFERROR(VLOOKUP(C1399,Gastos!$A$9:$J$1398,10,0),0)</f>
        <v>-153.26</v>
      </c>
      <c r="L1399" s="68">
        <f>-IFERROR(VLOOKUP(C1399,IDC!$A$20:$H$1596,8,0),0)</f>
        <v>-94.8</v>
      </c>
      <c r="M1399" s="74">
        <f t="shared" si="27"/>
        <v>15800</v>
      </c>
    </row>
    <row r="1400" spans="1:13" customFormat="1">
      <c r="A1400" t="s">
        <v>177</v>
      </c>
      <c r="B1400" t="s">
        <v>11</v>
      </c>
      <c r="C1400" s="51">
        <v>139098946275</v>
      </c>
      <c r="D1400" s="1">
        <v>97040.28</v>
      </c>
      <c r="E1400" s="1">
        <v>15554951.23</v>
      </c>
      <c r="F1400" t="s">
        <v>1280</v>
      </c>
      <c r="I1400" s="16">
        <f>-IFERROR(VLOOKUP(C1400,SIRCUPA!$A$21:$H$186,8,0),0)</f>
        <v>0</v>
      </c>
      <c r="J1400" s="68">
        <f>-IFERROR(VLOOKUP(C1400,SIRTAC!$A$16:$H$1405,8,0),0)</f>
        <v>-996</v>
      </c>
      <c r="K1400" s="68">
        <f>-IFERROR(VLOOKUP(C1400,Gastos!$A$9:$J$1398,10,0),0)</f>
        <v>-966.12</v>
      </c>
      <c r="L1400" s="68">
        <f>-IFERROR(VLOOKUP(C1400,IDC!$A$20:$H$1596,8,0),0)</f>
        <v>-597.6</v>
      </c>
      <c r="M1400" s="74">
        <f t="shared" si="27"/>
        <v>99600</v>
      </c>
    </row>
    <row r="1401" spans="1:13" customFormat="1">
      <c r="A1401" t="s">
        <v>177</v>
      </c>
      <c r="B1401" t="s">
        <v>11</v>
      </c>
      <c r="C1401" s="51">
        <v>139746652180</v>
      </c>
      <c r="D1401" s="1">
        <v>40043.730000000003</v>
      </c>
      <c r="E1401" s="1">
        <v>15594994.960000001</v>
      </c>
      <c r="F1401" t="s">
        <v>1280</v>
      </c>
      <c r="I1401" s="16">
        <f>-IFERROR(VLOOKUP(C1401,SIRCUPA!$A$21:$H$186,8,0),0)</f>
        <v>0</v>
      </c>
      <c r="J1401" s="68">
        <f>-IFERROR(VLOOKUP(C1401,SIRTAC!$A$16:$H$1405,8,0),0)</f>
        <v>-411</v>
      </c>
      <c r="K1401" s="68">
        <f>-IFERROR(VLOOKUP(C1401,Gastos!$A$9:$J$1398,10,0),0)</f>
        <v>-398.67</v>
      </c>
      <c r="L1401" s="68">
        <f>-IFERROR(VLOOKUP(C1401,IDC!$A$20:$H$1596,8,0),0)</f>
        <v>-246.6</v>
      </c>
      <c r="M1401" s="74">
        <f t="shared" si="27"/>
        <v>41100</v>
      </c>
    </row>
    <row r="1402" spans="1:13" customFormat="1">
      <c r="A1402" t="s">
        <v>177</v>
      </c>
      <c r="B1402" t="s">
        <v>11</v>
      </c>
      <c r="C1402" s="51">
        <v>139746956110</v>
      </c>
      <c r="D1402" s="1">
        <v>25695.84</v>
      </c>
      <c r="E1402" s="1">
        <v>15622702.640000001</v>
      </c>
      <c r="F1402" t="s">
        <v>1280</v>
      </c>
      <c r="I1402" s="16">
        <f>-IFERROR(VLOOKUP(C1402,SIRCUPA!$A$21:$H$186,8,0),0)</f>
        <v>0</v>
      </c>
      <c r="J1402" s="68">
        <f>-IFERROR(VLOOKUP(C1402,SIRTAC!$A$16:$H$1405,8,0),0)</f>
        <v>-272</v>
      </c>
      <c r="K1402" s="68">
        <f>-IFERROR(VLOOKUP(C1402,Gastos!$A$9:$J$1398,10,0),0)</f>
        <v>-1068.96</v>
      </c>
      <c r="L1402" s="68">
        <f>-IFERROR(VLOOKUP(C1402,IDC!$A$20:$H$1596,8,0),0)</f>
        <v>-163.19999999999999</v>
      </c>
      <c r="M1402" s="74">
        <f t="shared" si="27"/>
        <v>27200</v>
      </c>
    </row>
    <row r="1403" spans="1:13" customFormat="1">
      <c r="A1403" t="s">
        <v>177</v>
      </c>
      <c r="B1403" t="s">
        <v>11</v>
      </c>
      <c r="C1403" s="51">
        <v>139746996378</v>
      </c>
      <c r="D1403" s="1">
        <v>72269.55</v>
      </c>
      <c r="E1403" s="1">
        <v>15694972.189999999</v>
      </c>
      <c r="F1403" t="s">
        <v>1280</v>
      </c>
      <c r="I1403" s="16">
        <f>-IFERROR(VLOOKUP(C1403,SIRCUPA!$A$21:$H$186,8,0),0)</f>
        <v>0</v>
      </c>
      <c r="J1403" s="68">
        <f>-IFERROR(VLOOKUP(C1403,SIRTAC!$A$16:$H$1405,8,0),0)</f>
        <v>-765</v>
      </c>
      <c r="K1403" s="68">
        <f>-IFERROR(VLOOKUP(C1403,Gastos!$A$9:$J$1398,10,0),0)</f>
        <v>-3006.45</v>
      </c>
      <c r="L1403" s="68">
        <f>-IFERROR(VLOOKUP(C1403,IDC!$A$20:$H$1596,8,0),0)</f>
        <v>-459</v>
      </c>
      <c r="M1403" s="74">
        <f t="shared" si="27"/>
        <v>76500</v>
      </c>
    </row>
    <row r="1404" spans="1:13" customFormat="1">
      <c r="A1404" t="s">
        <v>177</v>
      </c>
      <c r="B1404" t="s">
        <v>11</v>
      </c>
      <c r="C1404" s="51">
        <v>139747108932</v>
      </c>
      <c r="D1404" s="1">
        <v>29229</v>
      </c>
      <c r="E1404" s="1">
        <v>15724201.189999999</v>
      </c>
      <c r="F1404" t="s">
        <v>1280</v>
      </c>
      <c r="I1404" s="16">
        <f>-IFERROR(VLOOKUP(C1404,SIRCUPA!$A$21:$H$186,8,0),0)</f>
        <v>0</v>
      </c>
      <c r="J1404" s="68">
        <f>-IFERROR(VLOOKUP(C1404,SIRTAC!$A$16:$H$1405,8,0),0)</f>
        <v>-300</v>
      </c>
      <c r="K1404" s="68">
        <f>-IFERROR(VLOOKUP(C1404,Gastos!$A$9:$J$1398,10,0),0)</f>
        <v>-291</v>
      </c>
      <c r="L1404" s="68">
        <f>-IFERROR(VLOOKUP(C1404,IDC!$A$20:$H$1596,8,0),0)</f>
        <v>-180</v>
      </c>
      <c r="M1404" s="74">
        <f t="shared" si="27"/>
        <v>30000</v>
      </c>
    </row>
    <row r="1405" spans="1:13" customFormat="1">
      <c r="A1405" t="s">
        <v>177</v>
      </c>
      <c r="B1405" t="s">
        <v>11</v>
      </c>
      <c r="C1405" s="51">
        <v>139747250496</v>
      </c>
      <c r="D1405" s="1">
        <v>140760.29999999999</v>
      </c>
      <c r="E1405" s="1">
        <v>15864961.49</v>
      </c>
      <c r="F1405" t="s">
        <v>1280</v>
      </c>
      <c r="I1405" s="16">
        <f>-IFERROR(VLOOKUP(C1405,SIRCUPA!$A$21:$H$186,8,0),0)</f>
        <v>0</v>
      </c>
      <c r="J1405" s="68">
        <f>-IFERROR(VLOOKUP(C1405,SIRTAC!$A$16:$H$1405,8,0),0)</f>
        <v>-1490</v>
      </c>
      <c r="K1405" s="68">
        <f>-IFERROR(VLOOKUP(C1405,Gastos!$A$9:$J$1398,10,0),0)</f>
        <v>-5855.7</v>
      </c>
      <c r="L1405" s="68">
        <f>-IFERROR(VLOOKUP(C1405,IDC!$A$20:$H$1596,8,0),0)</f>
        <v>-894</v>
      </c>
      <c r="M1405" s="74">
        <f t="shared" si="27"/>
        <v>149000</v>
      </c>
    </row>
    <row r="1406" spans="1:13" customFormat="1">
      <c r="A1406" t="s">
        <v>177</v>
      </c>
      <c r="B1406" t="s">
        <v>11</v>
      </c>
      <c r="C1406" s="51">
        <v>139100436161</v>
      </c>
      <c r="D1406" s="1">
        <v>14029.92</v>
      </c>
      <c r="E1406" s="1">
        <v>15878991.41</v>
      </c>
      <c r="F1406" t="s">
        <v>1280</v>
      </c>
      <c r="I1406" s="16">
        <f>-IFERROR(VLOOKUP(C1406,SIRCUPA!$A$21:$H$186,8,0),0)</f>
        <v>0</v>
      </c>
      <c r="J1406" s="68">
        <f>-IFERROR(VLOOKUP(C1406,SIRTAC!$A$16:$H$1405,8,0),0)</f>
        <v>-144</v>
      </c>
      <c r="K1406" s="68">
        <f>-IFERROR(VLOOKUP(C1406,Gastos!$A$9:$J$1398,10,0),0)</f>
        <v>-139.68</v>
      </c>
      <c r="L1406" s="68">
        <f>-IFERROR(VLOOKUP(C1406,IDC!$A$20:$H$1596,8,0),0)</f>
        <v>-86.4</v>
      </c>
      <c r="M1406" s="74">
        <f t="shared" si="27"/>
        <v>14400</v>
      </c>
    </row>
    <row r="1407" spans="1:13" customFormat="1">
      <c r="A1407" t="s">
        <v>177</v>
      </c>
      <c r="B1407" t="s">
        <v>11</v>
      </c>
      <c r="C1407" s="51">
        <v>139100574281</v>
      </c>
      <c r="D1407" s="1">
        <v>30203.3</v>
      </c>
      <c r="E1407" s="1">
        <v>15909194.710000001</v>
      </c>
      <c r="F1407" t="s">
        <v>1280</v>
      </c>
      <c r="I1407" s="16">
        <f>-IFERROR(VLOOKUP(C1407,SIRCUPA!$A$21:$H$186,8,0),0)</f>
        <v>0</v>
      </c>
      <c r="J1407" s="68">
        <f>-IFERROR(VLOOKUP(C1407,SIRTAC!$A$16:$H$1405,8,0),0)</f>
        <v>-310</v>
      </c>
      <c r="K1407" s="68">
        <f>-IFERROR(VLOOKUP(C1407,Gastos!$A$9:$J$1398,10,0),0)</f>
        <v>-300.7</v>
      </c>
      <c r="L1407" s="68">
        <f>-IFERROR(VLOOKUP(C1407,IDC!$A$20:$H$1596,8,0),0)</f>
        <v>-186</v>
      </c>
      <c r="M1407" s="74">
        <f t="shared" si="27"/>
        <v>31000</v>
      </c>
    </row>
    <row r="1408" spans="1:13" customFormat="1">
      <c r="A1408" t="s">
        <v>177</v>
      </c>
      <c r="B1408" t="s">
        <v>11</v>
      </c>
      <c r="C1408" s="51">
        <v>139808799678</v>
      </c>
      <c r="D1408" s="1">
        <v>5322.35</v>
      </c>
      <c r="E1408" s="1">
        <v>15830748.550000001</v>
      </c>
      <c r="F1408" t="s">
        <v>1280</v>
      </c>
      <c r="I1408" s="16">
        <f>-IFERROR(VLOOKUP(C1408,SIRCUPA!$A$21:$H$186,8,0),0)</f>
        <v>0</v>
      </c>
      <c r="J1408" s="68">
        <f>-IFERROR(VLOOKUP(C1408,SIRTAC!$A$16:$H$1405,8,0),0)</f>
        <v>-55</v>
      </c>
      <c r="K1408" s="68">
        <f>-IFERROR(VLOOKUP(C1408,Gastos!$A$9:$J$1398,10,0),0)</f>
        <v>-89.65</v>
      </c>
      <c r="L1408" s="68">
        <f>-IFERROR(VLOOKUP(C1408,IDC!$A$20:$H$1596,8,0),0)</f>
        <v>-33</v>
      </c>
      <c r="M1408" s="74">
        <f t="shared" si="27"/>
        <v>5500</v>
      </c>
    </row>
    <row r="1409" spans="1:13" customFormat="1">
      <c r="A1409" t="s">
        <v>177</v>
      </c>
      <c r="B1409" t="s">
        <v>11</v>
      </c>
      <c r="C1409" s="51">
        <v>139811178548</v>
      </c>
      <c r="D1409" s="1">
        <v>18894</v>
      </c>
      <c r="E1409" s="1">
        <v>15849642.550000001</v>
      </c>
      <c r="F1409" t="s">
        <v>1280</v>
      </c>
      <c r="I1409" s="16">
        <f>-IFERROR(VLOOKUP(C1409,SIRCUPA!$A$21:$H$186,8,0),0)</f>
        <v>0</v>
      </c>
      <c r="J1409" s="68">
        <f>-IFERROR(VLOOKUP(C1409,SIRTAC!$A$16:$H$1405,8,0),0)</f>
        <v>-200</v>
      </c>
      <c r="K1409" s="68">
        <f>-IFERROR(VLOOKUP(C1409,Gastos!$A$9:$J$1398,10,0),0)</f>
        <v>-786</v>
      </c>
      <c r="L1409" s="68">
        <f>-IFERROR(VLOOKUP(C1409,IDC!$A$20:$H$1596,8,0),0)</f>
        <v>-120</v>
      </c>
      <c r="M1409" s="74">
        <f t="shared" si="27"/>
        <v>20000</v>
      </c>
    </row>
    <row r="1410" spans="1:13" customFormat="1">
      <c r="A1410" t="s">
        <v>177</v>
      </c>
      <c r="B1410" t="s">
        <v>11</v>
      </c>
      <c r="C1410" s="51">
        <v>139172546173</v>
      </c>
      <c r="D1410" s="1">
        <v>4774.07</v>
      </c>
      <c r="E1410" s="1">
        <v>15854416.619999999</v>
      </c>
      <c r="F1410" t="s">
        <v>1280</v>
      </c>
      <c r="I1410" s="16">
        <f>-IFERROR(VLOOKUP(C1410,SIRCUPA!$A$21:$H$186,8,0),0)</f>
        <v>0</v>
      </c>
      <c r="J1410" s="68">
        <f>-IFERROR(VLOOKUP(C1410,SIRTAC!$A$16:$H$1405,8,0),0)</f>
        <v>-49</v>
      </c>
      <c r="K1410" s="68">
        <f>-IFERROR(VLOOKUP(C1410,Gastos!$A$9:$J$1398,10,0),0)</f>
        <v>-47.53</v>
      </c>
      <c r="L1410" s="68">
        <f>-IFERROR(VLOOKUP(C1410,IDC!$A$20:$H$1596,8,0),0)</f>
        <v>-29.4</v>
      </c>
      <c r="M1410" s="74">
        <f t="shared" si="27"/>
        <v>4899.9999999999991</v>
      </c>
    </row>
    <row r="1411" spans="1:13" customFormat="1">
      <c r="A1411" t="s">
        <v>177</v>
      </c>
      <c r="B1411" t="s">
        <v>11</v>
      </c>
      <c r="C1411" s="51">
        <v>139172710465</v>
      </c>
      <c r="D1411" s="1">
        <v>6275.52</v>
      </c>
      <c r="E1411" s="1">
        <v>15860692.140000001</v>
      </c>
      <c r="F1411" t="s">
        <v>1280</v>
      </c>
      <c r="I1411" s="16">
        <f>-IFERROR(VLOOKUP(C1411,SIRCUPA!$A$21:$H$186,8,0),0)</f>
        <v>0</v>
      </c>
      <c r="J1411" s="68">
        <f>-IFERROR(VLOOKUP(C1411,SIRTAC!$A$16:$H$1405,8,0),0)</f>
        <v>-72</v>
      </c>
      <c r="K1411" s="68">
        <f>-IFERROR(VLOOKUP(C1411,Gastos!$A$9:$J$1398,10,0),0)</f>
        <v>-809.28</v>
      </c>
      <c r="L1411" s="68">
        <f>-IFERROR(VLOOKUP(C1411,IDC!$A$20:$H$1596,8,0),0)</f>
        <v>-43.2</v>
      </c>
      <c r="M1411" s="74">
        <f t="shared" si="27"/>
        <v>7200</v>
      </c>
    </row>
    <row r="1412" spans="1:13" customFormat="1">
      <c r="A1412" t="s">
        <v>171</v>
      </c>
      <c r="B1412" t="s">
        <v>174</v>
      </c>
      <c r="C1412" s="51">
        <v>139087916413</v>
      </c>
      <c r="D1412" s="1">
        <v>2476.87</v>
      </c>
      <c r="E1412" s="1">
        <v>14149073.869999999</v>
      </c>
      <c r="F1412" t="s">
        <v>1280</v>
      </c>
      <c r="I1412" s="16">
        <f>-IFERROR(VLOOKUP(C1412,SIRCUPA!$A$21:$H$186,8,0),0)</f>
        <v>-37.950000000000003</v>
      </c>
      <c r="J1412" s="68">
        <f>-IFERROR(VLOOKUP(C1412,SIRTAC!$A$16:$H$1405,8,0),0)</f>
        <v>0</v>
      </c>
      <c r="K1412" s="68">
        <f>-IFERROR(VLOOKUP(C1412,Gastos!$A$9:$J$1398,10,0),0)</f>
        <v>0</v>
      </c>
      <c r="L1412" s="68">
        <f>-IFERROR(VLOOKUP(C1412,IDC!$A$20:$H$1596,8,0),0)</f>
        <v>-15.18</v>
      </c>
      <c r="M1412" s="74">
        <f t="shared" si="27"/>
        <v>2529.9999999999995</v>
      </c>
    </row>
    <row r="1413" spans="1:13" customFormat="1">
      <c r="A1413" t="s">
        <v>177</v>
      </c>
      <c r="B1413" t="s">
        <v>11</v>
      </c>
      <c r="C1413" s="51">
        <v>139820048220</v>
      </c>
      <c r="D1413" s="1">
        <v>18901.419999999998</v>
      </c>
      <c r="E1413" s="1">
        <v>15879593.560000001</v>
      </c>
      <c r="F1413" t="s">
        <v>1280</v>
      </c>
      <c r="I1413" s="16">
        <f>-IFERROR(VLOOKUP(C1413,SIRCUPA!$A$21:$H$186,8,0),0)</f>
        <v>0</v>
      </c>
      <c r="J1413" s="68">
        <f>-IFERROR(VLOOKUP(C1413,SIRTAC!$A$16:$H$1405,8,0),0)</f>
        <v>-194</v>
      </c>
      <c r="K1413" s="68">
        <f>-IFERROR(VLOOKUP(C1413,Gastos!$A$9:$J$1398,10,0),0)</f>
        <v>-188.18</v>
      </c>
      <c r="L1413" s="68">
        <f>-IFERROR(VLOOKUP(C1413,IDC!$A$20:$H$1596,8,0),0)</f>
        <v>-116.4</v>
      </c>
      <c r="M1413" s="74">
        <f t="shared" si="27"/>
        <v>19400</v>
      </c>
    </row>
    <row r="1414" spans="1:13" customFormat="1">
      <c r="A1414" t="s">
        <v>171</v>
      </c>
      <c r="B1414" t="s">
        <v>175</v>
      </c>
      <c r="C1414" s="51">
        <v>139089399095</v>
      </c>
      <c r="D1414">
        <v>489.5</v>
      </c>
      <c r="E1414" s="1">
        <v>14154434.869999999</v>
      </c>
      <c r="F1414" t="s">
        <v>1280</v>
      </c>
      <c r="I1414" s="16">
        <f>-IFERROR(VLOOKUP(C1414,SIRCUPA!$A$21:$H$186,8,0),0)</f>
        <v>-7.5</v>
      </c>
      <c r="J1414" s="68">
        <f>-IFERROR(VLOOKUP(C1414,SIRTAC!$A$16:$H$1405,8,0),0)</f>
        <v>0</v>
      </c>
      <c r="K1414" s="68">
        <f>-IFERROR(VLOOKUP(C1414,Gastos!$A$9:$J$1398,10,0),0)</f>
        <v>0</v>
      </c>
      <c r="L1414" s="68">
        <f>-IFERROR(VLOOKUP(C1414,IDC!$A$20:$H$1596,8,0),0)</f>
        <v>-3</v>
      </c>
      <c r="M1414" s="74">
        <f t="shared" si="27"/>
        <v>500</v>
      </c>
    </row>
    <row r="1415" spans="1:13" customFormat="1">
      <c r="A1415" t="s">
        <v>177</v>
      </c>
      <c r="B1415" t="s">
        <v>11</v>
      </c>
      <c r="C1415" s="51">
        <v>139173070093</v>
      </c>
      <c r="D1415" s="1">
        <v>18894</v>
      </c>
      <c r="E1415" s="1">
        <v>15900386.82</v>
      </c>
      <c r="F1415" t="s">
        <v>1280</v>
      </c>
      <c r="I1415" s="16">
        <f>-IFERROR(VLOOKUP(C1415,SIRCUPA!$A$21:$H$186,8,0),0)</f>
        <v>0</v>
      </c>
      <c r="J1415" s="68">
        <f>-IFERROR(VLOOKUP(C1415,SIRTAC!$A$16:$H$1405,8,0),0)</f>
        <v>-200</v>
      </c>
      <c r="K1415" s="68">
        <f>-IFERROR(VLOOKUP(C1415,Gastos!$A$9:$J$1398,10,0),0)</f>
        <v>-786</v>
      </c>
      <c r="L1415" s="68">
        <f>-IFERROR(VLOOKUP(C1415,IDC!$A$20:$H$1596,8,0),0)</f>
        <v>-120</v>
      </c>
      <c r="M1415" s="74">
        <f t="shared" si="27"/>
        <v>20000</v>
      </c>
    </row>
    <row r="1416" spans="1:13" customFormat="1">
      <c r="A1416" t="s">
        <v>177</v>
      </c>
      <c r="B1416" t="s">
        <v>11</v>
      </c>
      <c r="C1416" s="51">
        <v>139820841428</v>
      </c>
      <c r="D1416" s="1">
        <v>12165.86</v>
      </c>
      <c r="E1416" s="1">
        <v>15912552.68</v>
      </c>
      <c r="F1416" t="s">
        <v>1280</v>
      </c>
      <c r="I1416" s="16">
        <f>-IFERROR(VLOOKUP(C1416,SIRCUPA!$A$21:$H$186,8,0),0)</f>
        <v>0</v>
      </c>
      <c r="J1416" s="68">
        <f>-IFERROR(VLOOKUP(C1416,SIRTAC!$A$16:$H$1405,8,0),0)</f>
        <v>-134</v>
      </c>
      <c r="K1416" s="68">
        <f>-IFERROR(VLOOKUP(C1416,Gastos!$A$9:$J$1398,10,0),0)</f>
        <v>-1019.74</v>
      </c>
      <c r="L1416" s="68">
        <f>-IFERROR(VLOOKUP(C1416,IDC!$A$20:$H$1596,8,0),0)</f>
        <v>-80.400000000000006</v>
      </c>
      <c r="M1416" s="74">
        <f t="shared" si="27"/>
        <v>13400</v>
      </c>
    </row>
    <row r="1417" spans="1:13" customFormat="1">
      <c r="A1417" t="s">
        <v>177</v>
      </c>
      <c r="B1417" t="s">
        <v>11</v>
      </c>
      <c r="C1417" s="51">
        <v>139820905374</v>
      </c>
      <c r="D1417" s="1">
        <v>9447</v>
      </c>
      <c r="E1417" s="1">
        <v>15923311.539999999</v>
      </c>
      <c r="F1417" t="s">
        <v>1280</v>
      </c>
      <c r="I1417" s="16">
        <f>-IFERROR(VLOOKUP(C1417,SIRCUPA!$A$21:$H$186,8,0),0)</f>
        <v>0</v>
      </c>
      <c r="J1417" s="68">
        <f>-IFERROR(VLOOKUP(C1417,SIRTAC!$A$16:$H$1405,8,0),0)</f>
        <v>-100</v>
      </c>
      <c r="K1417" s="68">
        <f>-IFERROR(VLOOKUP(C1417,Gastos!$A$9:$J$1398,10,0),0)</f>
        <v>-393</v>
      </c>
      <c r="L1417" s="68">
        <f>-IFERROR(VLOOKUP(C1417,IDC!$A$20:$H$1596,8,0),0)</f>
        <v>-60</v>
      </c>
      <c r="M1417" s="74">
        <f t="shared" si="27"/>
        <v>10000</v>
      </c>
    </row>
    <row r="1418" spans="1:13" customFormat="1">
      <c r="A1418" t="s">
        <v>171</v>
      </c>
      <c r="B1418" t="s">
        <v>176</v>
      </c>
      <c r="C1418" s="51">
        <v>139737185630</v>
      </c>
      <c r="D1418" s="1">
        <v>2702.04</v>
      </c>
      <c r="E1418" s="1">
        <v>14243425.98</v>
      </c>
      <c r="F1418" t="s">
        <v>1280</v>
      </c>
      <c r="I1418" s="16">
        <f>-IFERROR(VLOOKUP(C1418,SIRCUPA!$A$21:$H$186,8,0),0)</f>
        <v>-41.4</v>
      </c>
      <c r="J1418" s="68">
        <f>-IFERROR(VLOOKUP(C1418,SIRTAC!$A$16:$H$1405,8,0),0)</f>
        <v>0</v>
      </c>
      <c r="K1418" s="68">
        <f>-IFERROR(VLOOKUP(C1418,Gastos!$A$9:$J$1398,10,0),0)</f>
        <v>0</v>
      </c>
      <c r="L1418" s="68">
        <f>-IFERROR(VLOOKUP(C1418,IDC!$A$20:$H$1596,8,0),0)</f>
        <v>-16.559999999999999</v>
      </c>
      <c r="M1418" s="74">
        <f t="shared" si="27"/>
        <v>2760</v>
      </c>
    </row>
    <row r="1419" spans="1:13" customFormat="1">
      <c r="A1419" t="s">
        <v>177</v>
      </c>
      <c r="B1419" t="s">
        <v>11</v>
      </c>
      <c r="C1419" s="51">
        <v>139174210059</v>
      </c>
      <c r="D1419" s="1">
        <v>4539.5</v>
      </c>
      <c r="E1419" s="1">
        <v>15927851.039999999</v>
      </c>
      <c r="F1419" t="s">
        <v>1280</v>
      </c>
      <c r="I1419" s="16">
        <f>-IFERROR(VLOOKUP(C1419,SIRCUPA!$A$21:$H$186,8,0),0)</f>
        <v>0</v>
      </c>
      <c r="J1419" s="68">
        <f>-IFERROR(VLOOKUP(C1419,SIRTAC!$A$16:$H$1405,8,0),0)</f>
        <v>-50</v>
      </c>
      <c r="K1419" s="68">
        <f>-IFERROR(VLOOKUP(C1419,Gastos!$A$9:$J$1398,10,0),0)</f>
        <v>-380.5</v>
      </c>
      <c r="L1419" s="68">
        <f>-IFERROR(VLOOKUP(C1419,IDC!$A$20:$H$1596,8,0),0)</f>
        <v>-30</v>
      </c>
      <c r="M1419" s="74">
        <f t="shared" si="27"/>
        <v>5000</v>
      </c>
    </row>
    <row r="1420" spans="1:13" customFormat="1">
      <c r="A1420" t="s">
        <v>177</v>
      </c>
      <c r="B1420" t="s">
        <v>11</v>
      </c>
      <c r="C1420" s="51">
        <v>139174873593</v>
      </c>
      <c r="D1420" s="1">
        <v>9743</v>
      </c>
      <c r="E1420" s="1">
        <v>15937594.039999999</v>
      </c>
      <c r="F1420" t="s">
        <v>1280</v>
      </c>
      <c r="I1420" s="16">
        <f>-IFERROR(VLOOKUP(C1420,SIRCUPA!$A$21:$H$186,8,0),0)</f>
        <v>0</v>
      </c>
      <c r="J1420" s="68">
        <f>-IFERROR(VLOOKUP(C1420,SIRTAC!$A$16:$H$1405,8,0),0)</f>
        <v>-100</v>
      </c>
      <c r="K1420" s="68">
        <f>-IFERROR(VLOOKUP(C1420,Gastos!$A$9:$J$1398,10,0),0)</f>
        <v>-97</v>
      </c>
      <c r="L1420" s="68">
        <f>-IFERROR(VLOOKUP(C1420,IDC!$A$20:$H$1596,8,0),0)</f>
        <v>-60</v>
      </c>
      <c r="M1420" s="74">
        <f t="shared" si="27"/>
        <v>10000</v>
      </c>
    </row>
    <row r="1421" spans="1:13" customFormat="1">
      <c r="A1421" t="s">
        <v>177</v>
      </c>
      <c r="B1421" t="s">
        <v>11</v>
      </c>
      <c r="C1421" s="51">
        <v>139174829827</v>
      </c>
      <c r="D1421" s="1">
        <v>4774.07</v>
      </c>
      <c r="E1421" s="1">
        <v>15942368.109999999</v>
      </c>
      <c r="F1421" t="s">
        <v>1280</v>
      </c>
      <c r="I1421" s="16">
        <f>-IFERROR(VLOOKUP(C1421,SIRCUPA!$A$21:$H$186,8,0),0)</f>
        <v>0</v>
      </c>
      <c r="J1421" s="68">
        <f>-IFERROR(VLOOKUP(C1421,SIRTAC!$A$16:$H$1405,8,0),0)</f>
        <v>-49</v>
      </c>
      <c r="K1421" s="68">
        <f>-IFERROR(VLOOKUP(C1421,Gastos!$A$9:$J$1398,10,0),0)</f>
        <v>-47.53</v>
      </c>
      <c r="L1421" s="68">
        <f>-IFERROR(VLOOKUP(C1421,IDC!$A$20:$H$1596,8,0),0)</f>
        <v>-29.4</v>
      </c>
      <c r="M1421" s="74">
        <f t="shared" si="27"/>
        <v>4899.9999999999991</v>
      </c>
    </row>
    <row r="1422" spans="1:13" customFormat="1">
      <c r="A1422" t="s">
        <v>177</v>
      </c>
      <c r="B1422" t="s">
        <v>11</v>
      </c>
      <c r="C1422" s="51">
        <v>139175369981</v>
      </c>
      <c r="D1422" s="1">
        <v>7209.82</v>
      </c>
      <c r="E1422" s="1">
        <v>15949577.93</v>
      </c>
      <c r="F1422" t="s">
        <v>1280</v>
      </c>
      <c r="I1422" s="16">
        <f>-IFERROR(VLOOKUP(C1422,SIRCUPA!$A$21:$H$186,8,0),0)</f>
        <v>0</v>
      </c>
      <c r="J1422" s="68">
        <f>-IFERROR(VLOOKUP(C1422,SIRTAC!$A$16:$H$1405,8,0),0)</f>
        <v>-74</v>
      </c>
      <c r="K1422" s="68">
        <f>-IFERROR(VLOOKUP(C1422,Gastos!$A$9:$J$1398,10,0),0)</f>
        <v>-71.78</v>
      </c>
      <c r="L1422" s="68">
        <f>-IFERROR(VLOOKUP(C1422,IDC!$A$20:$H$1596,8,0),0)</f>
        <v>-44.4</v>
      </c>
      <c r="M1422" s="74">
        <f t="shared" si="27"/>
        <v>7399.9999999999991</v>
      </c>
    </row>
    <row r="1423" spans="1:13" customFormat="1">
      <c r="A1423" t="s">
        <v>177</v>
      </c>
      <c r="B1423" t="s">
        <v>11</v>
      </c>
      <c r="C1423" s="51">
        <v>139176331131</v>
      </c>
      <c r="D1423" s="1">
        <v>13640.2</v>
      </c>
      <c r="E1423" s="1">
        <v>15963218.130000001</v>
      </c>
      <c r="F1423" t="s">
        <v>1280</v>
      </c>
      <c r="I1423" s="16">
        <f>-IFERROR(VLOOKUP(C1423,SIRCUPA!$A$21:$H$186,8,0),0)</f>
        <v>0</v>
      </c>
      <c r="J1423" s="68">
        <f>-IFERROR(VLOOKUP(C1423,SIRTAC!$A$16:$H$1405,8,0),0)</f>
        <v>-140</v>
      </c>
      <c r="K1423" s="68">
        <f>-IFERROR(VLOOKUP(C1423,Gastos!$A$9:$J$1398,10,0),0)</f>
        <v>-135.80000000000001</v>
      </c>
      <c r="L1423" s="68">
        <f>-IFERROR(VLOOKUP(C1423,IDC!$A$20:$H$1596,8,0),0)</f>
        <v>-84</v>
      </c>
      <c r="M1423" s="74">
        <f t="shared" si="27"/>
        <v>14000</v>
      </c>
    </row>
    <row r="1424" spans="1:13" customFormat="1">
      <c r="A1424" t="s">
        <v>177</v>
      </c>
      <c r="B1424" t="s">
        <v>178</v>
      </c>
      <c r="C1424" s="51">
        <v>139093172083</v>
      </c>
      <c r="D1424">
        <v>969.21</v>
      </c>
      <c r="E1424" s="1">
        <v>14463527.27</v>
      </c>
      <c r="F1424" t="s">
        <v>1280</v>
      </c>
      <c r="I1424" s="16">
        <f>-IFERROR(VLOOKUP(C1424,SIRCUPA!$A$21:$H$186,8,0),0)</f>
        <v>-14.85</v>
      </c>
      <c r="J1424" s="68">
        <f>-IFERROR(VLOOKUP(C1424,SIRTAC!$A$16:$H$1405,8,0),0)</f>
        <v>0</v>
      </c>
      <c r="K1424" s="68">
        <f>-IFERROR(VLOOKUP(C1424,Gastos!$A$9:$J$1398,10,0),0)</f>
        <v>0</v>
      </c>
      <c r="L1424" s="68">
        <f>-IFERROR(VLOOKUP(C1424,IDC!$A$20:$H$1596,8,0),0)</f>
        <v>-5.94</v>
      </c>
      <c r="M1424" s="74">
        <f t="shared" si="27"/>
        <v>990.00000000000011</v>
      </c>
    </row>
    <row r="1425" spans="1:13" customFormat="1">
      <c r="A1425" t="s">
        <v>177</v>
      </c>
      <c r="B1425" t="s">
        <v>11</v>
      </c>
      <c r="C1425" s="51">
        <v>139825993870</v>
      </c>
      <c r="D1425" s="1">
        <v>28529.94</v>
      </c>
      <c r="E1425" s="1">
        <v>15991748.07</v>
      </c>
      <c r="F1425" t="s">
        <v>1280</v>
      </c>
      <c r="I1425" s="16">
        <f>-IFERROR(VLOOKUP(C1425,SIRCUPA!$A$21:$H$186,8,0),0)</f>
        <v>0</v>
      </c>
      <c r="J1425" s="68">
        <f>-IFERROR(VLOOKUP(C1425,SIRTAC!$A$16:$H$1405,8,0),0)</f>
        <v>-302</v>
      </c>
      <c r="K1425" s="68">
        <f>-IFERROR(VLOOKUP(C1425,Gastos!$A$9:$J$1398,10,0),0)</f>
        <v>-1186.8599999999999</v>
      </c>
      <c r="L1425" s="68">
        <f>-IFERROR(VLOOKUP(C1425,IDC!$A$20:$H$1596,8,0),0)</f>
        <v>-181.2</v>
      </c>
      <c r="M1425" s="74">
        <f t="shared" si="27"/>
        <v>30200</v>
      </c>
    </row>
    <row r="1426" spans="1:13" customFormat="1">
      <c r="A1426" t="s">
        <v>177</v>
      </c>
      <c r="B1426" t="s">
        <v>11</v>
      </c>
      <c r="C1426" s="51">
        <v>139827276052</v>
      </c>
      <c r="D1426" s="1">
        <v>38699.040000000001</v>
      </c>
      <c r="E1426" s="1">
        <v>16030447.109999999</v>
      </c>
      <c r="F1426" t="s">
        <v>1280</v>
      </c>
      <c r="I1426" s="16">
        <f>-IFERROR(VLOOKUP(C1426,SIRCUPA!$A$21:$H$186,8,0),0)</f>
        <v>0</v>
      </c>
      <c r="J1426" s="68">
        <f>-IFERROR(VLOOKUP(C1426,SIRTAC!$A$16:$H$1405,8,0),0)</f>
        <v>-444</v>
      </c>
      <c r="K1426" s="68">
        <f>-IFERROR(VLOOKUP(C1426,Gastos!$A$9:$J$1398,10,0),0)</f>
        <v>-4990.5600000000004</v>
      </c>
      <c r="L1426" s="68">
        <f>-IFERROR(VLOOKUP(C1426,IDC!$A$20:$H$1596,8,0),0)</f>
        <v>-266.39999999999998</v>
      </c>
      <c r="M1426" s="74">
        <f t="shared" si="27"/>
        <v>44400</v>
      </c>
    </row>
    <row r="1427" spans="1:13" customFormat="1">
      <c r="A1427" t="s">
        <v>177</v>
      </c>
      <c r="B1427" t="s">
        <v>11</v>
      </c>
      <c r="C1427" s="51">
        <v>139181298385</v>
      </c>
      <c r="D1427" s="1">
        <v>82566.78</v>
      </c>
      <c r="E1427" s="1">
        <v>16113013.890000001</v>
      </c>
      <c r="F1427" t="s">
        <v>1280</v>
      </c>
      <c r="I1427" s="16">
        <f>-IFERROR(VLOOKUP(C1427,SIRCUPA!$A$21:$H$186,8,0),0)</f>
        <v>0</v>
      </c>
      <c r="J1427" s="68">
        <f>-IFERROR(VLOOKUP(C1427,SIRTAC!$A$16:$H$1405,8,0),0)</f>
        <v>-874</v>
      </c>
      <c r="K1427" s="68">
        <f>-IFERROR(VLOOKUP(C1427,Gastos!$A$9:$J$1398,10,0),0)</f>
        <v>-3434.82</v>
      </c>
      <c r="L1427" s="68">
        <f>-IFERROR(VLOOKUP(C1427,IDC!$A$20:$H$1596,8,0),0)</f>
        <v>-524.4</v>
      </c>
      <c r="M1427" s="74">
        <f t="shared" si="27"/>
        <v>87400</v>
      </c>
    </row>
    <row r="1428" spans="1:13" customFormat="1">
      <c r="A1428" t="s">
        <v>177</v>
      </c>
      <c r="B1428" t="s">
        <v>11</v>
      </c>
      <c r="C1428" s="51">
        <v>139828941790</v>
      </c>
      <c r="D1428" s="1">
        <v>31664.75</v>
      </c>
      <c r="E1428" s="1">
        <v>16144678.640000001</v>
      </c>
      <c r="F1428" t="s">
        <v>1280</v>
      </c>
      <c r="I1428" s="16">
        <f>-IFERROR(VLOOKUP(C1428,SIRCUPA!$A$21:$H$186,8,0),0)</f>
        <v>0</v>
      </c>
      <c r="J1428" s="68">
        <f>-IFERROR(VLOOKUP(C1428,SIRTAC!$A$16:$H$1405,8,0),0)</f>
        <v>-325</v>
      </c>
      <c r="K1428" s="68">
        <f>-IFERROR(VLOOKUP(C1428,Gastos!$A$9:$J$1398,10,0),0)</f>
        <v>-315.25</v>
      </c>
      <c r="L1428" s="68">
        <f>-IFERROR(VLOOKUP(C1428,IDC!$A$20:$H$1596,8,0),0)</f>
        <v>-195</v>
      </c>
      <c r="M1428" s="74">
        <f t="shared" si="27"/>
        <v>32500</v>
      </c>
    </row>
    <row r="1429" spans="1:13" customFormat="1">
      <c r="A1429" t="s">
        <v>177</v>
      </c>
      <c r="B1429" t="s">
        <v>11</v>
      </c>
      <c r="C1429" s="51">
        <v>139182522797</v>
      </c>
      <c r="D1429" s="1">
        <v>14419.64</v>
      </c>
      <c r="E1429" s="1">
        <v>16159098.279999999</v>
      </c>
      <c r="F1429" t="s">
        <v>1280</v>
      </c>
      <c r="I1429" s="16">
        <f>-IFERROR(VLOOKUP(C1429,SIRCUPA!$A$21:$H$186,8,0),0)</f>
        <v>0</v>
      </c>
      <c r="J1429" s="68">
        <f>-IFERROR(VLOOKUP(C1429,SIRTAC!$A$16:$H$1405,8,0),0)</f>
        <v>-148</v>
      </c>
      <c r="K1429" s="68">
        <f>-IFERROR(VLOOKUP(C1429,Gastos!$A$9:$J$1398,10,0),0)</f>
        <v>-143.56</v>
      </c>
      <c r="L1429" s="68">
        <f>-IFERROR(VLOOKUP(C1429,IDC!$A$20:$H$1596,8,0),0)</f>
        <v>-88.8</v>
      </c>
      <c r="M1429" s="74">
        <f t="shared" si="27"/>
        <v>14799.999999999998</v>
      </c>
    </row>
    <row r="1430" spans="1:13" customFormat="1">
      <c r="A1430" t="s">
        <v>177</v>
      </c>
      <c r="B1430" t="s">
        <v>11</v>
      </c>
      <c r="C1430" s="51">
        <v>139829873234</v>
      </c>
      <c r="D1430" s="1">
        <v>53196.78</v>
      </c>
      <c r="E1430" s="1">
        <v>16212295.060000001</v>
      </c>
      <c r="F1430" t="s">
        <v>1280</v>
      </c>
      <c r="I1430" s="16">
        <f>-IFERROR(VLOOKUP(C1430,SIRCUPA!$A$21:$H$186,8,0),0)</f>
        <v>0</v>
      </c>
      <c r="J1430" s="68">
        <f>-IFERROR(VLOOKUP(C1430,SIRTAC!$A$16:$H$1405,8,0),0)</f>
        <v>-546</v>
      </c>
      <c r="K1430" s="68">
        <f>-IFERROR(VLOOKUP(C1430,Gastos!$A$9:$J$1398,10,0),0)</f>
        <v>-529.62</v>
      </c>
      <c r="L1430" s="68">
        <f>-IFERROR(VLOOKUP(C1430,IDC!$A$20:$H$1596,8,0),0)</f>
        <v>-327.60000000000002</v>
      </c>
      <c r="M1430" s="74">
        <f t="shared" si="27"/>
        <v>54600</v>
      </c>
    </row>
    <row r="1431" spans="1:13" customFormat="1">
      <c r="A1431" t="s">
        <v>177</v>
      </c>
      <c r="B1431" t="s">
        <v>11</v>
      </c>
      <c r="C1431" s="51">
        <v>139182797023</v>
      </c>
      <c r="D1431" s="1">
        <v>32931.339999999997</v>
      </c>
      <c r="E1431" s="1">
        <v>16245226.4</v>
      </c>
      <c r="F1431" t="s">
        <v>1280</v>
      </c>
      <c r="I1431" s="16">
        <f>-IFERROR(VLOOKUP(C1431,SIRCUPA!$A$21:$H$186,8,0),0)</f>
        <v>0</v>
      </c>
      <c r="J1431" s="68">
        <f>-IFERROR(VLOOKUP(C1431,SIRTAC!$A$16:$H$1405,8,0),0)</f>
        <v>-338</v>
      </c>
      <c r="K1431" s="68">
        <f>-IFERROR(VLOOKUP(C1431,Gastos!$A$9:$J$1398,10,0),0)</f>
        <v>-327.86</v>
      </c>
      <c r="L1431" s="68">
        <f>-IFERROR(VLOOKUP(C1431,IDC!$A$20:$H$1596,8,0),0)</f>
        <v>-202.8</v>
      </c>
      <c r="M1431" s="74">
        <f t="shared" si="27"/>
        <v>33800</v>
      </c>
    </row>
    <row r="1432" spans="1:13" customFormat="1">
      <c r="A1432" t="s">
        <v>177</v>
      </c>
      <c r="B1432" t="s">
        <v>11</v>
      </c>
      <c r="C1432" s="51">
        <v>139183086281</v>
      </c>
      <c r="D1432" s="1">
        <v>23967.78</v>
      </c>
      <c r="E1432" s="1">
        <v>16269194.18</v>
      </c>
      <c r="F1432" t="s">
        <v>1280</v>
      </c>
      <c r="I1432" s="16">
        <f>-IFERROR(VLOOKUP(C1432,SIRCUPA!$A$21:$H$186,8,0),0)</f>
        <v>0</v>
      </c>
      <c r="J1432" s="68">
        <f>-IFERROR(VLOOKUP(C1432,SIRTAC!$A$16:$H$1405,8,0),0)</f>
        <v>-246</v>
      </c>
      <c r="K1432" s="68">
        <f>-IFERROR(VLOOKUP(C1432,Gastos!$A$9:$J$1398,10,0),0)</f>
        <v>-238.62</v>
      </c>
      <c r="L1432" s="68">
        <f>-IFERROR(VLOOKUP(C1432,IDC!$A$20:$H$1596,8,0),0)</f>
        <v>-147.6</v>
      </c>
      <c r="M1432" s="74">
        <f t="shared" si="27"/>
        <v>24599.999999999996</v>
      </c>
    </row>
    <row r="1433" spans="1:13" customFormat="1">
      <c r="A1433" t="s">
        <v>177</v>
      </c>
      <c r="B1433" t="s">
        <v>179</v>
      </c>
      <c r="C1433" s="51">
        <v>139095760979</v>
      </c>
      <c r="D1433" s="1">
        <v>2266.38</v>
      </c>
      <c r="E1433" s="1">
        <v>14861357.92</v>
      </c>
      <c r="F1433" t="s">
        <v>1280</v>
      </c>
      <c r="I1433" s="16">
        <f>-IFERROR(VLOOKUP(C1433,SIRCUPA!$A$21:$H$186,8,0),0)</f>
        <v>-34.729999999999997</v>
      </c>
      <c r="J1433" s="68">
        <f>-IFERROR(VLOOKUP(C1433,SIRTAC!$A$16:$H$1405,8,0),0)</f>
        <v>0</v>
      </c>
      <c r="K1433" s="68">
        <f>-IFERROR(VLOOKUP(C1433,Gastos!$A$9:$J$1398,10,0),0)</f>
        <v>0</v>
      </c>
      <c r="L1433" s="68">
        <f>-IFERROR(VLOOKUP(C1433,IDC!$A$20:$H$1596,8,0),0)</f>
        <v>-13.89</v>
      </c>
      <c r="M1433" s="74">
        <f t="shared" si="27"/>
        <v>2315</v>
      </c>
    </row>
    <row r="1434" spans="1:13" customFormat="1">
      <c r="A1434" t="s">
        <v>177</v>
      </c>
      <c r="B1434" t="s">
        <v>11</v>
      </c>
      <c r="C1434" s="51">
        <v>139183307389</v>
      </c>
      <c r="D1434" s="1">
        <v>23675.49</v>
      </c>
      <c r="E1434" s="1">
        <v>16292869.67</v>
      </c>
      <c r="F1434" t="s">
        <v>1280</v>
      </c>
      <c r="I1434" s="16">
        <f>-IFERROR(VLOOKUP(C1434,SIRCUPA!$A$21:$H$186,8,0),0)</f>
        <v>0</v>
      </c>
      <c r="J1434" s="68">
        <f>-IFERROR(VLOOKUP(C1434,SIRTAC!$A$16:$H$1405,8,0),0)</f>
        <v>-243</v>
      </c>
      <c r="K1434" s="68">
        <f>-IFERROR(VLOOKUP(C1434,Gastos!$A$9:$J$1398,10,0),0)</f>
        <v>-235.71</v>
      </c>
      <c r="L1434" s="68">
        <f>-IFERROR(VLOOKUP(C1434,IDC!$A$20:$H$1596,8,0),0)</f>
        <v>-145.80000000000001</v>
      </c>
      <c r="M1434" s="74">
        <f t="shared" si="27"/>
        <v>24300</v>
      </c>
    </row>
    <row r="1435" spans="1:13" customFormat="1">
      <c r="A1435" t="s">
        <v>177</v>
      </c>
      <c r="B1435" t="s">
        <v>180</v>
      </c>
      <c r="C1435" s="51">
        <v>139095930685</v>
      </c>
      <c r="D1435" s="1">
        <v>2770.57</v>
      </c>
      <c r="E1435" s="1">
        <v>14919273.869999999</v>
      </c>
      <c r="F1435" t="s">
        <v>1280</v>
      </c>
      <c r="I1435" s="16">
        <f>-IFERROR(VLOOKUP(C1435,SIRCUPA!$A$21:$H$186,8,0),0)</f>
        <v>-42.45</v>
      </c>
      <c r="J1435" s="68">
        <f>-IFERROR(VLOOKUP(C1435,SIRTAC!$A$16:$H$1405,8,0),0)</f>
        <v>0</v>
      </c>
      <c r="K1435" s="68">
        <f>-IFERROR(VLOOKUP(C1435,Gastos!$A$9:$J$1398,10,0),0)</f>
        <v>0</v>
      </c>
      <c r="L1435" s="68">
        <f>-IFERROR(VLOOKUP(C1435,IDC!$A$20:$H$1596,8,0),0)</f>
        <v>-16.98</v>
      </c>
      <c r="M1435" s="74">
        <f t="shared" si="27"/>
        <v>2830</v>
      </c>
    </row>
    <row r="1436" spans="1:13" customFormat="1">
      <c r="A1436" t="s">
        <v>177</v>
      </c>
      <c r="B1436" t="s">
        <v>11</v>
      </c>
      <c r="C1436" s="51">
        <v>139830848786</v>
      </c>
      <c r="D1436" s="1">
        <v>83789.8</v>
      </c>
      <c r="E1436" s="1">
        <v>16377848.949999999</v>
      </c>
      <c r="F1436" t="s">
        <v>1280</v>
      </c>
      <c r="I1436" s="16">
        <f>-IFERROR(VLOOKUP(C1436,SIRCUPA!$A$21:$H$186,8,0),0)</f>
        <v>0</v>
      </c>
      <c r="J1436" s="68">
        <f>-IFERROR(VLOOKUP(C1436,SIRTAC!$A$16:$H$1405,8,0),0)</f>
        <v>-860</v>
      </c>
      <c r="K1436" s="68">
        <f>-IFERROR(VLOOKUP(C1436,Gastos!$A$9:$J$1398,10,0),0)</f>
        <v>-834.2</v>
      </c>
      <c r="L1436" s="68">
        <f>-IFERROR(VLOOKUP(C1436,IDC!$A$20:$H$1596,8,0),0)</f>
        <v>-516</v>
      </c>
      <c r="M1436" s="74">
        <f t="shared" si="27"/>
        <v>86000</v>
      </c>
    </row>
    <row r="1437" spans="1:13" customFormat="1">
      <c r="A1437" t="s">
        <v>177</v>
      </c>
      <c r="B1437" t="s">
        <v>11</v>
      </c>
      <c r="C1437" s="51">
        <v>139184104301</v>
      </c>
      <c r="D1437" s="1">
        <v>40811.040000000001</v>
      </c>
      <c r="E1437" s="1">
        <v>16418659.99</v>
      </c>
      <c r="F1437" t="s">
        <v>1280</v>
      </c>
      <c r="I1437" s="16">
        <f>-IFERROR(VLOOKUP(C1437,SIRCUPA!$A$21:$H$186,8,0),0)</f>
        <v>0</v>
      </c>
      <c r="J1437" s="68">
        <f>-IFERROR(VLOOKUP(C1437,SIRTAC!$A$16:$H$1405,8,0),0)</f>
        <v>-432</v>
      </c>
      <c r="K1437" s="68">
        <f>-IFERROR(VLOOKUP(C1437,Gastos!$A$9:$J$1398,10,0),0)</f>
        <v>-1697.76</v>
      </c>
      <c r="L1437" s="68">
        <f>-IFERROR(VLOOKUP(C1437,IDC!$A$20:$H$1596,8,0),0)</f>
        <v>-259.2</v>
      </c>
      <c r="M1437" s="74">
        <f t="shared" si="27"/>
        <v>43200</v>
      </c>
    </row>
    <row r="1438" spans="1:13" customFormat="1">
      <c r="A1438" t="s">
        <v>177</v>
      </c>
      <c r="B1438" t="s">
        <v>11</v>
      </c>
      <c r="C1438" s="51">
        <v>139184358441</v>
      </c>
      <c r="D1438" s="1">
        <v>27280.400000000001</v>
      </c>
      <c r="E1438" s="1">
        <v>16445940.390000001</v>
      </c>
      <c r="F1438" t="s">
        <v>1280</v>
      </c>
      <c r="I1438" s="16">
        <f>-IFERROR(VLOOKUP(C1438,SIRCUPA!$A$21:$H$186,8,0),0)</f>
        <v>0</v>
      </c>
      <c r="J1438" s="68">
        <f>-IFERROR(VLOOKUP(C1438,SIRTAC!$A$16:$H$1405,8,0),0)</f>
        <v>-280</v>
      </c>
      <c r="K1438" s="68">
        <f>-IFERROR(VLOOKUP(C1438,Gastos!$A$9:$J$1398,10,0),0)</f>
        <v>-271.60000000000002</v>
      </c>
      <c r="L1438" s="68">
        <f>-IFERROR(VLOOKUP(C1438,IDC!$A$20:$H$1596,8,0),0)</f>
        <v>-168</v>
      </c>
      <c r="M1438" s="74">
        <f t="shared" si="27"/>
        <v>28000</v>
      </c>
    </row>
    <row r="1439" spans="1:13" customFormat="1">
      <c r="A1439" t="s">
        <v>177</v>
      </c>
      <c r="B1439" t="s">
        <v>11</v>
      </c>
      <c r="C1439" s="51">
        <v>139832577514</v>
      </c>
      <c r="D1439" s="1">
        <v>34685.08</v>
      </c>
      <c r="E1439" s="1">
        <v>16481996.07</v>
      </c>
      <c r="F1439" t="s">
        <v>1280</v>
      </c>
      <c r="I1439" s="16">
        <f>-IFERROR(VLOOKUP(C1439,SIRCUPA!$A$21:$H$186,8,0),0)</f>
        <v>0</v>
      </c>
      <c r="J1439" s="68">
        <f>-IFERROR(VLOOKUP(C1439,SIRTAC!$A$16:$H$1405,8,0),0)</f>
        <v>-356</v>
      </c>
      <c r="K1439" s="68">
        <f>-IFERROR(VLOOKUP(C1439,Gastos!$A$9:$J$1398,10,0),0)</f>
        <v>-345.32</v>
      </c>
      <c r="L1439" s="68">
        <f>-IFERROR(VLOOKUP(C1439,IDC!$A$20:$H$1596,8,0),0)</f>
        <v>-213.6</v>
      </c>
      <c r="M1439" s="74">
        <f t="shared" si="27"/>
        <v>35600</v>
      </c>
    </row>
    <row r="1440" spans="1:13" customFormat="1">
      <c r="A1440" t="s">
        <v>177</v>
      </c>
      <c r="B1440" t="s">
        <v>11</v>
      </c>
      <c r="C1440" s="51">
        <v>139832669638</v>
      </c>
      <c r="D1440" s="1">
        <v>52159.03</v>
      </c>
      <c r="E1440" s="1">
        <v>16534155.1</v>
      </c>
      <c r="F1440" t="s">
        <v>1280</v>
      </c>
      <c r="I1440" s="16">
        <f>-IFERROR(VLOOKUP(C1440,SIRCUPA!$A$21:$H$186,8,0),0)</f>
        <v>0</v>
      </c>
      <c r="J1440" s="68">
        <f>-IFERROR(VLOOKUP(C1440,SIRTAC!$A$16:$H$1405,8,0),0)</f>
        <v>-539</v>
      </c>
      <c r="K1440" s="68">
        <f>-IFERROR(VLOOKUP(C1440,Gastos!$A$9:$J$1398,10,0),0)</f>
        <v>-878.57</v>
      </c>
      <c r="L1440" s="68">
        <f>-IFERROR(VLOOKUP(C1440,IDC!$A$20:$H$1596,8,0),0)</f>
        <v>-323.39999999999998</v>
      </c>
      <c r="M1440" s="74">
        <f t="shared" si="27"/>
        <v>53900</v>
      </c>
    </row>
    <row r="1441" spans="1:13" customFormat="1">
      <c r="A1441" t="s">
        <v>177</v>
      </c>
      <c r="B1441" t="s">
        <v>11</v>
      </c>
      <c r="C1441" s="51">
        <v>139186007717</v>
      </c>
      <c r="D1441" s="1">
        <v>40920.6</v>
      </c>
      <c r="E1441" s="1">
        <v>16575075.699999999</v>
      </c>
      <c r="F1441" t="s">
        <v>1280</v>
      </c>
      <c r="I1441" s="16">
        <f>-IFERROR(VLOOKUP(C1441,SIRCUPA!$A$21:$H$186,8,0),0)</f>
        <v>0</v>
      </c>
      <c r="J1441" s="68">
        <f>-IFERROR(VLOOKUP(C1441,SIRTAC!$A$16:$H$1405,8,0),0)</f>
        <v>-420</v>
      </c>
      <c r="K1441" s="68">
        <f>-IFERROR(VLOOKUP(C1441,Gastos!$A$9:$J$1398,10,0),0)</f>
        <v>-407.4</v>
      </c>
      <c r="L1441" s="68">
        <f>-IFERROR(VLOOKUP(C1441,IDC!$A$20:$H$1596,8,0),0)</f>
        <v>-252</v>
      </c>
      <c r="M1441" s="74">
        <f t="shared" si="27"/>
        <v>42000</v>
      </c>
    </row>
    <row r="1442" spans="1:13" customFormat="1">
      <c r="A1442" t="s">
        <v>177</v>
      </c>
      <c r="B1442" t="s">
        <v>11</v>
      </c>
      <c r="C1442" s="51">
        <v>139834422234</v>
      </c>
      <c r="D1442" s="1">
        <v>9743</v>
      </c>
      <c r="E1442" s="1">
        <v>16584818.699999999</v>
      </c>
      <c r="F1442" t="s">
        <v>1280</v>
      </c>
      <c r="I1442" s="16">
        <f>-IFERROR(VLOOKUP(C1442,SIRCUPA!$A$21:$H$186,8,0),0)</f>
        <v>0</v>
      </c>
      <c r="J1442" s="68">
        <f>-IFERROR(VLOOKUP(C1442,SIRTAC!$A$16:$H$1405,8,0),0)</f>
        <v>-100</v>
      </c>
      <c r="K1442" s="68">
        <f>-IFERROR(VLOOKUP(C1442,Gastos!$A$9:$J$1398,10,0),0)</f>
        <v>-97</v>
      </c>
      <c r="L1442" s="68">
        <f>-IFERROR(VLOOKUP(C1442,IDC!$A$20:$H$1596,8,0),0)</f>
        <v>-60</v>
      </c>
      <c r="M1442" s="74">
        <f t="shared" si="27"/>
        <v>10000</v>
      </c>
    </row>
    <row r="1443" spans="1:13" customFormat="1">
      <c r="A1443" t="s">
        <v>177</v>
      </c>
      <c r="B1443" t="s">
        <v>11</v>
      </c>
      <c r="C1443" s="51">
        <v>139187061995</v>
      </c>
      <c r="D1443" s="1">
        <v>26357.13</v>
      </c>
      <c r="E1443" s="1">
        <v>16612154.83</v>
      </c>
      <c r="F1443" t="s">
        <v>1280</v>
      </c>
      <c r="I1443" s="16">
        <f>-IFERROR(VLOOKUP(C1443,SIRCUPA!$A$21:$H$186,8,0),0)</f>
        <v>0</v>
      </c>
      <c r="J1443" s="68">
        <f>-IFERROR(VLOOKUP(C1443,SIRTAC!$A$16:$H$1405,8,0),0)</f>
        <v>-279</v>
      </c>
      <c r="K1443" s="68">
        <f>-IFERROR(VLOOKUP(C1443,Gastos!$A$9:$J$1398,10,0),0)</f>
        <v>-1096.47</v>
      </c>
      <c r="L1443" s="68">
        <f>-IFERROR(VLOOKUP(C1443,IDC!$A$20:$H$1596,8,0),0)</f>
        <v>-167.4</v>
      </c>
      <c r="M1443" s="74">
        <f t="shared" si="27"/>
        <v>27900.000000000004</v>
      </c>
    </row>
    <row r="1444" spans="1:13" customFormat="1">
      <c r="A1444" t="s">
        <v>177</v>
      </c>
      <c r="B1444" t="s">
        <v>11</v>
      </c>
      <c r="C1444" s="51">
        <v>139834672452</v>
      </c>
      <c r="D1444" s="1">
        <v>39264.29</v>
      </c>
      <c r="E1444" s="1">
        <v>16651419.119999999</v>
      </c>
      <c r="F1444" t="s">
        <v>1280</v>
      </c>
      <c r="I1444" s="16">
        <f>-IFERROR(VLOOKUP(C1444,SIRCUPA!$A$21:$H$186,8,0),0)</f>
        <v>0</v>
      </c>
      <c r="J1444" s="68">
        <f>-IFERROR(VLOOKUP(C1444,SIRTAC!$A$16:$H$1405,8,0),0)</f>
        <v>-403</v>
      </c>
      <c r="K1444" s="68">
        <f>-IFERROR(VLOOKUP(C1444,Gastos!$A$9:$J$1398,10,0),0)</f>
        <v>-390.91</v>
      </c>
      <c r="L1444" s="68">
        <f>-IFERROR(VLOOKUP(C1444,IDC!$A$20:$H$1596,8,0),0)</f>
        <v>-241.8</v>
      </c>
      <c r="M1444" s="74">
        <f t="shared" si="27"/>
        <v>40300.000000000007</v>
      </c>
    </row>
    <row r="1445" spans="1:13" customFormat="1">
      <c r="A1445" t="s">
        <v>188</v>
      </c>
      <c r="B1445" t="s">
        <v>11</v>
      </c>
      <c r="C1445" s="51">
        <v>139188540317</v>
      </c>
      <c r="D1445" s="1">
        <v>36828.54</v>
      </c>
      <c r="E1445" s="1">
        <v>16688247.66</v>
      </c>
      <c r="F1445" t="s">
        <v>1280</v>
      </c>
      <c r="I1445" s="16">
        <f>-IFERROR(VLOOKUP(C1445,SIRCUPA!$A$21:$H$186,8,0),0)</f>
        <v>0</v>
      </c>
      <c r="J1445" s="68">
        <f>-IFERROR(VLOOKUP(C1445,SIRTAC!$A$16:$H$1405,8,0),0)</f>
        <v>-378</v>
      </c>
      <c r="K1445" s="68">
        <f>-IFERROR(VLOOKUP(C1445,Gastos!$A$9:$J$1398,10,0),0)</f>
        <v>-366.66</v>
      </c>
      <c r="L1445" s="68">
        <f>-IFERROR(VLOOKUP(C1445,IDC!$A$20:$H$1596,8,0),0)</f>
        <v>-226.8</v>
      </c>
      <c r="M1445" s="74">
        <f t="shared" si="27"/>
        <v>37800.000000000007</v>
      </c>
    </row>
    <row r="1446" spans="1:13" customFormat="1">
      <c r="A1446" t="s">
        <v>188</v>
      </c>
      <c r="B1446" t="s">
        <v>11</v>
      </c>
      <c r="C1446" s="51">
        <v>139188415481</v>
      </c>
      <c r="D1446" s="1">
        <v>52904.49</v>
      </c>
      <c r="E1446" s="1">
        <v>16746703.08</v>
      </c>
      <c r="F1446" t="s">
        <v>1280</v>
      </c>
      <c r="I1446" s="16">
        <f>-IFERROR(VLOOKUP(C1446,SIRCUPA!$A$21:$H$186,8,0),0)</f>
        <v>0</v>
      </c>
      <c r="J1446" s="68">
        <f>-IFERROR(VLOOKUP(C1446,SIRTAC!$A$16:$H$1405,8,0),0)</f>
        <v>-543</v>
      </c>
      <c r="K1446" s="68">
        <f>-IFERROR(VLOOKUP(C1446,Gastos!$A$9:$J$1398,10,0),0)</f>
        <v>-526.71</v>
      </c>
      <c r="L1446" s="68">
        <f>-IFERROR(VLOOKUP(C1446,IDC!$A$20:$H$1596,8,0),0)</f>
        <v>-325.8</v>
      </c>
      <c r="M1446" s="74">
        <f t="shared" si="27"/>
        <v>54300</v>
      </c>
    </row>
    <row r="1447" spans="1:13" customFormat="1">
      <c r="A1447" t="s">
        <v>188</v>
      </c>
      <c r="B1447" t="s">
        <v>11</v>
      </c>
      <c r="C1447" s="51">
        <v>139836291978</v>
      </c>
      <c r="D1447" s="1">
        <v>37218.26</v>
      </c>
      <c r="E1447" s="1">
        <v>16789237.309999999</v>
      </c>
      <c r="F1447" t="s">
        <v>1280</v>
      </c>
      <c r="I1447" s="16">
        <f>-IFERROR(VLOOKUP(C1447,SIRCUPA!$A$21:$H$186,8,0),0)</f>
        <v>0</v>
      </c>
      <c r="J1447" s="68">
        <f>-IFERROR(VLOOKUP(C1447,SIRTAC!$A$16:$H$1405,8,0),0)</f>
        <v>-382</v>
      </c>
      <c r="K1447" s="68">
        <f>-IFERROR(VLOOKUP(C1447,Gastos!$A$9:$J$1398,10,0),0)</f>
        <v>-370.54</v>
      </c>
      <c r="L1447" s="68">
        <f>-IFERROR(VLOOKUP(C1447,IDC!$A$20:$H$1596,8,0),0)</f>
        <v>-229.2</v>
      </c>
      <c r="M1447" s="74">
        <f t="shared" si="27"/>
        <v>38200</v>
      </c>
    </row>
    <row r="1448" spans="1:13" customFormat="1">
      <c r="A1448" t="s">
        <v>188</v>
      </c>
      <c r="B1448" t="s">
        <v>11</v>
      </c>
      <c r="C1448" s="51">
        <v>139836502702</v>
      </c>
      <c r="D1448" s="1">
        <v>39751.440000000002</v>
      </c>
      <c r="E1448" s="1">
        <v>16832728.530000001</v>
      </c>
      <c r="F1448" t="s">
        <v>1280</v>
      </c>
      <c r="I1448" s="16">
        <f>-IFERROR(VLOOKUP(C1448,SIRCUPA!$A$21:$H$186,8,0),0)</f>
        <v>0</v>
      </c>
      <c r="J1448" s="68">
        <f>-IFERROR(VLOOKUP(C1448,SIRTAC!$A$16:$H$1405,8,0),0)</f>
        <v>-408</v>
      </c>
      <c r="K1448" s="68">
        <f>-IFERROR(VLOOKUP(C1448,Gastos!$A$9:$J$1398,10,0),0)</f>
        <v>-395.76</v>
      </c>
      <c r="L1448" s="68">
        <f>-IFERROR(VLOOKUP(C1448,IDC!$A$20:$H$1596,8,0),0)</f>
        <v>-244.8</v>
      </c>
      <c r="M1448" s="74">
        <f t="shared" ref="M1448:M1511" si="28">+D1448-I1448-J1448-K1448-L1448</f>
        <v>40800.000000000007</v>
      </c>
    </row>
    <row r="1449" spans="1:13" customFormat="1">
      <c r="A1449" t="s">
        <v>188</v>
      </c>
      <c r="B1449" t="s">
        <v>11</v>
      </c>
      <c r="C1449" s="51">
        <v>139836675072</v>
      </c>
      <c r="D1449" s="1">
        <v>48617.57</v>
      </c>
      <c r="E1449" s="1">
        <v>16883343.260000002</v>
      </c>
      <c r="F1449" t="s">
        <v>1280</v>
      </c>
      <c r="I1449" s="16">
        <f>-IFERROR(VLOOKUP(C1449,SIRCUPA!$A$21:$H$186,8,0),0)</f>
        <v>0</v>
      </c>
      <c r="J1449" s="68">
        <f>-IFERROR(VLOOKUP(C1449,SIRTAC!$A$16:$H$1405,8,0),0)</f>
        <v>-499</v>
      </c>
      <c r="K1449" s="68">
        <f>-IFERROR(VLOOKUP(C1449,Gastos!$A$9:$J$1398,10,0),0)</f>
        <v>-484.03</v>
      </c>
      <c r="L1449" s="68">
        <f>-IFERROR(VLOOKUP(C1449,IDC!$A$20:$H$1596,8,0),0)</f>
        <v>-299.39999999999998</v>
      </c>
      <c r="M1449" s="74">
        <f t="shared" si="28"/>
        <v>49900</v>
      </c>
    </row>
    <row r="1450" spans="1:13" customFormat="1">
      <c r="A1450" t="s">
        <v>188</v>
      </c>
      <c r="B1450" t="s">
        <v>11</v>
      </c>
      <c r="C1450" s="51">
        <v>139189628517</v>
      </c>
      <c r="D1450" s="1">
        <v>19486</v>
      </c>
      <c r="E1450" s="1">
        <v>16902829.260000002</v>
      </c>
      <c r="F1450" t="s">
        <v>1280</v>
      </c>
      <c r="I1450" s="16">
        <f>-IFERROR(VLOOKUP(C1450,SIRCUPA!$A$21:$H$186,8,0),0)</f>
        <v>0</v>
      </c>
      <c r="J1450" s="68">
        <f>-IFERROR(VLOOKUP(C1450,SIRTAC!$A$16:$H$1405,8,0),0)</f>
        <v>-200</v>
      </c>
      <c r="K1450" s="68">
        <f>-IFERROR(VLOOKUP(C1450,Gastos!$A$9:$J$1398,10,0),0)</f>
        <v>-194</v>
      </c>
      <c r="L1450" s="68">
        <f>-IFERROR(VLOOKUP(C1450,IDC!$A$20:$H$1596,8,0),0)</f>
        <v>-120</v>
      </c>
      <c r="M1450" s="74">
        <f t="shared" si="28"/>
        <v>20000</v>
      </c>
    </row>
    <row r="1451" spans="1:13" customFormat="1">
      <c r="A1451" t="s">
        <v>177</v>
      </c>
      <c r="B1451" t="s">
        <v>181</v>
      </c>
      <c r="C1451" s="51">
        <v>139099300533</v>
      </c>
      <c r="D1451" s="1">
        <v>2011.84</v>
      </c>
      <c r="E1451" s="1">
        <v>15597006.800000001</v>
      </c>
      <c r="F1451" t="s">
        <v>1280</v>
      </c>
      <c r="I1451" s="16">
        <f>-IFERROR(VLOOKUP(C1451,SIRCUPA!$A$21:$H$186,8,0),0)</f>
        <v>-30.83</v>
      </c>
      <c r="J1451" s="68">
        <f>-IFERROR(VLOOKUP(C1451,SIRTAC!$A$16:$H$1405,8,0),0)</f>
        <v>0</v>
      </c>
      <c r="K1451" s="68">
        <f>-IFERROR(VLOOKUP(C1451,Gastos!$A$9:$J$1398,10,0),0)</f>
        <v>0</v>
      </c>
      <c r="L1451" s="68">
        <f>-IFERROR(VLOOKUP(C1451,IDC!$A$20:$H$1596,8,0),0)</f>
        <v>-12.33</v>
      </c>
      <c r="M1451" s="74">
        <f t="shared" si="28"/>
        <v>2055</v>
      </c>
    </row>
    <row r="1452" spans="1:13" customFormat="1">
      <c r="A1452" t="s">
        <v>188</v>
      </c>
      <c r="B1452" t="s">
        <v>11</v>
      </c>
      <c r="C1452" s="51">
        <v>139837986428</v>
      </c>
      <c r="D1452" s="1">
        <v>9447</v>
      </c>
      <c r="E1452" s="1">
        <v>16914234.260000002</v>
      </c>
      <c r="F1452" t="s">
        <v>1280</v>
      </c>
      <c r="I1452" s="16">
        <f>-IFERROR(VLOOKUP(C1452,SIRCUPA!$A$21:$H$186,8,0),0)</f>
        <v>0</v>
      </c>
      <c r="J1452" s="68">
        <f>-IFERROR(VLOOKUP(C1452,SIRTAC!$A$16:$H$1405,8,0),0)</f>
        <v>-100</v>
      </c>
      <c r="K1452" s="68">
        <f>-IFERROR(VLOOKUP(C1452,Gastos!$A$9:$J$1398,10,0),0)</f>
        <v>-393</v>
      </c>
      <c r="L1452" s="68">
        <f>-IFERROR(VLOOKUP(C1452,IDC!$A$20:$H$1596,8,0),0)</f>
        <v>-60</v>
      </c>
      <c r="M1452" s="74">
        <f t="shared" si="28"/>
        <v>10000</v>
      </c>
    </row>
    <row r="1453" spans="1:13" customFormat="1">
      <c r="A1453" t="s">
        <v>188</v>
      </c>
      <c r="B1453" t="s">
        <v>11</v>
      </c>
      <c r="C1453" s="51">
        <v>139191028607</v>
      </c>
      <c r="D1453" s="1">
        <v>180399.73</v>
      </c>
      <c r="E1453" s="1">
        <v>17094633.989999998</v>
      </c>
      <c r="F1453" t="s">
        <v>1280</v>
      </c>
      <c r="I1453" s="16">
        <f>-IFERROR(VLOOKUP(C1453,SIRCUPA!$A$21:$H$186,8,0),0)</f>
        <v>0</v>
      </c>
      <c r="J1453" s="68">
        <f>-IFERROR(VLOOKUP(C1453,SIRTAC!$A$16:$H$1405,8,0),0)</f>
        <v>-1987</v>
      </c>
      <c r="K1453" s="68">
        <f>-IFERROR(VLOOKUP(C1453,Gastos!$A$9:$J$1398,10,0),0)</f>
        <v>-15121.07</v>
      </c>
      <c r="L1453" s="68">
        <f>-IFERROR(VLOOKUP(C1453,IDC!$A$20:$H$1596,8,0),0)</f>
        <v>-1192.2</v>
      </c>
      <c r="M1453" s="74">
        <f t="shared" si="28"/>
        <v>198700.00000000003</v>
      </c>
    </row>
    <row r="1454" spans="1:13" customFormat="1">
      <c r="A1454" t="s">
        <v>188</v>
      </c>
      <c r="B1454" t="s">
        <v>11</v>
      </c>
      <c r="C1454" s="51">
        <v>139838247870</v>
      </c>
      <c r="D1454" s="1">
        <v>9919.35</v>
      </c>
      <c r="E1454" s="1">
        <v>17104553.34</v>
      </c>
      <c r="F1454" t="s">
        <v>1280</v>
      </c>
      <c r="I1454" s="16">
        <f>-IFERROR(VLOOKUP(C1454,SIRCUPA!$A$21:$H$186,8,0),0)</f>
        <v>0</v>
      </c>
      <c r="J1454" s="68">
        <f>-IFERROR(VLOOKUP(C1454,SIRTAC!$A$16:$H$1405,8,0),0)</f>
        <v>-105</v>
      </c>
      <c r="K1454" s="68">
        <f>-IFERROR(VLOOKUP(C1454,Gastos!$A$9:$J$1398,10,0),0)</f>
        <v>-412.65</v>
      </c>
      <c r="L1454" s="68">
        <f>-IFERROR(VLOOKUP(C1454,IDC!$A$20:$H$1596,8,0),0)</f>
        <v>-63</v>
      </c>
      <c r="M1454" s="74">
        <f t="shared" si="28"/>
        <v>10500</v>
      </c>
    </row>
    <row r="1455" spans="1:13" customFormat="1">
      <c r="A1455" t="s">
        <v>188</v>
      </c>
      <c r="B1455" t="s">
        <v>11</v>
      </c>
      <c r="C1455" s="51">
        <v>139191376159</v>
      </c>
      <c r="D1455" s="1">
        <v>28644.42</v>
      </c>
      <c r="E1455" s="1">
        <v>17133197.760000002</v>
      </c>
      <c r="F1455" t="s">
        <v>1280</v>
      </c>
      <c r="I1455" s="16">
        <f>-IFERROR(VLOOKUP(C1455,SIRCUPA!$A$21:$H$186,8,0),0)</f>
        <v>0</v>
      </c>
      <c r="J1455" s="68">
        <f>-IFERROR(VLOOKUP(C1455,SIRTAC!$A$16:$H$1405,8,0),0)</f>
        <v>-294</v>
      </c>
      <c r="K1455" s="68">
        <f>-IFERROR(VLOOKUP(C1455,Gastos!$A$9:$J$1398,10,0),0)</f>
        <v>-285.18</v>
      </c>
      <c r="L1455" s="68">
        <f>-IFERROR(VLOOKUP(C1455,IDC!$A$20:$H$1596,8,0),0)</f>
        <v>-176.4</v>
      </c>
      <c r="M1455" s="74">
        <f t="shared" si="28"/>
        <v>29400</v>
      </c>
    </row>
    <row r="1456" spans="1:13" customFormat="1">
      <c r="A1456" t="s">
        <v>188</v>
      </c>
      <c r="B1456" t="s">
        <v>11</v>
      </c>
      <c r="C1456" s="51">
        <v>139191318807</v>
      </c>
      <c r="D1456" s="1">
        <v>28627.3</v>
      </c>
      <c r="E1456" s="1">
        <v>17161825.059999999</v>
      </c>
      <c r="F1456" t="s">
        <v>1280</v>
      </c>
      <c r="I1456" s="16">
        <f>-IFERROR(VLOOKUP(C1456,SIRCUPA!$A$21:$H$186,8,0),0)</f>
        <v>0</v>
      </c>
      <c r="J1456" s="68">
        <f>-IFERROR(VLOOKUP(C1456,SIRTAC!$A$16:$H$1405,8,0),0)</f>
        <v>-305</v>
      </c>
      <c r="K1456" s="68">
        <f>-IFERROR(VLOOKUP(C1456,Gastos!$A$9:$J$1398,10,0),0)</f>
        <v>-1384.7</v>
      </c>
      <c r="L1456" s="68">
        <f>-IFERROR(VLOOKUP(C1456,IDC!$A$20:$H$1596,8,0),0)</f>
        <v>-183</v>
      </c>
      <c r="M1456" s="74">
        <f t="shared" si="28"/>
        <v>30500</v>
      </c>
    </row>
    <row r="1457" spans="1:13" customFormat="1">
      <c r="A1457" t="s">
        <v>188</v>
      </c>
      <c r="B1457" t="s">
        <v>11</v>
      </c>
      <c r="C1457" s="51">
        <v>139191239891</v>
      </c>
      <c r="D1457" s="1">
        <v>15588.8</v>
      </c>
      <c r="E1457" s="1">
        <v>17177413.859999999</v>
      </c>
      <c r="F1457" t="s">
        <v>1280</v>
      </c>
      <c r="I1457" s="16">
        <f>-IFERROR(VLOOKUP(C1457,SIRCUPA!$A$21:$H$186,8,0),0)</f>
        <v>0</v>
      </c>
      <c r="J1457" s="68">
        <f>-IFERROR(VLOOKUP(C1457,SIRTAC!$A$16:$H$1405,8,0),0)</f>
        <v>-160</v>
      </c>
      <c r="K1457" s="68">
        <f>-IFERROR(VLOOKUP(C1457,Gastos!$A$9:$J$1398,10,0),0)</f>
        <v>-155.19999999999999</v>
      </c>
      <c r="L1457" s="68">
        <f>-IFERROR(VLOOKUP(C1457,IDC!$A$20:$H$1596,8,0),0)</f>
        <v>-96</v>
      </c>
      <c r="M1457" s="74">
        <f t="shared" si="28"/>
        <v>16000</v>
      </c>
    </row>
    <row r="1458" spans="1:13" customFormat="1">
      <c r="A1458" t="s">
        <v>177</v>
      </c>
      <c r="B1458" t="s">
        <v>157</v>
      </c>
      <c r="C1458" s="51">
        <v>139747543928</v>
      </c>
      <c r="D1458" s="1">
        <v>3034.9</v>
      </c>
      <c r="E1458" s="1">
        <v>15912229.609999999</v>
      </c>
      <c r="F1458" t="s">
        <v>1280</v>
      </c>
      <c r="I1458" s="16">
        <f>-IFERROR(VLOOKUP(C1458,SIRCUPA!$A$21:$H$186,8,0),0)</f>
        <v>-46.5</v>
      </c>
      <c r="J1458" s="68">
        <f>-IFERROR(VLOOKUP(C1458,SIRTAC!$A$16:$H$1405,8,0),0)</f>
        <v>0</v>
      </c>
      <c r="K1458" s="68">
        <f>-IFERROR(VLOOKUP(C1458,Gastos!$A$9:$J$1398,10,0),0)</f>
        <v>0</v>
      </c>
      <c r="L1458" s="68">
        <f>-IFERROR(VLOOKUP(C1458,IDC!$A$20:$H$1596,8,0),0)</f>
        <v>-18.600000000000001</v>
      </c>
      <c r="M1458" s="74">
        <f t="shared" si="28"/>
        <v>3100</v>
      </c>
    </row>
    <row r="1459" spans="1:13" customFormat="1">
      <c r="A1459" t="s">
        <v>194</v>
      </c>
      <c r="B1459" t="s">
        <v>11</v>
      </c>
      <c r="C1459" s="51">
        <v>139441467593</v>
      </c>
      <c r="D1459" s="1">
        <v>27585.24</v>
      </c>
      <c r="E1459" s="1">
        <v>10244159.1</v>
      </c>
      <c r="F1459" t="s">
        <v>1280</v>
      </c>
      <c r="I1459" s="16">
        <f>-IFERROR(VLOOKUP(C1459,SIRCUPA!$A$21:$H$186,8,0),0)</f>
        <v>0</v>
      </c>
      <c r="J1459" s="68">
        <f>-IFERROR(VLOOKUP(C1459,SIRTAC!$A$16:$H$1405,8,0),0)</f>
        <v>-292</v>
      </c>
      <c r="K1459" s="68">
        <f>-IFERROR(VLOOKUP(C1459,Gastos!$A$9:$J$1398,10,0),0)</f>
        <v>-1147.56</v>
      </c>
      <c r="L1459" s="68">
        <f>-IFERROR(VLOOKUP(C1459,IDC!$A$20:$H$1596,8,0),0)</f>
        <v>-175.2</v>
      </c>
      <c r="M1459" s="74">
        <f t="shared" si="28"/>
        <v>29200.000000000004</v>
      </c>
    </row>
    <row r="1460" spans="1:13" customFormat="1">
      <c r="A1460" t="s">
        <v>194</v>
      </c>
      <c r="B1460" t="s">
        <v>11</v>
      </c>
      <c r="C1460" s="51">
        <v>139447802567</v>
      </c>
      <c r="D1460" s="1">
        <v>14614.5</v>
      </c>
      <c r="E1460" s="1">
        <v>10258773.6</v>
      </c>
      <c r="F1460" t="s">
        <v>1280</v>
      </c>
      <c r="I1460" s="16">
        <f>-IFERROR(VLOOKUP(C1460,SIRCUPA!$A$21:$H$186,8,0),0)</f>
        <v>0</v>
      </c>
      <c r="J1460" s="68">
        <f>-IFERROR(VLOOKUP(C1460,SIRTAC!$A$16:$H$1405,8,0),0)</f>
        <v>-150</v>
      </c>
      <c r="K1460" s="68">
        <f>-IFERROR(VLOOKUP(C1460,Gastos!$A$9:$J$1398,10,0),0)</f>
        <v>-145.5</v>
      </c>
      <c r="L1460" s="68">
        <f>-IFERROR(VLOOKUP(C1460,IDC!$A$20:$H$1596,8,0),0)</f>
        <v>-90</v>
      </c>
      <c r="M1460" s="74">
        <f t="shared" si="28"/>
        <v>15000</v>
      </c>
    </row>
    <row r="1461" spans="1:13" customFormat="1">
      <c r="A1461" t="s">
        <v>194</v>
      </c>
      <c r="B1461" t="s">
        <v>11</v>
      </c>
      <c r="C1461" s="51">
        <v>140096941494</v>
      </c>
      <c r="D1461" s="1">
        <v>37410.120000000003</v>
      </c>
      <c r="E1461" s="1">
        <v>10296183.720000001</v>
      </c>
      <c r="F1461" t="s">
        <v>1280</v>
      </c>
      <c r="I1461" s="16">
        <f>-IFERROR(VLOOKUP(C1461,SIRCUPA!$A$21:$H$186,8,0),0)</f>
        <v>0</v>
      </c>
      <c r="J1461" s="68">
        <f>-IFERROR(VLOOKUP(C1461,SIRTAC!$A$16:$H$1405,8,0),0)</f>
        <v>-396</v>
      </c>
      <c r="K1461" s="68">
        <f>-IFERROR(VLOOKUP(C1461,Gastos!$A$9:$J$1398,10,0),0)</f>
        <v>-1556.28</v>
      </c>
      <c r="L1461" s="68">
        <f>-IFERROR(VLOOKUP(C1461,IDC!$A$20:$H$1596,8,0),0)</f>
        <v>-237.6</v>
      </c>
      <c r="M1461" s="74">
        <f t="shared" si="28"/>
        <v>39600</v>
      </c>
    </row>
    <row r="1462" spans="1:13" customFormat="1">
      <c r="A1462" t="s">
        <v>194</v>
      </c>
      <c r="B1462" t="s">
        <v>11</v>
      </c>
      <c r="C1462" s="51">
        <v>139450291447</v>
      </c>
      <c r="D1462" s="1">
        <v>9743</v>
      </c>
      <c r="E1462" s="1">
        <v>10305926.720000001</v>
      </c>
      <c r="F1462" t="s">
        <v>1280</v>
      </c>
      <c r="I1462" s="16">
        <f>-IFERROR(VLOOKUP(C1462,SIRCUPA!$A$21:$H$186,8,0),0)</f>
        <v>0</v>
      </c>
      <c r="J1462" s="68">
        <f>-IFERROR(VLOOKUP(C1462,SIRTAC!$A$16:$H$1405,8,0),0)</f>
        <v>-100</v>
      </c>
      <c r="K1462" s="68">
        <f>-IFERROR(VLOOKUP(C1462,Gastos!$A$9:$J$1398,10,0),0)</f>
        <v>-97</v>
      </c>
      <c r="L1462" s="68">
        <f>-IFERROR(VLOOKUP(C1462,IDC!$A$20:$H$1596,8,0),0)</f>
        <v>-60</v>
      </c>
      <c r="M1462" s="74">
        <f t="shared" si="28"/>
        <v>10000</v>
      </c>
    </row>
    <row r="1463" spans="1:13" customFormat="1">
      <c r="A1463" t="s">
        <v>194</v>
      </c>
      <c r="B1463" t="s">
        <v>11</v>
      </c>
      <c r="C1463" s="51">
        <v>140102435218</v>
      </c>
      <c r="D1463" s="1">
        <v>18516.12</v>
      </c>
      <c r="E1463" s="1">
        <v>10324442.84</v>
      </c>
      <c r="F1463" t="s">
        <v>1280</v>
      </c>
      <c r="I1463" s="16">
        <f>-IFERROR(VLOOKUP(C1463,SIRCUPA!$A$21:$H$186,8,0),0)</f>
        <v>0</v>
      </c>
      <c r="J1463" s="68">
        <f>-IFERROR(VLOOKUP(C1463,SIRTAC!$A$16:$H$1405,8,0),0)</f>
        <v>-196</v>
      </c>
      <c r="K1463" s="68">
        <f>-IFERROR(VLOOKUP(C1463,Gastos!$A$9:$J$1398,10,0),0)</f>
        <v>-770.28</v>
      </c>
      <c r="L1463" s="68">
        <f>-IFERROR(VLOOKUP(C1463,IDC!$A$20:$H$1596,8,0),0)</f>
        <v>-117.6</v>
      </c>
      <c r="M1463" s="74">
        <f t="shared" si="28"/>
        <v>19599.999999999996</v>
      </c>
    </row>
    <row r="1464" spans="1:13" customFormat="1">
      <c r="A1464" t="s">
        <v>194</v>
      </c>
      <c r="B1464" t="s">
        <v>11</v>
      </c>
      <c r="C1464" s="51">
        <v>140105601398</v>
      </c>
      <c r="D1464" s="1">
        <v>35074.800000000003</v>
      </c>
      <c r="E1464" s="1">
        <v>10359517.640000001</v>
      </c>
      <c r="F1464" t="s">
        <v>1280</v>
      </c>
      <c r="I1464" s="16">
        <f>-IFERROR(VLOOKUP(C1464,SIRCUPA!$A$21:$H$186,8,0),0)</f>
        <v>0</v>
      </c>
      <c r="J1464" s="68">
        <f>-IFERROR(VLOOKUP(C1464,SIRTAC!$A$16:$H$1405,8,0),0)</f>
        <v>-360</v>
      </c>
      <c r="K1464" s="68">
        <f>-IFERROR(VLOOKUP(C1464,Gastos!$A$9:$J$1398,10,0),0)</f>
        <v>-349.2</v>
      </c>
      <c r="L1464" s="68">
        <f>-IFERROR(VLOOKUP(C1464,IDC!$A$20:$H$1596,8,0),0)</f>
        <v>-216</v>
      </c>
      <c r="M1464" s="74">
        <f t="shared" si="28"/>
        <v>36000</v>
      </c>
    </row>
    <row r="1465" spans="1:13" customFormat="1">
      <c r="A1465" t="s">
        <v>177</v>
      </c>
      <c r="B1465" t="s">
        <v>183</v>
      </c>
      <c r="C1465" s="51">
        <v>139819986828</v>
      </c>
      <c r="D1465" s="1">
        <v>1899.26</v>
      </c>
      <c r="E1465" s="1">
        <v>15881492.82</v>
      </c>
      <c r="F1465" t="s">
        <v>1280</v>
      </c>
      <c r="I1465" s="16">
        <f>-IFERROR(VLOOKUP(C1465,SIRCUPA!$A$21:$H$186,8,0),0)</f>
        <v>-29.1</v>
      </c>
      <c r="J1465" s="68">
        <f>-IFERROR(VLOOKUP(C1465,SIRTAC!$A$16:$H$1405,8,0),0)</f>
        <v>0</v>
      </c>
      <c r="K1465" s="68">
        <f>-IFERROR(VLOOKUP(C1465,Gastos!$A$9:$J$1398,10,0),0)</f>
        <v>0</v>
      </c>
      <c r="L1465" s="68">
        <f>-IFERROR(VLOOKUP(C1465,IDC!$A$20:$H$1596,8,0),0)</f>
        <v>-11.64</v>
      </c>
      <c r="M1465" s="74">
        <f t="shared" si="28"/>
        <v>1940</v>
      </c>
    </row>
    <row r="1466" spans="1:13" customFormat="1">
      <c r="A1466" t="s">
        <v>194</v>
      </c>
      <c r="B1466" t="s">
        <v>11</v>
      </c>
      <c r="C1466" s="51">
        <v>139459696295</v>
      </c>
      <c r="D1466" s="1">
        <v>19271.88</v>
      </c>
      <c r="E1466" s="1">
        <v>10378789.52</v>
      </c>
      <c r="F1466" t="s">
        <v>1280</v>
      </c>
      <c r="I1466" s="16">
        <f>-IFERROR(VLOOKUP(C1466,SIRCUPA!$A$21:$H$186,8,0),0)</f>
        <v>0</v>
      </c>
      <c r="J1466" s="68">
        <f>-IFERROR(VLOOKUP(C1466,SIRTAC!$A$16:$H$1405,8,0),0)</f>
        <v>-204</v>
      </c>
      <c r="K1466" s="68">
        <f>-IFERROR(VLOOKUP(C1466,Gastos!$A$9:$J$1398,10,0),0)</f>
        <v>-801.72</v>
      </c>
      <c r="L1466" s="68">
        <f>-IFERROR(VLOOKUP(C1466,IDC!$A$20:$H$1596,8,0),0)</f>
        <v>-122.4</v>
      </c>
      <c r="M1466" s="74">
        <f t="shared" si="28"/>
        <v>20400.000000000004</v>
      </c>
    </row>
    <row r="1467" spans="1:13" customFormat="1">
      <c r="A1467" t="s">
        <v>194</v>
      </c>
      <c r="B1467" t="s">
        <v>11</v>
      </c>
      <c r="C1467" s="51">
        <v>139460219937</v>
      </c>
      <c r="D1467" s="1">
        <v>4871.5</v>
      </c>
      <c r="E1467" s="1">
        <v>10383661.02</v>
      </c>
      <c r="F1467" t="s">
        <v>1280</v>
      </c>
      <c r="I1467" s="16">
        <f>-IFERROR(VLOOKUP(C1467,SIRCUPA!$A$21:$H$186,8,0),0)</f>
        <v>0</v>
      </c>
      <c r="J1467" s="68">
        <f>-IFERROR(VLOOKUP(C1467,SIRTAC!$A$16:$H$1405,8,0),0)</f>
        <v>-50</v>
      </c>
      <c r="K1467" s="68">
        <f>-IFERROR(VLOOKUP(C1467,Gastos!$A$9:$J$1398,10,0),0)</f>
        <v>-48.5</v>
      </c>
      <c r="L1467" s="68">
        <f>-IFERROR(VLOOKUP(C1467,IDC!$A$20:$H$1596,8,0),0)</f>
        <v>-30</v>
      </c>
      <c r="M1467" s="74">
        <f t="shared" si="28"/>
        <v>5000</v>
      </c>
    </row>
    <row r="1468" spans="1:13" customFormat="1">
      <c r="A1468" t="s">
        <v>177</v>
      </c>
      <c r="B1468" t="s">
        <v>184</v>
      </c>
      <c r="C1468" s="51">
        <v>139173662641</v>
      </c>
      <c r="D1468" s="1">
        <v>1311.86</v>
      </c>
      <c r="E1468" s="1">
        <v>15913864.539999999</v>
      </c>
      <c r="F1468" t="s">
        <v>1280</v>
      </c>
      <c r="I1468" s="16">
        <f>-IFERROR(VLOOKUP(C1468,SIRCUPA!$A$21:$H$186,8,0),0)</f>
        <v>-20.100000000000001</v>
      </c>
      <c r="J1468" s="68">
        <f>-IFERROR(VLOOKUP(C1468,SIRTAC!$A$16:$H$1405,8,0),0)</f>
        <v>0</v>
      </c>
      <c r="K1468" s="68">
        <f>-IFERROR(VLOOKUP(C1468,Gastos!$A$9:$J$1398,10,0),0)</f>
        <v>0</v>
      </c>
      <c r="L1468" s="68">
        <f>-IFERROR(VLOOKUP(C1468,IDC!$A$20:$H$1596,8,0),0)</f>
        <v>-8.0399999999999991</v>
      </c>
      <c r="M1468" s="74">
        <f t="shared" si="28"/>
        <v>1339.9999999999998</v>
      </c>
    </row>
    <row r="1469" spans="1:13" customFormat="1">
      <c r="A1469" t="s">
        <v>194</v>
      </c>
      <c r="B1469" t="s">
        <v>11</v>
      </c>
      <c r="C1469" s="51">
        <v>140108556622</v>
      </c>
      <c r="D1469" s="1">
        <v>5845.8</v>
      </c>
      <c r="E1469" s="1">
        <v>10389506.82</v>
      </c>
      <c r="F1469" t="s">
        <v>1280</v>
      </c>
      <c r="I1469" s="16">
        <f>-IFERROR(VLOOKUP(C1469,SIRCUPA!$A$21:$H$186,8,0),0)</f>
        <v>0</v>
      </c>
      <c r="J1469" s="68">
        <f>-IFERROR(VLOOKUP(C1469,SIRTAC!$A$16:$H$1405,8,0),0)</f>
        <v>-60</v>
      </c>
      <c r="K1469" s="68">
        <f>-IFERROR(VLOOKUP(C1469,Gastos!$A$9:$J$1398,10,0),0)</f>
        <v>-58.2</v>
      </c>
      <c r="L1469" s="68">
        <f>-IFERROR(VLOOKUP(C1469,IDC!$A$20:$H$1596,8,0),0)</f>
        <v>-36</v>
      </c>
      <c r="M1469" s="74">
        <f t="shared" si="28"/>
        <v>6000</v>
      </c>
    </row>
    <row r="1470" spans="1:13" customFormat="1">
      <c r="A1470" t="s">
        <v>194</v>
      </c>
      <c r="B1470" t="s">
        <v>11</v>
      </c>
      <c r="C1470" s="51">
        <v>140110342078</v>
      </c>
      <c r="D1470" s="1">
        <v>19193.71</v>
      </c>
      <c r="E1470" s="1">
        <v>10408700.529999999</v>
      </c>
      <c r="F1470" t="s">
        <v>1280</v>
      </c>
      <c r="I1470" s="16">
        <f>-IFERROR(VLOOKUP(C1470,SIRCUPA!$A$21:$H$186,8,0),0)</f>
        <v>0</v>
      </c>
      <c r="J1470" s="68">
        <f>-IFERROR(VLOOKUP(C1470,SIRTAC!$A$16:$H$1405,8,0),0)</f>
        <v>-197</v>
      </c>
      <c r="K1470" s="68">
        <f>-IFERROR(VLOOKUP(C1470,Gastos!$A$9:$J$1398,10,0),0)</f>
        <v>-191.09</v>
      </c>
      <c r="L1470" s="68">
        <f>-IFERROR(VLOOKUP(C1470,IDC!$A$20:$H$1596,8,0),0)</f>
        <v>-118.2</v>
      </c>
      <c r="M1470" s="74">
        <f t="shared" si="28"/>
        <v>19700</v>
      </c>
    </row>
    <row r="1471" spans="1:13" customFormat="1">
      <c r="A1471" t="s">
        <v>194</v>
      </c>
      <c r="B1471" t="s">
        <v>11</v>
      </c>
      <c r="C1471" s="51">
        <v>140111554838</v>
      </c>
      <c r="D1471" s="1">
        <v>16270.81</v>
      </c>
      <c r="E1471" s="1">
        <v>10424971.34</v>
      </c>
      <c r="F1471" t="s">
        <v>1280</v>
      </c>
      <c r="I1471" s="16">
        <f>-IFERROR(VLOOKUP(C1471,SIRCUPA!$A$21:$H$186,8,0),0)</f>
        <v>0</v>
      </c>
      <c r="J1471" s="68">
        <f>-IFERROR(VLOOKUP(C1471,SIRTAC!$A$16:$H$1405,8,0),0)</f>
        <v>-167</v>
      </c>
      <c r="K1471" s="68">
        <f>-IFERROR(VLOOKUP(C1471,Gastos!$A$9:$J$1398,10,0),0)</f>
        <v>-161.99</v>
      </c>
      <c r="L1471" s="68">
        <f>-IFERROR(VLOOKUP(C1471,IDC!$A$20:$H$1596,8,0),0)</f>
        <v>-100.2</v>
      </c>
      <c r="M1471" s="74">
        <f t="shared" si="28"/>
        <v>16700</v>
      </c>
    </row>
    <row r="1472" spans="1:13" customFormat="1">
      <c r="A1472" t="s">
        <v>194</v>
      </c>
      <c r="B1472" t="s">
        <v>11</v>
      </c>
      <c r="C1472" s="51">
        <v>139464638853</v>
      </c>
      <c r="D1472" s="1">
        <v>16705.36</v>
      </c>
      <c r="E1472" s="1">
        <v>10444129.09</v>
      </c>
      <c r="F1472" t="s">
        <v>1280</v>
      </c>
      <c r="I1472" s="16">
        <f>-IFERROR(VLOOKUP(C1472,SIRCUPA!$A$21:$H$186,8,0),0)</f>
        <v>0</v>
      </c>
      <c r="J1472" s="68">
        <f>-IFERROR(VLOOKUP(C1472,SIRTAC!$A$16:$H$1405,8,0),0)</f>
        <v>-184</v>
      </c>
      <c r="K1472" s="68">
        <f>-IFERROR(VLOOKUP(C1472,Gastos!$A$9:$J$1398,10,0),0)</f>
        <v>-1400.24</v>
      </c>
      <c r="L1472" s="68">
        <f>-IFERROR(VLOOKUP(C1472,IDC!$A$20:$H$1596,8,0),0)</f>
        <v>-110.4</v>
      </c>
      <c r="M1472" s="74">
        <f t="shared" si="28"/>
        <v>18400.000000000004</v>
      </c>
    </row>
    <row r="1473" spans="1:13" customFormat="1">
      <c r="A1473" t="s">
        <v>194</v>
      </c>
      <c r="B1473" t="s">
        <v>11</v>
      </c>
      <c r="C1473" s="51">
        <v>139465107537</v>
      </c>
      <c r="D1473" s="1">
        <v>9743</v>
      </c>
      <c r="E1473" s="1">
        <v>10453872.09</v>
      </c>
      <c r="F1473" t="s">
        <v>1280</v>
      </c>
      <c r="I1473" s="16">
        <f>-IFERROR(VLOOKUP(C1473,SIRCUPA!$A$21:$H$186,8,0),0)</f>
        <v>0</v>
      </c>
      <c r="J1473" s="68">
        <f>-IFERROR(VLOOKUP(C1473,SIRTAC!$A$16:$H$1405,8,0),0)</f>
        <v>-100</v>
      </c>
      <c r="K1473" s="68">
        <f>-IFERROR(VLOOKUP(C1473,Gastos!$A$9:$J$1398,10,0),0)</f>
        <v>-97</v>
      </c>
      <c r="L1473" s="68">
        <f>-IFERROR(VLOOKUP(C1473,IDC!$A$20:$H$1596,8,0),0)</f>
        <v>-60</v>
      </c>
      <c r="M1473" s="74">
        <f t="shared" si="28"/>
        <v>10000</v>
      </c>
    </row>
    <row r="1474" spans="1:13" customFormat="1">
      <c r="A1474" t="s">
        <v>194</v>
      </c>
      <c r="B1474" t="s">
        <v>11</v>
      </c>
      <c r="C1474" s="51">
        <v>140113726872</v>
      </c>
      <c r="D1474" s="1">
        <v>9743</v>
      </c>
      <c r="E1474" s="1">
        <v>10463615.09</v>
      </c>
      <c r="F1474" t="s">
        <v>1280</v>
      </c>
      <c r="I1474" s="16">
        <f>-IFERROR(VLOOKUP(C1474,SIRCUPA!$A$21:$H$186,8,0),0)</f>
        <v>0</v>
      </c>
      <c r="J1474" s="68">
        <f>-IFERROR(VLOOKUP(C1474,SIRTAC!$A$16:$H$1405,8,0),0)</f>
        <v>-100</v>
      </c>
      <c r="K1474" s="68">
        <f>-IFERROR(VLOOKUP(C1474,Gastos!$A$9:$J$1398,10,0),0)</f>
        <v>-97</v>
      </c>
      <c r="L1474" s="68">
        <f>-IFERROR(VLOOKUP(C1474,IDC!$A$20:$H$1596,8,0),0)</f>
        <v>-60</v>
      </c>
      <c r="M1474" s="74">
        <f t="shared" si="28"/>
        <v>10000</v>
      </c>
    </row>
    <row r="1475" spans="1:13" customFormat="1">
      <c r="A1475" t="s">
        <v>194</v>
      </c>
      <c r="B1475" t="s">
        <v>11</v>
      </c>
      <c r="C1475" s="51">
        <v>139466162181</v>
      </c>
      <c r="D1475" s="1">
        <v>19486</v>
      </c>
      <c r="E1475" s="1">
        <v>10483590.59</v>
      </c>
      <c r="F1475" t="s">
        <v>1280</v>
      </c>
      <c r="I1475" s="16">
        <f>-IFERROR(VLOOKUP(C1475,SIRCUPA!$A$21:$H$186,8,0),0)</f>
        <v>0</v>
      </c>
      <c r="J1475" s="68">
        <f>-IFERROR(VLOOKUP(C1475,SIRTAC!$A$16:$H$1405,8,0),0)</f>
        <v>-200</v>
      </c>
      <c r="K1475" s="68">
        <f>-IFERROR(VLOOKUP(C1475,Gastos!$A$9:$J$1398,10,0),0)</f>
        <v>-194</v>
      </c>
      <c r="L1475" s="68">
        <f>-IFERROR(VLOOKUP(C1475,IDC!$A$20:$H$1596,8,0),0)</f>
        <v>-120</v>
      </c>
      <c r="M1475" s="74">
        <f t="shared" si="28"/>
        <v>20000</v>
      </c>
    </row>
    <row r="1476" spans="1:13" customFormat="1">
      <c r="A1476" t="s">
        <v>194</v>
      </c>
      <c r="B1476" t="s">
        <v>11</v>
      </c>
      <c r="C1476" s="51">
        <v>140115445908</v>
      </c>
      <c r="D1476" s="1">
        <v>10644.7</v>
      </c>
      <c r="E1476" s="1">
        <v>10495214.289999999</v>
      </c>
      <c r="F1476" t="s">
        <v>1280</v>
      </c>
      <c r="I1476" s="16">
        <f>-IFERROR(VLOOKUP(C1476,SIRCUPA!$A$21:$H$186,8,0),0)</f>
        <v>0</v>
      </c>
      <c r="J1476" s="68">
        <f>-IFERROR(VLOOKUP(C1476,SIRTAC!$A$16:$H$1405,8,0),0)</f>
        <v>-110</v>
      </c>
      <c r="K1476" s="68">
        <f>-IFERROR(VLOOKUP(C1476,Gastos!$A$9:$J$1398,10,0),0)</f>
        <v>-179.3</v>
      </c>
      <c r="L1476" s="68">
        <f>-IFERROR(VLOOKUP(C1476,IDC!$A$20:$H$1596,8,0),0)</f>
        <v>-66</v>
      </c>
      <c r="M1476" s="74">
        <f t="shared" si="28"/>
        <v>11000</v>
      </c>
    </row>
    <row r="1477" spans="1:13" customFormat="1">
      <c r="A1477" t="s">
        <v>194</v>
      </c>
      <c r="B1477" t="s">
        <v>11</v>
      </c>
      <c r="C1477" s="51">
        <v>140115663656</v>
      </c>
      <c r="D1477" s="1">
        <v>9447</v>
      </c>
      <c r="E1477" s="1">
        <v>10504661.289999999</v>
      </c>
      <c r="F1477" t="s">
        <v>1280</v>
      </c>
      <c r="I1477" s="16">
        <f>-IFERROR(VLOOKUP(C1477,SIRCUPA!$A$21:$H$186,8,0),0)</f>
        <v>0</v>
      </c>
      <c r="J1477" s="68">
        <f>-IFERROR(VLOOKUP(C1477,SIRTAC!$A$16:$H$1405,8,0),0)</f>
        <v>-100</v>
      </c>
      <c r="K1477" s="68">
        <f>-IFERROR(VLOOKUP(C1477,Gastos!$A$9:$J$1398,10,0),0)</f>
        <v>-393</v>
      </c>
      <c r="L1477" s="68">
        <f>-IFERROR(VLOOKUP(C1477,IDC!$A$20:$H$1596,8,0),0)</f>
        <v>-60</v>
      </c>
      <c r="M1477" s="74">
        <f t="shared" si="28"/>
        <v>10000</v>
      </c>
    </row>
    <row r="1478" spans="1:13" customFormat="1">
      <c r="A1478" t="s">
        <v>194</v>
      </c>
      <c r="B1478" t="s">
        <v>11</v>
      </c>
      <c r="C1478" s="51">
        <v>140116601668</v>
      </c>
      <c r="D1478" s="1">
        <v>18396.560000000001</v>
      </c>
      <c r="E1478" s="1">
        <v>10523057.85</v>
      </c>
      <c r="F1478" t="s">
        <v>1280</v>
      </c>
      <c r="I1478" s="16">
        <f>-IFERROR(VLOOKUP(C1478,SIRCUPA!$A$21:$H$186,8,0),0)</f>
        <v>0</v>
      </c>
      <c r="J1478" s="68">
        <f>-IFERROR(VLOOKUP(C1478,SIRTAC!$A$16:$H$1405,8,0),0)</f>
        <v>-196</v>
      </c>
      <c r="K1478" s="68">
        <f>-IFERROR(VLOOKUP(C1478,Gastos!$A$9:$J$1398,10,0),0)</f>
        <v>-889.84</v>
      </c>
      <c r="L1478" s="68">
        <f>-IFERROR(VLOOKUP(C1478,IDC!$A$20:$H$1596,8,0),0)</f>
        <v>-117.6</v>
      </c>
      <c r="M1478" s="74">
        <f t="shared" si="28"/>
        <v>19600</v>
      </c>
    </row>
    <row r="1479" spans="1:13" customFormat="1">
      <c r="A1479" t="s">
        <v>194</v>
      </c>
      <c r="B1479" t="s">
        <v>11</v>
      </c>
      <c r="C1479" s="51">
        <v>140116779156</v>
      </c>
      <c r="D1479" s="1">
        <v>9353.2800000000007</v>
      </c>
      <c r="E1479" s="1">
        <v>10532411.130000001</v>
      </c>
      <c r="F1479" t="s">
        <v>1280</v>
      </c>
      <c r="I1479" s="16">
        <f>-IFERROR(VLOOKUP(C1479,SIRCUPA!$A$21:$H$186,8,0),0)</f>
        <v>0</v>
      </c>
      <c r="J1479" s="68">
        <f>-IFERROR(VLOOKUP(C1479,SIRTAC!$A$16:$H$1405,8,0),0)</f>
        <v>-96</v>
      </c>
      <c r="K1479" s="68">
        <f>-IFERROR(VLOOKUP(C1479,Gastos!$A$9:$J$1398,10,0),0)</f>
        <v>-93.12</v>
      </c>
      <c r="L1479" s="68">
        <f>-IFERROR(VLOOKUP(C1479,IDC!$A$20:$H$1596,8,0),0)</f>
        <v>-57.6</v>
      </c>
      <c r="M1479" s="74">
        <f t="shared" si="28"/>
        <v>9600.0000000000018</v>
      </c>
    </row>
    <row r="1480" spans="1:13" customFormat="1">
      <c r="A1480" t="s">
        <v>194</v>
      </c>
      <c r="B1480" t="s">
        <v>11</v>
      </c>
      <c r="C1480" s="51">
        <v>140117650322</v>
      </c>
      <c r="D1480" s="1">
        <v>12096.25</v>
      </c>
      <c r="E1480" s="1">
        <v>10544507.380000001</v>
      </c>
      <c r="F1480" t="s">
        <v>1280</v>
      </c>
      <c r="I1480" s="16">
        <f>-IFERROR(VLOOKUP(C1480,SIRCUPA!$A$21:$H$186,8,0),0)</f>
        <v>0</v>
      </c>
      <c r="J1480" s="68">
        <f>-IFERROR(VLOOKUP(C1480,SIRTAC!$A$16:$H$1405,8,0),0)</f>
        <v>-125</v>
      </c>
      <c r="K1480" s="68">
        <f>-IFERROR(VLOOKUP(C1480,Gastos!$A$9:$J$1398,10,0),0)</f>
        <v>-203.75</v>
      </c>
      <c r="L1480" s="68">
        <f>-IFERROR(VLOOKUP(C1480,IDC!$A$20:$H$1596,8,0),0)</f>
        <v>-75</v>
      </c>
      <c r="M1480" s="74">
        <f t="shared" si="28"/>
        <v>12500</v>
      </c>
    </row>
    <row r="1481" spans="1:13" customFormat="1">
      <c r="A1481" t="s">
        <v>194</v>
      </c>
      <c r="B1481" t="s">
        <v>11</v>
      </c>
      <c r="C1481" s="51">
        <v>139469521293</v>
      </c>
      <c r="D1481" s="1">
        <v>42089.760000000002</v>
      </c>
      <c r="E1481" s="1">
        <v>10586597.140000001</v>
      </c>
      <c r="F1481" t="s">
        <v>1280</v>
      </c>
      <c r="I1481" s="16">
        <f>-IFERROR(VLOOKUP(C1481,SIRCUPA!$A$21:$H$186,8,0),0)</f>
        <v>0</v>
      </c>
      <c r="J1481" s="68">
        <f>-IFERROR(VLOOKUP(C1481,SIRTAC!$A$16:$H$1405,8,0),0)</f>
        <v>-432</v>
      </c>
      <c r="K1481" s="68">
        <f>-IFERROR(VLOOKUP(C1481,Gastos!$A$9:$J$1398,10,0),0)</f>
        <v>-419.04</v>
      </c>
      <c r="L1481" s="68">
        <f>-IFERROR(VLOOKUP(C1481,IDC!$A$20:$H$1596,8,0),0)</f>
        <v>-259.2</v>
      </c>
      <c r="M1481" s="74">
        <f t="shared" si="28"/>
        <v>43200</v>
      </c>
    </row>
    <row r="1482" spans="1:13" customFormat="1">
      <c r="A1482" t="s">
        <v>194</v>
      </c>
      <c r="B1482" t="s">
        <v>11</v>
      </c>
      <c r="C1482" s="51">
        <v>139472364079</v>
      </c>
      <c r="D1482" s="1">
        <v>9447</v>
      </c>
      <c r="E1482" s="1">
        <v>10596044.140000001</v>
      </c>
      <c r="F1482" t="s">
        <v>1280</v>
      </c>
      <c r="I1482" s="16">
        <f>-IFERROR(VLOOKUP(C1482,SIRCUPA!$A$21:$H$186,8,0),0)</f>
        <v>0</v>
      </c>
      <c r="J1482" s="68">
        <f>-IFERROR(VLOOKUP(C1482,SIRTAC!$A$16:$H$1405,8,0),0)</f>
        <v>-100</v>
      </c>
      <c r="K1482" s="68">
        <f>-IFERROR(VLOOKUP(C1482,Gastos!$A$9:$J$1398,10,0),0)</f>
        <v>-393</v>
      </c>
      <c r="L1482" s="68">
        <f>-IFERROR(VLOOKUP(C1482,IDC!$A$20:$H$1596,8,0),0)</f>
        <v>-60</v>
      </c>
      <c r="M1482" s="74">
        <f t="shared" si="28"/>
        <v>10000</v>
      </c>
    </row>
    <row r="1483" spans="1:13" customFormat="1">
      <c r="A1483" t="s">
        <v>194</v>
      </c>
      <c r="B1483" t="s">
        <v>11</v>
      </c>
      <c r="C1483" s="51">
        <v>139472867537</v>
      </c>
      <c r="D1483" s="1">
        <v>28254.7</v>
      </c>
      <c r="E1483" s="1">
        <v>10624298.84</v>
      </c>
      <c r="F1483" t="s">
        <v>1280</v>
      </c>
      <c r="I1483" s="16">
        <f>-IFERROR(VLOOKUP(C1483,SIRCUPA!$A$21:$H$186,8,0),0)</f>
        <v>0</v>
      </c>
      <c r="J1483" s="68">
        <f>-IFERROR(VLOOKUP(C1483,SIRTAC!$A$16:$H$1405,8,0),0)</f>
        <v>-290</v>
      </c>
      <c r="K1483" s="68">
        <f>-IFERROR(VLOOKUP(C1483,Gastos!$A$9:$J$1398,10,0),0)</f>
        <v>-281.3</v>
      </c>
      <c r="L1483" s="68">
        <f>-IFERROR(VLOOKUP(C1483,IDC!$A$20:$H$1596,8,0),0)</f>
        <v>-174</v>
      </c>
      <c r="M1483" s="74">
        <f t="shared" si="28"/>
        <v>29000</v>
      </c>
    </row>
    <row r="1484" spans="1:13" customFormat="1">
      <c r="A1484" t="s">
        <v>177</v>
      </c>
      <c r="B1484" t="s">
        <v>185</v>
      </c>
      <c r="C1484" s="51">
        <v>139830676398</v>
      </c>
      <c r="D1484" s="1">
        <v>1189.48</v>
      </c>
      <c r="E1484" s="1">
        <v>16294059.15</v>
      </c>
      <c r="F1484" t="s">
        <v>1280</v>
      </c>
      <c r="I1484" s="16">
        <f>-IFERROR(VLOOKUP(C1484,SIRCUPA!$A$21:$H$186,8,0),0)</f>
        <v>-18.23</v>
      </c>
      <c r="J1484" s="68">
        <f>-IFERROR(VLOOKUP(C1484,SIRTAC!$A$16:$H$1405,8,0),0)</f>
        <v>0</v>
      </c>
      <c r="K1484" s="68">
        <f>-IFERROR(VLOOKUP(C1484,Gastos!$A$9:$J$1398,10,0),0)</f>
        <v>0</v>
      </c>
      <c r="L1484" s="68">
        <f>-IFERROR(VLOOKUP(C1484,IDC!$A$20:$H$1596,8,0),0)</f>
        <v>-7.29</v>
      </c>
      <c r="M1484" s="74">
        <f t="shared" si="28"/>
        <v>1215</v>
      </c>
    </row>
    <row r="1485" spans="1:13" customFormat="1">
      <c r="A1485" t="s">
        <v>194</v>
      </c>
      <c r="B1485" t="s">
        <v>11</v>
      </c>
      <c r="C1485" s="51">
        <v>139473304409</v>
      </c>
      <c r="D1485" s="1">
        <v>7085.25</v>
      </c>
      <c r="E1485" s="1">
        <v>10631384.09</v>
      </c>
      <c r="F1485" t="s">
        <v>1280</v>
      </c>
      <c r="I1485" s="16">
        <f>-IFERROR(VLOOKUP(C1485,SIRCUPA!$A$21:$H$186,8,0),0)</f>
        <v>0</v>
      </c>
      <c r="J1485" s="68">
        <f>-IFERROR(VLOOKUP(C1485,SIRTAC!$A$16:$H$1405,8,0),0)</f>
        <v>-75</v>
      </c>
      <c r="K1485" s="68">
        <f>-IFERROR(VLOOKUP(C1485,Gastos!$A$9:$J$1398,10,0),0)</f>
        <v>-294.75</v>
      </c>
      <c r="L1485" s="68">
        <f>-IFERROR(VLOOKUP(C1485,IDC!$A$20:$H$1596,8,0),0)</f>
        <v>-45</v>
      </c>
      <c r="M1485" s="74">
        <f t="shared" si="28"/>
        <v>7500</v>
      </c>
    </row>
    <row r="1486" spans="1:13" customFormat="1">
      <c r="A1486" t="s">
        <v>194</v>
      </c>
      <c r="B1486" t="s">
        <v>11</v>
      </c>
      <c r="C1486" s="51">
        <v>140122127434</v>
      </c>
      <c r="D1486" s="1">
        <v>4723.5</v>
      </c>
      <c r="E1486" s="1">
        <v>10636107.59</v>
      </c>
      <c r="F1486" t="s">
        <v>1280</v>
      </c>
      <c r="I1486" s="16">
        <f>-IFERROR(VLOOKUP(C1486,SIRCUPA!$A$21:$H$186,8,0),0)</f>
        <v>0</v>
      </c>
      <c r="J1486" s="68">
        <f>-IFERROR(VLOOKUP(C1486,SIRTAC!$A$16:$H$1405,8,0),0)</f>
        <v>-50</v>
      </c>
      <c r="K1486" s="68">
        <f>-IFERROR(VLOOKUP(C1486,Gastos!$A$9:$J$1398,10,0),0)</f>
        <v>-196.5</v>
      </c>
      <c r="L1486" s="68">
        <f>-IFERROR(VLOOKUP(C1486,IDC!$A$20:$H$1596,8,0),0)</f>
        <v>-30</v>
      </c>
      <c r="M1486" s="74">
        <f t="shared" si="28"/>
        <v>5000</v>
      </c>
    </row>
    <row r="1487" spans="1:13" customFormat="1">
      <c r="A1487" t="s">
        <v>194</v>
      </c>
      <c r="B1487" t="s">
        <v>11</v>
      </c>
      <c r="C1487" s="51">
        <v>139474299533</v>
      </c>
      <c r="D1487" s="1">
        <v>4723.5</v>
      </c>
      <c r="E1487" s="1">
        <v>10640831.09</v>
      </c>
      <c r="F1487" t="s">
        <v>1280</v>
      </c>
      <c r="I1487" s="16">
        <f>-IFERROR(VLOOKUP(C1487,SIRCUPA!$A$21:$H$186,8,0),0)</f>
        <v>0</v>
      </c>
      <c r="J1487" s="68">
        <f>-IFERROR(VLOOKUP(C1487,SIRTAC!$A$16:$H$1405,8,0),0)</f>
        <v>-50</v>
      </c>
      <c r="K1487" s="68">
        <f>-IFERROR(VLOOKUP(C1487,Gastos!$A$9:$J$1398,10,0),0)</f>
        <v>-196.5</v>
      </c>
      <c r="L1487" s="68">
        <f>-IFERROR(VLOOKUP(C1487,IDC!$A$20:$H$1596,8,0),0)</f>
        <v>-30</v>
      </c>
      <c r="M1487" s="74">
        <f t="shared" si="28"/>
        <v>5000</v>
      </c>
    </row>
    <row r="1488" spans="1:13" customFormat="1">
      <c r="A1488" t="s">
        <v>177</v>
      </c>
      <c r="B1488" t="s">
        <v>186</v>
      </c>
      <c r="C1488" s="51">
        <v>139184362387</v>
      </c>
      <c r="D1488" s="1">
        <v>1370.6</v>
      </c>
      <c r="E1488" s="1">
        <v>16447310.99</v>
      </c>
      <c r="F1488" t="s">
        <v>1280</v>
      </c>
      <c r="I1488" s="16">
        <f>-IFERROR(VLOOKUP(C1488,SIRCUPA!$A$21:$H$186,8,0),0)</f>
        <v>-21</v>
      </c>
      <c r="J1488" s="68">
        <f>-IFERROR(VLOOKUP(C1488,SIRTAC!$A$16:$H$1405,8,0),0)</f>
        <v>0</v>
      </c>
      <c r="K1488" s="68">
        <f>-IFERROR(VLOOKUP(C1488,Gastos!$A$9:$J$1398,10,0),0)</f>
        <v>0</v>
      </c>
      <c r="L1488" s="68">
        <f>-IFERROR(VLOOKUP(C1488,IDC!$A$20:$H$1596,8,0),0)</f>
        <v>-8.4</v>
      </c>
      <c r="M1488" s="74">
        <f t="shared" si="28"/>
        <v>1400</v>
      </c>
    </row>
    <row r="1489" spans="1:13" customFormat="1">
      <c r="A1489" t="s">
        <v>194</v>
      </c>
      <c r="B1489" t="s">
        <v>11</v>
      </c>
      <c r="C1489" s="51">
        <v>139474831259</v>
      </c>
      <c r="D1489" s="1">
        <v>9743</v>
      </c>
      <c r="E1489" s="1">
        <v>10650574.09</v>
      </c>
      <c r="F1489" t="s">
        <v>1280</v>
      </c>
      <c r="I1489" s="16">
        <f>-IFERROR(VLOOKUP(C1489,SIRCUPA!$A$21:$H$186,8,0),0)</f>
        <v>0</v>
      </c>
      <c r="J1489" s="68">
        <f>-IFERROR(VLOOKUP(C1489,SIRTAC!$A$16:$H$1405,8,0),0)</f>
        <v>-100</v>
      </c>
      <c r="K1489" s="68">
        <f>-IFERROR(VLOOKUP(C1489,Gastos!$A$9:$J$1398,10,0),0)</f>
        <v>-97</v>
      </c>
      <c r="L1489" s="68">
        <f>-IFERROR(VLOOKUP(C1489,IDC!$A$20:$H$1596,8,0),0)</f>
        <v>-60</v>
      </c>
      <c r="M1489" s="74">
        <f t="shared" si="28"/>
        <v>10000</v>
      </c>
    </row>
    <row r="1490" spans="1:13" customFormat="1">
      <c r="A1490" t="s">
        <v>194</v>
      </c>
      <c r="B1490" t="s">
        <v>11</v>
      </c>
      <c r="C1490" s="51">
        <v>139474889257</v>
      </c>
      <c r="D1490" s="1">
        <v>27280.400000000001</v>
      </c>
      <c r="E1490" s="1">
        <v>10677854.49</v>
      </c>
      <c r="F1490" t="s">
        <v>1280</v>
      </c>
      <c r="I1490" s="16">
        <f>-IFERROR(VLOOKUP(C1490,SIRCUPA!$A$21:$H$186,8,0),0)</f>
        <v>0</v>
      </c>
      <c r="J1490" s="68">
        <f>-IFERROR(VLOOKUP(C1490,SIRTAC!$A$16:$H$1405,8,0),0)</f>
        <v>-280</v>
      </c>
      <c r="K1490" s="68">
        <f>-IFERROR(VLOOKUP(C1490,Gastos!$A$9:$J$1398,10,0),0)</f>
        <v>-271.60000000000002</v>
      </c>
      <c r="L1490" s="68">
        <f>-IFERROR(VLOOKUP(C1490,IDC!$A$20:$H$1596,8,0),0)</f>
        <v>-168</v>
      </c>
      <c r="M1490" s="74">
        <f t="shared" si="28"/>
        <v>28000</v>
      </c>
    </row>
    <row r="1491" spans="1:13" customFormat="1">
      <c r="A1491" t="s">
        <v>194</v>
      </c>
      <c r="B1491" t="s">
        <v>11</v>
      </c>
      <c r="C1491" s="51">
        <v>139475371877</v>
      </c>
      <c r="D1491" s="1">
        <v>7307.25</v>
      </c>
      <c r="E1491" s="1">
        <v>10685161.74</v>
      </c>
      <c r="F1491" t="s">
        <v>1280</v>
      </c>
      <c r="I1491" s="16">
        <f>-IFERROR(VLOOKUP(C1491,SIRCUPA!$A$21:$H$186,8,0),0)</f>
        <v>0</v>
      </c>
      <c r="J1491" s="68">
        <f>-IFERROR(VLOOKUP(C1491,SIRTAC!$A$16:$H$1405,8,0),0)</f>
        <v>-75</v>
      </c>
      <c r="K1491" s="68">
        <f>-IFERROR(VLOOKUP(C1491,Gastos!$A$9:$J$1398,10,0),0)</f>
        <v>-72.75</v>
      </c>
      <c r="L1491" s="68">
        <f>-IFERROR(VLOOKUP(C1491,IDC!$A$20:$H$1596,8,0),0)</f>
        <v>-45</v>
      </c>
      <c r="M1491" s="74">
        <f t="shared" si="28"/>
        <v>7500</v>
      </c>
    </row>
    <row r="1492" spans="1:13" customFormat="1">
      <c r="A1492" t="s">
        <v>194</v>
      </c>
      <c r="B1492" t="s">
        <v>11</v>
      </c>
      <c r="C1492" s="51">
        <v>139476022875</v>
      </c>
      <c r="D1492" s="1">
        <v>4676.6400000000003</v>
      </c>
      <c r="E1492" s="1">
        <v>10689838.380000001</v>
      </c>
      <c r="F1492" t="s">
        <v>1280</v>
      </c>
      <c r="I1492" s="16">
        <f>-IFERROR(VLOOKUP(C1492,SIRCUPA!$A$21:$H$186,8,0),0)</f>
        <v>0</v>
      </c>
      <c r="J1492" s="68">
        <f>-IFERROR(VLOOKUP(C1492,SIRTAC!$A$16:$H$1405,8,0),0)</f>
        <v>-48</v>
      </c>
      <c r="K1492" s="68">
        <f>-IFERROR(VLOOKUP(C1492,Gastos!$A$9:$J$1398,10,0),0)</f>
        <v>-46.56</v>
      </c>
      <c r="L1492" s="68">
        <f>-IFERROR(VLOOKUP(C1492,IDC!$A$20:$H$1596,8,0),0)</f>
        <v>-28.8</v>
      </c>
      <c r="M1492" s="74">
        <f t="shared" si="28"/>
        <v>4800.0000000000009</v>
      </c>
    </row>
    <row r="1493" spans="1:13" customFormat="1">
      <c r="A1493" t="s">
        <v>177</v>
      </c>
      <c r="B1493" t="s">
        <v>187</v>
      </c>
      <c r="C1493" s="51">
        <v>139187005321</v>
      </c>
      <c r="D1493">
        <v>979</v>
      </c>
      <c r="E1493" s="1">
        <v>16585797.699999999</v>
      </c>
      <c r="F1493" t="s">
        <v>1280</v>
      </c>
      <c r="I1493" s="16">
        <f>-IFERROR(VLOOKUP(C1493,SIRCUPA!$A$21:$H$186,8,0),0)</f>
        <v>-15</v>
      </c>
      <c r="J1493" s="68">
        <f>-IFERROR(VLOOKUP(C1493,SIRTAC!$A$16:$H$1405,8,0),0)</f>
        <v>0</v>
      </c>
      <c r="K1493" s="68">
        <f>-IFERROR(VLOOKUP(C1493,Gastos!$A$9:$J$1398,10,0),0)</f>
        <v>0</v>
      </c>
      <c r="L1493" s="68">
        <f>-IFERROR(VLOOKUP(C1493,IDC!$A$20:$H$1596,8,0),0)</f>
        <v>-6</v>
      </c>
      <c r="M1493" s="74">
        <f t="shared" si="28"/>
        <v>1000</v>
      </c>
    </row>
    <row r="1494" spans="1:13" customFormat="1">
      <c r="A1494" t="s">
        <v>194</v>
      </c>
      <c r="B1494" t="s">
        <v>11</v>
      </c>
      <c r="C1494" s="51">
        <v>139476163297</v>
      </c>
      <c r="D1494" s="1">
        <v>18386.3</v>
      </c>
      <c r="E1494" s="1">
        <v>10708459.640000001</v>
      </c>
      <c r="F1494" t="s">
        <v>1280</v>
      </c>
      <c r="I1494" s="16">
        <f>-IFERROR(VLOOKUP(C1494,SIRCUPA!$A$21:$H$186,8,0),0)</f>
        <v>0</v>
      </c>
      <c r="J1494" s="68">
        <f>-IFERROR(VLOOKUP(C1494,SIRTAC!$A$16:$H$1405,8,0),0)</f>
        <v>-190</v>
      </c>
      <c r="K1494" s="68">
        <f>-IFERROR(VLOOKUP(C1494,Gastos!$A$9:$J$1398,10,0),0)</f>
        <v>-309.7</v>
      </c>
      <c r="L1494" s="68">
        <f>-IFERROR(VLOOKUP(C1494,IDC!$A$20:$H$1596,8,0),0)</f>
        <v>-114</v>
      </c>
      <c r="M1494" s="74">
        <f t="shared" si="28"/>
        <v>19000</v>
      </c>
    </row>
    <row r="1495" spans="1:13" customFormat="1">
      <c r="A1495" t="s">
        <v>194</v>
      </c>
      <c r="B1495" t="s">
        <v>11</v>
      </c>
      <c r="C1495" s="51">
        <v>139476380341</v>
      </c>
      <c r="D1495" s="1">
        <v>14614.5</v>
      </c>
      <c r="E1495" s="1">
        <v>10723074.140000001</v>
      </c>
      <c r="F1495" t="s">
        <v>1280</v>
      </c>
      <c r="I1495" s="16">
        <f>-IFERROR(VLOOKUP(C1495,SIRCUPA!$A$21:$H$186,8,0),0)</f>
        <v>0</v>
      </c>
      <c r="J1495" s="68">
        <f>-IFERROR(VLOOKUP(C1495,SIRTAC!$A$16:$H$1405,8,0),0)</f>
        <v>-150</v>
      </c>
      <c r="K1495" s="68">
        <f>-IFERROR(VLOOKUP(C1495,Gastos!$A$9:$J$1398,10,0),0)</f>
        <v>-145.5</v>
      </c>
      <c r="L1495" s="68">
        <f>-IFERROR(VLOOKUP(C1495,IDC!$A$20:$H$1596,8,0),0)</f>
        <v>-90</v>
      </c>
      <c r="M1495" s="74">
        <f t="shared" si="28"/>
        <v>15000</v>
      </c>
    </row>
    <row r="1496" spans="1:13" customFormat="1">
      <c r="A1496" t="s">
        <v>194</v>
      </c>
      <c r="B1496" t="s">
        <v>11</v>
      </c>
      <c r="C1496" s="51">
        <v>139476781595</v>
      </c>
      <c r="D1496" s="1">
        <v>9743</v>
      </c>
      <c r="E1496" s="1">
        <v>10732817.140000001</v>
      </c>
      <c r="F1496" t="s">
        <v>1280</v>
      </c>
      <c r="I1496" s="16">
        <f>-IFERROR(VLOOKUP(C1496,SIRCUPA!$A$21:$H$186,8,0),0)</f>
        <v>0</v>
      </c>
      <c r="J1496" s="68">
        <f>-IFERROR(VLOOKUP(C1496,SIRTAC!$A$16:$H$1405,8,0),0)</f>
        <v>-100</v>
      </c>
      <c r="K1496" s="68">
        <f>-IFERROR(VLOOKUP(C1496,Gastos!$A$9:$J$1398,10,0),0)</f>
        <v>-97</v>
      </c>
      <c r="L1496" s="68">
        <f>-IFERROR(VLOOKUP(C1496,IDC!$A$20:$H$1596,8,0),0)</f>
        <v>-60</v>
      </c>
      <c r="M1496" s="74">
        <f t="shared" si="28"/>
        <v>10000</v>
      </c>
    </row>
    <row r="1497" spans="1:13" customFormat="1">
      <c r="A1497" t="s">
        <v>188</v>
      </c>
      <c r="B1497" t="s">
        <v>189</v>
      </c>
      <c r="C1497" s="51">
        <v>139188337731</v>
      </c>
      <c r="D1497" s="1">
        <v>5550.93</v>
      </c>
      <c r="E1497" s="1">
        <v>16693798.59</v>
      </c>
      <c r="F1497" t="s">
        <v>1280</v>
      </c>
      <c r="I1497" s="16">
        <f>-IFERROR(VLOOKUP(C1497,SIRCUPA!$A$21:$H$186,8,0),0)</f>
        <v>-85.05</v>
      </c>
      <c r="J1497" s="68">
        <f>-IFERROR(VLOOKUP(C1497,SIRTAC!$A$16:$H$1405,8,0),0)</f>
        <v>0</v>
      </c>
      <c r="K1497" s="68">
        <f>-IFERROR(VLOOKUP(C1497,Gastos!$A$9:$J$1398,10,0),0)</f>
        <v>0</v>
      </c>
      <c r="L1497" s="68">
        <f>-IFERROR(VLOOKUP(C1497,IDC!$A$20:$H$1596,8,0),0)</f>
        <v>-34.020000000000003</v>
      </c>
      <c r="M1497" s="74">
        <f t="shared" si="28"/>
        <v>5670.0000000000009</v>
      </c>
    </row>
    <row r="1498" spans="1:13" customFormat="1">
      <c r="A1498" t="s">
        <v>194</v>
      </c>
      <c r="B1498" t="s">
        <v>11</v>
      </c>
      <c r="C1498" s="51">
        <v>140124952752</v>
      </c>
      <c r="D1498" s="1">
        <v>31080.17</v>
      </c>
      <c r="E1498" s="1">
        <v>10764386.810000001</v>
      </c>
      <c r="F1498" t="s">
        <v>1280</v>
      </c>
      <c r="I1498" s="16">
        <f>-IFERROR(VLOOKUP(C1498,SIRCUPA!$A$21:$H$186,8,0),0)</f>
        <v>0</v>
      </c>
      <c r="J1498" s="68">
        <f>-IFERROR(VLOOKUP(C1498,SIRTAC!$A$16:$H$1405,8,0),0)</f>
        <v>-319</v>
      </c>
      <c r="K1498" s="68">
        <f>-IFERROR(VLOOKUP(C1498,Gastos!$A$9:$J$1398,10,0),0)</f>
        <v>-309.43</v>
      </c>
      <c r="L1498" s="68">
        <f>-IFERROR(VLOOKUP(C1498,IDC!$A$20:$H$1596,8,0),0)</f>
        <v>-191.4</v>
      </c>
      <c r="M1498" s="74">
        <f t="shared" si="28"/>
        <v>31900</v>
      </c>
    </row>
    <row r="1499" spans="1:13" customFormat="1">
      <c r="A1499" t="s">
        <v>188</v>
      </c>
      <c r="B1499" t="s">
        <v>190</v>
      </c>
      <c r="C1499" s="51">
        <v>139835864462</v>
      </c>
      <c r="D1499" s="1">
        <v>5315.97</v>
      </c>
      <c r="E1499" s="1">
        <v>16752019.050000001</v>
      </c>
      <c r="F1499" t="s">
        <v>1280</v>
      </c>
      <c r="I1499" s="16">
        <f>-IFERROR(VLOOKUP(C1499,SIRCUPA!$A$21:$H$186,8,0),0)</f>
        <v>-81.45</v>
      </c>
      <c r="J1499" s="68">
        <f>-IFERROR(VLOOKUP(C1499,SIRTAC!$A$16:$H$1405,8,0),0)</f>
        <v>0</v>
      </c>
      <c r="K1499" s="68">
        <f>-IFERROR(VLOOKUP(C1499,Gastos!$A$9:$J$1398,10,0),0)</f>
        <v>0</v>
      </c>
      <c r="L1499" s="68">
        <f>-IFERROR(VLOOKUP(C1499,IDC!$A$20:$H$1596,8,0),0)</f>
        <v>-32.58</v>
      </c>
      <c r="M1499" s="74">
        <f t="shared" si="28"/>
        <v>5430</v>
      </c>
    </row>
    <row r="1500" spans="1:13" customFormat="1">
      <c r="A1500" t="s">
        <v>194</v>
      </c>
      <c r="B1500" t="s">
        <v>11</v>
      </c>
      <c r="C1500" s="51">
        <v>140125689836</v>
      </c>
      <c r="D1500" s="1">
        <v>7557.6</v>
      </c>
      <c r="E1500" s="1">
        <v>10775067.42</v>
      </c>
      <c r="F1500" t="s">
        <v>1280</v>
      </c>
      <c r="I1500" s="16">
        <f>-IFERROR(VLOOKUP(C1500,SIRCUPA!$A$21:$H$186,8,0),0)</f>
        <v>0</v>
      </c>
      <c r="J1500" s="68">
        <f>-IFERROR(VLOOKUP(C1500,SIRTAC!$A$16:$H$1405,8,0),0)</f>
        <v>-80</v>
      </c>
      <c r="K1500" s="68">
        <f>-IFERROR(VLOOKUP(C1500,Gastos!$A$9:$J$1398,10,0),0)</f>
        <v>-314.39999999999998</v>
      </c>
      <c r="L1500" s="68">
        <f>-IFERROR(VLOOKUP(C1500,IDC!$A$20:$H$1596,8,0),0)</f>
        <v>-48</v>
      </c>
      <c r="M1500" s="74">
        <f t="shared" si="28"/>
        <v>8000</v>
      </c>
    </row>
    <row r="1501" spans="1:13" customFormat="1">
      <c r="A1501" t="s">
        <v>188</v>
      </c>
      <c r="B1501" t="s">
        <v>191</v>
      </c>
      <c r="C1501" s="51">
        <v>139836327732</v>
      </c>
      <c r="D1501" s="1">
        <v>3739.78</v>
      </c>
      <c r="E1501" s="1">
        <v>16792977.09</v>
      </c>
      <c r="F1501" t="s">
        <v>1280</v>
      </c>
      <c r="I1501" s="16">
        <f>-IFERROR(VLOOKUP(C1501,SIRCUPA!$A$21:$H$186,8,0),0)</f>
        <v>-57.3</v>
      </c>
      <c r="J1501" s="68">
        <f>-IFERROR(VLOOKUP(C1501,SIRTAC!$A$16:$H$1405,8,0),0)</f>
        <v>0</v>
      </c>
      <c r="K1501" s="68">
        <f>-IFERROR(VLOOKUP(C1501,Gastos!$A$9:$J$1398,10,0),0)</f>
        <v>0</v>
      </c>
      <c r="L1501" s="68">
        <f>-IFERROR(VLOOKUP(C1501,IDC!$A$20:$H$1596,8,0),0)</f>
        <v>-22.92</v>
      </c>
      <c r="M1501" s="74">
        <f t="shared" si="28"/>
        <v>3820.0000000000005</v>
      </c>
    </row>
    <row r="1502" spans="1:13" customFormat="1">
      <c r="A1502" t="s">
        <v>194</v>
      </c>
      <c r="B1502" t="s">
        <v>11</v>
      </c>
      <c r="C1502" s="51">
        <v>139478121971</v>
      </c>
      <c r="D1502" s="1">
        <v>7112.39</v>
      </c>
      <c r="E1502" s="1">
        <v>10782179.810000001</v>
      </c>
      <c r="F1502" t="s">
        <v>1280</v>
      </c>
      <c r="I1502" s="16">
        <f>-IFERROR(VLOOKUP(C1502,SIRCUPA!$A$21:$H$186,8,0),0)</f>
        <v>0</v>
      </c>
      <c r="J1502" s="68">
        <f>-IFERROR(VLOOKUP(C1502,SIRTAC!$A$16:$H$1405,8,0),0)</f>
        <v>-73</v>
      </c>
      <c r="K1502" s="68">
        <f>-IFERROR(VLOOKUP(C1502,Gastos!$A$9:$J$1398,10,0),0)</f>
        <v>-70.81</v>
      </c>
      <c r="L1502" s="68">
        <f>-IFERROR(VLOOKUP(C1502,IDC!$A$20:$H$1596,8,0),0)</f>
        <v>-43.8</v>
      </c>
      <c r="M1502" s="74">
        <f t="shared" si="28"/>
        <v>7300.0000000000009</v>
      </c>
    </row>
    <row r="1503" spans="1:13" customFormat="1">
      <c r="A1503" t="s">
        <v>188</v>
      </c>
      <c r="B1503" t="s">
        <v>192</v>
      </c>
      <c r="C1503" s="51">
        <v>139836544342</v>
      </c>
      <c r="D1503" s="1">
        <v>1997.16</v>
      </c>
      <c r="E1503" s="1">
        <v>16834725.690000001</v>
      </c>
      <c r="F1503" t="s">
        <v>1280</v>
      </c>
      <c r="I1503" s="16">
        <f>-IFERROR(VLOOKUP(C1503,SIRCUPA!$A$21:$H$186,8,0),0)</f>
        <v>-30.6</v>
      </c>
      <c r="J1503" s="68">
        <f>-IFERROR(VLOOKUP(C1503,SIRTAC!$A$16:$H$1405,8,0),0)</f>
        <v>0</v>
      </c>
      <c r="K1503" s="68">
        <f>-IFERROR(VLOOKUP(C1503,Gastos!$A$9:$J$1398,10,0),0)</f>
        <v>0</v>
      </c>
      <c r="L1503" s="68">
        <f>-IFERROR(VLOOKUP(C1503,IDC!$A$20:$H$1596,8,0),0)</f>
        <v>-12.24</v>
      </c>
      <c r="M1503" s="74">
        <f t="shared" si="28"/>
        <v>2040</v>
      </c>
    </row>
    <row r="1504" spans="1:13" customFormat="1">
      <c r="A1504" t="s">
        <v>194</v>
      </c>
      <c r="B1504" t="s">
        <v>11</v>
      </c>
      <c r="C1504" s="51">
        <v>140126690492</v>
      </c>
      <c r="D1504" s="1">
        <v>7307.25</v>
      </c>
      <c r="E1504" s="1">
        <v>10789487.060000001</v>
      </c>
      <c r="F1504" t="s">
        <v>1280</v>
      </c>
      <c r="I1504" s="16">
        <f>-IFERROR(VLOOKUP(C1504,SIRCUPA!$A$21:$H$186,8,0),0)</f>
        <v>0</v>
      </c>
      <c r="J1504" s="68">
        <f>-IFERROR(VLOOKUP(C1504,SIRTAC!$A$16:$H$1405,8,0),0)</f>
        <v>-75</v>
      </c>
      <c r="K1504" s="68">
        <f>-IFERROR(VLOOKUP(C1504,Gastos!$A$9:$J$1398,10,0),0)</f>
        <v>-72.75</v>
      </c>
      <c r="L1504" s="68">
        <f>-IFERROR(VLOOKUP(C1504,IDC!$A$20:$H$1596,8,0),0)</f>
        <v>-45</v>
      </c>
      <c r="M1504" s="74">
        <f t="shared" si="28"/>
        <v>7500</v>
      </c>
    </row>
    <row r="1505" spans="1:13" customFormat="1">
      <c r="A1505" t="s">
        <v>194</v>
      </c>
      <c r="B1505" t="s">
        <v>11</v>
      </c>
      <c r="C1505" s="51">
        <v>139478863041</v>
      </c>
      <c r="D1505" s="1">
        <v>46863.83</v>
      </c>
      <c r="E1505" s="1">
        <v>10836718.01</v>
      </c>
      <c r="F1505" t="s">
        <v>1280</v>
      </c>
      <c r="I1505" s="16">
        <f>-IFERROR(VLOOKUP(C1505,SIRCUPA!$A$21:$H$186,8,0),0)</f>
        <v>0</v>
      </c>
      <c r="J1505" s="68">
        <f>-IFERROR(VLOOKUP(C1505,SIRTAC!$A$16:$H$1405,8,0),0)</f>
        <v>-481</v>
      </c>
      <c r="K1505" s="68">
        <f>-IFERROR(VLOOKUP(C1505,Gastos!$A$9:$J$1398,10,0),0)</f>
        <v>-466.57</v>
      </c>
      <c r="L1505" s="68">
        <f>-IFERROR(VLOOKUP(C1505,IDC!$A$20:$H$1596,8,0),0)</f>
        <v>-288.60000000000002</v>
      </c>
      <c r="M1505" s="74">
        <f t="shared" si="28"/>
        <v>48100</v>
      </c>
    </row>
    <row r="1506" spans="1:13" customFormat="1">
      <c r="A1506" t="s">
        <v>188</v>
      </c>
      <c r="B1506" t="s">
        <v>193</v>
      </c>
      <c r="C1506" s="51">
        <v>139836791360</v>
      </c>
      <c r="D1506" s="1">
        <v>1958</v>
      </c>
      <c r="E1506" s="1">
        <v>16904787.260000002</v>
      </c>
      <c r="F1506" t="s">
        <v>1280</v>
      </c>
      <c r="I1506" s="16">
        <f>-IFERROR(VLOOKUP(C1506,SIRCUPA!$A$21:$H$186,8,0),0)</f>
        <v>-30</v>
      </c>
      <c r="J1506" s="68">
        <f>-IFERROR(VLOOKUP(C1506,SIRTAC!$A$16:$H$1405,8,0),0)</f>
        <v>0</v>
      </c>
      <c r="K1506" s="68">
        <f>-IFERROR(VLOOKUP(C1506,Gastos!$A$9:$J$1398,10,0),0)</f>
        <v>0</v>
      </c>
      <c r="L1506" s="68">
        <f>-IFERROR(VLOOKUP(C1506,IDC!$A$20:$H$1596,8,0),0)</f>
        <v>-12</v>
      </c>
      <c r="M1506" s="74">
        <f t="shared" si="28"/>
        <v>2000</v>
      </c>
    </row>
    <row r="1507" spans="1:13" customFormat="1">
      <c r="A1507" t="s">
        <v>194</v>
      </c>
      <c r="B1507" t="s">
        <v>11</v>
      </c>
      <c r="C1507" s="51">
        <v>140126955086</v>
      </c>
      <c r="D1507" s="1">
        <v>40628.31</v>
      </c>
      <c r="E1507" s="1">
        <v>10877346.32</v>
      </c>
      <c r="F1507" t="s">
        <v>1280</v>
      </c>
      <c r="I1507" s="16">
        <f>-IFERROR(VLOOKUP(C1507,SIRCUPA!$A$21:$H$186,8,0),0)</f>
        <v>0</v>
      </c>
      <c r="J1507" s="68">
        <f>-IFERROR(VLOOKUP(C1507,SIRTAC!$A$16:$H$1405,8,0),0)</f>
        <v>-417</v>
      </c>
      <c r="K1507" s="68">
        <f>-IFERROR(VLOOKUP(C1507,Gastos!$A$9:$J$1398,10,0),0)</f>
        <v>-404.49</v>
      </c>
      <c r="L1507" s="68">
        <f>-IFERROR(VLOOKUP(C1507,IDC!$A$20:$H$1596,8,0),0)</f>
        <v>-250.2</v>
      </c>
      <c r="M1507" s="74">
        <f t="shared" si="28"/>
        <v>41699.999999999993</v>
      </c>
    </row>
    <row r="1508" spans="1:13" customFormat="1">
      <c r="A1508" t="s">
        <v>194</v>
      </c>
      <c r="B1508" t="s">
        <v>11</v>
      </c>
      <c r="C1508" s="51">
        <v>139479170537</v>
      </c>
      <c r="D1508" s="1">
        <v>30410.639999999999</v>
      </c>
      <c r="E1508" s="1">
        <v>10907756.960000001</v>
      </c>
      <c r="F1508" t="s">
        <v>1280</v>
      </c>
      <c r="I1508" s="16">
        <f>-IFERROR(VLOOKUP(C1508,SIRCUPA!$A$21:$H$186,8,0),0)</f>
        <v>0</v>
      </c>
      <c r="J1508" s="68">
        <f>-IFERROR(VLOOKUP(C1508,SIRTAC!$A$16:$H$1405,8,0),0)</f>
        <v>-324</v>
      </c>
      <c r="K1508" s="68">
        <f>-IFERROR(VLOOKUP(C1508,Gastos!$A$9:$J$1398,10,0),0)</f>
        <v>-1470.96</v>
      </c>
      <c r="L1508" s="68">
        <f>-IFERROR(VLOOKUP(C1508,IDC!$A$20:$H$1596,8,0),0)</f>
        <v>-194.4</v>
      </c>
      <c r="M1508" s="74">
        <f t="shared" si="28"/>
        <v>32400</v>
      </c>
    </row>
    <row r="1509" spans="1:13" customFormat="1">
      <c r="A1509" t="s">
        <v>194</v>
      </c>
      <c r="B1509" t="s">
        <v>11</v>
      </c>
      <c r="C1509" s="51">
        <v>140127339266</v>
      </c>
      <c r="D1509" s="1">
        <v>4505.28</v>
      </c>
      <c r="E1509" s="1">
        <v>10912262.24</v>
      </c>
      <c r="F1509" t="s">
        <v>1280</v>
      </c>
      <c r="I1509" s="16">
        <f>-IFERROR(VLOOKUP(C1509,SIRCUPA!$A$21:$H$186,8,0),0)</f>
        <v>0</v>
      </c>
      <c r="J1509" s="68">
        <f>-IFERROR(VLOOKUP(C1509,SIRTAC!$A$16:$H$1405,8,0),0)</f>
        <v>-48</v>
      </c>
      <c r="K1509" s="68">
        <f>-IFERROR(VLOOKUP(C1509,Gastos!$A$9:$J$1398,10,0),0)</f>
        <v>-217.92</v>
      </c>
      <c r="L1509" s="68">
        <f>-IFERROR(VLOOKUP(C1509,IDC!$A$20:$H$1596,8,0),0)</f>
        <v>-28.8</v>
      </c>
      <c r="M1509" s="74">
        <f t="shared" si="28"/>
        <v>4800</v>
      </c>
    </row>
    <row r="1510" spans="1:13" customFormat="1">
      <c r="A1510" t="s">
        <v>202</v>
      </c>
      <c r="B1510" t="s">
        <v>11</v>
      </c>
      <c r="C1510" s="51">
        <v>140128375658</v>
      </c>
      <c r="D1510" s="1">
        <v>8378.98</v>
      </c>
      <c r="E1510" s="1">
        <v>10920641.220000001</v>
      </c>
      <c r="F1510" t="s">
        <v>1280</v>
      </c>
      <c r="I1510" s="16">
        <f>-IFERROR(VLOOKUP(C1510,SIRCUPA!$A$21:$H$186,8,0),0)</f>
        <v>0</v>
      </c>
      <c r="J1510" s="68">
        <f>-IFERROR(VLOOKUP(C1510,SIRTAC!$A$16:$H$1405,8,0),0)</f>
        <v>-86</v>
      </c>
      <c r="K1510" s="68">
        <f>-IFERROR(VLOOKUP(C1510,Gastos!$A$9:$J$1398,10,0),0)</f>
        <v>-83.42</v>
      </c>
      <c r="L1510" s="68">
        <f>-IFERROR(VLOOKUP(C1510,IDC!$A$20:$H$1596,8,0),0)</f>
        <v>-51.6</v>
      </c>
      <c r="M1510" s="74">
        <f t="shared" si="28"/>
        <v>8600</v>
      </c>
    </row>
    <row r="1511" spans="1:13" customFormat="1">
      <c r="A1511" t="s">
        <v>202</v>
      </c>
      <c r="B1511" t="s">
        <v>11</v>
      </c>
      <c r="C1511" s="51">
        <v>139480783565</v>
      </c>
      <c r="D1511" s="1">
        <v>9743</v>
      </c>
      <c r="E1511" s="1">
        <v>10930384.220000001</v>
      </c>
      <c r="F1511" t="s">
        <v>1280</v>
      </c>
      <c r="I1511" s="16">
        <f>-IFERROR(VLOOKUP(C1511,SIRCUPA!$A$21:$H$186,8,0),0)</f>
        <v>0</v>
      </c>
      <c r="J1511" s="68">
        <f>-IFERROR(VLOOKUP(C1511,SIRTAC!$A$16:$H$1405,8,0),0)</f>
        <v>-100</v>
      </c>
      <c r="K1511" s="68">
        <f>-IFERROR(VLOOKUP(C1511,Gastos!$A$9:$J$1398,10,0),0)</f>
        <v>-97</v>
      </c>
      <c r="L1511" s="68">
        <f>-IFERROR(VLOOKUP(C1511,IDC!$A$20:$H$1596,8,0),0)</f>
        <v>-60</v>
      </c>
      <c r="M1511" s="74">
        <f t="shared" si="28"/>
        <v>10000</v>
      </c>
    </row>
    <row r="1512" spans="1:13" customFormat="1">
      <c r="A1512" t="s">
        <v>202</v>
      </c>
      <c r="B1512" t="s">
        <v>11</v>
      </c>
      <c r="C1512" s="51">
        <v>140129124980</v>
      </c>
      <c r="D1512" s="1">
        <v>10391.700000000001</v>
      </c>
      <c r="E1512" s="1">
        <v>10941265.42</v>
      </c>
      <c r="F1512" t="s">
        <v>1280</v>
      </c>
      <c r="I1512" s="16">
        <f>-IFERROR(VLOOKUP(C1512,SIRCUPA!$A$21:$H$186,8,0),0)</f>
        <v>0</v>
      </c>
      <c r="J1512" s="68">
        <f>-IFERROR(VLOOKUP(C1512,SIRTAC!$A$16:$H$1405,8,0),0)</f>
        <v>-110</v>
      </c>
      <c r="K1512" s="68">
        <f>-IFERROR(VLOOKUP(C1512,Gastos!$A$9:$J$1398,10,0),0)</f>
        <v>-432.3</v>
      </c>
      <c r="L1512" s="68">
        <f>-IFERROR(VLOOKUP(C1512,IDC!$A$20:$H$1596,8,0),0)</f>
        <v>-66</v>
      </c>
      <c r="M1512" s="74">
        <f t="shared" ref="M1512:M1565" si="29">+D1512-I1512-J1512-K1512-L1512</f>
        <v>11000</v>
      </c>
    </row>
    <row r="1513" spans="1:13" customFormat="1">
      <c r="A1513" t="s">
        <v>202</v>
      </c>
      <c r="B1513" t="s">
        <v>11</v>
      </c>
      <c r="C1513" s="51">
        <v>139481099341</v>
      </c>
      <c r="D1513" s="1">
        <v>4723.5</v>
      </c>
      <c r="E1513" s="1">
        <v>10945988.92</v>
      </c>
      <c r="F1513" t="s">
        <v>1280</v>
      </c>
      <c r="I1513" s="16">
        <f>-IFERROR(VLOOKUP(C1513,SIRCUPA!$A$21:$H$186,8,0),0)</f>
        <v>0</v>
      </c>
      <c r="J1513" s="68">
        <f>-IFERROR(VLOOKUP(C1513,SIRTAC!$A$16:$H$1405,8,0),0)</f>
        <v>-50</v>
      </c>
      <c r="K1513" s="68">
        <f>-IFERROR(VLOOKUP(C1513,Gastos!$A$9:$J$1398,10,0),0)</f>
        <v>-196.5</v>
      </c>
      <c r="L1513" s="68">
        <f>-IFERROR(VLOOKUP(C1513,IDC!$A$20:$H$1596,8,0),0)</f>
        <v>-30</v>
      </c>
      <c r="M1513" s="74">
        <f t="shared" si="29"/>
        <v>5000</v>
      </c>
    </row>
    <row r="1514" spans="1:13" customFormat="1">
      <c r="A1514" t="s">
        <v>202</v>
      </c>
      <c r="B1514" t="s">
        <v>11</v>
      </c>
      <c r="C1514" s="51">
        <v>140129225334</v>
      </c>
      <c r="D1514" s="1">
        <v>4723.5</v>
      </c>
      <c r="E1514" s="1">
        <v>10950712.42</v>
      </c>
      <c r="F1514" t="s">
        <v>1280</v>
      </c>
      <c r="I1514" s="16">
        <f>-IFERROR(VLOOKUP(C1514,SIRCUPA!$A$21:$H$186,8,0),0)</f>
        <v>0</v>
      </c>
      <c r="J1514" s="68">
        <f>-IFERROR(VLOOKUP(C1514,SIRTAC!$A$16:$H$1405,8,0),0)</f>
        <v>-50</v>
      </c>
      <c r="K1514" s="68">
        <f>-IFERROR(VLOOKUP(C1514,Gastos!$A$9:$J$1398,10,0),0)</f>
        <v>-196.5</v>
      </c>
      <c r="L1514" s="68">
        <f>-IFERROR(VLOOKUP(C1514,IDC!$A$20:$H$1596,8,0),0)</f>
        <v>-30</v>
      </c>
      <c r="M1514" s="74">
        <f t="shared" si="29"/>
        <v>5000</v>
      </c>
    </row>
    <row r="1515" spans="1:13" customFormat="1">
      <c r="A1515" t="s">
        <v>202</v>
      </c>
      <c r="B1515" t="s">
        <v>11</v>
      </c>
      <c r="C1515" s="51">
        <v>140129793484</v>
      </c>
      <c r="D1515" s="1">
        <v>7696.97</v>
      </c>
      <c r="E1515" s="1">
        <v>10958409.390000001</v>
      </c>
      <c r="F1515" t="s">
        <v>1280</v>
      </c>
      <c r="I1515" s="16">
        <f>-IFERROR(VLOOKUP(C1515,SIRCUPA!$A$21:$H$186,8,0),0)</f>
        <v>0</v>
      </c>
      <c r="J1515" s="68">
        <f>-IFERROR(VLOOKUP(C1515,SIRTAC!$A$16:$H$1405,8,0),0)</f>
        <v>-79</v>
      </c>
      <c r="K1515" s="68">
        <f>-IFERROR(VLOOKUP(C1515,Gastos!$A$9:$J$1398,10,0),0)</f>
        <v>-76.63</v>
      </c>
      <c r="L1515" s="68">
        <f>-IFERROR(VLOOKUP(C1515,IDC!$A$20:$H$1596,8,0),0)</f>
        <v>-47.4</v>
      </c>
      <c r="M1515" s="74">
        <f t="shared" si="29"/>
        <v>7900</v>
      </c>
    </row>
    <row r="1516" spans="1:13" customFormat="1">
      <c r="A1516" t="s">
        <v>202</v>
      </c>
      <c r="B1516" t="s">
        <v>11</v>
      </c>
      <c r="C1516" s="51">
        <v>139482482409</v>
      </c>
      <c r="D1516" s="1">
        <v>4871.5</v>
      </c>
      <c r="E1516" s="1">
        <v>10963667.59</v>
      </c>
      <c r="F1516" t="s">
        <v>1280</v>
      </c>
      <c r="I1516" s="16">
        <f>-IFERROR(VLOOKUP(C1516,SIRCUPA!$A$21:$H$186,8,0),0)</f>
        <v>0</v>
      </c>
      <c r="J1516" s="68">
        <f>-IFERROR(VLOOKUP(C1516,SIRTAC!$A$16:$H$1405,8,0),0)</f>
        <v>-50</v>
      </c>
      <c r="K1516" s="68">
        <f>-IFERROR(VLOOKUP(C1516,Gastos!$A$9:$J$1398,10,0),0)</f>
        <v>-48.5</v>
      </c>
      <c r="L1516" s="68">
        <f>-IFERROR(VLOOKUP(C1516,IDC!$A$20:$H$1596,8,0),0)</f>
        <v>-30</v>
      </c>
      <c r="M1516" s="74">
        <f t="shared" si="29"/>
        <v>5000</v>
      </c>
    </row>
    <row r="1517" spans="1:13" customFormat="1">
      <c r="A1517" t="s">
        <v>194</v>
      </c>
      <c r="B1517" t="s">
        <v>195</v>
      </c>
      <c r="C1517" s="51">
        <v>139427737813</v>
      </c>
      <c r="D1517" s="1">
        <v>39160</v>
      </c>
      <c r="E1517" s="1">
        <v>10216573.859999999</v>
      </c>
      <c r="F1517" t="s">
        <v>1280</v>
      </c>
      <c r="I1517" s="16">
        <f>-IFERROR(VLOOKUP(C1517,SIRCUPA!$A$21:$H$186,8,0),0)</f>
        <v>-600</v>
      </c>
      <c r="J1517" s="68">
        <f>-IFERROR(VLOOKUP(C1517,SIRTAC!$A$16:$H$1405,8,0),0)</f>
        <v>0</v>
      </c>
      <c r="K1517" s="68">
        <f>-IFERROR(VLOOKUP(C1517,Gastos!$A$9:$J$1398,10,0),0)</f>
        <v>0</v>
      </c>
      <c r="L1517" s="68">
        <f>-IFERROR(VLOOKUP(C1517,IDC!$A$20:$H$1596,8,0),0)</f>
        <v>-240</v>
      </c>
      <c r="M1517" s="74">
        <f t="shared" si="29"/>
        <v>40000</v>
      </c>
    </row>
    <row r="1518" spans="1:13" customFormat="1">
      <c r="A1518" t="s">
        <v>202</v>
      </c>
      <c r="B1518" t="s">
        <v>11</v>
      </c>
      <c r="C1518" s="51">
        <v>139482363759</v>
      </c>
      <c r="D1518" s="1">
        <v>5358.65</v>
      </c>
      <c r="E1518" s="1">
        <v>10969026.24</v>
      </c>
      <c r="F1518" t="s">
        <v>1280</v>
      </c>
      <c r="I1518" s="16">
        <f>-IFERROR(VLOOKUP(C1518,SIRCUPA!$A$21:$H$186,8,0),0)</f>
        <v>0</v>
      </c>
      <c r="J1518" s="68">
        <f>-IFERROR(VLOOKUP(C1518,SIRTAC!$A$16:$H$1405,8,0),0)</f>
        <v>-55</v>
      </c>
      <c r="K1518" s="68">
        <f>-IFERROR(VLOOKUP(C1518,Gastos!$A$9:$J$1398,10,0),0)</f>
        <v>-53.35</v>
      </c>
      <c r="L1518" s="68">
        <f>-IFERROR(VLOOKUP(C1518,IDC!$A$20:$H$1596,8,0),0)</f>
        <v>-33</v>
      </c>
      <c r="M1518" s="74">
        <f t="shared" si="29"/>
        <v>5500</v>
      </c>
    </row>
    <row r="1519" spans="1:13" customFormat="1">
      <c r="A1519" t="s">
        <v>202</v>
      </c>
      <c r="B1519" t="s">
        <v>11</v>
      </c>
      <c r="C1519" s="51">
        <v>140130674408</v>
      </c>
      <c r="D1519" s="1">
        <v>4774.07</v>
      </c>
      <c r="E1519" s="1">
        <v>10973800.310000001</v>
      </c>
      <c r="F1519" t="s">
        <v>1280</v>
      </c>
      <c r="I1519" s="16">
        <f>-IFERROR(VLOOKUP(C1519,SIRCUPA!$A$21:$H$186,8,0),0)</f>
        <v>0</v>
      </c>
      <c r="J1519" s="68">
        <f>-IFERROR(VLOOKUP(C1519,SIRTAC!$A$16:$H$1405,8,0),0)</f>
        <v>-49</v>
      </c>
      <c r="K1519" s="68">
        <f>-IFERROR(VLOOKUP(C1519,Gastos!$A$9:$J$1398,10,0),0)</f>
        <v>-47.53</v>
      </c>
      <c r="L1519" s="68">
        <f>-IFERROR(VLOOKUP(C1519,IDC!$A$20:$H$1596,8,0),0)</f>
        <v>-29.4</v>
      </c>
      <c r="M1519" s="74">
        <f t="shared" si="29"/>
        <v>4899.9999999999991</v>
      </c>
    </row>
    <row r="1520" spans="1:13" customFormat="1">
      <c r="A1520" t="s">
        <v>202</v>
      </c>
      <c r="B1520" t="s">
        <v>11</v>
      </c>
      <c r="C1520" s="51">
        <v>139483078587</v>
      </c>
      <c r="D1520" s="1">
        <v>23050.68</v>
      </c>
      <c r="E1520" s="1">
        <v>10996850.99</v>
      </c>
      <c r="F1520" t="s">
        <v>1280</v>
      </c>
      <c r="I1520" s="16">
        <f>-IFERROR(VLOOKUP(C1520,SIRCUPA!$A$21:$H$186,8,0),0)</f>
        <v>0</v>
      </c>
      <c r="J1520" s="68">
        <f>-IFERROR(VLOOKUP(C1520,SIRTAC!$A$16:$H$1405,8,0),0)</f>
        <v>-244</v>
      </c>
      <c r="K1520" s="68">
        <f>-IFERROR(VLOOKUP(C1520,Gastos!$A$9:$J$1398,10,0),0)</f>
        <v>-958.92</v>
      </c>
      <c r="L1520" s="68">
        <f>-IFERROR(VLOOKUP(C1520,IDC!$A$20:$H$1596,8,0),0)</f>
        <v>-146.4</v>
      </c>
      <c r="M1520" s="74">
        <f t="shared" si="29"/>
        <v>24400</v>
      </c>
    </row>
    <row r="1521" spans="1:13" customFormat="1">
      <c r="A1521" t="s">
        <v>202</v>
      </c>
      <c r="B1521" t="s">
        <v>11</v>
      </c>
      <c r="C1521" s="51">
        <v>139483146433</v>
      </c>
      <c r="D1521" s="1">
        <v>47058.69</v>
      </c>
      <c r="E1521" s="1">
        <v>11043909.68</v>
      </c>
      <c r="F1521" t="s">
        <v>1280</v>
      </c>
      <c r="I1521" s="16">
        <f>-IFERROR(VLOOKUP(C1521,SIRCUPA!$A$21:$H$186,8,0),0)</f>
        <v>0</v>
      </c>
      <c r="J1521" s="68">
        <f>-IFERROR(VLOOKUP(C1521,SIRTAC!$A$16:$H$1405,8,0),0)</f>
        <v>-483</v>
      </c>
      <c r="K1521" s="68">
        <f>-IFERROR(VLOOKUP(C1521,Gastos!$A$9:$J$1398,10,0),0)</f>
        <v>-468.51</v>
      </c>
      <c r="L1521" s="68">
        <f>-IFERROR(VLOOKUP(C1521,IDC!$A$20:$H$1596,8,0),0)</f>
        <v>-289.8</v>
      </c>
      <c r="M1521" s="74">
        <f t="shared" si="29"/>
        <v>48300.000000000007</v>
      </c>
    </row>
    <row r="1522" spans="1:13" customFormat="1">
      <c r="A1522" t="s">
        <v>202</v>
      </c>
      <c r="B1522" t="s">
        <v>11</v>
      </c>
      <c r="C1522" s="51">
        <v>139483278643</v>
      </c>
      <c r="D1522" s="1">
        <v>7039.5</v>
      </c>
      <c r="E1522" s="1">
        <v>11053313.460000001</v>
      </c>
      <c r="F1522" t="s">
        <v>1280</v>
      </c>
      <c r="I1522" s="16">
        <f>-IFERROR(VLOOKUP(C1522,SIRCUPA!$A$21:$H$186,8,0),0)</f>
        <v>0</v>
      </c>
      <c r="J1522" s="68">
        <f>-IFERROR(VLOOKUP(C1522,SIRTAC!$A$16:$H$1405,8,0),0)</f>
        <v>-75</v>
      </c>
      <c r="K1522" s="68">
        <f>-IFERROR(VLOOKUP(C1522,Gastos!$A$9:$J$1398,10,0),0)</f>
        <v>-340.5</v>
      </c>
      <c r="L1522" s="68">
        <f>-IFERROR(VLOOKUP(C1522,IDC!$A$20:$H$1596,8,0),0)</f>
        <v>-45</v>
      </c>
      <c r="M1522" s="74">
        <f t="shared" si="29"/>
        <v>7500</v>
      </c>
    </row>
    <row r="1523" spans="1:13" customFormat="1">
      <c r="A1523" t="s">
        <v>202</v>
      </c>
      <c r="B1523" t="s">
        <v>11</v>
      </c>
      <c r="C1523" s="51">
        <v>139483504133</v>
      </c>
      <c r="D1523" s="1">
        <v>7696.97</v>
      </c>
      <c r="E1523" s="1">
        <v>11061010.43</v>
      </c>
      <c r="F1523" t="s">
        <v>1280</v>
      </c>
      <c r="I1523" s="16">
        <f>-IFERROR(VLOOKUP(C1523,SIRCUPA!$A$21:$H$186,8,0),0)</f>
        <v>0</v>
      </c>
      <c r="J1523" s="68">
        <f>-IFERROR(VLOOKUP(C1523,SIRTAC!$A$16:$H$1405,8,0),0)</f>
        <v>-79</v>
      </c>
      <c r="K1523" s="68">
        <f>-IFERROR(VLOOKUP(C1523,Gastos!$A$9:$J$1398,10,0),0)</f>
        <v>-76.63</v>
      </c>
      <c r="L1523" s="68">
        <f>-IFERROR(VLOOKUP(C1523,IDC!$A$20:$H$1596,8,0),0)</f>
        <v>-47.4</v>
      </c>
      <c r="M1523" s="74">
        <f t="shared" si="29"/>
        <v>7900</v>
      </c>
    </row>
    <row r="1524" spans="1:13" customFormat="1">
      <c r="A1524" t="s">
        <v>202</v>
      </c>
      <c r="B1524" t="s">
        <v>11</v>
      </c>
      <c r="C1524" s="51">
        <v>139483492351</v>
      </c>
      <c r="D1524" s="1">
        <v>10391.700000000001</v>
      </c>
      <c r="E1524" s="1">
        <v>11071402.130000001</v>
      </c>
      <c r="F1524" t="s">
        <v>1280</v>
      </c>
      <c r="I1524" s="16">
        <f>-IFERROR(VLOOKUP(C1524,SIRCUPA!$A$21:$H$186,8,0),0)</f>
        <v>0</v>
      </c>
      <c r="J1524" s="68">
        <f>-IFERROR(VLOOKUP(C1524,SIRTAC!$A$16:$H$1405,8,0),0)</f>
        <v>-110</v>
      </c>
      <c r="K1524" s="68">
        <f>-IFERROR(VLOOKUP(C1524,Gastos!$A$9:$J$1398,10,0),0)</f>
        <v>-432.3</v>
      </c>
      <c r="L1524" s="68">
        <f>-IFERROR(VLOOKUP(C1524,IDC!$A$20:$H$1596,8,0),0)</f>
        <v>-66</v>
      </c>
      <c r="M1524" s="74">
        <f t="shared" si="29"/>
        <v>11000</v>
      </c>
    </row>
    <row r="1525" spans="1:13" customFormat="1">
      <c r="A1525" t="s">
        <v>202</v>
      </c>
      <c r="B1525" t="s">
        <v>11</v>
      </c>
      <c r="C1525" s="51">
        <v>139483449131</v>
      </c>
      <c r="D1525" s="1">
        <v>4644.96</v>
      </c>
      <c r="E1525" s="1">
        <v>11076047.09</v>
      </c>
      <c r="F1525" t="s">
        <v>1280</v>
      </c>
      <c r="I1525" s="16">
        <f>-IFERROR(VLOOKUP(C1525,SIRCUPA!$A$21:$H$186,8,0),0)</f>
        <v>0</v>
      </c>
      <c r="J1525" s="68">
        <f>-IFERROR(VLOOKUP(C1525,SIRTAC!$A$16:$H$1405,8,0),0)</f>
        <v>-48</v>
      </c>
      <c r="K1525" s="68">
        <f>-IFERROR(VLOOKUP(C1525,Gastos!$A$9:$J$1398,10,0),0)</f>
        <v>-78.239999999999995</v>
      </c>
      <c r="L1525" s="68">
        <f>-IFERROR(VLOOKUP(C1525,IDC!$A$20:$H$1596,8,0),0)</f>
        <v>-28.8</v>
      </c>
      <c r="M1525" s="74">
        <f t="shared" si="29"/>
        <v>4800</v>
      </c>
    </row>
    <row r="1526" spans="1:13" customFormat="1">
      <c r="A1526" t="s">
        <v>202</v>
      </c>
      <c r="B1526" t="s">
        <v>11</v>
      </c>
      <c r="C1526" s="51">
        <v>140132323268</v>
      </c>
      <c r="D1526" s="1">
        <v>17634.830000000002</v>
      </c>
      <c r="E1526" s="1">
        <v>11093681.92</v>
      </c>
      <c r="F1526" t="s">
        <v>1280</v>
      </c>
      <c r="I1526" s="16">
        <f>-IFERROR(VLOOKUP(C1526,SIRCUPA!$A$21:$H$186,8,0),0)</f>
        <v>0</v>
      </c>
      <c r="J1526" s="68">
        <f>-IFERROR(VLOOKUP(C1526,SIRTAC!$A$16:$H$1405,8,0),0)</f>
        <v>-181</v>
      </c>
      <c r="K1526" s="68">
        <f>-IFERROR(VLOOKUP(C1526,Gastos!$A$9:$J$1398,10,0),0)</f>
        <v>-175.57</v>
      </c>
      <c r="L1526" s="68">
        <f>-IFERROR(VLOOKUP(C1526,IDC!$A$20:$H$1596,8,0),0)</f>
        <v>-108.6</v>
      </c>
      <c r="M1526" s="74">
        <f t="shared" si="29"/>
        <v>18100</v>
      </c>
    </row>
    <row r="1527" spans="1:13" customFormat="1">
      <c r="A1527" t="s">
        <v>202</v>
      </c>
      <c r="B1527" t="s">
        <v>11</v>
      </c>
      <c r="C1527" s="51">
        <v>139484535079</v>
      </c>
      <c r="D1527" s="1">
        <v>23578.06</v>
      </c>
      <c r="E1527" s="1">
        <v>11117259.98</v>
      </c>
      <c r="F1527" t="s">
        <v>1280</v>
      </c>
      <c r="I1527" s="16">
        <f>-IFERROR(VLOOKUP(C1527,SIRCUPA!$A$21:$H$186,8,0),0)</f>
        <v>0</v>
      </c>
      <c r="J1527" s="68">
        <f>-IFERROR(VLOOKUP(C1527,SIRTAC!$A$16:$H$1405,8,0),0)</f>
        <v>-242</v>
      </c>
      <c r="K1527" s="68">
        <f>-IFERROR(VLOOKUP(C1527,Gastos!$A$9:$J$1398,10,0),0)</f>
        <v>-234.74</v>
      </c>
      <c r="L1527" s="68">
        <f>-IFERROR(VLOOKUP(C1527,IDC!$A$20:$H$1596,8,0),0)</f>
        <v>-145.19999999999999</v>
      </c>
      <c r="M1527" s="74">
        <f t="shared" si="29"/>
        <v>24200.000000000004</v>
      </c>
    </row>
    <row r="1528" spans="1:13" customFormat="1">
      <c r="A1528" t="s">
        <v>202</v>
      </c>
      <c r="B1528" t="s">
        <v>11</v>
      </c>
      <c r="C1528" s="51">
        <v>140132565856</v>
      </c>
      <c r="D1528" s="1">
        <v>10230.15</v>
      </c>
      <c r="E1528" s="1">
        <v>11127490.130000001</v>
      </c>
      <c r="F1528" t="s">
        <v>1280</v>
      </c>
      <c r="I1528" s="16">
        <f>-IFERROR(VLOOKUP(C1528,SIRCUPA!$A$21:$H$186,8,0),0)</f>
        <v>0</v>
      </c>
      <c r="J1528" s="68">
        <f>-IFERROR(VLOOKUP(C1528,SIRTAC!$A$16:$H$1405,8,0),0)</f>
        <v>-105</v>
      </c>
      <c r="K1528" s="68">
        <f>-IFERROR(VLOOKUP(C1528,Gastos!$A$9:$J$1398,10,0),0)</f>
        <v>-101.85</v>
      </c>
      <c r="L1528" s="68">
        <f>-IFERROR(VLOOKUP(C1528,IDC!$A$20:$H$1596,8,0),0)</f>
        <v>-63</v>
      </c>
      <c r="M1528" s="74">
        <f t="shared" si="29"/>
        <v>10500</v>
      </c>
    </row>
    <row r="1529" spans="1:13" customFormat="1">
      <c r="A1529" t="s">
        <v>194</v>
      </c>
      <c r="B1529" t="s">
        <v>196</v>
      </c>
      <c r="C1529" s="51">
        <v>140111640118</v>
      </c>
      <c r="D1529" s="1">
        <v>2452.39</v>
      </c>
      <c r="E1529" s="1">
        <v>10427423.73</v>
      </c>
      <c r="F1529" t="s">
        <v>1280</v>
      </c>
      <c r="I1529" s="16">
        <f>-IFERROR(VLOOKUP(C1529,SIRCUPA!$A$21:$H$186,8,0),0)</f>
        <v>-37.58</v>
      </c>
      <c r="J1529" s="68">
        <f>-IFERROR(VLOOKUP(C1529,SIRTAC!$A$16:$H$1405,8,0),0)</f>
        <v>0</v>
      </c>
      <c r="K1529" s="68">
        <f>-IFERROR(VLOOKUP(C1529,Gastos!$A$9:$J$1398,10,0),0)</f>
        <v>0</v>
      </c>
      <c r="L1529" s="68">
        <f>-IFERROR(VLOOKUP(C1529,IDC!$A$20:$H$1596,8,0),0)</f>
        <v>-15.03</v>
      </c>
      <c r="M1529" s="74">
        <f t="shared" si="29"/>
        <v>2505</v>
      </c>
    </row>
    <row r="1530" spans="1:13" customFormat="1">
      <c r="A1530" t="s">
        <v>202</v>
      </c>
      <c r="B1530" t="s">
        <v>11</v>
      </c>
      <c r="C1530" s="51">
        <v>140132858928</v>
      </c>
      <c r="D1530" s="1">
        <v>29031</v>
      </c>
      <c r="E1530" s="1">
        <v>11156521.130000001</v>
      </c>
      <c r="F1530" t="s">
        <v>1280</v>
      </c>
      <c r="I1530" s="16">
        <f>-IFERROR(VLOOKUP(C1530,SIRCUPA!$A$21:$H$186,8,0),0)</f>
        <v>0</v>
      </c>
      <c r="J1530" s="68">
        <f>-IFERROR(VLOOKUP(C1530,SIRTAC!$A$16:$H$1405,8,0),0)</f>
        <v>-300</v>
      </c>
      <c r="K1530" s="68">
        <f>-IFERROR(VLOOKUP(C1530,Gastos!$A$9:$J$1398,10,0),0)</f>
        <v>-489</v>
      </c>
      <c r="L1530" s="68">
        <f>-IFERROR(VLOOKUP(C1530,IDC!$A$20:$H$1596,8,0),0)</f>
        <v>-180</v>
      </c>
      <c r="M1530" s="74">
        <f t="shared" si="29"/>
        <v>30000</v>
      </c>
    </row>
    <row r="1531" spans="1:13" customFormat="1">
      <c r="A1531" t="s">
        <v>202</v>
      </c>
      <c r="B1531" t="s">
        <v>11</v>
      </c>
      <c r="C1531" s="51">
        <v>140132881300</v>
      </c>
      <c r="D1531" s="1">
        <v>15881.09</v>
      </c>
      <c r="E1531" s="1">
        <v>11172402.220000001</v>
      </c>
      <c r="F1531" t="s">
        <v>1280</v>
      </c>
      <c r="I1531" s="16">
        <f>-IFERROR(VLOOKUP(C1531,SIRCUPA!$A$21:$H$186,8,0),0)</f>
        <v>0</v>
      </c>
      <c r="J1531" s="68">
        <f>-IFERROR(VLOOKUP(C1531,SIRTAC!$A$16:$H$1405,8,0),0)</f>
        <v>-163</v>
      </c>
      <c r="K1531" s="68">
        <f>-IFERROR(VLOOKUP(C1531,Gastos!$A$9:$J$1398,10,0),0)</f>
        <v>-158.11000000000001</v>
      </c>
      <c r="L1531" s="68">
        <f>-IFERROR(VLOOKUP(C1531,IDC!$A$20:$H$1596,8,0),0)</f>
        <v>-97.8</v>
      </c>
      <c r="M1531" s="74">
        <f t="shared" si="29"/>
        <v>16300</v>
      </c>
    </row>
    <row r="1532" spans="1:13" customFormat="1">
      <c r="A1532" t="s">
        <v>202</v>
      </c>
      <c r="B1532" t="s">
        <v>11</v>
      </c>
      <c r="C1532" s="51">
        <v>139484972295</v>
      </c>
      <c r="D1532" s="1">
        <v>31063.17</v>
      </c>
      <c r="E1532" s="1">
        <v>11203465.390000001</v>
      </c>
      <c r="F1532" t="s">
        <v>1280</v>
      </c>
      <c r="I1532" s="16">
        <f>-IFERROR(VLOOKUP(C1532,SIRCUPA!$A$21:$H$186,8,0),0)</f>
        <v>0</v>
      </c>
      <c r="J1532" s="68">
        <f>-IFERROR(VLOOKUP(C1532,SIRTAC!$A$16:$H$1405,8,0),0)</f>
        <v>-321</v>
      </c>
      <c r="K1532" s="68">
        <f>-IFERROR(VLOOKUP(C1532,Gastos!$A$9:$J$1398,10,0),0)</f>
        <v>-523.23</v>
      </c>
      <c r="L1532" s="68">
        <f>-IFERROR(VLOOKUP(C1532,IDC!$A$20:$H$1596,8,0),0)</f>
        <v>-192.6</v>
      </c>
      <c r="M1532" s="74">
        <f t="shared" si="29"/>
        <v>32099.999999999996</v>
      </c>
    </row>
    <row r="1533" spans="1:13" customFormat="1">
      <c r="A1533" t="s">
        <v>194</v>
      </c>
      <c r="B1533" t="s">
        <v>197</v>
      </c>
      <c r="C1533" s="51">
        <v>140113621612</v>
      </c>
      <c r="D1533">
        <v>489.5</v>
      </c>
      <c r="E1533" s="1">
        <v>10464104.59</v>
      </c>
      <c r="F1533" t="s">
        <v>1280</v>
      </c>
      <c r="I1533" s="16">
        <f>-IFERROR(VLOOKUP(C1533,SIRCUPA!$A$21:$H$186,8,0),0)</f>
        <v>-7.5</v>
      </c>
      <c r="J1533" s="68">
        <f>-IFERROR(VLOOKUP(C1533,SIRTAC!$A$16:$H$1405,8,0),0)</f>
        <v>0</v>
      </c>
      <c r="K1533" s="68">
        <f>-IFERROR(VLOOKUP(C1533,Gastos!$A$9:$J$1398,10,0),0)</f>
        <v>0</v>
      </c>
      <c r="L1533" s="68">
        <f>-IFERROR(VLOOKUP(C1533,IDC!$A$20:$H$1596,8,0),0)</f>
        <v>-3</v>
      </c>
      <c r="M1533" s="74">
        <f t="shared" si="29"/>
        <v>500</v>
      </c>
    </row>
    <row r="1534" spans="1:13" customFormat="1">
      <c r="A1534" t="s">
        <v>202</v>
      </c>
      <c r="B1534" t="s">
        <v>11</v>
      </c>
      <c r="C1534" s="51">
        <v>140133204838</v>
      </c>
      <c r="D1534" s="1">
        <v>7696.97</v>
      </c>
      <c r="E1534" s="1">
        <v>11211162.359999999</v>
      </c>
      <c r="F1534" t="s">
        <v>1280</v>
      </c>
      <c r="I1534" s="16">
        <f>-IFERROR(VLOOKUP(C1534,SIRCUPA!$A$21:$H$186,8,0),0)</f>
        <v>0</v>
      </c>
      <c r="J1534" s="68">
        <f>-IFERROR(VLOOKUP(C1534,SIRTAC!$A$16:$H$1405,8,0),0)</f>
        <v>-79</v>
      </c>
      <c r="K1534" s="68">
        <f>-IFERROR(VLOOKUP(C1534,Gastos!$A$9:$J$1398,10,0),0)</f>
        <v>-76.63</v>
      </c>
      <c r="L1534" s="68">
        <f>-IFERROR(VLOOKUP(C1534,IDC!$A$20:$H$1596,8,0),0)</f>
        <v>-47.4</v>
      </c>
      <c r="M1534" s="74">
        <f t="shared" si="29"/>
        <v>7900</v>
      </c>
    </row>
    <row r="1535" spans="1:13" customFormat="1">
      <c r="A1535" t="s">
        <v>194</v>
      </c>
      <c r="B1535" t="s">
        <v>176</v>
      </c>
      <c r="C1535" s="51">
        <v>139466124447</v>
      </c>
      <c r="D1535">
        <v>979</v>
      </c>
      <c r="E1535" s="1">
        <v>10484569.59</v>
      </c>
      <c r="F1535" t="s">
        <v>1280</v>
      </c>
      <c r="I1535" s="16">
        <f>-IFERROR(VLOOKUP(C1535,SIRCUPA!$A$21:$H$186,8,0),0)</f>
        <v>-15</v>
      </c>
      <c r="J1535" s="68">
        <f>-IFERROR(VLOOKUP(C1535,SIRTAC!$A$16:$H$1405,8,0),0)</f>
        <v>0</v>
      </c>
      <c r="K1535" s="68">
        <f>-IFERROR(VLOOKUP(C1535,Gastos!$A$9:$J$1398,10,0),0)</f>
        <v>0</v>
      </c>
      <c r="L1535" s="68">
        <f>-IFERROR(VLOOKUP(C1535,IDC!$A$20:$H$1596,8,0),0)</f>
        <v>-6</v>
      </c>
      <c r="M1535" s="74">
        <f t="shared" si="29"/>
        <v>1000</v>
      </c>
    </row>
    <row r="1536" spans="1:13" customFormat="1">
      <c r="A1536" t="s">
        <v>202</v>
      </c>
      <c r="B1536" t="s">
        <v>11</v>
      </c>
      <c r="C1536" s="51">
        <v>139485340871</v>
      </c>
      <c r="D1536" s="1">
        <v>2361.75</v>
      </c>
      <c r="E1536" s="1">
        <v>11214297.52</v>
      </c>
      <c r="F1536" t="s">
        <v>1280</v>
      </c>
      <c r="I1536" s="16">
        <f>-IFERROR(VLOOKUP(C1536,SIRCUPA!$A$21:$H$186,8,0),0)</f>
        <v>0</v>
      </c>
      <c r="J1536" s="68">
        <f>-IFERROR(VLOOKUP(C1536,SIRTAC!$A$16:$H$1405,8,0),0)</f>
        <v>-25</v>
      </c>
      <c r="K1536" s="68">
        <f>-IFERROR(VLOOKUP(C1536,Gastos!$A$9:$J$1398,10,0),0)</f>
        <v>-98.25</v>
      </c>
      <c r="L1536" s="68">
        <f>-IFERROR(VLOOKUP(C1536,IDC!$A$20:$H$1596,8,0),0)</f>
        <v>-15</v>
      </c>
      <c r="M1536" s="74">
        <f t="shared" si="29"/>
        <v>2500</v>
      </c>
    </row>
    <row r="1537" spans="1:13" customFormat="1">
      <c r="A1537" t="s">
        <v>202</v>
      </c>
      <c r="B1537" t="s">
        <v>11</v>
      </c>
      <c r="C1537" s="51">
        <v>139485632399</v>
      </c>
      <c r="D1537" s="1">
        <v>9824.8799999999992</v>
      </c>
      <c r="E1537" s="1">
        <v>11224122.4</v>
      </c>
      <c r="F1537" t="s">
        <v>1280</v>
      </c>
      <c r="I1537" s="16">
        <f>-IFERROR(VLOOKUP(C1537,SIRCUPA!$A$21:$H$186,8,0),0)</f>
        <v>0</v>
      </c>
      <c r="J1537" s="68">
        <f>-IFERROR(VLOOKUP(C1537,SIRTAC!$A$16:$H$1405,8,0),0)</f>
        <v>-104</v>
      </c>
      <c r="K1537" s="68">
        <f>-IFERROR(VLOOKUP(C1537,Gastos!$A$9:$J$1398,10,0),0)</f>
        <v>-408.72</v>
      </c>
      <c r="L1537" s="68">
        <f>-IFERROR(VLOOKUP(C1537,IDC!$A$20:$H$1596,8,0),0)</f>
        <v>-62.4</v>
      </c>
      <c r="M1537" s="74">
        <f t="shared" si="29"/>
        <v>10399.999999999998</v>
      </c>
    </row>
    <row r="1538" spans="1:13" customFormat="1">
      <c r="A1538" t="s">
        <v>202</v>
      </c>
      <c r="B1538" t="s">
        <v>11</v>
      </c>
      <c r="C1538" s="51">
        <v>139485607001</v>
      </c>
      <c r="D1538" s="1">
        <v>34071.18</v>
      </c>
      <c r="E1538" s="1">
        <v>11258193.58</v>
      </c>
      <c r="F1538" t="s">
        <v>1280</v>
      </c>
      <c r="I1538" s="16">
        <f>-IFERROR(VLOOKUP(C1538,SIRCUPA!$A$21:$H$186,8,0),0)</f>
        <v>0</v>
      </c>
      <c r="J1538" s="68">
        <f>-IFERROR(VLOOKUP(C1538,SIRTAC!$A$16:$H$1405,8,0),0)</f>
        <v>-363</v>
      </c>
      <c r="K1538" s="68">
        <f>-IFERROR(VLOOKUP(C1538,Gastos!$A$9:$J$1398,10,0),0)</f>
        <v>-1648.02</v>
      </c>
      <c r="L1538" s="68">
        <f>-IFERROR(VLOOKUP(C1538,IDC!$A$20:$H$1596,8,0),0)</f>
        <v>-217.8</v>
      </c>
      <c r="M1538" s="74">
        <f t="shared" si="29"/>
        <v>36300</v>
      </c>
    </row>
    <row r="1539" spans="1:13" customFormat="1">
      <c r="A1539" t="s">
        <v>202</v>
      </c>
      <c r="B1539" t="s">
        <v>11</v>
      </c>
      <c r="C1539" s="51">
        <v>140133653336</v>
      </c>
      <c r="D1539" s="1">
        <v>14419.64</v>
      </c>
      <c r="E1539" s="1">
        <v>11272613.220000001</v>
      </c>
      <c r="F1539" t="s">
        <v>1280</v>
      </c>
      <c r="I1539" s="16">
        <f>-IFERROR(VLOOKUP(C1539,SIRCUPA!$A$21:$H$186,8,0),0)</f>
        <v>0</v>
      </c>
      <c r="J1539" s="68">
        <f>-IFERROR(VLOOKUP(C1539,SIRTAC!$A$16:$H$1405,8,0),0)</f>
        <v>-148</v>
      </c>
      <c r="K1539" s="68">
        <f>-IFERROR(VLOOKUP(C1539,Gastos!$A$9:$J$1398,10,0),0)</f>
        <v>-143.56</v>
      </c>
      <c r="L1539" s="68">
        <f>-IFERROR(VLOOKUP(C1539,IDC!$A$20:$H$1596,8,0),0)</f>
        <v>-88.8</v>
      </c>
      <c r="M1539" s="74">
        <f t="shared" si="29"/>
        <v>14799.999999999998</v>
      </c>
    </row>
    <row r="1540" spans="1:13" customFormat="1">
      <c r="A1540" t="s">
        <v>202</v>
      </c>
      <c r="B1540" t="s">
        <v>11</v>
      </c>
      <c r="C1540" s="51">
        <v>139485756335</v>
      </c>
      <c r="D1540" s="1">
        <v>25818.95</v>
      </c>
      <c r="E1540" s="1">
        <v>11299156.630000001</v>
      </c>
      <c r="F1540" t="s">
        <v>1280</v>
      </c>
      <c r="I1540" s="16">
        <f>-IFERROR(VLOOKUP(C1540,SIRCUPA!$A$21:$H$186,8,0),0)</f>
        <v>0</v>
      </c>
      <c r="J1540" s="68">
        <f>-IFERROR(VLOOKUP(C1540,SIRTAC!$A$16:$H$1405,8,0),0)</f>
        <v>-265</v>
      </c>
      <c r="K1540" s="68">
        <f>-IFERROR(VLOOKUP(C1540,Gastos!$A$9:$J$1398,10,0),0)</f>
        <v>-257.05</v>
      </c>
      <c r="L1540" s="68">
        <f>-IFERROR(VLOOKUP(C1540,IDC!$A$20:$H$1596,8,0),0)</f>
        <v>-159</v>
      </c>
      <c r="M1540" s="74">
        <f t="shared" si="29"/>
        <v>26500</v>
      </c>
    </row>
    <row r="1541" spans="1:13" customFormat="1">
      <c r="A1541" t="s">
        <v>202</v>
      </c>
      <c r="B1541" t="s">
        <v>11</v>
      </c>
      <c r="C1541" s="51">
        <v>140133896184</v>
      </c>
      <c r="D1541" s="1">
        <v>107845.14</v>
      </c>
      <c r="E1541" s="1">
        <v>11407001.77</v>
      </c>
      <c r="F1541" t="s">
        <v>1280</v>
      </c>
      <c r="I1541" s="16">
        <f>-IFERROR(VLOOKUP(C1541,SIRCUPA!$A$21:$H$186,8,0),0)</f>
        <v>0</v>
      </c>
      <c r="J1541" s="68">
        <f>-IFERROR(VLOOKUP(C1541,SIRTAC!$A$16:$H$1405,8,0),0)</f>
        <v>-1149</v>
      </c>
      <c r="K1541" s="68">
        <f>-IFERROR(VLOOKUP(C1541,Gastos!$A$9:$J$1398,10,0),0)</f>
        <v>-5216.46</v>
      </c>
      <c r="L1541" s="68">
        <f>-IFERROR(VLOOKUP(C1541,IDC!$A$20:$H$1596,8,0),0)</f>
        <v>-689.4</v>
      </c>
      <c r="M1541" s="74">
        <f t="shared" si="29"/>
        <v>114900</v>
      </c>
    </row>
    <row r="1542" spans="1:13" customFormat="1">
      <c r="A1542" t="s">
        <v>202</v>
      </c>
      <c r="B1542" t="s">
        <v>11</v>
      </c>
      <c r="C1542" s="51">
        <v>140133763234</v>
      </c>
      <c r="D1542" s="1">
        <v>18706.560000000001</v>
      </c>
      <c r="E1542" s="1">
        <v>11425708.33</v>
      </c>
      <c r="F1542" t="s">
        <v>1280</v>
      </c>
      <c r="I1542" s="16">
        <f>-IFERROR(VLOOKUP(C1542,SIRCUPA!$A$21:$H$186,8,0),0)</f>
        <v>0</v>
      </c>
      <c r="J1542" s="68">
        <f>-IFERROR(VLOOKUP(C1542,SIRTAC!$A$16:$H$1405,8,0),0)</f>
        <v>-192</v>
      </c>
      <c r="K1542" s="68">
        <f>-IFERROR(VLOOKUP(C1542,Gastos!$A$9:$J$1398,10,0),0)</f>
        <v>-186.24</v>
      </c>
      <c r="L1542" s="68">
        <f>-IFERROR(VLOOKUP(C1542,IDC!$A$20:$H$1596,8,0),0)</f>
        <v>-115.2</v>
      </c>
      <c r="M1542" s="74">
        <f t="shared" si="29"/>
        <v>19200.000000000004</v>
      </c>
    </row>
    <row r="1543" spans="1:13" customFormat="1">
      <c r="A1543" t="s">
        <v>202</v>
      </c>
      <c r="B1543" t="s">
        <v>11</v>
      </c>
      <c r="C1543" s="51">
        <v>140133910726</v>
      </c>
      <c r="D1543" s="1">
        <v>14322.21</v>
      </c>
      <c r="E1543" s="1">
        <v>11440030.539999999</v>
      </c>
      <c r="F1543" t="s">
        <v>1280</v>
      </c>
      <c r="I1543" s="16">
        <f>-IFERROR(VLOOKUP(C1543,SIRCUPA!$A$21:$H$186,8,0),0)</f>
        <v>0</v>
      </c>
      <c r="J1543" s="68">
        <f>-IFERROR(VLOOKUP(C1543,SIRTAC!$A$16:$H$1405,8,0),0)</f>
        <v>-147</v>
      </c>
      <c r="K1543" s="68">
        <f>-IFERROR(VLOOKUP(C1543,Gastos!$A$9:$J$1398,10,0),0)</f>
        <v>-142.59</v>
      </c>
      <c r="L1543" s="68">
        <f>-IFERROR(VLOOKUP(C1543,IDC!$A$20:$H$1596,8,0),0)</f>
        <v>-88.2</v>
      </c>
      <c r="M1543" s="74">
        <f t="shared" si="29"/>
        <v>14700</v>
      </c>
    </row>
    <row r="1544" spans="1:13" customFormat="1">
      <c r="A1544" t="s">
        <v>202</v>
      </c>
      <c r="B1544" t="s">
        <v>11</v>
      </c>
      <c r="C1544" s="51">
        <v>139485908731</v>
      </c>
      <c r="D1544" s="1">
        <v>79308.02</v>
      </c>
      <c r="E1544" s="1">
        <v>11520058.119999999</v>
      </c>
      <c r="F1544" t="s">
        <v>1280</v>
      </c>
      <c r="I1544" s="16">
        <f>-IFERROR(VLOOKUP(C1544,SIRCUPA!$A$21:$H$186,8,0),0)</f>
        <v>0</v>
      </c>
      <c r="J1544" s="68">
        <f>-IFERROR(VLOOKUP(C1544,SIRTAC!$A$16:$H$1405,8,0),0)</f>
        <v>-814</v>
      </c>
      <c r="K1544" s="68">
        <f>-IFERROR(VLOOKUP(C1544,Gastos!$A$9:$J$1398,10,0),0)</f>
        <v>-789.58</v>
      </c>
      <c r="L1544" s="68">
        <f>-IFERROR(VLOOKUP(C1544,IDC!$A$20:$H$1596,8,0),0)</f>
        <v>-488.4</v>
      </c>
      <c r="M1544" s="74">
        <f t="shared" si="29"/>
        <v>81400</v>
      </c>
    </row>
    <row r="1545" spans="1:13" customFormat="1">
      <c r="A1545" t="s">
        <v>202</v>
      </c>
      <c r="B1545" t="s">
        <v>11</v>
      </c>
      <c r="C1545" s="51">
        <v>140133907214</v>
      </c>
      <c r="D1545" s="1">
        <v>9353.2800000000007</v>
      </c>
      <c r="E1545" s="1">
        <v>11529411.4</v>
      </c>
      <c r="F1545" t="s">
        <v>1280</v>
      </c>
      <c r="I1545" s="16">
        <f>-IFERROR(VLOOKUP(C1545,SIRCUPA!$A$21:$H$186,8,0),0)</f>
        <v>0</v>
      </c>
      <c r="J1545" s="68">
        <f>-IFERROR(VLOOKUP(C1545,SIRTAC!$A$16:$H$1405,8,0),0)</f>
        <v>-96</v>
      </c>
      <c r="K1545" s="68">
        <f>-IFERROR(VLOOKUP(C1545,Gastos!$A$9:$J$1398,10,0),0)</f>
        <v>-93.12</v>
      </c>
      <c r="L1545" s="68">
        <f>-IFERROR(VLOOKUP(C1545,IDC!$A$20:$H$1596,8,0),0)</f>
        <v>-57.6</v>
      </c>
      <c r="M1545" s="74">
        <f t="shared" si="29"/>
        <v>9600.0000000000018</v>
      </c>
    </row>
    <row r="1546" spans="1:13" customFormat="1">
      <c r="A1546" t="s">
        <v>202</v>
      </c>
      <c r="B1546" t="s">
        <v>11</v>
      </c>
      <c r="C1546" s="51">
        <v>139485954691</v>
      </c>
      <c r="D1546" s="1">
        <v>7307.25</v>
      </c>
      <c r="E1546" s="1">
        <v>11537188.57</v>
      </c>
      <c r="F1546" t="s">
        <v>1280</v>
      </c>
      <c r="I1546" s="16">
        <f>-IFERROR(VLOOKUP(C1546,SIRCUPA!$A$21:$H$186,8,0),0)</f>
        <v>0</v>
      </c>
      <c r="J1546" s="68">
        <f>-IFERROR(VLOOKUP(C1546,SIRTAC!$A$16:$H$1405,8,0),0)</f>
        <v>-75</v>
      </c>
      <c r="K1546" s="68">
        <f>-IFERROR(VLOOKUP(C1546,Gastos!$A$9:$J$1398,10,0),0)</f>
        <v>-72.75</v>
      </c>
      <c r="L1546" s="68">
        <f>-IFERROR(VLOOKUP(C1546,IDC!$A$20:$H$1596,8,0),0)</f>
        <v>-45</v>
      </c>
      <c r="M1546" s="74">
        <f t="shared" si="29"/>
        <v>7500</v>
      </c>
    </row>
    <row r="1547" spans="1:13" customFormat="1">
      <c r="A1547" t="s">
        <v>202</v>
      </c>
      <c r="B1547" t="s">
        <v>11</v>
      </c>
      <c r="C1547" s="51">
        <v>140133989406</v>
      </c>
      <c r="D1547" s="1">
        <v>81938.63</v>
      </c>
      <c r="E1547" s="1">
        <v>11619127.199999999</v>
      </c>
      <c r="F1547" t="s">
        <v>1280</v>
      </c>
      <c r="I1547" s="16">
        <f>-IFERROR(VLOOKUP(C1547,SIRCUPA!$A$21:$H$186,8,0),0)</f>
        <v>0</v>
      </c>
      <c r="J1547" s="68">
        <f>-IFERROR(VLOOKUP(C1547,SIRTAC!$A$16:$H$1405,8,0),0)</f>
        <v>-841</v>
      </c>
      <c r="K1547" s="68">
        <f>-IFERROR(VLOOKUP(C1547,Gastos!$A$9:$J$1398,10,0),0)</f>
        <v>-815.77</v>
      </c>
      <c r="L1547" s="68">
        <f>-IFERROR(VLOOKUP(C1547,IDC!$A$20:$H$1596,8,0),0)</f>
        <v>-504.6</v>
      </c>
      <c r="M1547" s="74">
        <f t="shared" si="29"/>
        <v>84100.000000000015</v>
      </c>
    </row>
    <row r="1548" spans="1:13" customFormat="1">
      <c r="A1548" t="s">
        <v>202</v>
      </c>
      <c r="B1548" t="s">
        <v>11</v>
      </c>
      <c r="C1548" s="51">
        <v>139486142195</v>
      </c>
      <c r="D1548" s="1">
        <v>39166.86</v>
      </c>
      <c r="E1548" s="1">
        <v>11658294.060000001</v>
      </c>
      <c r="F1548" t="s">
        <v>1280</v>
      </c>
      <c r="I1548" s="16">
        <f>-IFERROR(VLOOKUP(C1548,SIRCUPA!$A$21:$H$186,8,0),0)</f>
        <v>0</v>
      </c>
      <c r="J1548" s="68">
        <f>-IFERROR(VLOOKUP(C1548,SIRTAC!$A$16:$H$1405,8,0),0)</f>
        <v>-402</v>
      </c>
      <c r="K1548" s="68">
        <f>-IFERROR(VLOOKUP(C1548,Gastos!$A$9:$J$1398,10,0),0)</f>
        <v>-389.94</v>
      </c>
      <c r="L1548" s="68">
        <f>-IFERROR(VLOOKUP(C1548,IDC!$A$20:$H$1596,8,0),0)</f>
        <v>-241.2</v>
      </c>
      <c r="M1548" s="74">
        <f t="shared" si="29"/>
        <v>40200</v>
      </c>
    </row>
    <row r="1549" spans="1:13" customFormat="1">
      <c r="A1549" t="s">
        <v>202</v>
      </c>
      <c r="B1549" t="s">
        <v>11</v>
      </c>
      <c r="C1549" s="51">
        <v>139486182203</v>
      </c>
      <c r="D1549" s="1">
        <v>35561.949999999997</v>
      </c>
      <c r="E1549" s="1">
        <v>11693856.01</v>
      </c>
      <c r="F1549" t="s">
        <v>1280</v>
      </c>
      <c r="I1549" s="16">
        <f>-IFERROR(VLOOKUP(C1549,SIRCUPA!$A$21:$H$186,8,0),0)</f>
        <v>0</v>
      </c>
      <c r="J1549" s="68">
        <f>-IFERROR(VLOOKUP(C1549,SIRTAC!$A$16:$H$1405,8,0),0)</f>
        <v>-365</v>
      </c>
      <c r="K1549" s="68">
        <f>-IFERROR(VLOOKUP(C1549,Gastos!$A$9:$J$1398,10,0),0)</f>
        <v>-354.05</v>
      </c>
      <c r="L1549" s="68">
        <f>-IFERROR(VLOOKUP(C1549,IDC!$A$20:$H$1596,8,0),0)</f>
        <v>-219</v>
      </c>
      <c r="M1549" s="74">
        <f t="shared" si="29"/>
        <v>36500</v>
      </c>
    </row>
    <row r="1550" spans="1:13" customFormat="1">
      <c r="A1550" t="s">
        <v>202</v>
      </c>
      <c r="B1550" t="s">
        <v>11</v>
      </c>
      <c r="C1550" s="51">
        <v>140134110924</v>
      </c>
      <c r="D1550" s="1">
        <v>4723.5</v>
      </c>
      <c r="E1550" s="1">
        <v>11698579.51</v>
      </c>
      <c r="F1550" t="s">
        <v>1280</v>
      </c>
      <c r="I1550" s="16">
        <f>-IFERROR(VLOOKUP(C1550,SIRCUPA!$A$21:$H$186,8,0),0)</f>
        <v>0</v>
      </c>
      <c r="J1550" s="68">
        <f>-IFERROR(VLOOKUP(C1550,SIRTAC!$A$16:$H$1405,8,0),0)</f>
        <v>-50</v>
      </c>
      <c r="K1550" s="68">
        <f>-IFERROR(VLOOKUP(C1550,Gastos!$A$9:$J$1398,10,0),0)</f>
        <v>-196.5</v>
      </c>
      <c r="L1550" s="68">
        <f>-IFERROR(VLOOKUP(C1550,IDC!$A$20:$H$1596,8,0),0)</f>
        <v>-30</v>
      </c>
      <c r="M1550" s="74">
        <f t="shared" si="29"/>
        <v>5000</v>
      </c>
    </row>
    <row r="1551" spans="1:13" customFormat="1">
      <c r="A1551" t="s">
        <v>194</v>
      </c>
      <c r="B1551" t="s">
        <v>198</v>
      </c>
      <c r="C1551" s="51">
        <v>140124023076</v>
      </c>
      <c r="D1551">
        <v>234.96</v>
      </c>
      <c r="E1551" s="1">
        <v>10690073.34</v>
      </c>
      <c r="F1551" t="s">
        <v>1280</v>
      </c>
      <c r="I1551" s="16">
        <f>-IFERROR(VLOOKUP(C1551,SIRCUPA!$A$21:$H$186,8,0),0)</f>
        <v>-3.6</v>
      </c>
      <c r="J1551" s="68">
        <f>-IFERROR(VLOOKUP(C1551,SIRTAC!$A$16:$H$1405,8,0),0)</f>
        <v>0</v>
      </c>
      <c r="K1551" s="68">
        <f>-IFERROR(VLOOKUP(C1551,Gastos!$A$9:$J$1398,10,0),0)</f>
        <v>0</v>
      </c>
      <c r="L1551" s="68">
        <f>-IFERROR(VLOOKUP(C1551,IDC!$A$20:$H$1596,8,0),0)</f>
        <v>-1.44</v>
      </c>
      <c r="M1551" s="74">
        <f t="shared" si="29"/>
        <v>240</v>
      </c>
    </row>
    <row r="1552" spans="1:13" customFormat="1">
      <c r="A1552" t="s">
        <v>202</v>
      </c>
      <c r="B1552" t="s">
        <v>11</v>
      </c>
      <c r="C1552" s="51">
        <v>140134031710</v>
      </c>
      <c r="D1552" s="1">
        <v>4774.07</v>
      </c>
      <c r="E1552" s="1">
        <v>11703353.58</v>
      </c>
      <c r="F1552" t="s">
        <v>1280</v>
      </c>
      <c r="I1552" s="16">
        <f>-IFERROR(VLOOKUP(C1552,SIRCUPA!$A$21:$H$186,8,0),0)</f>
        <v>0</v>
      </c>
      <c r="J1552" s="68">
        <f>-IFERROR(VLOOKUP(C1552,SIRTAC!$A$16:$H$1405,8,0),0)</f>
        <v>-49</v>
      </c>
      <c r="K1552" s="68">
        <f>-IFERROR(VLOOKUP(C1552,Gastos!$A$9:$J$1398,10,0),0)</f>
        <v>-47.53</v>
      </c>
      <c r="L1552" s="68">
        <f>-IFERROR(VLOOKUP(C1552,IDC!$A$20:$H$1596,8,0),0)</f>
        <v>-29.4</v>
      </c>
      <c r="M1552" s="74">
        <f t="shared" si="29"/>
        <v>4899.9999999999991</v>
      </c>
    </row>
    <row r="1553" spans="1:18">
      <c r="A1553" t="s">
        <v>202</v>
      </c>
      <c r="B1553" t="s">
        <v>11</v>
      </c>
      <c r="C1553" s="51">
        <v>139486025795</v>
      </c>
      <c r="D1553" s="1">
        <v>12276.18</v>
      </c>
      <c r="E1553" s="1">
        <v>11715629.76</v>
      </c>
      <c r="F1553" t="s">
        <v>1280</v>
      </c>
      <c r="G1553"/>
      <c r="H1553"/>
      <c r="I1553" s="16">
        <f>-IFERROR(VLOOKUP(C1553,SIRCUPA!$A$21:$H$186,8,0),0)</f>
        <v>0</v>
      </c>
      <c r="J1553" s="68">
        <f>-IFERROR(VLOOKUP(C1553,SIRTAC!$A$16:$H$1405,8,0),0)</f>
        <v>-126</v>
      </c>
      <c r="K1553" s="68">
        <f>-IFERROR(VLOOKUP(C1553,Gastos!$A$9:$J$1398,10,0),0)</f>
        <v>-122.22</v>
      </c>
      <c r="L1553" s="68">
        <f>-IFERROR(VLOOKUP(C1553,IDC!$A$20:$H$1596,8,0),0)</f>
        <v>-75.599999999999994</v>
      </c>
      <c r="M1553" s="74">
        <f t="shared" si="29"/>
        <v>12600</v>
      </c>
      <c r="N1553"/>
      <c r="Q1553"/>
      <c r="R1553"/>
    </row>
    <row r="1554" spans="1:18">
      <c r="A1554" t="s">
        <v>202</v>
      </c>
      <c r="B1554" t="s">
        <v>11</v>
      </c>
      <c r="C1554" s="51">
        <v>139486246871</v>
      </c>
      <c r="D1554" s="1">
        <v>7794.4</v>
      </c>
      <c r="E1554" s="1">
        <v>11723424.16</v>
      </c>
      <c r="F1554" t="s">
        <v>1280</v>
      </c>
      <c r="G1554"/>
      <c r="H1554"/>
      <c r="I1554" s="16">
        <f>-IFERROR(VLOOKUP(C1554,SIRCUPA!$A$21:$H$186,8,0),0)</f>
        <v>0</v>
      </c>
      <c r="J1554" s="68">
        <f>-IFERROR(VLOOKUP(C1554,SIRTAC!$A$16:$H$1405,8,0),0)</f>
        <v>-80</v>
      </c>
      <c r="K1554" s="68">
        <f>-IFERROR(VLOOKUP(C1554,Gastos!$A$9:$J$1398,10,0),0)</f>
        <v>-77.599999999999994</v>
      </c>
      <c r="L1554" s="68">
        <f>-IFERROR(VLOOKUP(C1554,IDC!$A$20:$H$1596,8,0),0)</f>
        <v>-48</v>
      </c>
      <c r="M1554" s="74">
        <f t="shared" si="29"/>
        <v>8000</v>
      </c>
      <c r="N1554"/>
      <c r="Q1554"/>
      <c r="R1554"/>
    </row>
    <row r="1555" spans="1:18">
      <c r="A1555" t="s">
        <v>194</v>
      </c>
      <c r="B1555" t="s">
        <v>199</v>
      </c>
      <c r="C1555" s="51">
        <v>139476918527</v>
      </c>
      <c r="D1555">
        <v>489.5</v>
      </c>
      <c r="E1555" s="1">
        <v>10733306.640000001</v>
      </c>
      <c r="F1555" t="s">
        <v>1280</v>
      </c>
      <c r="G1555"/>
      <c r="H1555"/>
      <c r="I1555" s="16">
        <f>-IFERROR(VLOOKUP(C1555,SIRCUPA!$A$21:$H$186,8,0),0)</f>
        <v>-7.5</v>
      </c>
      <c r="J1555" s="68">
        <f>-IFERROR(VLOOKUP(C1555,SIRTAC!$A$16:$H$1405,8,0),0)</f>
        <v>0</v>
      </c>
      <c r="K1555" s="68">
        <f>-IFERROR(VLOOKUP(C1555,Gastos!$A$9:$J$1398,10,0),0)</f>
        <v>0</v>
      </c>
      <c r="L1555" s="68">
        <f>-IFERROR(VLOOKUP(C1555,IDC!$A$20:$H$1596,8,0),0)</f>
        <v>-3</v>
      </c>
      <c r="M1555" s="74">
        <f t="shared" si="29"/>
        <v>500</v>
      </c>
      <c r="N1555"/>
      <c r="Q1555"/>
      <c r="R1555"/>
    </row>
    <row r="1556" spans="1:18">
      <c r="A1556" t="s">
        <v>202</v>
      </c>
      <c r="B1556" t="s">
        <v>11</v>
      </c>
      <c r="C1556" s="51">
        <v>140134313280</v>
      </c>
      <c r="D1556" s="1">
        <v>39166.86</v>
      </c>
      <c r="E1556" s="1">
        <v>11762591.02</v>
      </c>
      <c r="F1556" t="s">
        <v>1280</v>
      </c>
      <c r="G1556"/>
      <c r="H1556"/>
      <c r="I1556" s="16">
        <f>-IFERROR(VLOOKUP(C1556,SIRCUPA!$A$21:$H$186,8,0),0)</f>
        <v>0</v>
      </c>
      <c r="J1556" s="68">
        <f>-IFERROR(VLOOKUP(C1556,SIRTAC!$A$16:$H$1405,8,0),0)</f>
        <v>-402</v>
      </c>
      <c r="K1556" s="68">
        <f>-IFERROR(VLOOKUP(C1556,Gastos!$A$9:$J$1398,10,0),0)</f>
        <v>-389.94</v>
      </c>
      <c r="L1556" s="68">
        <f>-IFERROR(VLOOKUP(C1556,IDC!$A$20:$H$1596,8,0),0)</f>
        <v>-241.2</v>
      </c>
      <c r="M1556" s="74">
        <f t="shared" si="29"/>
        <v>40200</v>
      </c>
      <c r="N1556"/>
      <c r="Q1556"/>
      <c r="R1556"/>
    </row>
    <row r="1557" spans="1:18">
      <c r="A1557" t="s">
        <v>194</v>
      </c>
      <c r="B1557" t="s">
        <v>200</v>
      </c>
      <c r="C1557" s="51">
        <v>139476996191</v>
      </c>
      <c r="D1557" s="1">
        <v>3123.01</v>
      </c>
      <c r="E1557" s="1">
        <v>10767509.82</v>
      </c>
      <c r="F1557" t="s">
        <v>1280</v>
      </c>
      <c r="G1557"/>
      <c r="H1557"/>
      <c r="I1557" s="16">
        <f>-IFERROR(VLOOKUP(C1557,SIRCUPA!$A$21:$H$186,8,0),0)</f>
        <v>-47.85</v>
      </c>
      <c r="J1557" s="68">
        <f>-IFERROR(VLOOKUP(C1557,SIRTAC!$A$16:$H$1405,8,0),0)</f>
        <v>0</v>
      </c>
      <c r="K1557" s="68">
        <f>-IFERROR(VLOOKUP(C1557,Gastos!$A$9:$J$1398,10,0),0)</f>
        <v>0</v>
      </c>
      <c r="L1557" s="68">
        <f>-IFERROR(VLOOKUP(C1557,IDC!$A$20:$H$1596,8,0),0)</f>
        <v>-19.14</v>
      </c>
      <c r="M1557" s="74">
        <f t="shared" si="29"/>
        <v>3190</v>
      </c>
      <c r="N1557"/>
      <c r="Q1557"/>
      <c r="R1557"/>
    </row>
    <row r="1558" spans="1:18">
      <c r="A1558" t="s">
        <v>202</v>
      </c>
      <c r="B1558" t="s">
        <v>11</v>
      </c>
      <c r="C1558" s="51">
        <v>139486404629</v>
      </c>
      <c r="D1558" s="1">
        <v>3312.62</v>
      </c>
      <c r="E1558" s="1">
        <v>11765903.640000001</v>
      </c>
      <c r="F1558" t="s">
        <v>1280</v>
      </c>
      <c r="G1558"/>
      <c r="H1558"/>
      <c r="I1558" s="16">
        <f>-IFERROR(VLOOKUP(C1558,SIRCUPA!$A$21:$H$186,8,0),0)</f>
        <v>0</v>
      </c>
      <c r="J1558" s="68">
        <f>-IFERROR(VLOOKUP(C1558,SIRTAC!$A$16:$H$1405,8,0),0)</f>
        <v>-34</v>
      </c>
      <c r="K1558" s="68">
        <f>-IFERROR(VLOOKUP(C1558,Gastos!$A$9:$J$1398,10,0),0)</f>
        <v>-32.979999999999997</v>
      </c>
      <c r="L1558" s="68">
        <f>-IFERROR(VLOOKUP(C1558,IDC!$A$20:$H$1596,8,0),0)</f>
        <v>-20.399999999999999</v>
      </c>
      <c r="M1558" s="74">
        <f t="shared" si="29"/>
        <v>3400</v>
      </c>
      <c r="N1558"/>
      <c r="Q1558"/>
      <c r="R1558"/>
    </row>
    <row r="1559" spans="1:18">
      <c r="A1559" t="s">
        <v>202</v>
      </c>
      <c r="B1559" t="s">
        <v>11</v>
      </c>
      <c r="C1559" s="51">
        <v>140134432862</v>
      </c>
      <c r="D1559" s="1">
        <v>217442.05</v>
      </c>
      <c r="E1559" s="1">
        <v>11983345.689999999</v>
      </c>
      <c r="F1559" t="s">
        <v>1280</v>
      </c>
      <c r="G1559"/>
      <c r="H1559"/>
      <c r="I1559" s="16">
        <f>-IFERROR(VLOOKUP(C1559,SIRCUPA!$A$21:$H$186,8,0),0)</f>
        <v>0</v>
      </c>
      <c r="J1559" s="68">
        <f>-IFERROR(VLOOKUP(C1559,SIRTAC!$A$16:$H$1405,8,0),0)</f>
        <v>-2395</v>
      </c>
      <c r="K1559" s="68">
        <f>-IFERROR(VLOOKUP(C1559,Gastos!$A$9:$J$1398,10,0),0)</f>
        <v>-18225.95</v>
      </c>
      <c r="L1559" s="68">
        <f>-IFERROR(VLOOKUP(C1559,IDC!$A$20:$H$1596,8,0),0)</f>
        <v>-1437</v>
      </c>
      <c r="M1559" s="74">
        <f t="shared" si="29"/>
        <v>239500</v>
      </c>
      <c r="N1559"/>
      <c r="Q1559"/>
      <c r="R1559"/>
    </row>
    <row r="1560" spans="1:18">
      <c r="A1560" t="s">
        <v>202</v>
      </c>
      <c r="B1560" t="s">
        <v>11</v>
      </c>
      <c r="C1560" s="51">
        <v>139486393553</v>
      </c>
      <c r="D1560" s="1">
        <v>3702.34</v>
      </c>
      <c r="E1560" s="1">
        <v>11987048.029999999</v>
      </c>
      <c r="F1560" t="s">
        <v>1280</v>
      </c>
      <c r="G1560"/>
      <c r="H1560"/>
      <c r="I1560" s="16">
        <f>-IFERROR(VLOOKUP(C1560,SIRCUPA!$A$21:$H$186,8,0),0)</f>
        <v>0</v>
      </c>
      <c r="J1560" s="68">
        <f>-IFERROR(VLOOKUP(C1560,SIRTAC!$A$16:$H$1405,8,0),0)</f>
        <v>-38</v>
      </c>
      <c r="K1560" s="68">
        <f>-IFERROR(VLOOKUP(C1560,Gastos!$A$9:$J$1398,10,0),0)</f>
        <v>-36.86</v>
      </c>
      <c r="L1560" s="68">
        <f>-IFERROR(VLOOKUP(C1560,IDC!$A$20:$H$1596,8,0),0)</f>
        <v>-22.8</v>
      </c>
      <c r="M1560" s="74">
        <f t="shared" si="29"/>
        <v>3800.0000000000005</v>
      </c>
      <c r="N1560"/>
      <c r="Q1560"/>
      <c r="R1560"/>
    </row>
    <row r="1561" spans="1:18">
      <c r="A1561" t="s">
        <v>194</v>
      </c>
      <c r="B1561" t="s">
        <v>201</v>
      </c>
      <c r="C1561" s="51">
        <v>139478507609</v>
      </c>
      <c r="D1561">
        <v>367.12</v>
      </c>
      <c r="E1561" s="1">
        <v>10789854.18</v>
      </c>
      <c r="F1561" t="s">
        <v>1280</v>
      </c>
      <c r="G1561"/>
      <c r="H1561"/>
      <c r="I1561" s="16">
        <f>-IFERROR(VLOOKUP(C1561,SIRCUPA!$A$21:$H$186,8,0),0)</f>
        <v>-5.63</v>
      </c>
      <c r="J1561" s="68">
        <f>-IFERROR(VLOOKUP(C1561,SIRTAC!$A$16:$H$1405,8,0),0)</f>
        <v>0</v>
      </c>
      <c r="K1561" s="68">
        <f>-IFERROR(VLOOKUP(C1561,Gastos!$A$9:$J$1398,10,0),0)</f>
        <v>0</v>
      </c>
      <c r="L1561" s="68">
        <f>-IFERROR(VLOOKUP(C1561,IDC!$A$20:$H$1596,8,0),0)</f>
        <v>-2.25</v>
      </c>
      <c r="M1561" s="74">
        <f t="shared" si="29"/>
        <v>375</v>
      </c>
      <c r="N1561"/>
      <c r="Q1561"/>
      <c r="R1561"/>
    </row>
    <row r="1562" spans="1:18">
      <c r="A1562" t="s">
        <v>118</v>
      </c>
      <c r="B1562" t="s">
        <v>36</v>
      </c>
      <c r="C1562" s="51">
        <v>138034620679</v>
      </c>
      <c r="D1562" s="1">
        <v>-18138.240000000002</v>
      </c>
      <c r="E1562" s="1">
        <v>10449486.300000001</v>
      </c>
      <c r="F1562" t="s">
        <v>1280</v>
      </c>
      <c r="G1562"/>
      <c r="H1562"/>
      <c r="I1562" s="16">
        <f>-IFERROR(VLOOKUP(C1562,SIRCUPA!$A$21:$H$186,8,0),0)</f>
        <v>0</v>
      </c>
      <c r="J1562" s="68">
        <v>192</v>
      </c>
      <c r="K1562" s="68">
        <v>754.56</v>
      </c>
      <c r="L1562" s="68">
        <v>115.2</v>
      </c>
      <c r="M1562" s="74">
        <f t="shared" si="29"/>
        <v>-19200.000000000004</v>
      </c>
      <c r="N1562"/>
      <c r="Q1562"/>
      <c r="R1562"/>
    </row>
    <row r="1563" spans="1:18">
      <c r="A1563" t="s">
        <v>118</v>
      </c>
      <c r="B1563" t="s">
        <v>36</v>
      </c>
      <c r="C1563" s="51">
        <v>138034929089</v>
      </c>
      <c r="D1563">
        <v>-94.47</v>
      </c>
      <c r="E1563" s="1">
        <v>10467624.539999999</v>
      </c>
      <c r="F1563" t="s">
        <v>1280</v>
      </c>
      <c r="G1563"/>
      <c r="H1563"/>
      <c r="I1563" s="16">
        <f>-IFERROR(VLOOKUP(C1563,SIRCUPA!$A$21:$H$186,8,0),0)</f>
        <v>0</v>
      </c>
      <c r="J1563" s="68">
        <v>1</v>
      </c>
      <c r="K1563" s="68">
        <v>3.93</v>
      </c>
      <c r="L1563" s="68">
        <v>0.6</v>
      </c>
      <c r="M1563" s="74">
        <f t="shared" si="29"/>
        <v>-100</v>
      </c>
      <c r="N1563"/>
      <c r="Q1563"/>
      <c r="R1563"/>
    </row>
    <row r="1564" spans="1:18">
      <c r="A1564" t="s">
        <v>134</v>
      </c>
      <c r="B1564" t="s">
        <v>36</v>
      </c>
      <c r="C1564" s="51">
        <v>138853192420</v>
      </c>
      <c r="D1564" s="1">
        <v>-25136.94</v>
      </c>
      <c r="E1564" s="1">
        <v>13794300.59</v>
      </c>
      <c r="F1564" t="s">
        <v>1280</v>
      </c>
      <c r="G1564"/>
      <c r="H1564"/>
      <c r="I1564" s="16">
        <f>-IFERROR(VLOOKUP(C1564,SIRCUPA!$A$21:$H$186,8,0),0)</f>
        <v>0</v>
      </c>
      <c r="J1564" s="68">
        <v>258</v>
      </c>
      <c r="K1564" s="68">
        <v>250.26</v>
      </c>
      <c r="L1564" s="68">
        <v>154.80000000000001</v>
      </c>
      <c r="M1564" s="74">
        <f t="shared" si="29"/>
        <v>-25799.999999999996</v>
      </c>
      <c r="N1564"/>
      <c r="Q1564"/>
      <c r="R1564"/>
    </row>
    <row r="1565" spans="1:18">
      <c r="A1565" t="s">
        <v>151</v>
      </c>
      <c r="B1565" t="s">
        <v>36</v>
      </c>
      <c r="C1565" s="51">
        <v>139273670082</v>
      </c>
      <c r="D1565" s="1">
        <v>-37032.239999999998</v>
      </c>
      <c r="E1565" s="1">
        <v>16076637.1</v>
      </c>
      <c r="F1565" t="s">
        <v>1280</v>
      </c>
      <c r="G1565"/>
      <c r="H1565"/>
      <c r="I1565" s="16">
        <f>-IFERROR(VLOOKUP(C1565,SIRCUPA!$A$21:$H$186,8,0),0)</f>
        <v>0</v>
      </c>
      <c r="J1565" s="68">
        <v>392</v>
      </c>
      <c r="K1565" s="68">
        <v>1540.56</v>
      </c>
      <c r="L1565" s="68">
        <v>235.2</v>
      </c>
      <c r="M1565" s="74">
        <f t="shared" si="29"/>
        <v>-39199.999999999993</v>
      </c>
      <c r="N1565"/>
      <c r="Q1565"/>
      <c r="R1565"/>
    </row>
    <row r="1566" spans="1:18">
      <c r="A1566" t="s">
        <v>64</v>
      </c>
      <c r="B1566" t="s">
        <v>67</v>
      </c>
      <c r="C1566" s="51">
        <v>136643701755</v>
      </c>
      <c r="D1566" s="1">
        <v>-1000000</v>
      </c>
      <c r="E1566" s="1">
        <v>15800467.59</v>
      </c>
      <c r="F1566" s="27" t="s">
        <v>1283</v>
      </c>
      <c r="G1566" s="16">
        <f>+D1566</f>
        <v>-1000000</v>
      </c>
      <c r="I1566" s="16">
        <f>-IFERROR(VLOOKUP(C1566,SIRCUPA!$A$21:$H$186,8,0),0)</f>
        <v>0</v>
      </c>
      <c r="J1566" s="68">
        <f>-IFERROR(VLOOKUP(C1566,SIRTAC!$A$16:$H$1405,8,0),0)</f>
        <v>0</v>
      </c>
      <c r="K1566" s="68">
        <f>-IFERROR(VLOOKUP(C1566,Gastos!$A$9:$J$1398,10,0),0)</f>
        <v>0</v>
      </c>
      <c r="L1566" s="68">
        <f>-IFERROR(VLOOKUP(C1566,IDC!$A$20:$H$1596,8,0),0)</f>
        <v>0</v>
      </c>
      <c r="M1566" s="52">
        <f t="shared" ref="M1566:M1567" si="30">+D1566</f>
        <v>-1000000</v>
      </c>
    </row>
    <row r="1567" spans="1:18">
      <c r="A1567" t="s">
        <v>64</v>
      </c>
      <c r="B1567" t="s">
        <v>67</v>
      </c>
      <c r="C1567" s="51">
        <v>136644102125</v>
      </c>
      <c r="D1567" s="1">
        <v>-1000000</v>
      </c>
      <c r="E1567" s="1">
        <v>23800467.59</v>
      </c>
      <c r="F1567" s="27" t="s">
        <v>1283</v>
      </c>
      <c r="G1567" s="16">
        <f>+D1567</f>
        <v>-1000000</v>
      </c>
      <c r="I1567" s="16">
        <f>-IFERROR(VLOOKUP(C1567,SIRCUPA!$A$21:$H$186,8,0),0)</f>
        <v>0</v>
      </c>
      <c r="J1567" s="68">
        <f>-IFERROR(VLOOKUP(C1567,SIRTAC!$A$16:$H$1405,8,0),0)</f>
        <v>0</v>
      </c>
      <c r="K1567" s="68">
        <f>-IFERROR(VLOOKUP(C1567,Gastos!$A$9:$J$1398,10,0),0)</f>
        <v>0</v>
      </c>
      <c r="L1567" s="68">
        <f>-IFERROR(VLOOKUP(C1567,IDC!$A$20:$H$1596,8,0),0)</f>
        <v>0</v>
      </c>
      <c r="M1567" s="52">
        <f t="shared" si="30"/>
        <v>-1000000</v>
      </c>
    </row>
    <row r="1568" spans="1:18">
      <c r="A1568" t="s">
        <v>202</v>
      </c>
      <c r="B1568" t="s">
        <v>201</v>
      </c>
      <c r="C1568" s="51">
        <v>139480876737</v>
      </c>
      <c r="D1568">
        <v>489.5</v>
      </c>
      <c r="E1568" s="1">
        <v>10930873.720000001</v>
      </c>
      <c r="F1568" t="s">
        <v>1280</v>
      </c>
      <c r="G1568"/>
      <c r="H1568"/>
      <c r="I1568" s="16">
        <f>-IFERROR(VLOOKUP(C1568,SIRCUPA!$A$21:$H$186,8,0),0)</f>
        <v>-7.5</v>
      </c>
      <c r="J1568" s="68">
        <f>-IFERROR(VLOOKUP(C1568,SIRTAC!$A$16:$H$1405,8,0),0)</f>
        <v>0</v>
      </c>
      <c r="K1568" s="68">
        <f>-IFERROR(VLOOKUP(C1568,Gastos!$A$9:$J$1398,10,0),0)</f>
        <v>0</v>
      </c>
      <c r="L1568" s="68">
        <f>-IFERROR(VLOOKUP(C1568,IDC!$A$20:$H$1596,8,0),0)</f>
        <v>-3</v>
      </c>
      <c r="M1568" s="74">
        <f t="shared" ref="M1568" si="31">+D1568-I1568-J1568-K1568-L1568</f>
        <v>500</v>
      </c>
      <c r="N1568"/>
      <c r="Q1568"/>
      <c r="R1568"/>
    </row>
    <row r="1569" spans="1:18">
      <c r="A1569" t="s">
        <v>64</v>
      </c>
      <c r="B1569" t="s">
        <v>67</v>
      </c>
      <c r="C1569" s="51">
        <v>136644141961</v>
      </c>
      <c r="D1569" s="1">
        <v>-1000000</v>
      </c>
      <c r="E1569" s="1">
        <v>11800467.59</v>
      </c>
      <c r="F1569" s="27" t="s">
        <v>1283</v>
      </c>
      <c r="G1569" s="16">
        <f>+D1569</f>
        <v>-1000000</v>
      </c>
      <c r="I1569" s="16">
        <f>-IFERROR(VLOOKUP(C1569,SIRCUPA!$A$21:$H$186,8,0),0)</f>
        <v>0</v>
      </c>
      <c r="J1569" s="68">
        <f>-IFERROR(VLOOKUP(C1569,SIRTAC!$A$16:$H$1405,8,0),0)</f>
        <v>0</v>
      </c>
      <c r="K1569" s="68">
        <f>-IFERROR(VLOOKUP(C1569,Gastos!$A$9:$J$1398,10,0),0)</f>
        <v>0</v>
      </c>
      <c r="L1569" s="68">
        <f>-IFERROR(VLOOKUP(C1569,IDC!$A$20:$H$1596,8,0),0)</f>
        <v>0</v>
      </c>
      <c r="M1569" s="52">
        <f t="shared" ref="M1569:M1570" si="32">+D1569</f>
        <v>-1000000</v>
      </c>
    </row>
    <row r="1570" spans="1:18">
      <c r="A1570" t="s">
        <v>64</v>
      </c>
      <c r="B1570" t="s">
        <v>67</v>
      </c>
      <c r="C1570" s="51">
        <v>136645101177</v>
      </c>
      <c r="D1570" s="1">
        <v>-200000</v>
      </c>
      <c r="E1570" s="1">
        <v>9600467.5899999999</v>
      </c>
      <c r="F1570" s="27" t="s">
        <v>1283</v>
      </c>
      <c r="G1570" s="16">
        <f>+D1570</f>
        <v>-200000</v>
      </c>
      <c r="I1570" s="16">
        <f>-IFERROR(VLOOKUP(C1570,SIRCUPA!$A$21:$H$186,8,0),0)</f>
        <v>0</v>
      </c>
      <c r="J1570" s="68">
        <f>-IFERROR(VLOOKUP(C1570,SIRTAC!$A$16:$H$1405,8,0),0)</f>
        <v>0</v>
      </c>
      <c r="K1570" s="68">
        <f>-IFERROR(VLOOKUP(C1570,Gastos!$A$9:$J$1398,10,0),0)</f>
        <v>0</v>
      </c>
      <c r="L1570" s="68">
        <f>-IFERROR(VLOOKUP(C1570,IDC!$A$20:$H$1596,8,0),0)</f>
        <v>0</v>
      </c>
      <c r="M1570" s="52">
        <f t="shared" si="32"/>
        <v>-200000</v>
      </c>
    </row>
    <row r="1571" spans="1:18" s="59" customFormat="1">
      <c r="A1571" s="59" t="s">
        <v>64</v>
      </c>
      <c r="B1571" s="59" t="s">
        <v>13</v>
      </c>
      <c r="C1571" s="65">
        <v>137266249568</v>
      </c>
      <c r="D1571" s="66">
        <v>-3000</v>
      </c>
      <c r="E1571" s="1">
        <v>25800467.59</v>
      </c>
      <c r="F1571" s="59" t="s">
        <v>1242</v>
      </c>
      <c r="G1571" s="67">
        <f>+D1571/0.006</f>
        <v>-500000</v>
      </c>
      <c r="H1571" s="67"/>
      <c r="I1571" s="16">
        <f>-IFERROR(VLOOKUP(C1571,SIRCUPA!$A$21:$H$186,8,0),0)</f>
        <v>0</v>
      </c>
      <c r="J1571" s="68">
        <f>-IFERROR(VLOOKUP(C1571,SIRTAC!$A$16:$H$1405,8,0),0)</f>
        <v>0</v>
      </c>
      <c r="K1571" s="68">
        <f>-IFERROR(VLOOKUP(C1571,Gastos!$A$9:$J$1398,10,0),0)</f>
        <v>0</v>
      </c>
      <c r="L1571" s="68"/>
      <c r="M1571" s="75">
        <f>+D1571</f>
        <v>-3000</v>
      </c>
      <c r="N1571" s="67"/>
    </row>
    <row r="1572" spans="1:18" s="59" customFormat="1">
      <c r="A1572" s="59" t="s">
        <v>64</v>
      </c>
      <c r="B1572" s="59" t="s">
        <v>66</v>
      </c>
      <c r="C1572" s="65">
        <v>137266249568</v>
      </c>
      <c r="D1572" s="66">
        <v>-500000</v>
      </c>
      <c r="E1572" s="1">
        <v>25803467.59</v>
      </c>
      <c r="F1572" s="59" t="s">
        <v>1281</v>
      </c>
      <c r="G1572" s="67"/>
      <c r="H1572" s="67"/>
      <c r="I1572" s="16">
        <f>-IFERROR(VLOOKUP(C1572,SIRCUPA!$A$21:$H$186,8,0),0)</f>
        <v>0</v>
      </c>
      <c r="J1572" s="68">
        <f>-IFERROR(VLOOKUP(C1572,SIRTAC!$A$16:$H$1405,8,0),0)</f>
        <v>0</v>
      </c>
      <c r="K1572" s="68">
        <f>-IFERROR(VLOOKUP(C1572,Gastos!$A$9:$J$1398,10,0),0)</f>
        <v>0</v>
      </c>
      <c r="L1572" s="68">
        <f>-IFERROR(VLOOKUP(C1572,IDC!$A$20:$H$1596,8,0),0)</f>
        <v>-3000</v>
      </c>
      <c r="M1572" s="75">
        <f>+D1572</f>
        <v>-500000</v>
      </c>
      <c r="N1572" s="67"/>
    </row>
    <row r="1573" spans="1:18">
      <c r="A1573" t="s">
        <v>202</v>
      </c>
      <c r="B1573" t="s">
        <v>203</v>
      </c>
      <c r="C1573" s="51">
        <v>140129960332</v>
      </c>
      <c r="D1573">
        <v>386.7</v>
      </c>
      <c r="E1573" s="1">
        <v>10958796.09</v>
      </c>
      <c r="F1573" t="s">
        <v>1280</v>
      </c>
      <c r="G1573"/>
      <c r="H1573"/>
      <c r="I1573" s="16">
        <f>-IFERROR(VLOOKUP(C1573,SIRCUPA!$A$21:$H$186,8,0),0)</f>
        <v>-5.93</v>
      </c>
      <c r="J1573" s="68">
        <f>-IFERROR(VLOOKUP(C1573,SIRTAC!$A$16:$H$1405,8,0),0)</f>
        <v>0</v>
      </c>
      <c r="K1573" s="68">
        <f>-IFERROR(VLOOKUP(C1573,Gastos!$A$9:$J$1398,10,0),0)</f>
        <v>0</v>
      </c>
      <c r="L1573" s="68">
        <f>-IFERROR(VLOOKUP(C1573,IDC!$A$20:$H$1596,8,0),0)</f>
        <v>-2.37</v>
      </c>
      <c r="M1573" s="74">
        <f t="shared" ref="M1573" si="33">+D1573-I1573-J1573-K1573-L1573</f>
        <v>395</v>
      </c>
      <c r="N1573"/>
      <c r="Q1573"/>
      <c r="R1573"/>
    </row>
    <row r="1574" spans="1:18">
      <c r="A1574" t="s">
        <v>64</v>
      </c>
      <c r="B1574" t="s">
        <v>67</v>
      </c>
      <c r="C1574" s="51">
        <v>137272037684</v>
      </c>
      <c r="D1574" s="1">
        <v>-1000000</v>
      </c>
      <c r="E1574" s="1">
        <v>21800467.59</v>
      </c>
      <c r="F1574" s="27" t="s">
        <v>1283</v>
      </c>
      <c r="G1574" s="16">
        <f>+D1574</f>
        <v>-1000000</v>
      </c>
      <c r="I1574" s="16">
        <f>-IFERROR(VLOOKUP(C1574,SIRCUPA!$A$21:$H$186,8,0),0)</f>
        <v>0</v>
      </c>
      <c r="J1574" s="68">
        <f>-IFERROR(VLOOKUP(C1574,SIRTAC!$A$16:$H$1405,8,0),0)</f>
        <v>0</v>
      </c>
      <c r="K1574" s="68">
        <f>-IFERROR(VLOOKUP(C1574,Gastos!$A$9:$J$1398,10,0),0)</f>
        <v>0</v>
      </c>
      <c r="L1574" s="68">
        <f>-IFERROR(VLOOKUP(C1574,IDC!$A$20:$H$1596,8,0),0)</f>
        <v>0</v>
      </c>
      <c r="M1574" s="52">
        <f t="shared" ref="M1574:M1578" si="34">+D1574</f>
        <v>-1000000</v>
      </c>
    </row>
    <row r="1575" spans="1:18">
      <c r="A1575" t="s">
        <v>64</v>
      </c>
      <c r="B1575" t="s">
        <v>67</v>
      </c>
      <c r="C1575" s="51">
        <v>137272199862</v>
      </c>
      <c r="D1575" s="1">
        <v>-1000000</v>
      </c>
      <c r="E1575" s="1">
        <v>18800467.59</v>
      </c>
      <c r="F1575" s="27" t="s">
        <v>1283</v>
      </c>
      <c r="G1575" s="16">
        <f>+D1575</f>
        <v>-1000000</v>
      </c>
      <c r="I1575" s="16">
        <f>-IFERROR(VLOOKUP(C1575,SIRCUPA!$A$21:$H$186,8,0),0)</f>
        <v>0</v>
      </c>
      <c r="J1575" s="68">
        <f>-IFERROR(VLOOKUP(C1575,SIRTAC!$A$16:$H$1405,8,0),0)</f>
        <v>0</v>
      </c>
      <c r="K1575" s="68">
        <f>-IFERROR(VLOOKUP(C1575,Gastos!$A$9:$J$1398,10,0),0)</f>
        <v>0</v>
      </c>
      <c r="L1575" s="68">
        <f>-IFERROR(VLOOKUP(C1575,IDC!$A$20:$H$1596,8,0),0)</f>
        <v>0</v>
      </c>
      <c r="M1575" s="52">
        <f t="shared" si="34"/>
        <v>-1000000</v>
      </c>
    </row>
    <row r="1576" spans="1:18">
      <c r="A1576" t="s">
        <v>64</v>
      </c>
      <c r="B1576" t="s">
        <v>67</v>
      </c>
      <c r="C1576" s="51">
        <v>137272959812</v>
      </c>
      <c r="D1576" s="1">
        <v>-1000000</v>
      </c>
      <c r="E1576" s="1">
        <v>14800467.59</v>
      </c>
      <c r="F1576" s="27" t="s">
        <v>1283</v>
      </c>
      <c r="G1576" s="16">
        <f>+D1576</f>
        <v>-1000000</v>
      </c>
      <c r="I1576" s="16">
        <f>-IFERROR(VLOOKUP(C1576,SIRCUPA!$A$21:$H$186,8,0),0)</f>
        <v>0</v>
      </c>
      <c r="J1576" s="68">
        <f>-IFERROR(VLOOKUP(C1576,SIRTAC!$A$16:$H$1405,8,0),0)</f>
        <v>0</v>
      </c>
      <c r="K1576" s="68">
        <f>-IFERROR(VLOOKUP(C1576,Gastos!$A$9:$J$1398,10,0),0)</f>
        <v>0</v>
      </c>
      <c r="L1576" s="68">
        <f>-IFERROR(VLOOKUP(C1576,IDC!$A$20:$H$1596,8,0),0)</f>
        <v>0</v>
      </c>
      <c r="M1576" s="52">
        <f t="shared" si="34"/>
        <v>-1000000</v>
      </c>
    </row>
    <row r="1577" spans="1:18">
      <c r="A1577" t="s">
        <v>64</v>
      </c>
      <c r="B1577" t="s">
        <v>67</v>
      </c>
      <c r="C1577" s="51">
        <v>137273297958</v>
      </c>
      <c r="D1577" s="1">
        <v>-1000000</v>
      </c>
      <c r="E1577" s="1">
        <v>10800467.59</v>
      </c>
      <c r="F1577" s="27" t="s">
        <v>1283</v>
      </c>
      <c r="G1577" s="16">
        <f>+D1577</f>
        <v>-1000000</v>
      </c>
      <c r="I1577" s="16">
        <f>-IFERROR(VLOOKUP(C1577,SIRCUPA!$A$21:$H$186,8,0),0)</f>
        <v>0</v>
      </c>
      <c r="J1577" s="68">
        <f>-IFERROR(VLOOKUP(C1577,SIRTAC!$A$16:$H$1405,8,0),0)</f>
        <v>0</v>
      </c>
      <c r="K1577" s="68">
        <f>-IFERROR(VLOOKUP(C1577,Gastos!$A$9:$J$1398,10,0),0)</f>
        <v>0</v>
      </c>
      <c r="L1577" s="68">
        <f>-IFERROR(VLOOKUP(C1577,IDC!$A$20:$H$1596,8,0),0)</f>
        <v>0</v>
      </c>
      <c r="M1577" s="52">
        <f t="shared" si="34"/>
        <v>-1000000</v>
      </c>
    </row>
    <row r="1578" spans="1:18">
      <c r="A1578" t="s">
        <v>64</v>
      </c>
      <c r="B1578" t="s">
        <v>67</v>
      </c>
      <c r="C1578" s="51">
        <v>137273876874</v>
      </c>
      <c r="D1578" s="1">
        <v>-1000000</v>
      </c>
      <c r="E1578" s="1">
        <v>12800467.59</v>
      </c>
      <c r="F1578" s="27" t="s">
        <v>1283</v>
      </c>
      <c r="G1578" s="16">
        <f>+D1578</f>
        <v>-1000000</v>
      </c>
      <c r="I1578" s="16">
        <f>-IFERROR(VLOOKUP(C1578,SIRCUPA!$A$21:$H$186,8,0),0)</f>
        <v>0</v>
      </c>
      <c r="J1578" s="68">
        <f>-IFERROR(VLOOKUP(C1578,SIRTAC!$A$16:$H$1405,8,0),0)</f>
        <v>0</v>
      </c>
      <c r="K1578" s="68">
        <f>-IFERROR(VLOOKUP(C1578,Gastos!$A$9:$J$1398,10,0),0)</f>
        <v>0</v>
      </c>
      <c r="L1578" s="68">
        <f>-IFERROR(VLOOKUP(C1578,IDC!$A$20:$H$1596,8,0),0)</f>
        <v>0</v>
      </c>
      <c r="M1578" s="52">
        <f t="shared" si="34"/>
        <v>-1000000</v>
      </c>
    </row>
    <row r="1579" spans="1:18">
      <c r="A1579" t="s">
        <v>202</v>
      </c>
      <c r="B1579" t="s">
        <v>204</v>
      </c>
      <c r="C1579" s="51">
        <v>140131190404</v>
      </c>
      <c r="D1579" s="1">
        <v>2364.2800000000002</v>
      </c>
      <c r="E1579" s="1">
        <v>11046273.960000001</v>
      </c>
      <c r="F1579" t="s">
        <v>1280</v>
      </c>
      <c r="G1579"/>
      <c r="H1579"/>
      <c r="I1579" s="16">
        <f>-IFERROR(VLOOKUP(C1579,SIRCUPA!$A$21:$H$186,8,0),0)</f>
        <v>-36.229999999999997</v>
      </c>
      <c r="J1579" s="68">
        <f>-IFERROR(VLOOKUP(C1579,SIRTAC!$A$16:$H$1405,8,0),0)</f>
        <v>0</v>
      </c>
      <c r="K1579" s="68">
        <f>-IFERROR(VLOOKUP(C1579,Gastos!$A$9:$J$1398,10,0),0)</f>
        <v>0</v>
      </c>
      <c r="L1579" s="68">
        <f>-IFERROR(VLOOKUP(C1579,IDC!$A$20:$H$1596,8,0),0)</f>
        <v>-14.49</v>
      </c>
      <c r="M1579" s="74">
        <f t="shared" ref="M1579" si="35">+D1579-I1579-J1579-K1579-L1579</f>
        <v>2415</v>
      </c>
      <c r="N1579"/>
      <c r="Q1579"/>
      <c r="R1579"/>
    </row>
    <row r="1580" spans="1:18">
      <c r="A1580" t="s">
        <v>64</v>
      </c>
      <c r="B1580" t="s">
        <v>67</v>
      </c>
      <c r="C1580" s="51">
        <v>137273884824</v>
      </c>
      <c r="D1580" s="1">
        <v>-1000000</v>
      </c>
      <c r="E1580" s="1">
        <v>13800467.59</v>
      </c>
      <c r="F1580" s="27" t="s">
        <v>1283</v>
      </c>
      <c r="G1580" s="16">
        <f>+D1580</f>
        <v>-1000000</v>
      </c>
      <c r="I1580" s="16">
        <f>-IFERROR(VLOOKUP(C1580,SIRCUPA!$A$21:$H$186,8,0),0)</f>
        <v>0</v>
      </c>
      <c r="J1580" s="68">
        <f>-IFERROR(VLOOKUP(C1580,SIRTAC!$A$16:$H$1405,8,0),0)</f>
        <v>0</v>
      </c>
      <c r="K1580" s="68">
        <f>-IFERROR(VLOOKUP(C1580,Gastos!$A$9:$J$1398,10,0),0)</f>
        <v>0</v>
      </c>
      <c r="L1580" s="68">
        <f>-IFERROR(VLOOKUP(C1580,IDC!$A$20:$H$1596,8,0),0)</f>
        <v>0</v>
      </c>
      <c r="M1580" s="52">
        <f t="shared" ref="M1580:M1581" si="36">+D1580</f>
        <v>-1000000</v>
      </c>
    </row>
    <row r="1581" spans="1:18">
      <c r="A1581" t="s">
        <v>64</v>
      </c>
      <c r="B1581" t="s">
        <v>67</v>
      </c>
      <c r="C1581" s="51">
        <v>137273929588</v>
      </c>
      <c r="D1581" s="1">
        <v>-1000000</v>
      </c>
      <c r="E1581" s="1">
        <v>9800467.5899999999</v>
      </c>
      <c r="F1581" s="27" t="s">
        <v>1283</v>
      </c>
      <c r="G1581" s="16">
        <f>+D1581</f>
        <v>-1000000</v>
      </c>
      <c r="I1581" s="16">
        <f>-IFERROR(VLOOKUP(C1581,SIRCUPA!$A$21:$H$186,8,0),0)</f>
        <v>0</v>
      </c>
      <c r="J1581" s="68">
        <f>-IFERROR(VLOOKUP(C1581,SIRTAC!$A$16:$H$1405,8,0),0)</f>
        <v>0</v>
      </c>
      <c r="K1581" s="68">
        <f>-IFERROR(VLOOKUP(C1581,Gastos!$A$9:$J$1398,10,0),0)</f>
        <v>0</v>
      </c>
      <c r="L1581" s="68">
        <f>-IFERROR(VLOOKUP(C1581,IDC!$A$20:$H$1596,8,0),0)</f>
        <v>0</v>
      </c>
      <c r="M1581" s="52">
        <f t="shared" si="36"/>
        <v>-1000000</v>
      </c>
    </row>
    <row r="1582" spans="1:18">
      <c r="A1582" t="s">
        <v>81</v>
      </c>
      <c r="B1582" t="s">
        <v>86</v>
      </c>
      <c r="C1582" s="51">
        <v>137611435372</v>
      </c>
      <c r="D1582" s="1">
        <v>-144652.32999999999</v>
      </c>
      <c r="E1582" s="1">
        <v>12987065.060000001</v>
      </c>
      <c r="F1582" s="27" t="s">
        <v>1281</v>
      </c>
      <c r="G1582" s="16">
        <f>+D1582/1.006</f>
        <v>-143789.59244532802</v>
      </c>
      <c r="I1582" s="16">
        <f>-IFERROR(VLOOKUP(C1582,SIRCUPA!$A$21:$H$186,8,0),0)</f>
        <v>0</v>
      </c>
      <c r="J1582" s="68">
        <f>-IFERROR(VLOOKUP(C1582,SIRTAC!$A$16:$H$1405,8,0),0)</f>
        <v>0</v>
      </c>
      <c r="K1582" s="68">
        <f>-IFERROR(VLOOKUP(C1582,Gastos!$A$9:$J$1398,10,0),0)</f>
        <v>0</v>
      </c>
      <c r="L1582" s="68">
        <f>-IFERROR(VLOOKUP(C1582,IDC!$A$20:$H$1596,8,0),0)</f>
        <v>-862.74</v>
      </c>
      <c r="M1582" s="52">
        <f>+D1582-I1582-J1582-K1582-L1582</f>
        <v>-143789.59</v>
      </c>
      <c r="O1582" s="27" t="s">
        <v>223</v>
      </c>
      <c r="Q1582"/>
      <c r="R1582"/>
    </row>
    <row r="1583" spans="1:18">
      <c r="A1583" t="s">
        <v>81</v>
      </c>
      <c r="B1583" t="s">
        <v>87</v>
      </c>
      <c r="C1583" s="51">
        <v>137621114436</v>
      </c>
      <c r="D1583" s="1">
        <v>-45268.99</v>
      </c>
      <c r="E1583" s="1">
        <v>12941796.07</v>
      </c>
      <c r="F1583" s="27" t="s">
        <v>1281</v>
      </c>
      <c r="G1583" s="16">
        <f>+D1583/1.006</f>
        <v>-44998.99602385686</v>
      </c>
      <c r="I1583" s="16">
        <f>-IFERROR(VLOOKUP(C1583,SIRCUPA!$A$21:$H$186,8,0),0)</f>
        <v>0</v>
      </c>
      <c r="J1583" s="68">
        <f>-IFERROR(VLOOKUP(C1583,SIRTAC!$A$16:$H$1405,8,0),0)</f>
        <v>0</v>
      </c>
      <c r="K1583" s="68">
        <f>-IFERROR(VLOOKUP(C1583,Gastos!$A$9:$J$1398,10,0),0)</f>
        <v>0</v>
      </c>
      <c r="L1583" s="68"/>
      <c r="M1583" s="52">
        <f>+D1583-I1583-J1583-K1583-L1583</f>
        <v>-45268.99</v>
      </c>
      <c r="Q1583"/>
      <c r="R1583"/>
    </row>
    <row r="1584" spans="1:18" s="59" customFormat="1">
      <c r="A1584" s="59" t="s">
        <v>106</v>
      </c>
      <c r="B1584" s="59" t="s">
        <v>13</v>
      </c>
      <c r="C1584" s="65">
        <v>137625617225</v>
      </c>
      <c r="D1584" s="66">
        <v>-1800</v>
      </c>
      <c r="E1584" s="1">
        <v>17348924.239999998</v>
      </c>
      <c r="F1584" s="59" t="s">
        <v>1242</v>
      </c>
      <c r="G1584" s="67">
        <f>+D1584/0.006</f>
        <v>-300000</v>
      </c>
      <c r="H1584" s="67"/>
      <c r="I1584" s="16">
        <f>-IFERROR(VLOOKUP(C1584,SIRCUPA!$A$21:$H$186,8,0),0)</f>
        <v>0</v>
      </c>
      <c r="J1584" s="68">
        <f>-IFERROR(VLOOKUP(C1584,SIRTAC!$A$16:$H$1405,8,0),0)</f>
        <v>0</v>
      </c>
      <c r="K1584" s="68">
        <f>-IFERROR(VLOOKUP(C1584,Gastos!$A$9:$J$1398,10,0),0)</f>
        <v>0</v>
      </c>
      <c r="L1584" s="68"/>
      <c r="M1584" s="75">
        <f>+D1584</f>
        <v>-1800</v>
      </c>
      <c r="N1584" s="67"/>
    </row>
    <row r="1585" spans="1:18" s="59" customFormat="1">
      <c r="A1585" s="59" t="s">
        <v>106</v>
      </c>
      <c r="B1585" s="59" t="s">
        <v>66</v>
      </c>
      <c r="C1585" s="65">
        <v>137625617225</v>
      </c>
      <c r="D1585" s="66">
        <v>-300000</v>
      </c>
      <c r="E1585" s="1">
        <v>17350724.239999998</v>
      </c>
      <c r="F1585" s="59" t="s">
        <v>1281</v>
      </c>
      <c r="G1585" s="67"/>
      <c r="H1585" s="67"/>
      <c r="I1585" s="16">
        <f>-IFERROR(VLOOKUP(C1585,SIRCUPA!$A$21:$H$186,8,0),0)</f>
        <v>0</v>
      </c>
      <c r="J1585" s="68">
        <f>-IFERROR(VLOOKUP(C1585,SIRTAC!$A$16:$H$1405,8,0),0)</f>
        <v>0</v>
      </c>
      <c r="K1585" s="68">
        <f>-IFERROR(VLOOKUP(C1585,Gastos!$A$9:$J$1398,10,0),0)</f>
        <v>0</v>
      </c>
      <c r="L1585" s="68">
        <f>-IFERROR(VLOOKUP(C1585,IDC!$A$20:$H$1596,8,0),0)</f>
        <v>-1800</v>
      </c>
      <c r="M1585" s="75">
        <f>+D1585</f>
        <v>-300000</v>
      </c>
      <c r="N1585" s="67"/>
    </row>
    <row r="1586" spans="1:18">
      <c r="A1586" t="s">
        <v>106</v>
      </c>
      <c r="B1586" t="s">
        <v>107</v>
      </c>
      <c r="C1586" s="51">
        <v>137628567805</v>
      </c>
      <c r="D1586" s="1">
        <v>-366988.79999999999</v>
      </c>
      <c r="E1586" s="1">
        <v>16981935.440000001</v>
      </c>
      <c r="F1586" s="27" t="s">
        <v>1281</v>
      </c>
      <c r="G1586" s="16">
        <f>+D1586/1.006</f>
        <v>-364800</v>
      </c>
      <c r="I1586" s="16">
        <f>-IFERROR(VLOOKUP(C1586,SIRCUPA!$A$21:$H$186,8,0),0)</f>
        <v>0</v>
      </c>
      <c r="J1586" s="68">
        <f>-IFERROR(VLOOKUP(C1586,SIRTAC!$A$16:$H$1405,8,0),0)</f>
        <v>0</v>
      </c>
      <c r="K1586" s="68">
        <f>-IFERROR(VLOOKUP(C1586,Gastos!$A$9:$J$1398,10,0),0)</f>
        <v>0</v>
      </c>
      <c r="L1586" s="68">
        <f>+D1586-G1586</f>
        <v>-2188.7999999999884</v>
      </c>
      <c r="M1586" s="52">
        <f>+D1586-I1586-J1586-K1586-L1586</f>
        <v>-364800</v>
      </c>
    </row>
    <row r="1587" spans="1:18">
      <c r="A1587" t="s">
        <v>106</v>
      </c>
      <c r="B1587" t="s">
        <v>67</v>
      </c>
      <c r="C1587" s="51">
        <v>137647504691</v>
      </c>
      <c r="D1587" s="1">
        <v>-3200000</v>
      </c>
      <c r="E1587" s="1">
        <v>13781935.439999999</v>
      </c>
      <c r="F1587" s="27" t="s">
        <v>1283</v>
      </c>
      <c r="G1587" s="16">
        <f>+D1587</f>
        <v>-3200000</v>
      </c>
      <c r="I1587" s="16">
        <f>-IFERROR(VLOOKUP(C1587,SIRCUPA!$A$21:$H$186,8,0),0)</f>
        <v>0</v>
      </c>
      <c r="J1587" s="68">
        <f>-IFERROR(VLOOKUP(C1587,SIRTAC!$A$16:$H$1405,8,0),0)</f>
        <v>0</v>
      </c>
      <c r="K1587" s="68">
        <f>-IFERROR(VLOOKUP(C1587,Gastos!$A$9:$J$1398,10,0),0)</f>
        <v>0</v>
      </c>
      <c r="L1587" s="68">
        <f>-IFERROR(VLOOKUP(C1587,IDC!$A$20:$H$1596,8,0),0)</f>
        <v>0</v>
      </c>
      <c r="M1587" s="52">
        <f>+D1587</f>
        <v>-3200000</v>
      </c>
    </row>
    <row r="1588" spans="1:18">
      <c r="A1588" t="s">
        <v>106</v>
      </c>
      <c r="B1588" t="s">
        <v>108</v>
      </c>
      <c r="C1588" s="51">
        <v>137676769397</v>
      </c>
      <c r="D1588" s="1">
        <v>-89507.839999999997</v>
      </c>
      <c r="E1588" s="1">
        <v>13692427.6</v>
      </c>
      <c r="F1588" s="27" t="s">
        <v>1281</v>
      </c>
      <c r="G1588" s="16">
        <f>+D1588/1.006</f>
        <v>-88973.99602385686</v>
      </c>
      <c r="I1588" s="16">
        <f>-IFERROR(VLOOKUP(C1588,SIRCUPA!$A$21:$H$186,8,0),0)</f>
        <v>0</v>
      </c>
      <c r="J1588" s="68">
        <f>-IFERROR(VLOOKUP(C1588,SIRTAC!$A$16:$H$1405,8,0),0)</f>
        <v>0</v>
      </c>
      <c r="K1588" s="68">
        <f>-IFERROR(VLOOKUP(C1588,Gastos!$A$9:$J$1398,10,0),0)</f>
        <v>0</v>
      </c>
      <c r="L1588" s="68">
        <f>-IFERROR(VLOOKUP(C1588,IDC!$A$20:$H$1596,8,0),0)</f>
        <v>-533.84</v>
      </c>
      <c r="M1588" s="52">
        <f>+D1588-I1588-J1588-K1588-L1588</f>
        <v>-88974</v>
      </c>
      <c r="O1588" s="27" t="s">
        <v>224</v>
      </c>
      <c r="Q1588"/>
      <c r="R1588"/>
    </row>
    <row r="1589" spans="1:18" s="59" customFormat="1">
      <c r="A1589" s="59" t="s">
        <v>118</v>
      </c>
      <c r="B1589" s="59" t="s">
        <v>13</v>
      </c>
      <c r="C1589" s="65">
        <v>137934058475</v>
      </c>
      <c r="D1589" s="66">
        <v>-3084.42</v>
      </c>
      <c r="E1589" s="1">
        <v>16851886.300000001</v>
      </c>
      <c r="F1589" s="59" t="s">
        <v>1242</v>
      </c>
      <c r="G1589" s="67">
        <f>+D1589/0.006</f>
        <v>-514070</v>
      </c>
      <c r="H1589" s="67"/>
      <c r="I1589" s="16">
        <f>-IFERROR(VLOOKUP(C1589,SIRCUPA!$A$21:$H$186,8,0),0)</f>
        <v>0</v>
      </c>
      <c r="J1589" s="68">
        <f>-IFERROR(VLOOKUP(C1589,SIRTAC!$A$16:$H$1405,8,0),0)</f>
        <v>0</v>
      </c>
      <c r="K1589" s="68">
        <f>-IFERROR(VLOOKUP(C1589,Gastos!$A$9:$J$1398,10,0),0)</f>
        <v>0</v>
      </c>
      <c r="L1589" s="68"/>
      <c r="M1589" s="75">
        <f>+D1589</f>
        <v>-3084.42</v>
      </c>
      <c r="N1589" s="67"/>
    </row>
    <row r="1590" spans="1:18" s="59" customFormat="1">
      <c r="A1590" s="59" t="s">
        <v>118</v>
      </c>
      <c r="B1590" s="59" t="s">
        <v>124</v>
      </c>
      <c r="C1590" s="65">
        <v>137934058475</v>
      </c>
      <c r="D1590" s="66">
        <v>-514069.75</v>
      </c>
      <c r="E1590" s="1">
        <v>16854970.719999999</v>
      </c>
      <c r="F1590" s="59" t="s">
        <v>1281</v>
      </c>
      <c r="G1590" s="67"/>
      <c r="H1590" s="67"/>
      <c r="I1590" s="16">
        <f>-IFERROR(VLOOKUP(C1590,SIRCUPA!$A$21:$H$186,8,0),0)</f>
        <v>0</v>
      </c>
      <c r="J1590" s="68">
        <f>-IFERROR(VLOOKUP(C1590,SIRTAC!$A$16:$H$1405,8,0),0)</f>
        <v>0</v>
      </c>
      <c r="K1590" s="68">
        <f>-IFERROR(VLOOKUP(C1590,Gastos!$A$9:$J$1398,10,0),0)</f>
        <v>0</v>
      </c>
      <c r="L1590" s="68">
        <f>-IFERROR(VLOOKUP(C1590,IDC!$A$20:$H$1596,8,0),0)</f>
        <v>-3084.42</v>
      </c>
      <c r="M1590" s="75">
        <f>+D1590</f>
        <v>-514069.75</v>
      </c>
      <c r="N1590" s="67"/>
    </row>
    <row r="1591" spans="1:18">
      <c r="A1591" t="s">
        <v>202</v>
      </c>
      <c r="B1591" t="s">
        <v>203</v>
      </c>
      <c r="C1591" s="51">
        <v>139485224387</v>
      </c>
      <c r="D1591">
        <v>773.41</v>
      </c>
      <c r="E1591" s="1">
        <v>11211935.77</v>
      </c>
      <c r="F1591" t="s">
        <v>1280</v>
      </c>
      <c r="G1591"/>
      <c r="H1591"/>
      <c r="I1591" s="16">
        <f>-IFERROR(VLOOKUP(C1591,SIRCUPA!$A$21:$H$186,8,0),0)</f>
        <v>-11.85</v>
      </c>
      <c r="J1591" s="68">
        <f>-IFERROR(VLOOKUP(C1591,SIRTAC!$A$16:$H$1405,8,0),0)</f>
        <v>0</v>
      </c>
      <c r="K1591" s="68">
        <f>-IFERROR(VLOOKUP(C1591,Gastos!$A$9:$J$1398,10,0),0)</f>
        <v>0</v>
      </c>
      <c r="L1591" s="68">
        <f>-IFERROR(VLOOKUP(C1591,IDC!$A$20:$H$1596,8,0),0)</f>
        <v>-4.74</v>
      </c>
      <c r="M1591" s="74">
        <f t="shared" ref="M1591" si="37">+D1591-I1591-J1591-K1591-L1591</f>
        <v>790</v>
      </c>
      <c r="N1591"/>
      <c r="Q1591"/>
      <c r="R1591"/>
    </row>
    <row r="1592" spans="1:18">
      <c r="A1592" t="s">
        <v>118</v>
      </c>
      <c r="B1592" t="s">
        <v>67</v>
      </c>
      <c r="C1592" s="51">
        <v>137938761795</v>
      </c>
      <c r="D1592" s="1">
        <v>-2000000</v>
      </c>
      <c r="E1592" s="1">
        <v>10851886.300000001</v>
      </c>
      <c r="F1592" s="27" t="s">
        <v>1283</v>
      </c>
      <c r="G1592" s="16">
        <f>+D1592</f>
        <v>-2000000</v>
      </c>
      <c r="I1592" s="16">
        <f>-IFERROR(VLOOKUP(C1592,SIRCUPA!$A$21:$H$186,8,0),0)</f>
        <v>0</v>
      </c>
      <c r="J1592" s="68">
        <f>-IFERROR(VLOOKUP(C1592,SIRTAC!$A$16:$H$1405,8,0),0)</f>
        <v>0</v>
      </c>
      <c r="K1592" s="68">
        <f>-IFERROR(VLOOKUP(C1592,Gastos!$A$9:$J$1398,10,0),0)</f>
        <v>0</v>
      </c>
      <c r="L1592" s="68">
        <f>-IFERROR(VLOOKUP(C1592,IDC!$A$20:$H$1596,8,0),0)</f>
        <v>0</v>
      </c>
      <c r="M1592" s="52">
        <f>+D1592</f>
        <v>-2000000</v>
      </c>
    </row>
    <row r="1593" spans="1:18" s="59" customFormat="1">
      <c r="A1593" s="59" t="s">
        <v>118</v>
      </c>
      <c r="B1593" s="59" t="s">
        <v>13</v>
      </c>
      <c r="C1593" s="65">
        <v>138016711113</v>
      </c>
      <c r="D1593" s="66">
        <v>-2400</v>
      </c>
      <c r="E1593" s="1">
        <v>10449486.300000001</v>
      </c>
      <c r="F1593" s="59" t="s">
        <v>1242</v>
      </c>
      <c r="G1593" s="67">
        <f>+D1593/0.006</f>
        <v>-400000</v>
      </c>
      <c r="H1593" s="67"/>
      <c r="I1593" s="16">
        <f>-IFERROR(VLOOKUP(C1593,SIRCUPA!$A$21:$H$186,8,0),0)</f>
        <v>0</v>
      </c>
      <c r="J1593" s="68">
        <f>-IFERROR(VLOOKUP(C1593,SIRTAC!$A$16:$H$1405,8,0),0)</f>
        <v>0</v>
      </c>
      <c r="K1593" s="68">
        <f>-IFERROR(VLOOKUP(C1593,Gastos!$A$9:$J$1398,10,0),0)</f>
        <v>0</v>
      </c>
      <c r="L1593" s="68"/>
      <c r="M1593" s="75">
        <f>+D1593</f>
        <v>-2400</v>
      </c>
      <c r="N1593" s="67"/>
    </row>
    <row r="1594" spans="1:18" s="59" customFormat="1">
      <c r="A1594" s="59" t="s">
        <v>118</v>
      </c>
      <c r="B1594" s="59" t="s">
        <v>66</v>
      </c>
      <c r="C1594" s="65">
        <v>138016711113</v>
      </c>
      <c r="D1594" s="66">
        <v>-400000</v>
      </c>
      <c r="E1594" s="1">
        <v>10451886.300000001</v>
      </c>
      <c r="F1594" s="59" t="s">
        <v>1281</v>
      </c>
      <c r="G1594" s="67"/>
      <c r="H1594" s="67"/>
      <c r="I1594" s="16">
        <f>-IFERROR(VLOOKUP(C1594,SIRCUPA!$A$21:$H$186,8,0),0)</f>
        <v>0</v>
      </c>
      <c r="J1594" s="68">
        <f>-IFERROR(VLOOKUP(C1594,SIRTAC!$A$16:$H$1405,8,0),0)</f>
        <v>0</v>
      </c>
      <c r="K1594" s="68">
        <f>-IFERROR(VLOOKUP(C1594,Gastos!$A$9:$J$1398,10,0),0)</f>
        <v>0</v>
      </c>
      <c r="L1594" s="68">
        <f>-IFERROR(VLOOKUP(C1594,IDC!$A$20:$H$1596,8,0),0)</f>
        <v>-2400</v>
      </c>
      <c r="M1594" s="75">
        <f>+D1594</f>
        <v>-400000</v>
      </c>
      <c r="N1594" s="67"/>
    </row>
    <row r="1595" spans="1:18">
      <c r="A1595" t="s">
        <v>106</v>
      </c>
      <c r="B1595" t="s">
        <v>109</v>
      </c>
      <c r="C1595" s="51">
        <v>138355746802</v>
      </c>
      <c r="D1595" s="1">
        <v>-118708</v>
      </c>
      <c r="E1595" s="1">
        <v>13573719.6</v>
      </c>
      <c r="F1595" s="27" t="s">
        <v>1281</v>
      </c>
      <c r="G1595" s="16">
        <f>+D1595/1.006</f>
        <v>-118000</v>
      </c>
      <c r="I1595" s="16">
        <f>-IFERROR(VLOOKUP(C1595,SIRCUPA!$A$21:$H$186,8,0),0)</f>
        <v>0</v>
      </c>
      <c r="J1595" s="68">
        <f>-IFERROR(VLOOKUP(C1595,SIRTAC!$A$16:$H$1405,8,0),0)</f>
        <v>0</v>
      </c>
      <c r="K1595" s="68">
        <f>-IFERROR(VLOOKUP(C1595,Gastos!$A$9:$J$1398,10,0),0)</f>
        <v>0</v>
      </c>
      <c r="L1595" s="68">
        <f>+D1595-G1595</f>
        <v>-708</v>
      </c>
      <c r="M1595" s="52">
        <f>+D1595-I1595-J1595-K1595-L1595</f>
        <v>-118000</v>
      </c>
      <c r="O1595" s="27" t="s">
        <v>225</v>
      </c>
    </row>
    <row r="1596" spans="1:18">
      <c r="A1596" t="s">
        <v>202</v>
      </c>
      <c r="B1596" t="s">
        <v>201</v>
      </c>
      <c r="C1596" s="51">
        <v>139485730265</v>
      </c>
      <c r="D1596">
        <v>724.46</v>
      </c>
      <c r="E1596" s="1">
        <v>11273337.68</v>
      </c>
      <c r="F1596" t="s">
        <v>1280</v>
      </c>
      <c r="G1596"/>
      <c r="H1596"/>
      <c r="I1596" s="16">
        <f>-IFERROR(VLOOKUP(C1596,SIRCUPA!$A$21:$H$186,8,0),0)</f>
        <v>-11.1</v>
      </c>
      <c r="J1596" s="68">
        <f>-IFERROR(VLOOKUP(C1596,SIRTAC!$A$16:$H$1405,8,0),0)</f>
        <v>0</v>
      </c>
      <c r="K1596" s="68">
        <f>-IFERROR(VLOOKUP(C1596,Gastos!$A$9:$J$1398,10,0),0)</f>
        <v>0</v>
      </c>
      <c r="L1596" s="68">
        <f>-IFERROR(VLOOKUP(C1596,IDC!$A$20:$H$1596,8,0),0)</f>
        <v>-4.4400000000000004</v>
      </c>
      <c r="M1596" s="74">
        <f t="shared" ref="M1596" si="38">+D1596-I1596-J1596-K1596-L1596</f>
        <v>740.00000000000011</v>
      </c>
      <c r="N1596"/>
      <c r="Q1596"/>
      <c r="R1596"/>
    </row>
    <row r="1597" spans="1:18">
      <c r="A1597" t="s">
        <v>149</v>
      </c>
      <c r="B1597" t="s">
        <v>65</v>
      </c>
      <c r="C1597" s="51">
        <v>138371810153</v>
      </c>
      <c r="D1597" s="17">
        <v>-716612.4</v>
      </c>
      <c r="E1597" s="1">
        <v>16030589.710000001</v>
      </c>
      <c r="F1597" s="27" t="s">
        <v>1282</v>
      </c>
      <c r="G1597" s="16">
        <f>+D1597/1.006</f>
        <v>-712338.36978131218</v>
      </c>
      <c r="I1597" s="16">
        <f>-IFERROR(VLOOKUP(C1597,SIRCUPA!$A$21:$H$186,8,0),0)</f>
        <v>0</v>
      </c>
      <c r="J1597" s="68">
        <f>-IFERROR(VLOOKUP(C1597,SIRTAC!$A$16:$H$1405,8,0),0)</f>
        <v>0</v>
      </c>
      <c r="K1597" s="68">
        <f>-IFERROR(VLOOKUP(C1597,Gastos!$A$9:$J$1398,10,0),0)</f>
        <v>0</v>
      </c>
      <c r="L1597" s="68">
        <f>+D1597-G1597</f>
        <v>-4274.0302186878398</v>
      </c>
      <c r="M1597" s="52">
        <f>+D1597-I1597-J1597-K1597-L1597</f>
        <v>-712338.36978131218</v>
      </c>
    </row>
    <row r="1598" spans="1:18">
      <c r="A1598" t="s">
        <v>118</v>
      </c>
      <c r="B1598" t="s">
        <v>67</v>
      </c>
      <c r="C1598" s="51">
        <v>138579078470</v>
      </c>
      <c r="D1598" s="1">
        <v>-2000000</v>
      </c>
      <c r="E1598" s="1">
        <v>12851886.300000001</v>
      </c>
      <c r="F1598" s="27" t="s">
        <v>1283</v>
      </c>
      <c r="G1598" s="16">
        <f>+D1598</f>
        <v>-2000000</v>
      </c>
      <c r="I1598" s="16">
        <f>-IFERROR(VLOOKUP(C1598,SIRCUPA!$A$21:$H$186,8,0),0)</f>
        <v>0</v>
      </c>
      <c r="J1598" s="68">
        <f>-IFERROR(VLOOKUP(C1598,SIRTAC!$A$16:$H$1405,8,0),0)</f>
        <v>0</v>
      </c>
      <c r="K1598" s="68">
        <f>-IFERROR(VLOOKUP(C1598,Gastos!$A$9:$J$1398,10,0),0)</f>
        <v>0</v>
      </c>
      <c r="L1598" s="68">
        <f>-IFERROR(VLOOKUP(C1598,IDC!$A$20:$H$1596,8,0),0)</f>
        <v>0</v>
      </c>
      <c r="M1598" s="52">
        <f t="shared" ref="M1598:M1599" si="39">+D1598</f>
        <v>-2000000</v>
      </c>
    </row>
    <row r="1599" spans="1:18">
      <c r="A1599" t="s">
        <v>118</v>
      </c>
      <c r="B1599" t="s">
        <v>67</v>
      </c>
      <c r="C1599" s="51">
        <v>138579090174</v>
      </c>
      <c r="D1599" s="1">
        <v>-2000000</v>
      </c>
      <c r="E1599" s="1">
        <v>14851886.300000001</v>
      </c>
      <c r="F1599" s="27" t="s">
        <v>1283</v>
      </c>
      <c r="G1599" s="16">
        <f>+D1599</f>
        <v>-2000000</v>
      </c>
      <c r="I1599" s="16">
        <f>-IFERROR(VLOOKUP(C1599,SIRCUPA!$A$21:$H$186,8,0),0)</f>
        <v>0</v>
      </c>
      <c r="J1599" s="68">
        <f>-IFERROR(VLOOKUP(C1599,SIRTAC!$A$16:$H$1405,8,0),0)</f>
        <v>0</v>
      </c>
      <c r="K1599" s="68">
        <f>-IFERROR(VLOOKUP(C1599,Gastos!$A$9:$J$1398,10,0),0)</f>
        <v>0</v>
      </c>
      <c r="L1599" s="68">
        <f>-IFERROR(VLOOKUP(C1599,IDC!$A$20:$H$1596,8,0),0)</f>
        <v>0</v>
      </c>
      <c r="M1599" s="52">
        <f t="shared" si="39"/>
        <v>-2000000</v>
      </c>
    </row>
    <row r="1600" spans="1:18">
      <c r="A1600" t="s">
        <v>127</v>
      </c>
      <c r="B1600" t="s">
        <v>131</v>
      </c>
      <c r="C1600" s="51">
        <v>138781228844</v>
      </c>
      <c r="D1600" s="1">
        <v>-66827.570000000007</v>
      </c>
      <c r="E1600" s="1">
        <v>12611533.42</v>
      </c>
      <c r="F1600" s="27" t="s">
        <v>1281</v>
      </c>
      <c r="G1600" s="16">
        <f>+D1600/1.006</f>
        <v>-66428.99602385686</v>
      </c>
      <c r="I1600" s="16">
        <f>-IFERROR(VLOOKUP(C1600,SIRCUPA!$A$21:$H$186,8,0),0)</f>
        <v>0</v>
      </c>
      <c r="J1600" s="68">
        <f>-IFERROR(VLOOKUP(C1600,SIRTAC!$A$16:$H$1405,8,0),0)</f>
        <v>0</v>
      </c>
      <c r="K1600" s="68">
        <f>-IFERROR(VLOOKUP(C1600,Gastos!$A$9:$J$1398,10,0),0)</f>
        <v>0</v>
      </c>
      <c r="L1600" s="68">
        <f>-IFERROR(VLOOKUP(C1600,IDC!$A$20:$H$1596,8,0),0)</f>
        <v>-398.57</v>
      </c>
      <c r="M1600" s="52">
        <f>+D1600-I1600-J1600-K1600-L1600</f>
        <v>-66429</v>
      </c>
      <c r="Q1600"/>
      <c r="R1600"/>
    </row>
    <row r="1601" spans="1:18">
      <c r="A1601" t="s">
        <v>202</v>
      </c>
      <c r="B1601" t="s">
        <v>205</v>
      </c>
      <c r="C1601" s="51">
        <v>140133811442</v>
      </c>
      <c r="D1601">
        <v>719.56</v>
      </c>
      <c r="E1601" s="1">
        <v>11440750.1</v>
      </c>
      <c r="F1601" t="s">
        <v>1280</v>
      </c>
      <c r="G1601"/>
      <c r="H1601"/>
      <c r="I1601" s="16">
        <f>-IFERROR(VLOOKUP(C1601,SIRCUPA!$A$21:$H$186,8,0),0)</f>
        <v>-11.03</v>
      </c>
      <c r="J1601" s="68">
        <f>-IFERROR(VLOOKUP(C1601,SIRTAC!$A$16:$H$1405,8,0),0)</f>
        <v>0</v>
      </c>
      <c r="K1601" s="68">
        <f>-IFERROR(VLOOKUP(C1601,Gastos!$A$9:$J$1398,10,0),0)</f>
        <v>0</v>
      </c>
      <c r="L1601" s="68">
        <f>-IFERROR(VLOOKUP(C1601,IDC!$A$20:$H$1596,8,0),0)</f>
        <v>-4.41</v>
      </c>
      <c r="M1601" s="74">
        <f t="shared" ref="M1601" si="40">+D1601-I1601-J1601-K1601-L1601</f>
        <v>734.99999999999989</v>
      </c>
      <c r="N1601"/>
      <c r="Q1601"/>
      <c r="R1601"/>
    </row>
    <row r="1602" spans="1:18">
      <c r="A1602" t="s">
        <v>168</v>
      </c>
      <c r="B1602" t="s">
        <v>65</v>
      </c>
      <c r="C1602" s="51">
        <v>138873529219</v>
      </c>
      <c r="D1602" s="1">
        <v>-5960492.9299999997</v>
      </c>
      <c r="E1602" s="1">
        <v>12063892.550000001</v>
      </c>
      <c r="F1602" s="27" t="s">
        <v>1282</v>
      </c>
      <c r="G1602" s="16">
        <f>+D1602/1.006</f>
        <v>-5924943.2703777328</v>
      </c>
      <c r="I1602" s="16">
        <f>-IFERROR(VLOOKUP(C1602,SIRCUPA!$A$21:$H$186,8,0),0)</f>
        <v>0</v>
      </c>
      <c r="J1602" s="68">
        <f>-IFERROR(VLOOKUP(C1602,SIRTAC!$A$16:$H$1405,8,0),0)</f>
        <v>0</v>
      </c>
      <c r="K1602" s="68">
        <f>-IFERROR(VLOOKUP(C1602,Gastos!$A$9:$J$1398,10,0),0)</f>
        <v>0</v>
      </c>
      <c r="L1602" s="68">
        <f>+D1602-G1602</f>
        <v>-35549.659622266889</v>
      </c>
      <c r="M1602" s="52">
        <f>+D1602-I1602-J1602-K1602-L1602</f>
        <v>-5924943.2703777328</v>
      </c>
    </row>
    <row r="1603" spans="1:18" s="59" customFormat="1">
      <c r="A1603" s="59" t="s">
        <v>149</v>
      </c>
      <c r="B1603" s="59" t="s">
        <v>13</v>
      </c>
      <c r="C1603" s="65">
        <v>139008795034</v>
      </c>
      <c r="D1603" s="66">
        <v>-3000</v>
      </c>
      <c r="E1603" s="1">
        <v>16747202.109999999</v>
      </c>
      <c r="F1603" s="59" t="s">
        <v>1242</v>
      </c>
      <c r="G1603" s="67">
        <f>+D1603/0.006</f>
        <v>-500000</v>
      </c>
      <c r="H1603" s="67"/>
      <c r="I1603" s="16">
        <f>-IFERROR(VLOOKUP(C1603,SIRCUPA!$A$21:$H$186,8,0),0)</f>
        <v>0</v>
      </c>
      <c r="J1603" s="68">
        <f>-IFERROR(VLOOKUP(C1603,SIRTAC!$A$16:$H$1405,8,0),0)</f>
        <v>0</v>
      </c>
      <c r="K1603" s="68">
        <f>-IFERROR(VLOOKUP(C1603,Gastos!$A$9:$J$1398,10,0),0)</f>
        <v>0</v>
      </c>
      <c r="L1603" s="68"/>
      <c r="M1603" s="75">
        <f>+D1603</f>
        <v>-3000</v>
      </c>
      <c r="N1603" s="67"/>
    </row>
    <row r="1604" spans="1:18">
      <c r="A1604" t="s">
        <v>202</v>
      </c>
      <c r="B1604" t="s">
        <v>198</v>
      </c>
      <c r="C1604" s="51">
        <v>140133851874</v>
      </c>
      <c r="D1604">
        <v>469.92</v>
      </c>
      <c r="E1604" s="1">
        <v>11529881.32</v>
      </c>
      <c r="F1604" t="s">
        <v>1280</v>
      </c>
      <c r="G1604"/>
      <c r="H1604"/>
      <c r="I1604" s="16">
        <f>-IFERROR(VLOOKUP(C1604,SIRCUPA!$A$21:$H$186,8,0),0)</f>
        <v>-7.2</v>
      </c>
      <c r="J1604" s="68">
        <f>-IFERROR(VLOOKUP(C1604,SIRTAC!$A$16:$H$1405,8,0),0)</f>
        <v>0</v>
      </c>
      <c r="K1604" s="68">
        <f>-IFERROR(VLOOKUP(C1604,Gastos!$A$9:$J$1398,10,0),0)</f>
        <v>0</v>
      </c>
      <c r="L1604" s="68">
        <f>-IFERROR(VLOOKUP(C1604,IDC!$A$20:$H$1596,8,0),0)</f>
        <v>-2.88</v>
      </c>
      <c r="M1604" s="74">
        <f t="shared" ref="M1604" si="41">+D1604-I1604-J1604-K1604-L1604</f>
        <v>480</v>
      </c>
      <c r="N1604"/>
      <c r="Q1604"/>
      <c r="R1604"/>
    </row>
    <row r="1605" spans="1:18" s="59" customFormat="1">
      <c r="A1605" s="59" t="s">
        <v>149</v>
      </c>
      <c r="B1605" s="59" t="s">
        <v>66</v>
      </c>
      <c r="C1605" s="65">
        <v>139008795034</v>
      </c>
      <c r="D1605" s="66">
        <v>-500000</v>
      </c>
      <c r="E1605" s="1">
        <v>16750202.109999999</v>
      </c>
      <c r="F1605" s="59" t="s">
        <v>1281</v>
      </c>
      <c r="G1605" s="67"/>
      <c r="H1605" s="67"/>
      <c r="I1605" s="16">
        <f>-IFERROR(VLOOKUP(C1605,SIRCUPA!$A$21:$H$186,8,0),0)</f>
        <v>0</v>
      </c>
      <c r="J1605" s="68">
        <f>-IFERROR(VLOOKUP(C1605,SIRTAC!$A$16:$H$1405,8,0),0)</f>
        <v>0</v>
      </c>
      <c r="K1605" s="68">
        <f>-IFERROR(VLOOKUP(C1605,Gastos!$A$9:$J$1398,10,0),0)</f>
        <v>0</v>
      </c>
      <c r="L1605" s="68">
        <f>-IFERROR(VLOOKUP(C1605,IDC!$A$20:$H$1596,8,0),0)</f>
        <v>-3000</v>
      </c>
      <c r="M1605" s="75">
        <f>+D1605</f>
        <v>-500000</v>
      </c>
      <c r="N1605" s="67"/>
    </row>
    <row r="1606" spans="1:18">
      <c r="A1606" t="s">
        <v>151</v>
      </c>
      <c r="B1606" t="s">
        <v>152</v>
      </c>
      <c r="C1606" s="51">
        <v>139221936120</v>
      </c>
      <c r="D1606" s="1">
        <v>-169242.76</v>
      </c>
      <c r="E1606" s="1">
        <v>15861346.949999999</v>
      </c>
      <c r="F1606" s="27" t="s">
        <v>1281</v>
      </c>
      <c r="G1606" s="16">
        <f>+D1606/1.006</f>
        <v>-168233.35984095428</v>
      </c>
      <c r="I1606" s="16">
        <f>-IFERROR(VLOOKUP(C1606,SIRCUPA!$A$21:$H$186,8,0),0)</f>
        <v>0</v>
      </c>
      <c r="J1606" s="68">
        <f>-IFERROR(VLOOKUP(C1606,SIRTAC!$A$16:$H$1405,8,0),0)</f>
        <v>0</v>
      </c>
      <c r="K1606" s="68">
        <f>-IFERROR(VLOOKUP(C1606,Gastos!$A$9:$J$1398,10,0),0)</f>
        <v>0</v>
      </c>
      <c r="L1606" s="68">
        <f>+D1606-G1606</f>
        <v>-1009.4001590457337</v>
      </c>
      <c r="M1606" s="52">
        <f>+D1606-I1606-J1606-K1606-L1606</f>
        <v>-168233.35984095428</v>
      </c>
    </row>
    <row r="1607" spans="1:18" s="59" customFormat="1">
      <c r="A1607" s="59" t="s">
        <v>158</v>
      </c>
      <c r="B1607" s="59" t="s">
        <v>13</v>
      </c>
      <c r="C1607" s="65">
        <v>139334412514</v>
      </c>
      <c r="D1607" s="59">
        <v>-241.85</v>
      </c>
      <c r="E1607" s="1">
        <v>17340249.719999999</v>
      </c>
      <c r="F1607" s="59" t="s">
        <v>1242</v>
      </c>
      <c r="G1607" s="67">
        <f>+D1607/0.006</f>
        <v>-40308.333333333328</v>
      </c>
      <c r="H1607" s="67"/>
      <c r="I1607" s="16">
        <f>-IFERROR(VLOOKUP(C1607,SIRCUPA!$A$21:$H$186,8,0),0)</f>
        <v>0</v>
      </c>
      <c r="J1607" s="68">
        <f>-IFERROR(VLOOKUP(C1607,SIRTAC!$A$16:$H$1405,8,0),0)</f>
        <v>0</v>
      </c>
      <c r="K1607" s="68">
        <f>-IFERROR(VLOOKUP(C1607,Gastos!$A$9:$J$1398,10,0),0)</f>
        <v>0</v>
      </c>
      <c r="L1607" s="68"/>
      <c r="M1607" s="75">
        <f>+D1607</f>
        <v>-241.85</v>
      </c>
      <c r="N1607" s="67"/>
    </row>
    <row r="1608" spans="1:18" s="59" customFormat="1">
      <c r="A1608" s="59" t="s">
        <v>158</v>
      </c>
      <c r="B1608" s="59" t="s">
        <v>163</v>
      </c>
      <c r="C1608" s="65">
        <v>139334412514</v>
      </c>
      <c r="D1608" s="66">
        <v>-40308</v>
      </c>
      <c r="E1608" s="1">
        <v>17340491.57</v>
      </c>
      <c r="F1608" s="59" t="s">
        <v>1281</v>
      </c>
      <c r="G1608" s="67"/>
      <c r="H1608" s="67"/>
      <c r="I1608" s="16">
        <f>-IFERROR(VLOOKUP(C1608,SIRCUPA!$A$21:$H$186,8,0),0)</f>
        <v>0</v>
      </c>
      <c r="J1608" s="68">
        <f>-IFERROR(VLOOKUP(C1608,SIRTAC!$A$16:$H$1405,8,0),0)</f>
        <v>0</v>
      </c>
      <c r="K1608" s="68">
        <f>-IFERROR(VLOOKUP(C1608,Gastos!$A$9:$J$1398,10,0),0)</f>
        <v>0</v>
      </c>
      <c r="L1608" s="68">
        <f>-IFERROR(VLOOKUP(C1608,IDC!$A$20:$H$1596,8,0),0)</f>
        <v>-241.85</v>
      </c>
      <c r="M1608" s="75">
        <f>+D1608</f>
        <v>-40308</v>
      </c>
      <c r="N1608" s="67"/>
    </row>
    <row r="1609" spans="1:18">
      <c r="A1609" t="s">
        <v>194</v>
      </c>
      <c r="B1609" t="s">
        <v>67</v>
      </c>
      <c r="C1609" s="51">
        <v>139377235019</v>
      </c>
      <c r="D1609" s="1">
        <v>-2000000</v>
      </c>
      <c r="E1609" s="1">
        <v>11177413.859999999</v>
      </c>
      <c r="F1609" s="27" t="s">
        <v>1283</v>
      </c>
      <c r="G1609" s="16">
        <f>+D1609</f>
        <v>-2000000</v>
      </c>
      <c r="I1609" s="16">
        <f>-IFERROR(VLOOKUP(C1609,SIRCUPA!$A$21:$H$186,8,0),0)</f>
        <v>0</v>
      </c>
      <c r="J1609" s="68">
        <f>-IFERROR(VLOOKUP(C1609,SIRTAC!$A$16:$H$1405,8,0),0)</f>
        <v>0</v>
      </c>
      <c r="K1609" s="68">
        <f>-IFERROR(VLOOKUP(C1609,Gastos!$A$9:$J$1398,10,0),0)</f>
        <v>0</v>
      </c>
      <c r="L1609" s="68">
        <f>-IFERROR(VLOOKUP(C1609,IDC!$A$20:$H$1596,8,0),0)</f>
        <v>0</v>
      </c>
      <c r="M1609" s="52">
        <f>+D1609</f>
        <v>-2000000</v>
      </c>
    </row>
    <row r="1610" spans="1:18" s="59" customFormat="1">
      <c r="A1610" s="59" t="s">
        <v>168</v>
      </c>
      <c r="B1610" s="59" t="s">
        <v>13</v>
      </c>
      <c r="C1610" s="65">
        <v>139546743318</v>
      </c>
      <c r="D1610" s="59">
        <v>-794.31</v>
      </c>
      <c r="E1610" s="1">
        <v>11930713.949999999</v>
      </c>
      <c r="F1610" s="59" t="s">
        <v>1242</v>
      </c>
      <c r="G1610" s="67">
        <f>+D1610/0.006</f>
        <v>-132385</v>
      </c>
      <c r="H1610" s="67"/>
      <c r="I1610" s="16">
        <f>-IFERROR(VLOOKUP(C1610,SIRCUPA!$A$21:$H$186,8,0),0)</f>
        <v>0</v>
      </c>
      <c r="J1610" s="68">
        <f>-IFERROR(VLOOKUP(C1610,SIRTAC!$A$16:$H$1405,8,0),0)</f>
        <v>0</v>
      </c>
      <c r="K1610" s="68">
        <f>-IFERROR(VLOOKUP(C1610,Gastos!$A$9:$J$1398,10,0),0)</f>
        <v>0</v>
      </c>
      <c r="L1610" s="68"/>
      <c r="M1610" s="75">
        <f>+D1610</f>
        <v>-794.31</v>
      </c>
      <c r="N1610" s="67"/>
    </row>
    <row r="1611" spans="1:18" s="59" customFormat="1">
      <c r="A1611" s="59" t="s">
        <v>168</v>
      </c>
      <c r="B1611" s="59" t="s">
        <v>163</v>
      </c>
      <c r="C1611" s="65">
        <v>139546743318</v>
      </c>
      <c r="D1611" s="66">
        <v>-132384.29</v>
      </c>
      <c r="E1611" s="1">
        <v>11931508.26</v>
      </c>
      <c r="F1611" s="59" t="s">
        <v>1281</v>
      </c>
      <c r="G1611" s="67"/>
      <c r="H1611" s="67"/>
      <c r="I1611" s="16">
        <f>-IFERROR(VLOOKUP(C1611,SIRCUPA!$A$21:$H$186,8,0),0)</f>
        <v>0</v>
      </c>
      <c r="J1611" s="68">
        <f>-IFERROR(VLOOKUP(C1611,SIRTAC!$A$16:$H$1405,8,0),0)</f>
        <v>0</v>
      </c>
      <c r="K1611" s="68">
        <f>-IFERROR(VLOOKUP(C1611,Gastos!$A$9:$J$1398,10,0),0)</f>
        <v>0</v>
      </c>
      <c r="L1611" s="68">
        <f>-IFERROR(VLOOKUP(C1611,IDC!$A$20:$H$1596,8,0),0)</f>
        <v>-794.31</v>
      </c>
      <c r="M1611" s="75">
        <f>+D1611</f>
        <v>-132384.29</v>
      </c>
      <c r="N1611" s="67"/>
    </row>
    <row r="1612" spans="1:18">
      <c r="A1612" t="s">
        <v>168</v>
      </c>
      <c r="B1612" t="s">
        <v>107</v>
      </c>
      <c r="C1612" s="51">
        <v>139565543138</v>
      </c>
      <c r="D1612" s="1">
        <v>-192385.12</v>
      </c>
      <c r="E1612" s="1">
        <v>11738328.83</v>
      </c>
      <c r="F1612" s="27" t="s">
        <v>1281</v>
      </c>
      <c r="G1612" s="16">
        <f>+D1612/1.006</f>
        <v>-191237.69383697811</v>
      </c>
      <c r="I1612" s="16">
        <f>-IFERROR(VLOOKUP(C1612,SIRCUPA!$A$21:$H$186,8,0),0)</f>
        <v>0</v>
      </c>
      <c r="J1612" s="68">
        <f>-IFERROR(VLOOKUP(C1612,SIRTAC!$A$16:$H$1405,8,0),0)</f>
        <v>0</v>
      </c>
      <c r="K1612" s="68">
        <f>-IFERROR(VLOOKUP(C1612,Gastos!$A$9:$J$1398,10,0),0)</f>
        <v>0</v>
      </c>
      <c r="L1612" s="68">
        <f>+D1612-G1612</f>
        <v>-1147.4261630218825</v>
      </c>
      <c r="M1612" s="52">
        <f>+D1612-I1612-J1612-K1612-L1612</f>
        <v>-191237.69383697811</v>
      </c>
    </row>
    <row r="1613" spans="1:18">
      <c r="A1613" t="s">
        <v>177</v>
      </c>
      <c r="B1613" t="s">
        <v>182</v>
      </c>
      <c r="C1613" s="51">
        <v>139791742310</v>
      </c>
      <c r="D1613" s="1">
        <v>-86803.41</v>
      </c>
      <c r="E1613" s="1">
        <v>15825426.199999999</v>
      </c>
      <c r="F1613" s="27" t="s">
        <v>1281</v>
      </c>
      <c r="G1613" s="16">
        <f>+D1613/1.006</f>
        <v>-86285.695825049712</v>
      </c>
      <c r="I1613" s="16">
        <f>-IFERROR(VLOOKUP(C1613,SIRCUPA!$A$21:$H$186,8,0),0)</f>
        <v>0</v>
      </c>
      <c r="J1613" s="68">
        <f>-IFERROR(VLOOKUP(C1613,SIRTAC!$A$16:$H$1405,8,0),0)</f>
        <v>0</v>
      </c>
      <c r="K1613" s="68">
        <f>-IFERROR(VLOOKUP(C1613,Gastos!$A$9:$J$1398,10,0),0)</f>
        <v>0</v>
      </c>
      <c r="L1613" s="68">
        <f>-IFERROR(VLOOKUP(C1613,IDC!$A$20:$H$1596,8,0),0)</f>
        <v>-517.71</v>
      </c>
      <c r="M1613" s="52">
        <f>+D1613-I1613-J1613-K1613-L1613</f>
        <v>-86285.7</v>
      </c>
      <c r="Q1613"/>
      <c r="R1613"/>
    </row>
    <row r="1614" spans="1:18">
      <c r="A1614" t="s">
        <v>194</v>
      </c>
      <c r="B1614" t="s">
        <v>67</v>
      </c>
      <c r="C1614" s="51">
        <v>140025042408</v>
      </c>
      <c r="D1614" s="1">
        <v>-2000000</v>
      </c>
      <c r="E1614" s="1">
        <v>15177413.859999999</v>
      </c>
      <c r="F1614" s="27" t="s">
        <v>1283</v>
      </c>
      <c r="G1614" s="16">
        <f>+D1614</f>
        <v>-2000000</v>
      </c>
      <c r="I1614" s="16">
        <f>-IFERROR(VLOOKUP(C1614,SIRCUPA!$A$21:$H$186,8,0),0)</f>
        <v>0</v>
      </c>
      <c r="J1614" s="68">
        <f>-IFERROR(VLOOKUP(C1614,SIRTAC!$A$16:$H$1405,8,0),0)</f>
        <v>0</v>
      </c>
      <c r="K1614" s="68">
        <f>-IFERROR(VLOOKUP(C1614,Gastos!$A$9:$J$1398,10,0),0)</f>
        <v>0</v>
      </c>
      <c r="L1614" s="68">
        <f>-IFERROR(VLOOKUP(C1614,IDC!$A$20:$H$1596,8,0),0)</f>
        <v>0</v>
      </c>
      <c r="M1614" s="52">
        <f t="shared" ref="M1614:M1616" si="42">+D1614</f>
        <v>-2000000</v>
      </c>
    </row>
    <row r="1615" spans="1:18">
      <c r="A1615" t="s">
        <v>194</v>
      </c>
      <c r="B1615" t="s">
        <v>67</v>
      </c>
      <c r="C1615" s="51">
        <v>140025238710</v>
      </c>
      <c r="D1615" s="1">
        <v>-1000000</v>
      </c>
      <c r="E1615" s="1">
        <v>10177413.859999999</v>
      </c>
      <c r="F1615" s="27" t="s">
        <v>1283</v>
      </c>
      <c r="G1615" s="16">
        <f>+D1615</f>
        <v>-1000000</v>
      </c>
      <c r="I1615" s="16">
        <f>-IFERROR(VLOOKUP(C1615,SIRCUPA!$A$21:$H$186,8,0),0)</f>
        <v>0</v>
      </c>
      <c r="J1615" s="68">
        <f>-IFERROR(VLOOKUP(C1615,SIRTAC!$A$16:$H$1405,8,0),0)</f>
        <v>0</v>
      </c>
      <c r="K1615" s="68">
        <f>-IFERROR(VLOOKUP(C1615,Gastos!$A$9:$J$1398,10,0),0)</f>
        <v>0</v>
      </c>
      <c r="L1615" s="68">
        <f>-IFERROR(VLOOKUP(C1615,IDC!$A$20:$H$1596,8,0),0)</f>
        <v>0</v>
      </c>
      <c r="M1615" s="52">
        <f t="shared" si="42"/>
        <v>-1000000</v>
      </c>
    </row>
    <row r="1616" spans="1:18">
      <c r="A1616" t="s">
        <v>194</v>
      </c>
      <c r="B1616" t="s">
        <v>67</v>
      </c>
      <c r="C1616" s="51">
        <v>140025370240</v>
      </c>
      <c r="D1616" s="1">
        <v>-2000000</v>
      </c>
      <c r="E1616" s="1">
        <v>13177413.859999999</v>
      </c>
      <c r="F1616" s="27" t="s">
        <v>1283</v>
      </c>
      <c r="G1616" s="16">
        <f>+D1616</f>
        <v>-2000000</v>
      </c>
      <c r="I1616" s="16">
        <f>-IFERROR(VLOOKUP(C1616,SIRCUPA!$A$21:$H$186,8,0),0)</f>
        <v>0</v>
      </c>
      <c r="J1616" s="68">
        <f>-IFERROR(VLOOKUP(C1616,SIRTAC!$A$16:$H$1405,8,0),0)</f>
        <v>0</v>
      </c>
      <c r="K1616" s="68">
        <f>-IFERROR(VLOOKUP(C1616,Gastos!$A$9:$J$1398,10,0),0)</f>
        <v>0</v>
      </c>
      <c r="L1616" s="68">
        <f>-IFERROR(VLOOKUP(C1616,IDC!$A$20:$H$1596,8,0),0)</f>
        <v>0</v>
      </c>
      <c r="M1616" s="52">
        <f t="shared" si="42"/>
        <v>-2000000</v>
      </c>
    </row>
    <row r="1617" spans="4:13">
      <c r="M1617" s="52"/>
    </row>
    <row r="1618" spans="4:13">
      <c r="D1618" s="16">
        <f t="shared" ref="D1618:F1618" si="43">SUM(D5:D1617)</f>
        <v>-8965830.9899999462</v>
      </c>
      <c r="E1618" s="16">
        <f t="shared" si="43"/>
        <v>26529685655.030018</v>
      </c>
      <c r="F1618" s="16">
        <f t="shared" si="43"/>
        <v>0</v>
      </c>
      <c r="G1618" s="16">
        <f>SUM(G5:G1617)</f>
        <v>-46581618.793903247</v>
      </c>
      <c r="H1618" s="16">
        <f t="shared" ref="H1618:L1618" si="44">SUM(H5:H1617)</f>
        <v>0</v>
      </c>
      <c r="I1618" s="16">
        <f t="shared" si="44"/>
        <v>-11576.920000000004</v>
      </c>
      <c r="J1618" s="16">
        <f t="shared" si="44"/>
        <v>-379408.47000000003</v>
      </c>
      <c r="K1618" s="16">
        <f t="shared" si="44"/>
        <v>-945094.35000000091</v>
      </c>
      <c r="L1618" s="16">
        <f t="shared" si="44"/>
        <v>-313836.65620675887</v>
      </c>
      <c r="M1618" s="52">
        <f>SUM(M5:M1617)</f>
        <v>-7335944.3437932404</v>
      </c>
    </row>
    <row r="1619" spans="4:13">
      <c r="I1619" s="16">
        <f>+SIRCUPA!H188</f>
        <v>11576.920000000004</v>
      </c>
      <c r="J1619" s="16">
        <f>+SIRTAC!H1407</f>
        <v>379408.46</v>
      </c>
      <c r="K1619" s="16">
        <f>+Gastos!J1400</f>
        <v>945094.35000000114</v>
      </c>
      <c r="L1619" s="16">
        <f>+IDC!H1598</f>
        <v>313836.65999999939</v>
      </c>
    </row>
    <row r="1620" spans="4:13">
      <c r="I1620" s="16">
        <f>+I1618+I1619</f>
        <v>0</v>
      </c>
      <c r="J1620" s="16">
        <f>+J1618+J1619</f>
        <v>-1.0000000009313226E-2</v>
      </c>
      <c r="K1620" s="16">
        <f>+K1618+K1619</f>
        <v>0</v>
      </c>
      <c r="L1620" s="16">
        <f>+L1618+L1619</f>
        <v>3.793240524828434E-3</v>
      </c>
    </row>
    <row r="1623" spans="4:13">
      <c r="I1623" s="69">
        <f>+A2</f>
        <v>20952879.02</v>
      </c>
      <c r="J1623" s="70" t="s">
        <v>1284</v>
      </c>
    </row>
    <row r="1624" spans="4:13">
      <c r="I1624" s="69">
        <f>+M1618</f>
        <v>-7335944.3437932404</v>
      </c>
      <c r="J1624" s="70" t="s">
        <v>1285</v>
      </c>
    </row>
    <row r="1625" spans="4:13">
      <c r="I1625" s="69">
        <f>+I1618</f>
        <v>-11576.920000000004</v>
      </c>
      <c r="J1625" s="70" t="s">
        <v>1286</v>
      </c>
    </row>
    <row r="1626" spans="4:13">
      <c r="I1626" s="69">
        <f>+J1618</f>
        <v>-379408.47000000003</v>
      </c>
      <c r="J1626" s="70" t="s">
        <v>1287</v>
      </c>
      <c r="K1626" s="76" t="s">
        <v>1304</v>
      </c>
      <c r="L1626" s="76" t="s">
        <v>1305</v>
      </c>
      <c r="M1626" s="76" t="s">
        <v>1306</v>
      </c>
    </row>
    <row r="1627" spans="4:13">
      <c r="I1627" s="69">
        <f>+K1618</f>
        <v>-945094.35000000091</v>
      </c>
      <c r="J1627" s="70" t="s">
        <v>1288</v>
      </c>
      <c r="K1627" s="77">
        <f>+I1627/1.21</f>
        <v>-781069.71074380248</v>
      </c>
      <c r="L1627" s="77">
        <f>+I1627-K1627</f>
        <v>-164024.63925619842</v>
      </c>
      <c r="M1627" s="77">
        <f>+K1627+L1627</f>
        <v>-945094.35000000091</v>
      </c>
    </row>
    <row r="1628" spans="4:13">
      <c r="I1628" s="69">
        <f>+L1618</f>
        <v>-313836.65620675887</v>
      </c>
      <c r="J1628" s="70" t="s">
        <v>1289</v>
      </c>
    </row>
    <row r="1629" spans="4:13">
      <c r="I1629" s="69">
        <v>20029.75</v>
      </c>
      <c r="J1629" s="70" t="s">
        <v>1290</v>
      </c>
    </row>
    <row r="1630" spans="4:13">
      <c r="I1630" s="71">
        <f>SUM(I1623:I1629)</f>
        <v>11987048.029999999</v>
      </c>
      <c r="J1630" s="70" t="s">
        <v>1291</v>
      </c>
    </row>
    <row r="1631" spans="4:13">
      <c r="I1631" s="69">
        <f>+D2</f>
        <v>11987048.029999999</v>
      </c>
      <c r="J1631" s="70" t="s">
        <v>1292</v>
      </c>
    </row>
    <row r="1632" spans="4:13">
      <c r="I1632" s="72">
        <f>+I1630-I1631</f>
        <v>0</v>
      </c>
      <c r="J1632" s="73" t="s">
        <v>1293</v>
      </c>
    </row>
  </sheetData>
  <autoFilter ref="A4:O1616" xr:uid="{00000000-0009-0000-0000-000000000000}">
    <sortState xmlns:xlrd2="http://schemas.microsoft.com/office/spreadsheetml/2017/richdata2" ref="A13:O1616">
      <sortCondition ref="C4:C1616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3:L176"/>
  <sheetViews>
    <sheetView topLeftCell="A157" zoomScale="90" zoomScaleNormal="90" workbookViewId="0">
      <selection activeCell="I160" sqref="I160"/>
    </sheetView>
  </sheetViews>
  <sheetFormatPr defaultColWidth="10.6640625" defaultRowHeight="14.25"/>
  <cols>
    <col min="1" max="1" width="59.59765625" customWidth="1"/>
    <col min="2" max="2" width="17.3984375" customWidth="1"/>
    <col min="3" max="3" width="12" bestFit="1" customWidth="1"/>
    <col min="4" max="4" width="9.73046875" customWidth="1"/>
    <col min="5" max="5" width="14.73046875" customWidth="1"/>
    <col min="6" max="6" width="14" bestFit="1" customWidth="1"/>
    <col min="7" max="7" width="14.86328125" style="16" bestFit="1" customWidth="1"/>
    <col min="8" max="8" width="6.1328125" customWidth="1"/>
    <col min="9" max="9" width="14.1328125" bestFit="1" customWidth="1"/>
    <col min="10" max="10" width="19.59765625" bestFit="1" customWidth="1"/>
    <col min="11" max="11" width="14.86328125" bestFit="1" customWidth="1"/>
  </cols>
  <sheetData>
    <row r="3" spans="1:12">
      <c r="A3" s="2" t="s">
        <v>1295</v>
      </c>
      <c r="B3" s="2" t="s">
        <v>1294</v>
      </c>
    </row>
    <row r="4" spans="1:12">
      <c r="A4" s="2" t="s">
        <v>207</v>
      </c>
      <c r="B4" t="s">
        <v>1282</v>
      </c>
      <c r="C4" t="s">
        <v>1280</v>
      </c>
      <c r="D4" t="s">
        <v>1242</v>
      </c>
      <c r="E4" t="s">
        <v>1281</v>
      </c>
      <c r="F4" t="s">
        <v>1283</v>
      </c>
      <c r="G4" s="16" t="s">
        <v>208</v>
      </c>
    </row>
    <row r="5" spans="1:12">
      <c r="A5" s="10" t="s">
        <v>109</v>
      </c>
      <c r="B5" s="6"/>
      <c r="C5" s="6"/>
      <c r="D5" s="6"/>
      <c r="E5" s="6">
        <v>-118000</v>
      </c>
      <c r="F5" s="6"/>
      <c r="G5" s="18">
        <v>-118000</v>
      </c>
      <c r="H5" s="4" t="s">
        <v>1298</v>
      </c>
      <c r="I5" t="s">
        <v>1302</v>
      </c>
    </row>
    <row r="6" spans="1:12">
      <c r="A6" s="10" t="s">
        <v>86</v>
      </c>
      <c r="B6" s="6"/>
      <c r="C6" s="6"/>
      <c r="D6" s="6"/>
      <c r="E6" s="6">
        <v>-143789.59</v>
      </c>
      <c r="F6" s="6"/>
      <c r="G6" s="18">
        <v>-143789.59</v>
      </c>
      <c r="H6" s="4" t="s">
        <v>1298</v>
      </c>
      <c r="I6" t="s">
        <v>1300</v>
      </c>
    </row>
    <row r="7" spans="1:12">
      <c r="A7" s="10" t="s">
        <v>108</v>
      </c>
      <c r="B7" s="6"/>
      <c r="C7" s="6"/>
      <c r="D7" s="6"/>
      <c r="E7" s="6">
        <v>-88974</v>
      </c>
      <c r="F7" s="6"/>
      <c r="G7" s="18">
        <v>-88974</v>
      </c>
      <c r="H7" s="4" t="s">
        <v>1298</v>
      </c>
      <c r="I7" t="s">
        <v>1301</v>
      </c>
    </row>
    <row r="8" spans="1:12">
      <c r="A8" s="12" t="s">
        <v>13</v>
      </c>
      <c r="B8" s="8"/>
      <c r="C8" s="8"/>
      <c r="D8" s="8">
        <v>-20029.75</v>
      </c>
      <c r="E8" s="8"/>
      <c r="F8" s="8"/>
      <c r="G8" s="19">
        <v>-20029.75</v>
      </c>
    </row>
    <row r="9" spans="1:12">
      <c r="A9" s="9" t="s">
        <v>11</v>
      </c>
      <c r="B9" s="4"/>
      <c r="C9" s="4">
        <v>38030271</v>
      </c>
      <c r="D9" s="4"/>
      <c r="E9" s="4"/>
      <c r="F9" s="4"/>
      <c r="G9" s="20">
        <v>38030271</v>
      </c>
    </row>
    <row r="10" spans="1:12">
      <c r="A10" s="9" t="s">
        <v>36</v>
      </c>
      <c r="B10" s="4"/>
      <c r="C10" s="4">
        <v>-84314.989999999991</v>
      </c>
      <c r="D10" s="4"/>
      <c r="E10" s="4"/>
      <c r="F10" s="4"/>
      <c r="G10" s="20">
        <v>-84314.989999999991</v>
      </c>
      <c r="I10" s="4" t="s">
        <v>217</v>
      </c>
      <c r="J10" t="s">
        <v>209</v>
      </c>
      <c r="K10" s="20">
        <f>SUM(G9:G10,G23:G171)</f>
        <v>38717734.013999999</v>
      </c>
      <c r="L10" t="s">
        <v>1299</v>
      </c>
    </row>
    <row r="11" spans="1:12">
      <c r="A11" s="11" t="s">
        <v>182</v>
      </c>
      <c r="B11" s="5"/>
      <c r="C11" s="5"/>
      <c r="D11" s="5"/>
      <c r="E11" s="5">
        <v>-86285.7</v>
      </c>
      <c r="F11" s="5"/>
      <c r="G11" s="21">
        <v>-86285.7</v>
      </c>
      <c r="H11" s="4" t="s">
        <v>1298</v>
      </c>
      <c r="I11" s="5" t="s">
        <v>221</v>
      </c>
      <c r="J11" t="s">
        <v>210</v>
      </c>
      <c r="K11" s="21">
        <f>SUM(G11,G13,G17,G19,G21:G22)</f>
        <v>-3634777.9636779325</v>
      </c>
      <c r="L11" t="s">
        <v>1299</v>
      </c>
    </row>
    <row r="12" spans="1:12">
      <c r="A12" s="14" t="s">
        <v>65</v>
      </c>
      <c r="B12" s="7">
        <v>-8991759.4333996028</v>
      </c>
      <c r="C12" s="7"/>
      <c r="D12" s="7"/>
      <c r="E12" s="7"/>
      <c r="F12" s="7"/>
      <c r="G12" s="22">
        <v>-8991759.4333996028</v>
      </c>
      <c r="H12" s="4" t="s">
        <v>1298</v>
      </c>
      <c r="I12" s="6"/>
      <c r="J12" t="s">
        <v>211</v>
      </c>
      <c r="K12" s="16"/>
    </row>
    <row r="13" spans="1:12">
      <c r="A13" s="11" t="s">
        <v>152</v>
      </c>
      <c r="B13" s="5"/>
      <c r="C13" s="5"/>
      <c r="D13" s="5"/>
      <c r="E13" s="5">
        <v>-168233.35984095428</v>
      </c>
      <c r="F13" s="5"/>
      <c r="G13" s="21">
        <v>-168233.35984095428</v>
      </c>
      <c r="H13" s="4" t="s">
        <v>1298</v>
      </c>
      <c r="I13" s="7"/>
      <c r="J13" t="s">
        <v>1296</v>
      </c>
      <c r="K13" s="16">
        <f>SUM(G12,G20)</f>
        <v>-9505829.1833996028</v>
      </c>
    </row>
    <row r="14" spans="1:12">
      <c r="A14" s="12" t="s">
        <v>35</v>
      </c>
      <c r="B14" s="8"/>
      <c r="C14" s="8"/>
      <c r="D14" s="8"/>
      <c r="E14" s="8">
        <v>-30579.880715705767</v>
      </c>
      <c r="F14" s="8"/>
      <c r="G14" s="19">
        <v>-30579.880715705767</v>
      </c>
      <c r="I14" s="8"/>
      <c r="J14" t="s">
        <v>1297</v>
      </c>
      <c r="K14" s="16"/>
    </row>
    <row r="15" spans="1:12">
      <c r="A15" s="12" t="s">
        <v>87</v>
      </c>
      <c r="B15" s="8"/>
      <c r="C15" s="8"/>
      <c r="D15" s="8"/>
      <c r="E15" s="8">
        <v>-44999</v>
      </c>
      <c r="F15" s="8"/>
      <c r="G15" s="19">
        <v>-44999</v>
      </c>
      <c r="H15" t="s">
        <v>1298</v>
      </c>
      <c r="I15" s="15"/>
      <c r="J15" t="s">
        <v>214</v>
      </c>
      <c r="K15" s="23">
        <f>+GETPIVOTDATA("MOV TOTAL",$A$3,"TRANSACTION_TYPE","Transferencia enviada Cerveza Tractor Sr")</f>
        <v>-32400000</v>
      </c>
    </row>
    <row r="16" spans="1:12">
      <c r="A16" s="24" t="s">
        <v>131</v>
      </c>
      <c r="B16" s="26"/>
      <c r="C16" s="26"/>
      <c r="D16" s="26"/>
      <c r="E16" s="26">
        <v>-66429</v>
      </c>
      <c r="F16" s="26"/>
      <c r="G16" s="25">
        <v>-66429</v>
      </c>
      <c r="H16" s="4" t="s">
        <v>1298</v>
      </c>
      <c r="I16" s="26" t="s">
        <v>222</v>
      </c>
      <c r="J16" t="s">
        <v>220</v>
      </c>
      <c r="K16" s="25">
        <f>SUM(GETPIVOTDATA("MOV TOTAL",$A$3,"TRANSACTION_TYPE","Pago RIO URUGUAY SEGUROS"))</f>
        <v>-66429</v>
      </c>
      <c r="L16" t="s">
        <v>1299</v>
      </c>
    </row>
    <row r="17" spans="1:8">
      <c r="A17" s="11" t="s">
        <v>14</v>
      </c>
      <c r="B17" s="5"/>
      <c r="C17" s="5"/>
      <c r="D17" s="5"/>
      <c r="E17" s="5">
        <v>-551528.92000000004</v>
      </c>
      <c r="F17" s="5"/>
      <c r="G17" s="21">
        <v>-551528.92000000004</v>
      </c>
      <c r="H17" s="4" t="s">
        <v>1298</v>
      </c>
    </row>
    <row r="18" spans="1:8">
      <c r="A18" s="13" t="s">
        <v>67</v>
      </c>
      <c r="B18" s="15"/>
      <c r="C18" s="15"/>
      <c r="D18" s="15"/>
      <c r="E18" s="15"/>
      <c r="F18" s="15">
        <v>-32400000</v>
      </c>
      <c r="G18" s="23">
        <v>-32400000</v>
      </c>
      <c r="H18" s="4" t="s">
        <v>1298</v>
      </c>
    </row>
    <row r="19" spans="1:8">
      <c r="A19" s="11" t="s">
        <v>12</v>
      </c>
      <c r="B19" s="5"/>
      <c r="C19" s="5"/>
      <c r="D19" s="5"/>
      <c r="E19" s="5">
        <v>-2100000</v>
      </c>
      <c r="F19" s="5"/>
      <c r="G19" s="21">
        <v>-2100000</v>
      </c>
      <c r="H19" s="4" t="s">
        <v>1298</v>
      </c>
    </row>
    <row r="20" spans="1:8">
      <c r="A20" s="14" t="s">
        <v>124</v>
      </c>
      <c r="B20" s="7"/>
      <c r="C20" s="7"/>
      <c r="D20" s="7"/>
      <c r="E20" s="7">
        <v>-514069.75</v>
      </c>
      <c r="F20" s="7"/>
      <c r="G20" s="22">
        <v>-514069.75</v>
      </c>
      <c r="H20" s="4" t="s">
        <v>1298</v>
      </c>
    </row>
    <row r="21" spans="1:8">
      <c r="A21" s="11" t="s">
        <v>107</v>
      </c>
      <c r="B21" s="5"/>
      <c r="C21" s="5"/>
      <c r="D21" s="5"/>
      <c r="E21" s="5">
        <v>-556037.69383697817</v>
      </c>
      <c r="F21" s="5"/>
      <c r="G21" s="21">
        <v>-556037.69383697817</v>
      </c>
      <c r="H21" s="4" t="s">
        <v>1298</v>
      </c>
    </row>
    <row r="22" spans="1:8">
      <c r="A22" s="11" t="s">
        <v>163</v>
      </c>
      <c r="B22" s="5"/>
      <c r="C22" s="5"/>
      <c r="D22" s="5"/>
      <c r="E22" s="5">
        <v>-172692.29</v>
      </c>
      <c r="F22" s="5"/>
      <c r="G22" s="21">
        <v>-172692.29</v>
      </c>
      <c r="H22" s="4" t="s">
        <v>1298</v>
      </c>
    </row>
    <row r="23" spans="1:8">
      <c r="A23" s="9" t="s">
        <v>83</v>
      </c>
      <c r="B23" s="4"/>
      <c r="C23" s="4">
        <v>2200</v>
      </c>
      <c r="D23" s="4"/>
      <c r="E23" s="4"/>
      <c r="F23" s="4"/>
      <c r="G23" s="20">
        <v>2200</v>
      </c>
    </row>
    <row r="24" spans="1:8">
      <c r="A24" s="9" t="s">
        <v>59</v>
      </c>
      <c r="B24" s="4"/>
      <c r="C24" s="4">
        <v>1009.9999999999999</v>
      </c>
      <c r="D24" s="4"/>
      <c r="E24" s="4"/>
      <c r="F24" s="4"/>
      <c r="G24" s="20">
        <v>1009.9999999999999</v>
      </c>
    </row>
    <row r="25" spans="1:8">
      <c r="A25" s="9" t="s">
        <v>91</v>
      </c>
      <c r="B25" s="4"/>
      <c r="C25" s="4">
        <v>1790</v>
      </c>
      <c r="D25" s="4"/>
      <c r="E25" s="4"/>
      <c r="F25" s="4"/>
      <c r="G25" s="20">
        <v>1790</v>
      </c>
    </row>
    <row r="26" spans="1:8">
      <c r="A26" s="9" t="s">
        <v>61</v>
      </c>
      <c r="B26" s="4"/>
      <c r="C26" s="4">
        <v>3620</v>
      </c>
      <c r="D26" s="4"/>
      <c r="E26" s="4"/>
      <c r="F26" s="4"/>
      <c r="G26" s="20">
        <v>3620</v>
      </c>
    </row>
    <row r="27" spans="1:8">
      <c r="A27" s="9" t="s">
        <v>80</v>
      </c>
      <c r="B27" s="4"/>
      <c r="C27" s="4">
        <v>240</v>
      </c>
      <c r="D27" s="4"/>
      <c r="E27" s="4"/>
      <c r="F27" s="4"/>
      <c r="G27" s="20">
        <v>240</v>
      </c>
    </row>
    <row r="28" spans="1:8">
      <c r="A28" s="9" t="s">
        <v>204</v>
      </c>
      <c r="B28" s="4"/>
      <c r="C28" s="4">
        <v>2415</v>
      </c>
      <c r="D28" s="4"/>
      <c r="E28" s="4"/>
      <c r="F28" s="4"/>
      <c r="G28" s="20">
        <v>2415</v>
      </c>
    </row>
    <row r="29" spans="1:8">
      <c r="A29" s="9" t="s">
        <v>117</v>
      </c>
      <c r="B29" s="4"/>
      <c r="C29" s="4">
        <v>500</v>
      </c>
      <c r="D29" s="4"/>
      <c r="E29" s="4"/>
      <c r="F29" s="4"/>
      <c r="G29" s="20">
        <v>500</v>
      </c>
    </row>
    <row r="30" spans="1:8">
      <c r="A30" s="9" t="s">
        <v>160</v>
      </c>
      <c r="B30" s="4"/>
      <c r="C30" s="4">
        <v>1315.0000000000002</v>
      </c>
      <c r="D30" s="4"/>
      <c r="E30" s="4"/>
      <c r="F30" s="4"/>
      <c r="G30" s="20">
        <v>1315.0000000000002</v>
      </c>
    </row>
    <row r="31" spans="1:8">
      <c r="A31" s="9" t="s">
        <v>159</v>
      </c>
      <c r="B31" s="4"/>
      <c r="C31" s="4">
        <v>4245.0000000000009</v>
      </c>
      <c r="D31" s="4"/>
      <c r="E31" s="4"/>
      <c r="F31" s="4"/>
      <c r="G31" s="20">
        <v>4245.0000000000009</v>
      </c>
    </row>
    <row r="32" spans="1:8">
      <c r="A32" s="9" t="s">
        <v>195</v>
      </c>
      <c r="B32" s="4"/>
      <c r="C32" s="4">
        <v>40000</v>
      </c>
      <c r="D32" s="4"/>
      <c r="E32" s="4"/>
      <c r="F32" s="4"/>
      <c r="G32" s="20">
        <v>40000</v>
      </c>
    </row>
    <row r="33" spans="1:7">
      <c r="A33" s="9" t="s">
        <v>184</v>
      </c>
      <c r="B33" s="4"/>
      <c r="C33" s="4">
        <v>1339.9999999999998</v>
      </c>
      <c r="D33" s="4"/>
      <c r="E33" s="4"/>
      <c r="F33" s="4"/>
      <c r="G33" s="20">
        <v>1339.9999999999998</v>
      </c>
    </row>
    <row r="34" spans="1:7">
      <c r="A34" s="9" t="s">
        <v>27</v>
      </c>
      <c r="B34" s="4"/>
      <c r="C34" s="4">
        <v>2350</v>
      </c>
      <c r="D34" s="4"/>
      <c r="E34" s="4"/>
      <c r="F34" s="4"/>
      <c r="G34" s="20">
        <v>2350</v>
      </c>
    </row>
    <row r="35" spans="1:7">
      <c r="A35" s="9" t="s">
        <v>29</v>
      </c>
      <c r="B35" s="4"/>
      <c r="C35" s="4">
        <v>210</v>
      </c>
      <c r="D35" s="4"/>
      <c r="E35" s="4"/>
      <c r="F35" s="4"/>
      <c r="G35" s="20">
        <v>210</v>
      </c>
    </row>
    <row r="36" spans="1:7">
      <c r="A36" s="9" t="s">
        <v>157</v>
      </c>
      <c r="B36" s="4"/>
      <c r="C36" s="4">
        <v>6280</v>
      </c>
      <c r="D36" s="4"/>
      <c r="E36" s="4"/>
      <c r="F36" s="4"/>
      <c r="G36" s="20">
        <v>6280</v>
      </c>
    </row>
    <row r="37" spans="1:7">
      <c r="A37" s="9" t="s">
        <v>148</v>
      </c>
      <c r="B37" s="4"/>
      <c r="C37" s="4">
        <v>3740</v>
      </c>
      <c r="D37" s="4"/>
      <c r="E37" s="4"/>
      <c r="F37" s="4"/>
      <c r="G37" s="20">
        <v>3740</v>
      </c>
    </row>
    <row r="38" spans="1:7">
      <c r="A38" s="9" t="s">
        <v>104</v>
      </c>
      <c r="B38" s="4"/>
      <c r="C38" s="4">
        <v>1975</v>
      </c>
      <c r="D38" s="4"/>
      <c r="E38" s="4"/>
      <c r="F38" s="4"/>
      <c r="G38" s="20">
        <v>1975</v>
      </c>
    </row>
    <row r="39" spans="1:7">
      <c r="A39" s="9" t="s">
        <v>132</v>
      </c>
      <c r="B39" s="4"/>
      <c r="C39" s="4">
        <v>2470.0000000000005</v>
      </c>
      <c r="D39" s="4"/>
      <c r="E39" s="4"/>
      <c r="F39" s="4"/>
      <c r="G39" s="20">
        <v>2470.0000000000005</v>
      </c>
    </row>
    <row r="40" spans="1:7">
      <c r="A40" s="9" t="s">
        <v>113</v>
      </c>
      <c r="B40" s="4"/>
      <c r="C40" s="4">
        <v>1000</v>
      </c>
      <c r="D40" s="4"/>
      <c r="E40" s="4"/>
      <c r="F40" s="4"/>
      <c r="G40" s="20">
        <v>1000</v>
      </c>
    </row>
    <row r="41" spans="1:7">
      <c r="A41" s="9" t="s">
        <v>173</v>
      </c>
      <c r="B41" s="4"/>
      <c r="C41" s="4">
        <v>720</v>
      </c>
      <c r="D41" s="4"/>
      <c r="E41" s="4"/>
      <c r="F41" s="4"/>
      <c r="G41" s="20">
        <v>720</v>
      </c>
    </row>
    <row r="42" spans="1:7">
      <c r="A42" s="9" t="s">
        <v>145</v>
      </c>
      <c r="B42" s="4"/>
      <c r="C42" s="4">
        <v>6870</v>
      </c>
      <c r="D42" s="4"/>
      <c r="E42" s="4"/>
      <c r="F42" s="4"/>
      <c r="G42" s="20">
        <v>6870</v>
      </c>
    </row>
    <row r="43" spans="1:7">
      <c r="A43" s="9" t="s">
        <v>115</v>
      </c>
      <c r="B43" s="4"/>
      <c r="C43" s="4">
        <v>910</v>
      </c>
      <c r="D43" s="4"/>
      <c r="E43" s="4"/>
      <c r="F43" s="4"/>
      <c r="G43" s="20">
        <v>910</v>
      </c>
    </row>
    <row r="44" spans="1:7">
      <c r="A44" s="9" t="s">
        <v>53</v>
      </c>
      <c r="B44" s="4"/>
      <c r="C44" s="4">
        <v>240</v>
      </c>
      <c r="D44" s="4"/>
      <c r="E44" s="4"/>
      <c r="F44" s="4"/>
      <c r="G44" s="20">
        <v>240</v>
      </c>
    </row>
    <row r="45" spans="1:7">
      <c r="A45" s="9" t="s">
        <v>187</v>
      </c>
      <c r="B45" s="4"/>
      <c r="C45" s="4">
        <v>1000</v>
      </c>
      <c r="D45" s="4"/>
      <c r="E45" s="4"/>
      <c r="F45" s="4"/>
      <c r="G45" s="20">
        <v>1000</v>
      </c>
    </row>
    <row r="46" spans="1:7">
      <c r="A46" s="9" t="s">
        <v>130</v>
      </c>
      <c r="B46" s="4"/>
      <c r="C46" s="4">
        <v>2940</v>
      </c>
      <c r="D46" s="4"/>
      <c r="E46" s="4"/>
      <c r="F46" s="4"/>
      <c r="G46" s="20">
        <v>2940</v>
      </c>
    </row>
    <row r="47" spans="1:7">
      <c r="A47" s="9" t="s">
        <v>95</v>
      </c>
      <c r="B47" s="4"/>
      <c r="C47" s="4">
        <v>5630</v>
      </c>
      <c r="D47" s="4"/>
      <c r="E47" s="4"/>
      <c r="F47" s="4"/>
      <c r="G47" s="20">
        <v>5630</v>
      </c>
    </row>
    <row r="48" spans="1:7">
      <c r="A48" s="9" t="s">
        <v>126</v>
      </c>
      <c r="B48" s="4"/>
      <c r="C48" s="4">
        <v>2985</v>
      </c>
      <c r="D48" s="4"/>
      <c r="E48" s="4"/>
      <c r="F48" s="4"/>
      <c r="G48" s="20">
        <v>2985</v>
      </c>
    </row>
    <row r="49" spans="1:7">
      <c r="A49" s="9" t="s">
        <v>175</v>
      </c>
      <c r="B49" s="4"/>
      <c r="C49" s="4">
        <v>500</v>
      </c>
      <c r="D49" s="4"/>
      <c r="E49" s="4"/>
      <c r="F49" s="4"/>
      <c r="G49" s="20">
        <v>500</v>
      </c>
    </row>
    <row r="50" spans="1:7">
      <c r="A50" s="9" t="s">
        <v>123</v>
      </c>
      <c r="B50" s="4"/>
      <c r="C50" s="4">
        <v>675</v>
      </c>
      <c r="D50" s="4"/>
      <c r="E50" s="4"/>
      <c r="F50" s="4"/>
      <c r="G50" s="20">
        <v>675</v>
      </c>
    </row>
    <row r="51" spans="1:7">
      <c r="A51" s="9" t="s">
        <v>192</v>
      </c>
      <c r="B51" s="4"/>
      <c r="C51" s="4">
        <v>2040</v>
      </c>
      <c r="D51" s="4"/>
      <c r="E51" s="4"/>
      <c r="F51" s="4"/>
      <c r="G51" s="20">
        <v>2040</v>
      </c>
    </row>
    <row r="52" spans="1:7">
      <c r="A52" s="9" t="s">
        <v>100</v>
      </c>
      <c r="B52" s="4"/>
      <c r="C52" s="4">
        <v>1525.0000000000002</v>
      </c>
      <c r="D52" s="4"/>
      <c r="E52" s="4"/>
      <c r="F52" s="4"/>
      <c r="G52" s="20">
        <v>1525.0000000000002</v>
      </c>
    </row>
    <row r="53" spans="1:7">
      <c r="A53" s="9" t="s">
        <v>142</v>
      </c>
      <c r="B53" s="4"/>
      <c r="C53" s="4">
        <v>1235</v>
      </c>
      <c r="D53" s="4"/>
      <c r="E53" s="4"/>
      <c r="F53" s="4"/>
      <c r="G53" s="20">
        <v>1235</v>
      </c>
    </row>
    <row r="54" spans="1:7">
      <c r="A54" s="9" t="s">
        <v>133</v>
      </c>
      <c r="B54" s="4"/>
      <c r="C54" s="4">
        <v>990.00000000000011</v>
      </c>
      <c r="D54" s="4"/>
      <c r="E54" s="4"/>
      <c r="F54" s="4"/>
      <c r="G54" s="20">
        <v>990.00000000000011</v>
      </c>
    </row>
    <row r="55" spans="1:7">
      <c r="A55" s="9" t="s">
        <v>82</v>
      </c>
      <c r="B55" s="4"/>
      <c r="C55" s="4">
        <v>1280</v>
      </c>
      <c r="D55" s="4"/>
      <c r="E55" s="4"/>
      <c r="F55" s="4"/>
      <c r="G55" s="20">
        <v>1280</v>
      </c>
    </row>
    <row r="56" spans="1:7">
      <c r="A56" s="9" t="s">
        <v>139</v>
      </c>
      <c r="B56" s="4"/>
      <c r="C56" s="4">
        <v>819.99999999999989</v>
      </c>
      <c r="D56" s="4"/>
      <c r="E56" s="4"/>
      <c r="F56" s="4"/>
      <c r="G56" s="20">
        <v>819.99999999999989</v>
      </c>
    </row>
    <row r="57" spans="1:7">
      <c r="A57" s="9" t="s">
        <v>75</v>
      </c>
      <c r="B57" s="4"/>
      <c r="C57" s="4">
        <v>8200</v>
      </c>
      <c r="D57" s="4"/>
      <c r="E57" s="4"/>
      <c r="F57" s="4"/>
      <c r="G57" s="20">
        <v>8200</v>
      </c>
    </row>
    <row r="58" spans="1:7">
      <c r="A58" s="9" t="s">
        <v>176</v>
      </c>
      <c r="B58" s="4"/>
      <c r="C58" s="4">
        <v>3760</v>
      </c>
      <c r="D58" s="4"/>
      <c r="E58" s="4"/>
      <c r="F58" s="4"/>
      <c r="G58" s="20">
        <v>3760</v>
      </c>
    </row>
    <row r="59" spans="1:7">
      <c r="A59" s="9" t="s">
        <v>122</v>
      </c>
      <c r="B59" s="4"/>
      <c r="C59" s="4">
        <v>2590</v>
      </c>
      <c r="D59" s="4"/>
      <c r="E59" s="4"/>
      <c r="F59" s="4"/>
      <c r="G59" s="20">
        <v>2590</v>
      </c>
    </row>
    <row r="60" spans="1:7">
      <c r="A60" s="9" t="s">
        <v>120</v>
      </c>
      <c r="B60" s="4"/>
      <c r="C60" s="4">
        <v>1000</v>
      </c>
      <c r="D60" s="4"/>
      <c r="E60" s="4"/>
      <c r="F60" s="4"/>
      <c r="G60" s="20">
        <v>1000</v>
      </c>
    </row>
    <row r="61" spans="1:7">
      <c r="A61" s="9" t="s">
        <v>25</v>
      </c>
      <c r="B61" s="4"/>
      <c r="C61" s="4">
        <v>240</v>
      </c>
      <c r="D61" s="4"/>
      <c r="E61" s="4"/>
      <c r="F61" s="4"/>
      <c r="G61" s="20">
        <v>240</v>
      </c>
    </row>
    <row r="62" spans="1:7">
      <c r="A62" s="9" t="s">
        <v>63</v>
      </c>
      <c r="B62" s="4"/>
      <c r="C62" s="4">
        <v>1040</v>
      </c>
      <c r="D62" s="4"/>
      <c r="E62" s="4"/>
      <c r="F62" s="4"/>
      <c r="G62" s="20">
        <v>1040</v>
      </c>
    </row>
    <row r="63" spans="1:7">
      <c r="A63" s="9" t="s">
        <v>34</v>
      </c>
      <c r="B63" s="4"/>
      <c r="C63" s="4">
        <v>3039.9999999999995</v>
      </c>
      <c r="D63" s="4"/>
      <c r="E63" s="4"/>
      <c r="F63" s="4"/>
      <c r="G63" s="20">
        <v>3039.9999999999995</v>
      </c>
    </row>
    <row r="64" spans="1:7">
      <c r="A64" s="9" t="s">
        <v>39</v>
      </c>
      <c r="B64" s="4"/>
      <c r="C64" s="4">
        <v>3090</v>
      </c>
      <c r="D64" s="4"/>
      <c r="E64" s="4"/>
      <c r="F64" s="4"/>
      <c r="G64" s="20">
        <v>3090</v>
      </c>
    </row>
    <row r="65" spans="1:7">
      <c r="A65" s="9" t="s">
        <v>128</v>
      </c>
      <c r="B65" s="4"/>
      <c r="C65" s="4">
        <v>6590</v>
      </c>
      <c r="D65" s="4"/>
      <c r="E65" s="4"/>
      <c r="F65" s="4"/>
      <c r="G65" s="20">
        <v>6590</v>
      </c>
    </row>
    <row r="66" spans="1:7">
      <c r="A66" s="9" t="s">
        <v>201</v>
      </c>
      <c r="B66" s="4"/>
      <c r="C66" s="4">
        <v>1615</v>
      </c>
      <c r="D66" s="4"/>
      <c r="E66" s="4"/>
      <c r="F66" s="4"/>
      <c r="G66" s="20">
        <v>1615</v>
      </c>
    </row>
    <row r="67" spans="1:7">
      <c r="A67" s="9" t="s">
        <v>146</v>
      </c>
      <c r="B67" s="4"/>
      <c r="C67" s="4">
        <v>8860</v>
      </c>
      <c r="D67" s="4"/>
      <c r="E67" s="4"/>
      <c r="F67" s="4"/>
      <c r="G67" s="20">
        <v>8860</v>
      </c>
    </row>
    <row r="68" spans="1:7">
      <c r="A68" s="9" t="s">
        <v>180</v>
      </c>
      <c r="B68" s="4"/>
      <c r="C68" s="4">
        <v>2830</v>
      </c>
      <c r="D68" s="4"/>
      <c r="E68" s="4"/>
      <c r="F68" s="4"/>
      <c r="G68" s="20">
        <v>2830</v>
      </c>
    </row>
    <row r="69" spans="1:7">
      <c r="A69" s="9" t="s">
        <v>42</v>
      </c>
      <c r="B69" s="4"/>
      <c r="C69" s="4">
        <v>490</v>
      </c>
      <c r="D69" s="4"/>
      <c r="E69" s="4"/>
      <c r="F69" s="4"/>
      <c r="G69" s="20">
        <v>490</v>
      </c>
    </row>
    <row r="70" spans="1:7">
      <c r="A70" s="9" t="s">
        <v>183</v>
      </c>
      <c r="B70" s="4"/>
      <c r="C70" s="4">
        <v>1940</v>
      </c>
      <c r="D70" s="4"/>
      <c r="E70" s="4"/>
      <c r="F70" s="4"/>
      <c r="G70" s="20">
        <v>1940</v>
      </c>
    </row>
    <row r="71" spans="1:7">
      <c r="A71" s="9" t="s">
        <v>153</v>
      </c>
      <c r="B71" s="4"/>
      <c r="C71" s="4">
        <v>240</v>
      </c>
      <c r="D71" s="4"/>
      <c r="E71" s="4"/>
      <c r="F71" s="4"/>
      <c r="G71" s="20">
        <v>240</v>
      </c>
    </row>
    <row r="72" spans="1:7">
      <c r="A72" s="9" t="s">
        <v>125</v>
      </c>
      <c r="B72" s="4"/>
      <c r="C72" s="4">
        <v>4060</v>
      </c>
      <c r="D72" s="4"/>
      <c r="E72" s="4"/>
      <c r="F72" s="4"/>
      <c r="G72" s="20">
        <v>4060</v>
      </c>
    </row>
    <row r="73" spans="1:7">
      <c r="A73" s="9" t="s">
        <v>60</v>
      </c>
      <c r="B73" s="4"/>
      <c r="C73" s="4">
        <v>475</v>
      </c>
      <c r="D73" s="4"/>
      <c r="E73" s="4"/>
      <c r="F73" s="4"/>
      <c r="G73" s="20">
        <v>475</v>
      </c>
    </row>
    <row r="74" spans="1:7">
      <c r="A74" s="9" t="s">
        <v>44</v>
      </c>
      <c r="B74" s="4"/>
      <c r="C74" s="4">
        <v>2005</v>
      </c>
      <c r="D74" s="4"/>
      <c r="E74" s="4"/>
      <c r="F74" s="4"/>
      <c r="G74" s="20">
        <v>2005</v>
      </c>
    </row>
    <row r="75" spans="1:7">
      <c r="A75" s="9" t="s">
        <v>79</v>
      </c>
      <c r="B75" s="4"/>
      <c r="C75" s="4">
        <v>1100</v>
      </c>
      <c r="D75" s="4"/>
      <c r="E75" s="4"/>
      <c r="F75" s="4"/>
      <c r="G75" s="20">
        <v>1100</v>
      </c>
    </row>
    <row r="76" spans="1:7">
      <c r="A76" s="9" t="s">
        <v>74</v>
      </c>
      <c r="B76" s="4"/>
      <c r="C76" s="4">
        <v>3935</v>
      </c>
      <c r="D76" s="4"/>
      <c r="E76" s="4"/>
      <c r="F76" s="4"/>
      <c r="G76" s="20">
        <v>3935</v>
      </c>
    </row>
    <row r="77" spans="1:7">
      <c r="A77" s="9" t="s">
        <v>178</v>
      </c>
      <c r="B77" s="4"/>
      <c r="C77" s="4">
        <v>990.00000000000011</v>
      </c>
      <c r="D77" s="4"/>
      <c r="E77" s="4"/>
      <c r="F77" s="4"/>
      <c r="G77" s="20">
        <v>990.00000000000011</v>
      </c>
    </row>
    <row r="78" spans="1:7">
      <c r="A78" s="9" t="s">
        <v>30</v>
      </c>
      <c r="B78" s="4"/>
      <c r="C78" s="4">
        <v>1375</v>
      </c>
      <c r="D78" s="4"/>
      <c r="E78" s="4"/>
      <c r="F78" s="4"/>
      <c r="G78" s="20">
        <v>1375</v>
      </c>
    </row>
    <row r="79" spans="1:7">
      <c r="A79" s="9" t="s">
        <v>58</v>
      </c>
      <c r="B79" s="4"/>
      <c r="C79" s="4">
        <v>395</v>
      </c>
      <c r="D79" s="4"/>
      <c r="E79" s="4"/>
      <c r="F79" s="4"/>
      <c r="G79" s="20">
        <v>395</v>
      </c>
    </row>
    <row r="80" spans="1:7">
      <c r="A80" s="9" t="s">
        <v>162</v>
      </c>
      <c r="B80" s="4"/>
      <c r="C80" s="4">
        <v>3265</v>
      </c>
      <c r="D80" s="4"/>
      <c r="E80" s="4"/>
      <c r="F80" s="4"/>
      <c r="G80" s="20">
        <v>3265</v>
      </c>
    </row>
    <row r="81" spans="1:7">
      <c r="A81" s="9" t="s">
        <v>21</v>
      </c>
      <c r="B81" s="4"/>
      <c r="C81" s="4">
        <v>2820.0000000000005</v>
      </c>
      <c r="D81" s="4"/>
      <c r="E81" s="4"/>
      <c r="F81" s="4"/>
      <c r="G81" s="20">
        <v>2820.0000000000005</v>
      </c>
    </row>
    <row r="82" spans="1:7">
      <c r="A82" s="9" t="s">
        <v>50</v>
      </c>
      <c r="B82" s="4"/>
      <c r="C82" s="4">
        <v>1455</v>
      </c>
      <c r="D82" s="4"/>
      <c r="E82" s="4"/>
      <c r="F82" s="4"/>
      <c r="G82" s="20">
        <v>1455</v>
      </c>
    </row>
    <row r="83" spans="1:7">
      <c r="A83" s="9" t="s">
        <v>186</v>
      </c>
      <c r="B83" s="4"/>
      <c r="C83" s="4">
        <v>1400</v>
      </c>
      <c r="D83" s="4"/>
      <c r="E83" s="4"/>
      <c r="F83" s="4"/>
      <c r="G83" s="20">
        <v>1400</v>
      </c>
    </row>
    <row r="84" spans="1:7">
      <c r="A84" s="9" t="s">
        <v>46</v>
      </c>
      <c r="B84" s="4"/>
      <c r="C84" s="4">
        <v>2700</v>
      </c>
      <c r="D84" s="4"/>
      <c r="E84" s="4"/>
      <c r="F84" s="4"/>
      <c r="G84" s="20">
        <v>2700</v>
      </c>
    </row>
    <row r="85" spans="1:7">
      <c r="A85" s="9" t="s">
        <v>78</v>
      </c>
      <c r="B85" s="4"/>
      <c r="C85" s="4">
        <v>2090</v>
      </c>
      <c r="D85" s="4"/>
      <c r="E85" s="4"/>
      <c r="F85" s="4"/>
      <c r="G85" s="20">
        <v>2090</v>
      </c>
    </row>
    <row r="86" spans="1:7">
      <c r="A86" s="9" t="s">
        <v>198</v>
      </c>
      <c r="B86" s="4"/>
      <c r="C86" s="4">
        <v>720</v>
      </c>
      <c r="D86" s="4"/>
      <c r="E86" s="4"/>
      <c r="F86" s="4"/>
      <c r="G86" s="20">
        <v>720</v>
      </c>
    </row>
    <row r="87" spans="1:7">
      <c r="A87" s="9" t="s">
        <v>16</v>
      </c>
      <c r="B87" s="4"/>
      <c r="C87" s="4">
        <v>5120</v>
      </c>
      <c r="D87" s="4"/>
      <c r="E87" s="4"/>
      <c r="F87" s="4"/>
      <c r="G87" s="20">
        <v>5120</v>
      </c>
    </row>
    <row r="88" spans="1:7">
      <c r="A88" s="9" t="s">
        <v>28</v>
      </c>
      <c r="B88" s="4"/>
      <c r="C88" s="4">
        <v>64500</v>
      </c>
      <c r="D88" s="4"/>
      <c r="E88" s="4"/>
      <c r="F88" s="4"/>
      <c r="G88" s="20">
        <v>64500</v>
      </c>
    </row>
    <row r="89" spans="1:7">
      <c r="A89" s="9" t="s">
        <v>167</v>
      </c>
      <c r="B89" s="4"/>
      <c r="C89" s="4">
        <v>2095</v>
      </c>
      <c r="D89" s="4"/>
      <c r="E89" s="4"/>
      <c r="F89" s="4"/>
      <c r="G89" s="20">
        <v>2095</v>
      </c>
    </row>
    <row r="90" spans="1:7">
      <c r="A90" s="9" t="s">
        <v>98</v>
      </c>
      <c r="B90" s="4"/>
      <c r="C90" s="4">
        <v>5390.0000000000009</v>
      </c>
      <c r="D90" s="4"/>
      <c r="E90" s="4"/>
      <c r="F90" s="4"/>
      <c r="G90" s="20">
        <v>5390.0000000000009</v>
      </c>
    </row>
    <row r="91" spans="1:7">
      <c r="A91" s="9" t="s">
        <v>166</v>
      </c>
      <c r="B91" s="4"/>
      <c r="C91" s="4">
        <v>2660</v>
      </c>
      <c r="D91" s="4"/>
      <c r="E91" s="4"/>
      <c r="F91" s="4"/>
      <c r="G91" s="20">
        <v>2660</v>
      </c>
    </row>
    <row r="92" spans="1:7">
      <c r="A92" s="9" t="s">
        <v>172</v>
      </c>
      <c r="B92" s="4"/>
      <c r="C92" s="4">
        <v>275</v>
      </c>
      <c r="D92" s="4"/>
      <c r="E92" s="4"/>
      <c r="F92" s="4"/>
      <c r="G92" s="20">
        <v>275</v>
      </c>
    </row>
    <row r="93" spans="1:7">
      <c r="A93" s="9" t="s">
        <v>52</v>
      </c>
      <c r="B93" s="4"/>
      <c r="C93" s="4">
        <v>6280</v>
      </c>
      <c r="D93" s="4"/>
      <c r="E93" s="4"/>
      <c r="F93" s="4"/>
      <c r="G93" s="20">
        <v>6280</v>
      </c>
    </row>
    <row r="94" spans="1:7">
      <c r="A94" s="9" t="s">
        <v>23</v>
      </c>
      <c r="B94" s="4"/>
      <c r="C94" s="4">
        <v>5110</v>
      </c>
      <c r="D94" s="4"/>
      <c r="E94" s="4"/>
      <c r="F94" s="4"/>
      <c r="G94" s="20">
        <v>5110</v>
      </c>
    </row>
    <row r="95" spans="1:7">
      <c r="A95" s="9" t="s">
        <v>90</v>
      </c>
      <c r="B95" s="4"/>
      <c r="C95" s="4">
        <v>2070</v>
      </c>
      <c r="D95" s="4"/>
      <c r="E95" s="4"/>
      <c r="F95" s="4"/>
      <c r="G95" s="20">
        <v>2070</v>
      </c>
    </row>
    <row r="96" spans="1:7">
      <c r="A96" s="9" t="s">
        <v>190</v>
      </c>
      <c r="B96" s="4"/>
      <c r="C96" s="4">
        <v>5430</v>
      </c>
      <c r="D96" s="4"/>
      <c r="E96" s="4"/>
      <c r="F96" s="4"/>
      <c r="G96" s="20">
        <v>5430</v>
      </c>
    </row>
    <row r="97" spans="1:7">
      <c r="A97" s="9" t="s">
        <v>170</v>
      </c>
      <c r="B97" s="4"/>
      <c r="C97" s="4">
        <v>1000</v>
      </c>
      <c r="D97" s="4"/>
      <c r="E97" s="4"/>
      <c r="F97" s="4"/>
      <c r="G97" s="20">
        <v>1000</v>
      </c>
    </row>
    <row r="98" spans="1:7">
      <c r="A98" s="9" t="s">
        <v>38</v>
      </c>
      <c r="B98" s="4"/>
      <c r="C98" s="4">
        <v>5670.0000000000009</v>
      </c>
      <c r="D98" s="4"/>
      <c r="E98" s="4"/>
      <c r="F98" s="4"/>
      <c r="G98" s="20">
        <v>5670.0000000000009</v>
      </c>
    </row>
    <row r="99" spans="1:7">
      <c r="A99" s="9" t="s">
        <v>41</v>
      </c>
      <c r="B99" s="4"/>
      <c r="C99" s="4">
        <v>3370</v>
      </c>
      <c r="D99" s="4"/>
      <c r="E99" s="4"/>
      <c r="F99" s="4"/>
      <c r="G99" s="20">
        <v>3370</v>
      </c>
    </row>
    <row r="100" spans="1:7">
      <c r="A100" s="9" t="s">
        <v>32</v>
      </c>
      <c r="B100" s="4"/>
      <c r="C100" s="4">
        <v>2935.0000000000005</v>
      </c>
      <c r="D100" s="4"/>
      <c r="E100" s="4"/>
      <c r="F100" s="4"/>
      <c r="G100" s="20">
        <v>2935.0000000000005</v>
      </c>
    </row>
    <row r="101" spans="1:7">
      <c r="A101" s="9" t="s">
        <v>47</v>
      </c>
      <c r="B101" s="4"/>
      <c r="C101" s="4">
        <v>1995</v>
      </c>
      <c r="D101" s="4"/>
      <c r="E101" s="4"/>
      <c r="F101" s="4"/>
      <c r="G101" s="20">
        <v>1995</v>
      </c>
    </row>
    <row r="102" spans="1:7">
      <c r="A102" s="9" t="s">
        <v>150</v>
      </c>
      <c r="B102" s="4"/>
      <c r="C102" s="4">
        <v>6835</v>
      </c>
      <c r="D102" s="4"/>
      <c r="E102" s="4"/>
      <c r="F102" s="4"/>
      <c r="G102" s="20">
        <v>6835</v>
      </c>
    </row>
    <row r="103" spans="1:7">
      <c r="A103" s="9" t="s">
        <v>73</v>
      </c>
      <c r="B103" s="4"/>
      <c r="C103" s="4">
        <v>27500</v>
      </c>
      <c r="D103" s="4"/>
      <c r="E103" s="4"/>
      <c r="F103" s="4"/>
      <c r="G103" s="20">
        <v>27500</v>
      </c>
    </row>
    <row r="104" spans="1:7">
      <c r="A104" s="9" t="s">
        <v>191</v>
      </c>
      <c r="B104" s="4"/>
      <c r="C104" s="4">
        <v>3820.0000000000005</v>
      </c>
      <c r="D104" s="4"/>
      <c r="E104" s="4"/>
      <c r="F104" s="4"/>
      <c r="G104" s="20">
        <v>3820.0000000000005</v>
      </c>
    </row>
    <row r="105" spans="1:7">
      <c r="A105" s="9" t="s">
        <v>135</v>
      </c>
      <c r="B105" s="4"/>
      <c r="C105" s="4">
        <v>1450</v>
      </c>
      <c r="D105" s="4"/>
      <c r="E105" s="4"/>
      <c r="F105" s="4"/>
      <c r="G105" s="20">
        <v>1450</v>
      </c>
    </row>
    <row r="106" spans="1:7">
      <c r="A106" s="9" t="s">
        <v>57</v>
      </c>
      <c r="B106" s="4"/>
      <c r="C106" s="4">
        <v>2415</v>
      </c>
      <c r="D106" s="4"/>
      <c r="E106" s="4"/>
      <c r="F106" s="4"/>
      <c r="G106" s="20">
        <v>2415</v>
      </c>
    </row>
    <row r="107" spans="1:7">
      <c r="A107" s="9" t="s">
        <v>92</v>
      </c>
      <c r="B107" s="4"/>
      <c r="C107" s="4">
        <v>4105</v>
      </c>
      <c r="D107" s="4"/>
      <c r="E107" s="4"/>
      <c r="F107" s="4"/>
      <c r="G107" s="20">
        <v>4105</v>
      </c>
    </row>
    <row r="108" spans="1:7">
      <c r="A108" s="9" t="s">
        <v>119</v>
      </c>
      <c r="B108" s="4"/>
      <c r="C108" s="4">
        <v>3945</v>
      </c>
      <c r="D108" s="4"/>
      <c r="E108" s="4"/>
      <c r="F108" s="4"/>
      <c r="G108" s="20">
        <v>3945</v>
      </c>
    </row>
    <row r="109" spans="1:7">
      <c r="A109" s="9" t="s">
        <v>20</v>
      </c>
      <c r="B109" s="4"/>
      <c r="C109" s="4">
        <v>1530</v>
      </c>
      <c r="D109" s="4"/>
      <c r="E109" s="4"/>
      <c r="F109" s="4"/>
      <c r="G109" s="20">
        <v>1530</v>
      </c>
    </row>
    <row r="110" spans="1:7">
      <c r="A110" s="9" t="s">
        <v>161</v>
      </c>
      <c r="B110" s="4"/>
      <c r="C110" s="4">
        <v>1645</v>
      </c>
      <c r="D110" s="4"/>
      <c r="E110" s="4"/>
      <c r="F110" s="4"/>
      <c r="G110" s="20">
        <v>1645</v>
      </c>
    </row>
    <row r="111" spans="1:7">
      <c r="A111" s="9" t="s">
        <v>200</v>
      </c>
      <c r="B111" s="4"/>
      <c r="C111" s="4">
        <v>3190</v>
      </c>
      <c r="D111" s="4"/>
      <c r="E111" s="4"/>
      <c r="F111" s="4"/>
      <c r="G111" s="20">
        <v>3190</v>
      </c>
    </row>
    <row r="112" spans="1:7">
      <c r="A112" s="9" t="s">
        <v>156</v>
      </c>
      <c r="B112" s="4"/>
      <c r="C112" s="4">
        <v>1790</v>
      </c>
      <c r="D112" s="4"/>
      <c r="E112" s="4"/>
      <c r="F112" s="4"/>
      <c r="G112" s="20">
        <v>1790</v>
      </c>
    </row>
    <row r="113" spans="1:7">
      <c r="A113" s="9" t="s">
        <v>102</v>
      </c>
      <c r="B113" s="4"/>
      <c r="C113" s="4">
        <v>1060</v>
      </c>
      <c r="D113" s="4"/>
      <c r="E113" s="4"/>
      <c r="F113" s="4"/>
      <c r="G113" s="20">
        <v>1060</v>
      </c>
    </row>
    <row r="114" spans="1:7">
      <c r="A114" s="9" t="s">
        <v>96</v>
      </c>
      <c r="B114" s="4"/>
      <c r="C114" s="4">
        <v>1820</v>
      </c>
      <c r="D114" s="4"/>
      <c r="E114" s="4"/>
      <c r="F114" s="4"/>
      <c r="G114" s="20">
        <v>1820</v>
      </c>
    </row>
    <row r="115" spans="1:7">
      <c r="A115" s="9" t="s">
        <v>56</v>
      </c>
      <c r="B115" s="4"/>
      <c r="C115" s="4">
        <v>1145</v>
      </c>
      <c r="D115" s="4"/>
      <c r="E115" s="4"/>
      <c r="F115" s="4"/>
      <c r="G115" s="20">
        <v>1145</v>
      </c>
    </row>
    <row r="116" spans="1:7">
      <c r="A116" s="9" t="s">
        <v>85</v>
      </c>
      <c r="B116" s="4"/>
      <c r="C116" s="4">
        <v>7675</v>
      </c>
      <c r="D116" s="4"/>
      <c r="E116" s="4"/>
      <c r="F116" s="4"/>
      <c r="G116" s="20">
        <v>7675</v>
      </c>
    </row>
    <row r="117" spans="1:7">
      <c r="A117" s="9" t="s">
        <v>93</v>
      </c>
      <c r="B117" s="4"/>
      <c r="C117" s="4">
        <v>4250</v>
      </c>
      <c r="D117" s="4"/>
      <c r="E117" s="4"/>
      <c r="F117" s="4"/>
      <c r="G117" s="20">
        <v>4250</v>
      </c>
    </row>
    <row r="118" spans="1:7">
      <c r="A118" s="9" t="s">
        <v>154</v>
      </c>
      <c r="B118" s="4"/>
      <c r="C118" s="4">
        <v>500</v>
      </c>
      <c r="D118" s="4"/>
      <c r="E118" s="4"/>
      <c r="F118" s="4"/>
      <c r="G118" s="20">
        <v>500</v>
      </c>
    </row>
    <row r="119" spans="1:7">
      <c r="A119" s="9" t="s">
        <v>70</v>
      </c>
      <c r="B119" s="4"/>
      <c r="C119" s="4">
        <v>212800</v>
      </c>
      <c r="D119" s="4"/>
      <c r="E119" s="4"/>
      <c r="F119" s="4"/>
      <c r="G119" s="20">
        <v>212800</v>
      </c>
    </row>
    <row r="120" spans="1:7">
      <c r="A120" s="9" t="s">
        <v>199</v>
      </c>
      <c r="B120" s="4"/>
      <c r="C120" s="4">
        <v>500</v>
      </c>
      <c r="D120" s="4"/>
      <c r="E120" s="4"/>
      <c r="F120" s="4"/>
      <c r="G120" s="20">
        <v>500</v>
      </c>
    </row>
    <row r="121" spans="1:7">
      <c r="A121" s="9" t="s">
        <v>193</v>
      </c>
      <c r="B121" s="4"/>
      <c r="C121" s="4">
        <v>2000</v>
      </c>
      <c r="D121" s="4"/>
      <c r="E121" s="4"/>
      <c r="F121" s="4"/>
      <c r="G121" s="20">
        <v>2000</v>
      </c>
    </row>
    <row r="122" spans="1:7">
      <c r="A122" s="9" t="s">
        <v>24</v>
      </c>
      <c r="B122" s="4"/>
      <c r="C122" s="4">
        <v>200</v>
      </c>
      <c r="D122" s="4"/>
      <c r="E122" s="4"/>
      <c r="F122" s="4"/>
      <c r="G122" s="20">
        <v>200</v>
      </c>
    </row>
    <row r="123" spans="1:7">
      <c r="A123" s="9" t="s">
        <v>88</v>
      </c>
      <c r="B123" s="4"/>
      <c r="C123" s="4">
        <v>2779.9999999999995</v>
      </c>
      <c r="D123" s="4"/>
      <c r="E123" s="4"/>
      <c r="F123" s="4"/>
      <c r="G123" s="20">
        <v>2779.9999999999995</v>
      </c>
    </row>
    <row r="124" spans="1:7">
      <c r="A124" s="9" t="s">
        <v>22</v>
      </c>
      <c r="B124" s="4"/>
      <c r="C124" s="4">
        <v>495.00000000000006</v>
      </c>
      <c r="D124" s="4"/>
      <c r="E124" s="4"/>
      <c r="F124" s="4"/>
      <c r="G124" s="20">
        <v>495.00000000000006</v>
      </c>
    </row>
    <row r="125" spans="1:7">
      <c r="A125" s="9" t="s">
        <v>62</v>
      </c>
      <c r="B125" s="4"/>
      <c r="C125" s="4">
        <v>530</v>
      </c>
      <c r="D125" s="4"/>
      <c r="E125" s="4"/>
      <c r="F125" s="4"/>
      <c r="G125" s="20">
        <v>530</v>
      </c>
    </row>
    <row r="126" spans="1:7">
      <c r="A126" s="9" t="s">
        <v>54</v>
      </c>
      <c r="B126" s="4"/>
      <c r="C126" s="4">
        <v>3730</v>
      </c>
      <c r="D126" s="4"/>
      <c r="E126" s="4"/>
      <c r="F126" s="4"/>
      <c r="G126" s="20">
        <v>3730</v>
      </c>
    </row>
    <row r="127" spans="1:7">
      <c r="A127" s="9" t="s">
        <v>43</v>
      </c>
      <c r="B127" s="4"/>
      <c r="C127" s="4">
        <v>1000</v>
      </c>
      <c r="D127" s="4"/>
      <c r="E127" s="4"/>
      <c r="F127" s="4"/>
      <c r="G127" s="20">
        <v>1000</v>
      </c>
    </row>
    <row r="128" spans="1:7">
      <c r="A128" s="9" t="s">
        <v>99</v>
      </c>
      <c r="B128" s="4"/>
      <c r="C128" s="4">
        <v>2675.0000000000005</v>
      </c>
      <c r="D128" s="4"/>
      <c r="E128" s="4"/>
      <c r="F128" s="4"/>
      <c r="G128" s="20">
        <v>2675.0000000000005</v>
      </c>
    </row>
    <row r="129" spans="1:7">
      <c r="A129" s="9" t="s">
        <v>205</v>
      </c>
      <c r="B129" s="4"/>
      <c r="C129" s="4">
        <v>734.99999999999989</v>
      </c>
      <c r="D129" s="4"/>
      <c r="E129" s="4"/>
      <c r="F129" s="4"/>
      <c r="G129" s="20">
        <v>734.99999999999989</v>
      </c>
    </row>
    <row r="130" spans="1:7">
      <c r="A130" s="9" t="s">
        <v>196</v>
      </c>
      <c r="B130" s="4"/>
      <c r="C130" s="4">
        <v>2505</v>
      </c>
      <c r="D130" s="4"/>
      <c r="E130" s="4"/>
      <c r="F130" s="4"/>
      <c r="G130" s="20">
        <v>2505</v>
      </c>
    </row>
    <row r="131" spans="1:7">
      <c r="A131" s="9" t="s">
        <v>114</v>
      </c>
      <c r="B131" s="4"/>
      <c r="C131" s="4">
        <v>1095</v>
      </c>
      <c r="D131" s="4"/>
      <c r="E131" s="4"/>
      <c r="F131" s="4"/>
      <c r="G131" s="20">
        <v>1095</v>
      </c>
    </row>
    <row r="132" spans="1:7">
      <c r="A132" s="9" t="s">
        <v>185</v>
      </c>
      <c r="B132" s="4"/>
      <c r="C132" s="4">
        <v>1215</v>
      </c>
      <c r="D132" s="4"/>
      <c r="E132" s="4"/>
      <c r="F132" s="4"/>
      <c r="G132" s="20">
        <v>1215</v>
      </c>
    </row>
    <row r="133" spans="1:7">
      <c r="A133" s="9" t="s">
        <v>110</v>
      </c>
      <c r="B133" s="4"/>
      <c r="C133" s="4">
        <v>2398.9999999999995</v>
      </c>
      <c r="D133" s="4"/>
      <c r="E133" s="4"/>
      <c r="F133" s="4"/>
      <c r="G133" s="20">
        <v>2398.9999999999995</v>
      </c>
    </row>
    <row r="134" spans="1:7">
      <c r="A134" s="9" t="s">
        <v>165</v>
      </c>
      <c r="B134" s="4"/>
      <c r="C134" s="4">
        <v>2170</v>
      </c>
      <c r="D134" s="4"/>
      <c r="E134" s="4"/>
      <c r="F134" s="4"/>
      <c r="G134" s="20">
        <v>2170</v>
      </c>
    </row>
    <row r="135" spans="1:7">
      <c r="A135" s="9" t="s">
        <v>18</v>
      </c>
      <c r="B135" s="4"/>
      <c r="C135" s="4">
        <v>6389.0000000000009</v>
      </c>
      <c r="D135" s="4"/>
      <c r="E135" s="4"/>
      <c r="F135" s="4"/>
      <c r="G135" s="20">
        <v>6389.0000000000009</v>
      </c>
    </row>
    <row r="136" spans="1:7">
      <c r="A136" s="9" t="s">
        <v>144</v>
      </c>
      <c r="B136" s="4"/>
      <c r="C136" s="4">
        <v>3130</v>
      </c>
      <c r="D136" s="4"/>
      <c r="E136" s="4"/>
      <c r="F136" s="4"/>
      <c r="G136" s="20">
        <v>3130</v>
      </c>
    </row>
    <row r="137" spans="1:7">
      <c r="A137" s="9" t="s">
        <v>203</v>
      </c>
      <c r="B137" s="4"/>
      <c r="C137" s="4">
        <v>1185</v>
      </c>
      <c r="D137" s="4"/>
      <c r="E137" s="4"/>
      <c r="F137" s="4"/>
      <c r="G137" s="20">
        <v>1185</v>
      </c>
    </row>
    <row r="138" spans="1:7">
      <c r="A138" s="9" t="s">
        <v>48</v>
      </c>
      <c r="B138" s="4"/>
      <c r="C138" s="4">
        <v>1175</v>
      </c>
      <c r="D138" s="4"/>
      <c r="E138" s="4"/>
      <c r="F138" s="4"/>
      <c r="G138" s="20">
        <v>1175</v>
      </c>
    </row>
    <row r="139" spans="1:7">
      <c r="A139" s="9" t="s">
        <v>111</v>
      </c>
      <c r="B139" s="4"/>
      <c r="C139" s="4">
        <v>6190.0000000000009</v>
      </c>
      <c r="D139" s="4"/>
      <c r="E139" s="4"/>
      <c r="F139" s="4"/>
      <c r="G139" s="20">
        <v>6190.0000000000009</v>
      </c>
    </row>
    <row r="140" spans="1:7">
      <c r="A140" s="9" t="s">
        <v>103</v>
      </c>
      <c r="B140" s="4"/>
      <c r="C140" s="4">
        <v>4900</v>
      </c>
      <c r="D140" s="4"/>
      <c r="E140" s="4"/>
      <c r="F140" s="4"/>
      <c r="G140" s="20">
        <v>4900</v>
      </c>
    </row>
    <row r="141" spans="1:7">
      <c r="A141" s="9" t="s">
        <v>169</v>
      </c>
      <c r="B141" s="4"/>
      <c r="C141" s="4">
        <v>835</v>
      </c>
      <c r="D141" s="4"/>
      <c r="E141" s="4"/>
      <c r="F141" s="4"/>
      <c r="G141" s="20">
        <v>835</v>
      </c>
    </row>
    <row r="142" spans="1:7">
      <c r="A142" s="9" t="s">
        <v>137</v>
      </c>
      <c r="B142" s="4"/>
      <c r="C142" s="4">
        <v>1000</v>
      </c>
      <c r="D142" s="4"/>
      <c r="E142" s="4"/>
      <c r="F142" s="4"/>
      <c r="G142" s="20">
        <v>1000</v>
      </c>
    </row>
    <row r="143" spans="1:7">
      <c r="A143" s="9" t="s">
        <v>17</v>
      </c>
      <c r="B143" s="4"/>
      <c r="C143" s="4">
        <v>2889</v>
      </c>
      <c r="D143" s="4"/>
      <c r="E143" s="4"/>
      <c r="F143" s="4"/>
      <c r="G143" s="20">
        <v>2889</v>
      </c>
    </row>
    <row r="144" spans="1:7">
      <c r="A144" s="9" t="s">
        <v>155</v>
      </c>
      <c r="B144" s="4"/>
      <c r="C144" s="4">
        <v>490</v>
      </c>
      <c r="D144" s="4"/>
      <c r="E144" s="4"/>
      <c r="F144" s="4"/>
      <c r="G144" s="20">
        <v>490</v>
      </c>
    </row>
    <row r="145" spans="1:7">
      <c r="A145" s="9" t="s">
        <v>147</v>
      </c>
      <c r="B145" s="4"/>
      <c r="C145" s="4">
        <v>5520</v>
      </c>
      <c r="D145" s="4"/>
      <c r="E145" s="4"/>
      <c r="F145" s="4"/>
      <c r="G145" s="20">
        <v>5520</v>
      </c>
    </row>
    <row r="146" spans="1:7">
      <c r="A146" s="9" t="s">
        <v>69</v>
      </c>
      <c r="B146" s="4"/>
      <c r="C146" s="4">
        <v>38800</v>
      </c>
      <c r="D146" s="4"/>
      <c r="E146" s="4"/>
      <c r="F146" s="4"/>
      <c r="G146" s="20">
        <v>38800</v>
      </c>
    </row>
    <row r="147" spans="1:7">
      <c r="A147" s="9" t="s">
        <v>77</v>
      </c>
      <c r="B147" s="4"/>
      <c r="C147" s="4">
        <v>1020</v>
      </c>
      <c r="D147" s="4"/>
      <c r="E147" s="4"/>
      <c r="F147" s="4"/>
      <c r="G147" s="20">
        <v>1020</v>
      </c>
    </row>
    <row r="148" spans="1:7">
      <c r="A148" s="9" t="s">
        <v>94</v>
      </c>
      <c r="B148" s="4"/>
      <c r="C148" s="4">
        <v>1065.0000000000002</v>
      </c>
      <c r="D148" s="4"/>
      <c r="E148" s="4"/>
      <c r="F148" s="4"/>
      <c r="G148" s="20">
        <v>1065.0000000000002</v>
      </c>
    </row>
    <row r="149" spans="1:7">
      <c r="A149" s="9" t="s">
        <v>101</v>
      </c>
      <c r="B149" s="4"/>
      <c r="C149" s="4">
        <v>275</v>
      </c>
      <c r="D149" s="4"/>
      <c r="E149" s="4"/>
      <c r="F149" s="4"/>
      <c r="G149" s="20">
        <v>275</v>
      </c>
    </row>
    <row r="150" spans="1:7">
      <c r="A150" s="9" t="s">
        <v>84</v>
      </c>
      <c r="B150" s="4"/>
      <c r="C150" s="4">
        <v>550</v>
      </c>
      <c r="D150" s="4"/>
      <c r="E150" s="4"/>
      <c r="F150" s="4"/>
      <c r="G150" s="20">
        <v>550</v>
      </c>
    </row>
    <row r="151" spans="1:7">
      <c r="A151" s="9" t="s">
        <v>129</v>
      </c>
      <c r="B151" s="4"/>
      <c r="C151" s="4">
        <v>4720</v>
      </c>
      <c r="D151" s="4"/>
      <c r="E151" s="4"/>
      <c r="F151" s="4"/>
      <c r="G151" s="20">
        <v>4720</v>
      </c>
    </row>
    <row r="152" spans="1:7">
      <c r="A152" s="9" t="s">
        <v>68</v>
      </c>
      <c r="B152" s="4"/>
      <c r="C152" s="4">
        <v>31399.006000000001</v>
      </c>
      <c r="D152" s="4"/>
      <c r="E152" s="4"/>
      <c r="F152" s="4"/>
      <c r="G152" s="20">
        <v>31399.006000000001</v>
      </c>
    </row>
    <row r="153" spans="1:7">
      <c r="A153" s="9" t="s">
        <v>51</v>
      </c>
      <c r="B153" s="4"/>
      <c r="C153" s="4">
        <v>2820.0000000000005</v>
      </c>
      <c r="D153" s="4"/>
      <c r="E153" s="4"/>
      <c r="F153" s="4"/>
      <c r="G153" s="20">
        <v>2820.0000000000005</v>
      </c>
    </row>
    <row r="154" spans="1:7">
      <c r="A154" s="9" t="s">
        <v>143</v>
      </c>
      <c r="B154" s="4"/>
      <c r="C154" s="4">
        <v>250</v>
      </c>
      <c r="D154" s="4"/>
      <c r="E154" s="4"/>
      <c r="F154" s="4"/>
      <c r="G154" s="20">
        <v>250</v>
      </c>
    </row>
    <row r="155" spans="1:7">
      <c r="A155" s="9" t="s">
        <v>136</v>
      </c>
      <c r="B155" s="4"/>
      <c r="C155" s="4">
        <v>1290</v>
      </c>
      <c r="D155" s="4"/>
      <c r="E155" s="4"/>
      <c r="F155" s="4"/>
      <c r="G155" s="20">
        <v>1290</v>
      </c>
    </row>
    <row r="156" spans="1:7">
      <c r="A156" s="9" t="s">
        <v>71</v>
      </c>
      <c r="B156" s="4"/>
      <c r="C156" s="4">
        <v>1294</v>
      </c>
      <c r="D156" s="4"/>
      <c r="E156" s="4"/>
      <c r="F156" s="4"/>
      <c r="G156" s="20">
        <v>1294</v>
      </c>
    </row>
    <row r="157" spans="1:7">
      <c r="A157" s="9" t="s">
        <v>197</v>
      </c>
      <c r="B157" s="4"/>
      <c r="C157" s="4">
        <v>500</v>
      </c>
      <c r="D157" s="4"/>
      <c r="E157" s="4"/>
      <c r="F157" s="4"/>
      <c r="G157" s="20">
        <v>500</v>
      </c>
    </row>
    <row r="158" spans="1:7">
      <c r="A158" s="9" t="s">
        <v>181</v>
      </c>
      <c r="B158" s="4"/>
      <c r="C158" s="4">
        <v>2055</v>
      </c>
      <c r="D158" s="4"/>
      <c r="E158" s="4"/>
      <c r="F158" s="4"/>
      <c r="G158" s="20">
        <v>2055</v>
      </c>
    </row>
    <row r="159" spans="1:7">
      <c r="A159" s="9" t="s">
        <v>189</v>
      </c>
      <c r="B159" s="4"/>
      <c r="C159" s="4">
        <v>5670.0000000000009</v>
      </c>
      <c r="D159" s="4"/>
      <c r="E159" s="4"/>
      <c r="F159" s="4"/>
      <c r="G159" s="20">
        <v>5670.0000000000009</v>
      </c>
    </row>
    <row r="160" spans="1:7">
      <c r="A160" s="9" t="s">
        <v>141</v>
      </c>
      <c r="B160" s="4"/>
      <c r="C160" s="4">
        <v>755</v>
      </c>
      <c r="D160" s="4"/>
      <c r="E160" s="4"/>
      <c r="F160" s="4"/>
      <c r="G160" s="20">
        <v>755</v>
      </c>
    </row>
    <row r="161" spans="1:7">
      <c r="A161" s="9" t="s">
        <v>121</v>
      </c>
      <c r="B161" s="4"/>
      <c r="C161" s="4">
        <v>500</v>
      </c>
      <c r="D161" s="4"/>
      <c r="E161" s="4"/>
      <c r="F161" s="4"/>
      <c r="G161" s="20">
        <v>500</v>
      </c>
    </row>
    <row r="162" spans="1:7">
      <c r="A162" s="9" t="s">
        <v>179</v>
      </c>
      <c r="B162" s="4"/>
      <c r="C162" s="4">
        <v>2315</v>
      </c>
      <c r="D162" s="4"/>
      <c r="E162" s="4"/>
      <c r="F162" s="4"/>
      <c r="G162" s="20">
        <v>2315</v>
      </c>
    </row>
    <row r="163" spans="1:7">
      <c r="A163" s="9" t="s">
        <v>37</v>
      </c>
      <c r="B163" s="4"/>
      <c r="C163" s="4">
        <v>1015</v>
      </c>
      <c r="D163" s="4"/>
      <c r="E163" s="4"/>
      <c r="F163" s="4"/>
      <c r="G163" s="20">
        <v>1015</v>
      </c>
    </row>
    <row r="164" spans="1:7">
      <c r="A164" s="9" t="s">
        <v>49</v>
      </c>
      <c r="B164" s="4"/>
      <c r="C164" s="4">
        <v>725</v>
      </c>
      <c r="D164" s="4"/>
      <c r="E164" s="4"/>
      <c r="F164" s="4"/>
      <c r="G164" s="20">
        <v>725</v>
      </c>
    </row>
    <row r="165" spans="1:7">
      <c r="A165" s="9" t="s">
        <v>116</v>
      </c>
      <c r="B165" s="4"/>
      <c r="C165" s="4">
        <v>250</v>
      </c>
      <c r="D165" s="4"/>
      <c r="E165" s="4"/>
      <c r="F165" s="4"/>
      <c r="G165" s="20">
        <v>250</v>
      </c>
    </row>
    <row r="166" spans="1:7">
      <c r="A166" s="9" t="s">
        <v>33</v>
      </c>
      <c r="B166" s="4"/>
      <c r="C166" s="4">
        <v>1560</v>
      </c>
      <c r="D166" s="4"/>
      <c r="E166" s="4"/>
      <c r="F166" s="4"/>
      <c r="G166" s="20">
        <v>1560</v>
      </c>
    </row>
    <row r="167" spans="1:7">
      <c r="A167" s="9" t="s">
        <v>174</v>
      </c>
      <c r="B167" s="4"/>
      <c r="C167" s="4">
        <v>2529.9999999999995</v>
      </c>
      <c r="D167" s="4"/>
      <c r="E167" s="4"/>
      <c r="F167" s="4"/>
      <c r="G167" s="20">
        <v>2529.9999999999995</v>
      </c>
    </row>
    <row r="168" spans="1:7">
      <c r="A168" s="9" t="s">
        <v>76</v>
      </c>
      <c r="B168" s="4"/>
      <c r="C168" s="4">
        <v>23997.998000000003</v>
      </c>
      <c r="D168" s="4"/>
      <c r="E168" s="4"/>
      <c r="F168" s="4"/>
      <c r="G168" s="20">
        <v>23997.998000000003</v>
      </c>
    </row>
    <row r="169" spans="1:7">
      <c r="A169" s="9" t="s">
        <v>138</v>
      </c>
      <c r="B169" s="4"/>
      <c r="C169" s="4">
        <v>2515</v>
      </c>
      <c r="D169" s="4"/>
      <c r="E169" s="4"/>
      <c r="F169" s="4"/>
      <c r="G169" s="20">
        <v>2515</v>
      </c>
    </row>
    <row r="170" spans="1:7">
      <c r="A170" s="9" t="s">
        <v>45</v>
      </c>
      <c r="B170" s="4"/>
      <c r="C170" s="4">
        <v>240</v>
      </c>
      <c r="D170" s="4"/>
      <c r="E170" s="4"/>
      <c r="F170" s="4"/>
      <c r="G170" s="20">
        <v>240</v>
      </c>
    </row>
    <row r="171" spans="1:7">
      <c r="A171" s="9" t="s">
        <v>140</v>
      </c>
      <c r="B171" s="4"/>
      <c r="C171" s="4">
        <v>3190</v>
      </c>
      <c r="D171" s="4"/>
      <c r="E171" s="4"/>
      <c r="F171" s="4"/>
      <c r="G171" s="20">
        <v>3190</v>
      </c>
    </row>
    <row r="172" spans="1:7">
      <c r="A172" s="3" t="s">
        <v>208</v>
      </c>
      <c r="B172">
        <v>-8991759.4333996028</v>
      </c>
      <c r="C172">
        <v>38717734.013999999</v>
      </c>
      <c r="D172">
        <v>-20029.75</v>
      </c>
      <c r="E172">
        <v>-4641619.1843936378</v>
      </c>
      <c r="F172">
        <v>-32400000</v>
      </c>
      <c r="G172" s="16">
        <v>-7335674.3537932523</v>
      </c>
    </row>
    <row r="173" spans="1:7">
      <c r="G173" s="16">
        <f>-GETPIVOTDATA("MOV TOTAL",$A$3,"TRANSACTION_TYPE","Pago MERCADOPAGO POINT AR")</f>
        <v>44999</v>
      </c>
    </row>
    <row r="174" spans="1:7">
      <c r="G174" s="16">
        <f>+GETPIVOTDATA("MOV TOTAL",$A$3)+G173</f>
        <v>-7290675.3537932523</v>
      </c>
    </row>
    <row r="175" spans="1:7">
      <c r="G175" s="16">
        <f>+sheet0!M1583</f>
        <v>-45268.99</v>
      </c>
    </row>
    <row r="176" spans="1:7">
      <c r="G176" s="16">
        <f>+G174+G175</f>
        <v>-7335944.3437932525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171"/>
  <sheetViews>
    <sheetView workbookViewId="0">
      <selection activeCell="B16" sqref="B16"/>
    </sheetView>
  </sheetViews>
  <sheetFormatPr defaultColWidth="10.6640625" defaultRowHeight="14.25"/>
  <cols>
    <col min="1" max="1" width="42" customWidth="1"/>
    <col min="2" max="2" width="21.1328125" style="16" customWidth="1"/>
    <col min="4" max="4" width="48" bestFit="1" customWidth="1"/>
    <col min="5" max="5" width="16.1328125" bestFit="1" customWidth="1"/>
    <col min="6" max="6" width="30.73046875" bestFit="1" customWidth="1"/>
    <col min="7" max="7" width="14.1328125" bestFit="1" customWidth="1"/>
  </cols>
  <sheetData>
    <row r="3" spans="1:7">
      <c r="A3" s="2" t="s">
        <v>207</v>
      </c>
      <c r="B3" s="16" t="s">
        <v>206</v>
      </c>
    </row>
    <row r="4" spans="1:7">
      <c r="A4" s="10" t="s">
        <v>109</v>
      </c>
      <c r="B4" s="18">
        <v>-118708</v>
      </c>
      <c r="C4" t="s">
        <v>215</v>
      </c>
      <c r="D4" s="27" t="s">
        <v>226</v>
      </c>
      <c r="E4" s="4" t="s">
        <v>217</v>
      </c>
      <c r="F4" t="s">
        <v>209</v>
      </c>
      <c r="G4" s="16">
        <f>SUM(B8:B9,B22:B170)</f>
        <v>37149347.89000006</v>
      </c>
    </row>
    <row r="5" spans="1:7">
      <c r="A5" s="10" t="s">
        <v>86</v>
      </c>
      <c r="B5" s="18">
        <v>-144652.32999999999</v>
      </c>
      <c r="C5" t="s">
        <v>215</v>
      </c>
      <c r="D5" t="s">
        <v>227</v>
      </c>
      <c r="E5" s="5" t="s">
        <v>221</v>
      </c>
      <c r="F5" t="s">
        <v>210</v>
      </c>
      <c r="G5" s="16">
        <f>SUM(B10,B12,B14,B16,B18,B20,B21)</f>
        <v>-3684910.29</v>
      </c>
    </row>
    <row r="6" spans="1:7">
      <c r="A6" s="10" t="s">
        <v>108</v>
      </c>
      <c r="B6" s="18">
        <v>-89507.839999999997</v>
      </c>
      <c r="C6" t="s">
        <v>215</v>
      </c>
      <c r="D6" t="s">
        <v>228</v>
      </c>
      <c r="E6" s="6"/>
      <c r="F6" t="s">
        <v>211</v>
      </c>
      <c r="G6" s="16"/>
    </row>
    <row r="7" spans="1:7">
      <c r="A7" s="12" t="s">
        <v>13</v>
      </c>
      <c r="B7" s="19">
        <v>-20029.75</v>
      </c>
      <c r="C7" t="s">
        <v>215</v>
      </c>
      <c r="D7" t="s">
        <v>216</v>
      </c>
      <c r="E7" s="7" t="s">
        <v>229</v>
      </c>
      <c r="F7" t="s">
        <v>212</v>
      </c>
      <c r="G7" s="16">
        <f>+GETPIVOTDATA("TRANSACTION_NET_AMOUNT",$A$3,"TRANSACTION_TYPE","Pago de servicio ARCA")+GETPIVOTDATA("TRANSACTION_NET_AMOUNT",$A$3,"TRANSACTION_TYPE","Transferencia enviada Municipalidad De Concepcion Del Uru")</f>
        <v>-9559779.7400000002</v>
      </c>
    </row>
    <row r="8" spans="1:7">
      <c r="A8" s="9" t="s">
        <v>11</v>
      </c>
      <c r="B8" s="20">
        <v>36474193.520000078</v>
      </c>
      <c r="C8" t="s">
        <v>215</v>
      </c>
      <c r="E8" s="8"/>
      <c r="F8" t="s">
        <v>213</v>
      </c>
      <c r="G8" s="16"/>
    </row>
    <row r="9" spans="1:7">
      <c r="A9" s="9" t="s">
        <v>36</v>
      </c>
      <c r="B9" s="20">
        <v>-80416.06</v>
      </c>
      <c r="C9" t="s">
        <v>215</v>
      </c>
      <c r="E9" s="15"/>
      <c r="F9" t="s">
        <v>214</v>
      </c>
      <c r="G9" s="16"/>
    </row>
    <row r="10" spans="1:7">
      <c r="A10" s="11" t="s">
        <v>182</v>
      </c>
      <c r="B10" s="21">
        <v>-86803.41</v>
      </c>
      <c r="C10" t="s">
        <v>215</v>
      </c>
      <c r="E10" s="26" t="s">
        <v>222</v>
      </c>
      <c r="F10" t="s">
        <v>220</v>
      </c>
      <c r="G10" s="25">
        <f>+GETPIVOTDATA("TRANSACTION_NET_AMOUNT",$A$3,"TRANSACTION_TYPE","Pago RIO URUGUAY SEGUROS")</f>
        <v>-66827.570000000007</v>
      </c>
    </row>
    <row r="11" spans="1:7">
      <c r="A11" s="14" t="s">
        <v>65</v>
      </c>
      <c r="B11" s="22">
        <v>-9045709.9900000002</v>
      </c>
      <c r="C11" t="s">
        <v>215</v>
      </c>
    </row>
    <row r="12" spans="1:7">
      <c r="A12" s="11" t="s">
        <v>152</v>
      </c>
      <c r="B12" s="21">
        <v>-169242.76</v>
      </c>
      <c r="C12" t="s">
        <v>215</v>
      </c>
    </row>
    <row r="13" spans="1:7">
      <c r="A13" s="12" t="s">
        <v>35</v>
      </c>
      <c r="B13" s="19">
        <v>-30763.360000000001</v>
      </c>
      <c r="C13" t="s">
        <v>215</v>
      </c>
      <c r="D13" t="s">
        <v>219</v>
      </c>
    </row>
    <row r="14" spans="1:7">
      <c r="A14" s="11" t="s">
        <v>87</v>
      </c>
      <c r="B14" s="21">
        <v>-45268.99</v>
      </c>
      <c r="C14" t="s">
        <v>215</v>
      </c>
    </row>
    <row r="15" spans="1:7">
      <c r="A15" s="24" t="s">
        <v>131</v>
      </c>
      <c r="B15" s="25">
        <v>-66827.570000000007</v>
      </c>
      <c r="C15" t="s">
        <v>215</v>
      </c>
    </row>
    <row r="16" spans="1:7">
      <c r="A16" s="11" t="s">
        <v>14</v>
      </c>
      <c r="B16" s="21">
        <v>-551528.92000000004</v>
      </c>
      <c r="C16" t="s">
        <v>215</v>
      </c>
    </row>
    <row r="17" spans="1:4">
      <c r="A17" s="13" t="s">
        <v>67</v>
      </c>
      <c r="B17" s="23">
        <v>-32400000</v>
      </c>
      <c r="C17" t="s">
        <v>215</v>
      </c>
      <c r="D17" t="s">
        <v>218</v>
      </c>
    </row>
    <row r="18" spans="1:4">
      <c r="A18" s="11" t="s">
        <v>12</v>
      </c>
      <c r="B18" s="21">
        <v>-2100000</v>
      </c>
      <c r="C18" t="s">
        <v>215</v>
      </c>
    </row>
    <row r="19" spans="1:4">
      <c r="A19" s="14" t="s">
        <v>124</v>
      </c>
      <c r="B19" s="22">
        <v>-514069.75</v>
      </c>
      <c r="C19" t="s">
        <v>215</v>
      </c>
    </row>
    <row r="20" spans="1:4">
      <c r="A20" s="11" t="s">
        <v>107</v>
      </c>
      <c r="B20" s="21">
        <v>-559373.91999999993</v>
      </c>
      <c r="C20" t="s">
        <v>215</v>
      </c>
    </row>
    <row r="21" spans="1:4">
      <c r="A21" s="11" t="s">
        <v>163</v>
      </c>
      <c r="B21" s="21">
        <v>-172692.29</v>
      </c>
      <c r="C21" t="s">
        <v>215</v>
      </c>
    </row>
    <row r="22" spans="1:4">
      <c r="A22" s="9" t="s">
        <v>83</v>
      </c>
      <c r="B22" s="20">
        <v>2153.8000000000002</v>
      </c>
      <c r="C22" t="s">
        <v>215</v>
      </c>
    </row>
    <row r="23" spans="1:4">
      <c r="A23" s="9" t="s">
        <v>59</v>
      </c>
      <c r="B23" s="20">
        <v>988.79</v>
      </c>
      <c r="C23" t="s">
        <v>215</v>
      </c>
    </row>
    <row r="24" spans="1:4">
      <c r="A24" s="9" t="s">
        <v>91</v>
      </c>
      <c r="B24" s="20">
        <v>1752.41</v>
      </c>
      <c r="C24" t="s">
        <v>215</v>
      </c>
    </row>
    <row r="25" spans="1:4">
      <c r="A25" s="9" t="s">
        <v>61</v>
      </c>
      <c r="B25" s="20">
        <v>3543.98</v>
      </c>
      <c r="C25" t="s">
        <v>215</v>
      </c>
    </row>
    <row r="26" spans="1:4">
      <c r="A26" s="9" t="s">
        <v>80</v>
      </c>
      <c r="B26" s="20">
        <v>234.96</v>
      </c>
      <c r="C26" t="s">
        <v>215</v>
      </c>
    </row>
    <row r="27" spans="1:4">
      <c r="A27" s="9" t="s">
        <v>204</v>
      </c>
      <c r="B27" s="20">
        <v>2364.2800000000002</v>
      </c>
      <c r="C27" t="s">
        <v>215</v>
      </c>
    </row>
    <row r="28" spans="1:4">
      <c r="A28" s="9" t="s">
        <v>117</v>
      </c>
      <c r="B28" s="20">
        <v>489.5</v>
      </c>
      <c r="C28" t="s">
        <v>215</v>
      </c>
    </row>
    <row r="29" spans="1:4">
      <c r="A29" s="9" t="s">
        <v>160</v>
      </c>
      <c r="B29" s="20">
        <v>1287.3800000000001</v>
      </c>
      <c r="C29" t="s">
        <v>215</v>
      </c>
    </row>
    <row r="30" spans="1:4">
      <c r="A30" s="9" t="s">
        <v>159</v>
      </c>
      <c r="B30" s="20">
        <v>4155.8500000000004</v>
      </c>
      <c r="C30" t="s">
        <v>215</v>
      </c>
    </row>
    <row r="31" spans="1:4">
      <c r="A31" s="9" t="s">
        <v>195</v>
      </c>
      <c r="B31" s="20">
        <v>39160</v>
      </c>
      <c r="C31" t="s">
        <v>215</v>
      </c>
    </row>
    <row r="32" spans="1:4">
      <c r="A32" s="9" t="s">
        <v>184</v>
      </c>
      <c r="B32" s="20">
        <v>1311.86</v>
      </c>
      <c r="C32" t="s">
        <v>215</v>
      </c>
    </row>
    <row r="33" spans="1:3">
      <c r="A33" s="9" t="s">
        <v>27</v>
      </c>
      <c r="B33" s="20">
        <v>2300.65</v>
      </c>
      <c r="C33" t="s">
        <v>215</v>
      </c>
    </row>
    <row r="34" spans="1:3">
      <c r="A34" s="9" t="s">
        <v>29</v>
      </c>
      <c r="B34" s="20">
        <v>205.59</v>
      </c>
      <c r="C34" t="s">
        <v>215</v>
      </c>
    </row>
    <row r="35" spans="1:3">
      <c r="A35" s="9" t="s">
        <v>157</v>
      </c>
      <c r="B35" s="20">
        <v>6148.12</v>
      </c>
      <c r="C35" t="s">
        <v>215</v>
      </c>
    </row>
    <row r="36" spans="1:3">
      <c r="A36" s="9" t="s">
        <v>148</v>
      </c>
      <c r="B36" s="20">
        <v>3661.46</v>
      </c>
      <c r="C36" t="s">
        <v>215</v>
      </c>
    </row>
    <row r="37" spans="1:3">
      <c r="A37" s="9" t="s">
        <v>104</v>
      </c>
      <c r="B37" s="20">
        <v>1933.52</v>
      </c>
      <c r="C37" t="s">
        <v>215</v>
      </c>
    </row>
    <row r="38" spans="1:3">
      <c r="A38" s="9" t="s">
        <v>132</v>
      </c>
      <c r="B38" s="20">
        <v>2418.13</v>
      </c>
      <c r="C38" t="s">
        <v>215</v>
      </c>
    </row>
    <row r="39" spans="1:3">
      <c r="A39" s="9" t="s">
        <v>113</v>
      </c>
      <c r="B39" s="20">
        <v>979</v>
      </c>
      <c r="C39" t="s">
        <v>215</v>
      </c>
    </row>
    <row r="40" spans="1:3">
      <c r="A40" s="9" t="s">
        <v>173</v>
      </c>
      <c r="B40" s="20">
        <v>704.88</v>
      </c>
      <c r="C40" t="s">
        <v>215</v>
      </c>
    </row>
    <row r="41" spans="1:3">
      <c r="A41" s="9" t="s">
        <v>145</v>
      </c>
      <c r="B41" s="20">
        <v>6725.73</v>
      </c>
      <c r="C41" t="s">
        <v>215</v>
      </c>
    </row>
    <row r="42" spans="1:3">
      <c r="A42" s="9" t="s">
        <v>115</v>
      </c>
      <c r="B42" s="20">
        <v>890.89</v>
      </c>
      <c r="C42" t="s">
        <v>215</v>
      </c>
    </row>
    <row r="43" spans="1:3">
      <c r="A43" s="9" t="s">
        <v>53</v>
      </c>
      <c r="B43" s="20">
        <v>234.96</v>
      </c>
      <c r="C43" t="s">
        <v>215</v>
      </c>
    </row>
    <row r="44" spans="1:3">
      <c r="A44" s="9" t="s">
        <v>187</v>
      </c>
      <c r="B44" s="20">
        <v>979</v>
      </c>
      <c r="C44" t="s">
        <v>215</v>
      </c>
    </row>
    <row r="45" spans="1:3">
      <c r="A45" s="9" t="s">
        <v>130</v>
      </c>
      <c r="B45" s="20">
        <v>2878.26</v>
      </c>
      <c r="C45" t="s">
        <v>215</v>
      </c>
    </row>
    <row r="46" spans="1:3">
      <c r="A46" s="9" t="s">
        <v>95</v>
      </c>
      <c r="B46" s="20">
        <v>5511.77</v>
      </c>
      <c r="C46" t="s">
        <v>215</v>
      </c>
    </row>
    <row r="47" spans="1:3">
      <c r="A47" s="9" t="s">
        <v>126</v>
      </c>
      <c r="B47" s="20">
        <v>2922.31</v>
      </c>
      <c r="C47" t="s">
        <v>215</v>
      </c>
    </row>
    <row r="48" spans="1:3">
      <c r="A48" s="9" t="s">
        <v>175</v>
      </c>
      <c r="B48" s="20">
        <v>489.5</v>
      </c>
      <c r="C48" t="s">
        <v>215</v>
      </c>
    </row>
    <row r="49" spans="1:3">
      <c r="A49" s="9" t="s">
        <v>123</v>
      </c>
      <c r="B49" s="20">
        <v>660.82</v>
      </c>
      <c r="C49" t="s">
        <v>215</v>
      </c>
    </row>
    <row r="50" spans="1:3">
      <c r="A50" s="9" t="s">
        <v>192</v>
      </c>
      <c r="B50" s="20">
        <v>1997.16</v>
      </c>
      <c r="C50" t="s">
        <v>215</v>
      </c>
    </row>
    <row r="51" spans="1:3">
      <c r="A51" s="9" t="s">
        <v>100</v>
      </c>
      <c r="B51" s="20">
        <v>1492.97</v>
      </c>
      <c r="C51" t="s">
        <v>215</v>
      </c>
    </row>
    <row r="52" spans="1:3">
      <c r="A52" s="9" t="s">
        <v>142</v>
      </c>
      <c r="B52" s="20">
        <v>1209.06</v>
      </c>
      <c r="C52" t="s">
        <v>215</v>
      </c>
    </row>
    <row r="53" spans="1:3">
      <c r="A53" s="9" t="s">
        <v>133</v>
      </c>
      <c r="B53" s="20">
        <v>969.21</v>
      </c>
      <c r="C53" t="s">
        <v>215</v>
      </c>
    </row>
    <row r="54" spans="1:3">
      <c r="A54" s="9" t="s">
        <v>82</v>
      </c>
      <c r="B54" s="20">
        <v>1253.1199999999999</v>
      </c>
      <c r="C54" t="s">
        <v>215</v>
      </c>
    </row>
    <row r="55" spans="1:3">
      <c r="A55" s="9" t="s">
        <v>139</v>
      </c>
      <c r="B55" s="20">
        <v>802.78</v>
      </c>
      <c r="C55" t="s">
        <v>215</v>
      </c>
    </row>
    <row r="56" spans="1:3">
      <c r="A56" s="9" t="s">
        <v>75</v>
      </c>
      <c r="B56" s="20">
        <v>8027.8</v>
      </c>
      <c r="C56" t="s">
        <v>215</v>
      </c>
    </row>
    <row r="57" spans="1:3">
      <c r="A57" s="9" t="s">
        <v>176</v>
      </c>
      <c r="B57" s="20">
        <v>3681.04</v>
      </c>
      <c r="C57" t="s">
        <v>215</v>
      </c>
    </row>
    <row r="58" spans="1:3">
      <c r="A58" s="9" t="s">
        <v>122</v>
      </c>
      <c r="B58" s="20">
        <v>2535.61</v>
      </c>
      <c r="C58" t="s">
        <v>215</v>
      </c>
    </row>
    <row r="59" spans="1:3">
      <c r="A59" s="9" t="s">
        <v>120</v>
      </c>
      <c r="B59" s="20">
        <v>979</v>
      </c>
      <c r="C59" t="s">
        <v>215</v>
      </c>
    </row>
    <row r="60" spans="1:3">
      <c r="A60" s="9" t="s">
        <v>25</v>
      </c>
      <c r="B60" s="20">
        <v>234.96</v>
      </c>
      <c r="C60" t="s">
        <v>215</v>
      </c>
    </row>
    <row r="61" spans="1:3">
      <c r="A61" s="9" t="s">
        <v>63</v>
      </c>
      <c r="B61" s="20">
        <v>1018.16</v>
      </c>
      <c r="C61" t="s">
        <v>215</v>
      </c>
    </row>
    <row r="62" spans="1:3">
      <c r="A62" s="9" t="s">
        <v>34</v>
      </c>
      <c r="B62" s="20">
        <v>2976.16</v>
      </c>
      <c r="C62" t="s">
        <v>215</v>
      </c>
    </row>
    <row r="63" spans="1:3">
      <c r="A63" s="9" t="s">
        <v>39</v>
      </c>
      <c r="B63" s="20">
        <v>3025.11</v>
      </c>
      <c r="C63" t="s">
        <v>215</v>
      </c>
    </row>
    <row r="64" spans="1:3">
      <c r="A64" s="9" t="s">
        <v>128</v>
      </c>
      <c r="B64" s="20">
        <v>6451.61</v>
      </c>
      <c r="C64" t="s">
        <v>215</v>
      </c>
    </row>
    <row r="65" spans="1:3">
      <c r="A65" s="9" t="s">
        <v>201</v>
      </c>
      <c r="B65" s="20">
        <v>1581.08</v>
      </c>
      <c r="C65" t="s">
        <v>215</v>
      </c>
    </row>
    <row r="66" spans="1:3">
      <c r="A66" s="9" t="s">
        <v>146</v>
      </c>
      <c r="B66" s="20">
        <v>8673.94</v>
      </c>
      <c r="C66" t="s">
        <v>215</v>
      </c>
    </row>
    <row r="67" spans="1:3">
      <c r="A67" s="9" t="s">
        <v>180</v>
      </c>
      <c r="B67" s="20">
        <v>2770.57</v>
      </c>
      <c r="C67" t="s">
        <v>215</v>
      </c>
    </row>
    <row r="68" spans="1:3">
      <c r="A68" s="9" t="s">
        <v>42</v>
      </c>
      <c r="B68" s="20">
        <v>479.71</v>
      </c>
      <c r="C68" t="s">
        <v>215</v>
      </c>
    </row>
    <row r="69" spans="1:3">
      <c r="A69" s="9" t="s">
        <v>183</v>
      </c>
      <c r="B69" s="20">
        <v>1899.26</v>
      </c>
      <c r="C69" t="s">
        <v>215</v>
      </c>
    </row>
    <row r="70" spans="1:3">
      <c r="A70" s="9" t="s">
        <v>153</v>
      </c>
      <c r="B70" s="20">
        <v>234.96</v>
      </c>
      <c r="C70" t="s">
        <v>215</v>
      </c>
    </row>
    <row r="71" spans="1:3">
      <c r="A71" s="9" t="s">
        <v>125</v>
      </c>
      <c r="B71" s="20">
        <v>3974.74</v>
      </c>
      <c r="C71" t="s">
        <v>215</v>
      </c>
    </row>
    <row r="72" spans="1:3">
      <c r="A72" s="9" t="s">
        <v>60</v>
      </c>
      <c r="B72" s="20">
        <v>465.02</v>
      </c>
      <c r="C72" t="s">
        <v>215</v>
      </c>
    </row>
    <row r="73" spans="1:3">
      <c r="A73" s="9" t="s">
        <v>44</v>
      </c>
      <c r="B73" s="20">
        <v>1962.89</v>
      </c>
      <c r="C73" t="s">
        <v>215</v>
      </c>
    </row>
    <row r="74" spans="1:3">
      <c r="A74" s="9" t="s">
        <v>79</v>
      </c>
      <c r="B74" s="20">
        <v>1076.9000000000001</v>
      </c>
      <c r="C74" t="s">
        <v>215</v>
      </c>
    </row>
    <row r="75" spans="1:3">
      <c r="A75" s="9" t="s">
        <v>74</v>
      </c>
      <c r="B75" s="20">
        <v>3852.36</v>
      </c>
      <c r="C75" t="s">
        <v>215</v>
      </c>
    </row>
    <row r="76" spans="1:3">
      <c r="A76" s="9" t="s">
        <v>178</v>
      </c>
      <c r="B76" s="20">
        <v>969.21</v>
      </c>
      <c r="C76" t="s">
        <v>215</v>
      </c>
    </row>
    <row r="77" spans="1:3">
      <c r="A77" s="9" t="s">
        <v>30</v>
      </c>
      <c r="B77" s="20">
        <v>1346.12</v>
      </c>
      <c r="C77" t="s">
        <v>215</v>
      </c>
    </row>
    <row r="78" spans="1:3">
      <c r="A78" s="9" t="s">
        <v>58</v>
      </c>
      <c r="B78" s="20">
        <v>386.7</v>
      </c>
      <c r="C78" t="s">
        <v>215</v>
      </c>
    </row>
    <row r="79" spans="1:3">
      <c r="A79" s="9" t="s">
        <v>162</v>
      </c>
      <c r="B79" s="20">
        <v>3196.43</v>
      </c>
      <c r="C79" t="s">
        <v>215</v>
      </c>
    </row>
    <row r="80" spans="1:3">
      <c r="A80" s="9" t="s">
        <v>21</v>
      </c>
      <c r="B80" s="20">
        <v>2760.78</v>
      </c>
      <c r="C80" t="s">
        <v>215</v>
      </c>
    </row>
    <row r="81" spans="1:3">
      <c r="A81" s="9" t="s">
        <v>50</v>
      </c>
      <c r="B81" s="20">
        <v>1424.44</v>
      </c>
      <c r="C81" t="s">
        <v>215</v>
      </c>
    </row>
    <row r="82" spans="1:3">
      <c r="A82" s="9" t="s">
        <v>186</v>
      </c>
      <c r="B82" s="20">
        <v>1370.6</v>
      </c>
      <c r="C82" t="s">
        <v>215</v>
      </c>
    </row>
    <row r="83" spans="1:3">
      <c r="A83" s="9" t="s">
        <v>46</v>
      </c>
      <c r="B83" s="20">
        <v>2643.3</v>
      </c>
      <c r="C83" t="s">
        <v>215</v>
      </c>
    </row>
    <row r="84" spans="1:3">
      <c r="A84" s="9" t="s">
        <v>78</v>
      </c>
      <c r="B84" s="20">
        <v>2046.11</v>
      </c>
      <c r="C84" t="s">
        <v>215</v>
      </c>
    </row>
    <row r="85" spans="1:3">
      <c r="A85" s="9" t="s">
        <v>198</v>
      </c>
      <c r="B85" s="20">
        <v>704.88</v>
      </c>
      <c r="C85" t="s">
        <v>215</v>
      </c>
    </row>
    <row r="86" spans="1:3">
      <c r="A86" s="9" t="s">
        <v>16</v>
      </c>
      <c r="B86" s="20">
        <v>5012.47</v>
      </c>
      <c r="C86" t="s">
        <v>215</v>
      </c>
    </row>
    <row r="87" spans="1:3">
      <c r="A87" s="9" t="s">
        <v>28</v>
      </c>
      <c r="B87" s="20">
        <v>63145.5</v>
      </c>
      <c r="C87" t="s">
        <v>215</v>
      </c>
    </row>
    <row r="88" spans="1:3">
      <c r="A88" s="9" t="s">
        <v>167</v>
      </c>
      <c r="B88" s="20">
        <v>2051</v>
      </c>
      <c r="C88" t="s">
        <v>215</v>
      </c>
    </row>
    <row r="89" spans="1:3">
      <c r="A89" s="9" t="s">
        <v>98</v>
      </c>
      <c r="B89" s="20">
        <v>5276.81</v>
      </c>
      <c r="C89" t="s">
        <v>215</v>
      </c>
    </row>
    <row r="90" spans="1:3">
      <c r="A90" s="9" t="s">
        <v>166</v>
      </c>
      <c r="B90" s="20">
        <v>2604.14</v>
      </c>
      <c r="C90" t="s">
        <v>215</v>
      </c>
    </row>
    <row r="91" spans="1:3">
      <c r="A91" s="9" t="s">
        <v>172</v>
      </c>
      <c r="B91" s="20">
        <v>269.22000000000003</v>
      </c>
      <c r="C91" t="s">
        <v>215</v>
      </c>
    </row>
    <row r="92" spans="1:3">
      <c r="A92" s="9" t="s">
        <v>52</v>
      </c>
      <c r="B92" s="20">
        <v>6148.12</v>
      </c>
      <c r="C92" t="s">
        <v>215</v>
      </c>
    </row>
    <row r="93" spans="1:3">
      <c r="A93" s="9" t="s">
        <v>23</v>
      </c>
      <c r="B93" s="20">
        <v>5002.6900000000005</v>
      </c>
      <c r="C93" t="s">
        <v>215</v>
      </c>
    </row>
    <row r="94" spans="1:3">
      <c r="A94" s="9" t="s">
        <v>90</v>
      </c>
      <c r="B94" s="20">
        <v>2026.53</v>
      </c>
      <c r="C94" t="s">
        <v>215</v>
      </c>
    </row>
    <row r="95" spans="1:3">
      <c r="A95" s="9" t="s">
        <v>190</v>
      </c>
      <c r="B95" s="20">
        <v>5315.97</v>
      </c>
      <c r="C95" t="s">
        <v>215</v>
      </c>
    </row>
    <row r="96" spans="1:3">
      <c r="A96" s="9" t="s">
        <v>170</v>
      </c>
      <c r="B96" s="20">
        <v>979</v>
      </c>
      <c r="C96" t="s">
        <v>215</v>
      </c>
    </row>
    <row r="97" spans="1:3">
      <c r="A97" s="9" t="s">
        <v>38</v>
      </c>
      <c r="B97" s="20">
        <v>5550.93</v>
      </c>
      <c r="C97" t="s">
        <v>215</v>
      </c>
    </row>
    <row r="98" spans="1:3">
      <c r="A98" s="9" t="s">
        <v>41</v>
      </c>
      <c r="B98" s="20">
        <v>3299.23</v>
      </c>
      <c r="C98" t="s">
        <v>215</v>
      </c>
    </row>
    <row r="99" spans="1:3">
      <c r="A99" s="9" t="s">
        <v>32</v>
      </c>
      <c r="B99" s="20">
        <v>2873.36</v>
      </c>
      <c r="C99" t="s">
        <v>215</v>
      </c>
    </row>
    <row r="100" spans="1:3">
      <c r="A100" s="9" t="s">
        <v>47</v>
      </c>
      <c r="B100" s="20">
        <v>1953.1</v>
      </c>
      <c r="C100" t="s">
        <v>215</v>
      </c>
    </row>
    <row r="101" spans="1:3">
      <c r="A101" s="9" t="s">
        <v>150</v>
      </c>
      <c r="B101" s="20">
        <v>6691.46</v>
      </c>
      <c r="C101" t="s">
        <v>215</v>
      </c>
    </row>
    <row r="102" spans="1:3">
      <c r="A102" s="9" t="s">
        <v>73</v>
      </c>
      <c r="B102" s="20">
        <v>26922.5</v>
      </c>
      <c r="C102" t="s">
        <v>215</v>
      </c>
    </row>
    <row r="103" spans="1:3">
      <c r="A103" s="9" t="s">
        <v>191</v>
      </c>
      <c r="B103" s="20">
        <v>3739.78</v>
      </c>
      <c r="C103" t="s">
        <v>215</v>
      </c>
    </row>
    <row r="104" spans="1:3">
      <c r="A104" s="9" t="s">
        <v>135</v>
      </c>
      <c r="B104" s="20">
        <v>1419.55</v>
      </c>
      <c r="C104" t="s">
        <v>215</v>
      </c>
    </row>
    <row r="105" spans="1:3">
      <c r="A105" s="9" t="s">
        <v>57</v>
      </c>
      <c r="B105" s="20">
        <v>2364.2800000000002</v>
      </c>
      <c r="C105" t="s">
        <v>215</v>
      </c>
    </row>
    <row r="106" spans="1:3">
      <c r="A106" s="9" t="s">
        <v>92</v>
      </c>
      <c r="B106" s="20">
        <v>4018.79</v>
      </c>
      <c r="C106" t="s">
        <v>215</v>
      </c>
    </row>
    <row r="107" spans="1:3">
      <c r="A107" s="9" t="s">
        <v>119</v>
      </c>
      <c r="B107" s="20">
        <v>3862.15</v>
      </c>
      <c r="C107" t="s">
        <v>215</v>
      </c>
    </row>
    <row r="108" spans="1:3">
      <c r="A108" s="9" t="s">
        <v>20</v>
      </c>
      <c r="B108" s="20">
        <v>1497.87</v>
      </c>
      <c r="C108" t="s">
        <v>215</v>
      </c>
    </row>
    <row r="109" spans="1:3">
      <c r="A109" s="9" t="s">
        <v>161</v>
      </c>
      <c r="B109" s="20">
        <v>1610.45</v>
      </c>
      <c r="C109" t="s">
        <v>215</v>
      </c>
    </row>
    <row r="110" spans="1:3">
      <c r="A110" s="9" t="s">
        <v>200</v>
      </c>
      <c r="B110" s="20">
        <v>3123.01</v>
      </c>
      <c r="C110" t="s">
        <v>215</v>
      </c>
    </row>
    <row r="111" spans="1:3">
      <c r="A111" s="9" t="s">
        <v>156</v>
      </c>
      <c r="B111" s="20">
        <v>1752.41</v>
      </c>
      <c r="C111" t="s">
        <v>215</v>
      </c>
    </row>
    <row r="112" spans="1:3">
      <c r="A112" s="9" t="s">
        <v>102</v>
      </c>
      <c r="B112" s="20">
        <v>1037.74</v>
      </c>
      <c r="C112" t="s">
        <v>215</v>
      </c>
    </row>
    <row r="113" spans="1:3">
      <c r="A113" s="9" t="s">
        <v>96</v>
      </c>
      <c r="B113" s="20">
        <v>1781.78</v>
      </c>
      <c r="C113" t="s">
        <v>215</v>
      </c>
    </row>
    <row r="114" spans="1:3">
      <c r="A114" s="9" t="s">
        <v>56</v>
      </c>
      <c r="B114" s="20">
        <v>1120.95</v>
      </c>
      <c r="C114" t="s">
        <v>215</v>
      </c>
    </row>
    <row r="115" spans="1:3">
      <c r="A115" s="9" t="s">
        <v>85</v>
      </c>
      <c r="B115" s="20">
        <v>7513.82</v>
      </c>
      <c r="C115" t="s">
        <v>215</v>
      </c>
    </row>
    <row r="116" spans="1:3">
      <c r="A116" s="9" t="s">
        <v>93</v>
      </c>
      <c r="B116" s="20">
        <v>4160.75</v>
      </c>
      <c r="C116" t="s">
        <v>215</v>
      </c>
    </row>
    <row r="117" spans="1:3">
      <c r="A117" s="9" t="s">
        <v>154</v>
      </c>
      <c r="B117" s="20">
        <v>489.5</v>
      </c>
      <c r="C117" t="s">
        <v>215</v>
      </c>
    </row>
    <row r="118" spans="1:3">
      <c r="A118" s="9" t="s">
        <v>70</v>
      </c>
      <c r="B118" s="20">
        <v>208331.2</v>
      </c>
      <c r="C118" t="s">
        <v>215</v>
      </c>
    </row>
    <row r="119" spans="1:3">
      <c r="A119" s="9" t="s">
        <v>199</v>
      </c>
      <c r="B119" s="20">
        <v>489.5</v>
      </c>
      <c r="C119" t="s">
        <v>215</v>
      </c>
    </row>
    <row r="120" spans="1:3">
      <c r="A120" s="9" t="s">
        <v>193</v>
      </c>
      <c r="B120" s="20">
        <v>1958</v>
      </c>
      <c r="C120" t="s">
        <v>215</v>
      </c>
    </row>
    <row r="121" spans="1:3">
      <c r="A121" s="9" t="s">
        <v>24</v>
      </c>
      <c r="B121" s="20">
        <v>195.8</v>
      </c>
      <c r="C121" t="s">
        <v>215</v>
      </c>
    </row>
    <row r="122" spans="1:3">
      <c r="A122" s="9" t="s">
        <v>88</v>
      </c>
      <c r="B122" s="20">
        <v>2721.62</v>
      </c>
      <c r="C122" t="s">
        <v>215</v>
      </c>
    </row>
    <row r="123" spans="1:3">
      <c r="A123" s="9" t="s">
        <v>22</v>
      </c>
      <c r="B123" s="20">
        <v>484.6</v>
      </c>
      <c r="C123" t="s">
        <v>215</v>
      </c>
    </row>
    <row r="124" spans="1:3">
      <c r="A124" s="9" t="s">
        <v>62</v>
      </c>
      <c r="B124" s="20">
        <v>518.87</v>
      </c>
      <c r="C124" t="s">
        <v>215</v>
      </c>
    </row>
    <row r="125" spans="1:3">
      <c r="A125" s="9" t="s">
        <v>54</v>
      </c>
      <c r="B125" s="20">
        <v>3651.67</v>
      </c>
      <c r="C125" t="s">
        <v>215</v>
      </c>
    </row>
    <row r="126" spans="1:3">
      <c r="A126" s="9" t="s">
        <v>43</v>
      </c>
      <c r="B126" s="20">
        <v>979</v>
      </c>
      <c r="C126" t="s">
        <v>215</v>
      </c>
    </row>
    <row r="127" spans="1:3">
      <c r="A127" s="9" t="s">
        <v>99</v>
      </c>
      <c r="B127" s="20">
        <v>2618.8200000000002</v>
      </c>
      <c r="C127" t="s">
        <v>215</v>
      </c>
    </row>
    <row r="128" spans="1:3">
      <c r="A128" s="9" t="s">
        <v>205</v>
      </c>
      <c r="B128" s="20">
        <v>719.56</v>
      </c>
      <c r="C128" t="s">
        <v>215</v>
      </c>
    </row>
    <row r="129" spans="1:3">
      <c r="A129" s="9" t="s">
        <v>196</v>
      </c>
      <c r="B129" s="20">
        <v>2452.39</v>
      </c>
      <c r="C129" t="s">
        <v>215</v>
      </c>
    </row>
    <row r="130" spans="1:3">
      <c r="A130" s="9" t="s">
        <v>114</v>
      </c>
      <c r="B130" s="20">
        <v>1072</v>
      </c>
      <c r="C130" t="s">
        <v>215</v>
      </c>
    </row>
    <row r="131" spans="1:3">
      <c r="A131" s="9" t="s">
        <v>185</v>
      </c>
      <c r="B131" s="20">
        <v>1189.48</v>
      </c>
      <c r="C131" t="s">
        <v>215</v>
      </c>
    </row>
    <row r="132" spans="1:3">
      <c r="A132" s="9" t="s">
        <v>110</v>
      </c>
      <c r="B132" s="20">
        <v>2348.62</v>
      </c>
      <c r="C132" t="s">
        <v>215</v>
      </c>
    </row>
    <row r="133" spans="1:3">
      <c r="A133" s="9" t="s">
        <v>165</v>
      </c>
      <c r="B133" s="20">
        <v>2124.4299999999998</v>
      </c>
      <c r="C133" t="s">
        <v>215</v>
      </c>
    </row>
    <row r="134" spans="1:3">
      <c r="A134" s="9" t="s">
        <v>18</v>
      </c>
      <c r="B134" s="20">
        <v>6254.83</v>
      </c>
      <c r="C134" t="s">
        <v>215</v>
      </c>
    </row>
    <row r="135" spans="1:3">
      <c r="A135" s="9" t="s">
        <v>144</v>
      </c>
      <c r="B135" s="20">
        <v>3064.27</v>
      </c>
      <c r="C135" t="s">
        <v>215</v>
      </c>
    </row>
    <row r="136" spans="1:3">
      <c r="A136" s="9" t="s">
        <v>203</v>
      </c>
      <c r="B136" s="20">
        <v>1160.1099999999999</v>
      </c>
      <c r="C136" t="s">
        <v>215</v>
      </c>
    </row>
    <row r="137" spans="1:3">
      <c r="A137" s="9" t="s">
        <v>48</v>
      </c>
      <c r="B137" s="20">
        <v>1150.32</v>
      </c>
      <c r="C137" t="s">
        <v>215</v>
      </c>
    </row>
    <row r="138" spans="1:3">
      <c r="A138" s="9" t="s">
        <v>111</v>
      </c>
      <c r="B138" s="20">
        <v>6060.01</v>
      </c>
      <c r="C138" t="s">
        <v>215</v>
      </c>
    </row>
    <row r="139" spans="1:3">
      <c r="A139" s="9" t="s">
        <v>103</v>
      </c>
      <c r="B139" s="20">
        <v>4797.1000000000004</v>
      </c>
      <c r="C139" t="s">
        <v>215</v>
      </c>
    </row>
    <row r="140" spans="1:3">
      <c r="A140" s="9" t="s">
        <v>169</v>
      </c>
      <c r="B140" s="20">
        <v>817.46</v>
      </c>
      <c r="C140" t="s">
        <v>215</v>
      </c>
    </row>
    <row r="141" spans="1:3">
      <c r="A141" s="9" t="s">
        <v>137</v>
      </c>
      <c r="B141" s="20">
        <v>979</v>
      </c>
      <c r="C141" t="s">
        <v>215</v>
      </c>
    </row>
    <row r="142" spans="1:3">
      <c r="A142" s="9" t="s">
        <v>17</v>
      </c>
      <c r="B142" s="20">
        <v>2828.33</v>
      </c>
      <c r="C142" t="s">
        <v>215</v>
      </c>
    </row>
    <row r="143" spans="1:3">
      <c r="A143" s="9" t="s">
        <v>155</v>
      </c>
      <c r="B143" s="20">
        <v>479.71</v>
      </c>
      <c r="C143" t="s">
        <v>215</v>
      </c>
    </row>
    <row r="144" spans="1:3">
      <c r="A144" s="9" t="s">
        <v>147</v>
      </c>
      <c r="B144" s="20">
        <v>5404.08</v>
      </c>
      <c r="C144" t="s">
        <v>215</v>
      </c>
    </row>
    <row r="145" spans="1:3">
      <c r="A145" s="9" t="s">
        <v>69</v>
      </c>
      <c r="B145" s="20">
        <v>37985.199999999997</v>
      </c>
      <c r="C145" t="s">
        <v>215</v>
      </c>
    </row>
    <row r="146" spans="1:3">
      <c r="A146" s="9" t="s">
        <v>77</v>
      </c>
      <c r="B146" s="20">
        <v>998.58</v>
      </c>
      <c r="C146" t="s">
        <v>215</v>
      </c>
    </row>
    <row r="147" spans="1:3">
      <c r="A147" s="9" t="s">
        <v>94</v>
      </c>
      <c r="B147" s="20">
        <v>1042.6300000000001</v>
      </c>
      <c r="C147" t="s">
        <v>215</v>
      </c>
    </row>
    <row r="148" spans="1:3">
      <c r="A148" s="9" t="s">
        <v>101</v>
      </c>
      <c r="B148" s="20">
        <v>269.22000000000003</v>
      </c>
      <c r="C148" t="s">
        <v>215</v>
      </c>
    </row>
    <row r="149" spans="1:3">
      <c r="A149" s="9" t="s">
        <v>84</v>
      </c>
      <c r="B149" s="20">
        <v>538.45000000000005</v>
      </c>
      <c r="C149" t="s">
        <v>215</v>
      </c>
    </row>
    <row r="150" spans="1:3">
      <c r="A150" s="9" t="s">
        <v>129</v>
      </c>
      <c r="B150" s="20">
        <v>4620.88</v>
      </c>
      <c r="C150" t="s">
        <v>215</v>
      </c>
    </row>
    <row r="151" spans="1:3">
      <c r="A151" s="9" t="s">
        <v>68</v>
      </c>
      <c r="B151" s="20">
        <v>30739.62</v>
      </c>
      <c r="C151" t="s">
        <v>215</v>
      </c>
    </row>
    <row r="152" spans="1:3">
      <c r="A152" s="9" t="s">
        <v>51</v>
      </c>
      <c r="B152" s="20">
        <v>2760.78</v>
      </c>
      <c r="C152" t="s">
        <v>215</v>
      </c>
    </row>
    <row r="153" spans="1:3">
      <c r="A153" s="9" t="s">
        <v>143</v>
      </c>
      <c r="B153" s="20">
        <v>244.75</v>
      </c>
      <c r="C153" t="s">
        <v>215</v>
      </c>
    </row>
    <row r="154" spans="1:3">
      <c r="A154" s="9" t="s">
        <v>136</v>
      </c>
      <c r="B154" s="20">
        <v>1262.9100000000001</v>
      </c>
      <c r="C154" t="s">
        <v>215</v>
      </c>
    </row>
    <row r="155" spans="1:3">
      <c r="A155" s="9" t="s">
        <v>71</v>
      </c>
      <c r="B155" s="20">
        <v>1266.83</v>
      </c>
      <c r="C155" t="s">
        <v>215</v>
      </c>
    </row>
    <row r="156" spans="1:3">
      <c r="A156" s="9" t="s">
        <v>197</v>
      </c>
      <c r="B156" s="20">
        <v>489.5</v>
      </c>
      <c r="C156" t="s">
        <v>215</v>
      </c>
    </row>
    <row r="157" spans="1:3">
      <c r="A157" s="9" t="s">
        <v>181</v>
      </c>
      <c r="B157" s="20">
        <v>2011.84</v>
      </c>
      <c r="C157" t="s">
        <v>215</v>
      </c>
    </row>
    <row r="158" spans="1:3">
      <c r="A158" s="9" t="s">
        <v>189</v>
      </c>
      <c r="B158" s="20">
        <v>5550.93</v>
      </c>
      <c r="C158" t="s">
        <v>215</v>
      </c>
    </row>
    <row r="159" spans="1:3">
      <c r="A159" s="9" t="s">
        <v>141</v>
      </c>
      <c r="B159" s="20">
        <v>739.14</v>
      </c>
      <c r="C159" t="s">
        <v>215</v>
      </c>
    </row>
    <row r="160" spans="1:3">
      <c r="A160" s="9" t="s">
        <v>121</v>
      </c>
      <c r="B160" s="20">
        <v>489.5</v>
      </c>
      <c r="C160" t="s">
        <v>215</v>
      </c>
    </row>
    <row r="161" spans="1:3">
      <c r="A161" s="9" t="s">
        <v>179</v>
      </c>
      <c r="B161" s="20">
        <v>2266.38</v>
      </c>
      <c r="C161" t="s">
        <v>215</v>
      </c>
    </row>
    <row r="162" spans="1:3">
      <c r="A162" s="9" t="s">
        <v>37</v>
      </c>
      <c r="B162" s="20">
        <v>993.68</v>
      </c>
      <c r="C162" t="s">
        <v>215</v>
      </c>
    </row>
    <row r="163" spans="1:3">
      <c r="A163" s="9" t="s">
        <v>49</v>
      </c>
      <c r="B163" s="20">
        <v>709.77</v>
      </c>
      <c r="C163" t="s">
        <v>215</v>
      </c>
    </row>
    <row r="164" spans="1:3">
      <c r="A164" s="9" t="s">
        <v>116</v>
      </c>
      <c r="B164" s="20">
        <v>244.75</v>
      </c>
      <c r="C164" t="s">
        <v>215</v>
      </c>
    </row>
    <row r="165" spans="1:3">
      <c r="A165" s="9" t="s">
        <v>33</v>
      </c>
      <c r="B165" s="20">
        <v>1527.24</v>
      </c>
      <c r="C165" t="s">
        <v>215</v>
      </c>
    </row>
    <row r="166" spans="1:3">
      <c r="A166" s="9" t="s">
        <v>174</v>
      </c>
      <c r="B166" s="20">
        <v>2476.87</v>
      </c>
      <c r="C166" t="s">
        <v>215</v>
      </c>
    </row>
    <row r="167" spans="1:3">
      <c r="A167" s="9" t="s">
        <v>76</v>
      </c>
      <c r="B167" s="20">
        <v>23494.04</v>
      </c>
      <c r="C167" t="s">
        <v>215</v>
      </c>
    </row>
    <row r="168" spans="1:3">
      <c r="A168" s="9" t="s">
        <v>138</v>
      </c>
      <c r="B168" s="20">
        <v>2462.1799999999998</v>
      </c>
      <c r="C168" t="s">
        <v>215</v>
      </c>
    </row>
    <row r="169" spans="1:3">
      <c r="A169" s="9" t="s">
        <v>45</v>
      </c>
      <c r="B169" s="20">
        <v>234.96</v>
      </c>
      <c r="C169" t="s">
        <v>215</v>
      </c>
    </row>
    <row r="170" spans="1:3">
      <c r="A170" s="9" t="s">
        <v>140</v>
      </c>
      <c r="B170" s="20">
        <v>3123.01</v>
      </c>
      <c r="C170" t="s">
        <v>215</v>
      </c>
    </row>
    <row r="171" spans="1:3">
      <c r="A171" s="3" t="s">
        <v>208</v>
      </c>
      <c r="B171" s="16">
        <v>-8965830.9899999257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I188"/>
  <sheetViews>
    <sheetView workbookViewId="0">
      <pane xSplit="3" ySplit="20" topLeftCell="D21" activePane="bottomRight" state="frozen"/>
      <selection activeCell="A1604" sqref="A1604"/>
      <selection pane="topRight" activeCell="A1604" sqref="A1604"/>
      <selection pane="bottomLeft" activeCell="A1604" sqref="A1604"/>
      <selection pane="bottomRight" activeCell="A21" sqref="A21"/>
    </sheetView>
  </sheetViews>
  <sheetFormatPr defaultColWidth="9.1328125" defaultRowHeight="14.25"/>
  <cols>
    <col min="1" max="1" width="28.1328125" customWidth="1"/>
    <col min="2" max="2" width="23" customWidth="1"/>
    <col min="3" max="3" width="14.3984375" bestFit="1" customWidth="1"/>
    <col min="4" max="4" width="23.3984375" bestFit="1" customWidth="1"/>
    <col min="5" max="5" width="19.3984375" bestFit="1" customWidth="1"/>
    <col min="6" max="6" width="9.3984375" bestFit="1" customWidth="1"/>
    <col min="7" max="7" width="15.3984375" bestFit="1" customWidth="1"/>
    <col min="8" max="8" width="17.3984375" bestFit="1" customWidth="1"/>
  </cols>
  <sheetData>
    <row r="1" spans="1:8" ht="15.4">
      <c r="A1" s="78" t="s">
        <v>470</v>
      </c>
      <c r="B1" s="79"/>
      <c r="C1" s="79"/>
      <c r="D1" s="79"/>
      <c r="E1" s="79"/>
      <c r="F1" s="79"/>
      <c r="G1" s="79"/>
      <c r="H1" s="79"/>
    </row>
    <row r="2" spans="1:8">
      <c r="A2" s="28"/>
      <c r="B2" s="29"/>
    </row>
    <row r="3" spans="1:8">
      <c r="A3" s="28" t="s">
        <v>231</v>
      </c>
      <c r="B3" s="29" t="s">
        <v>232</v>
      </c>
    </row>
    <row r="4" spans="1:8">
      <c r="A4" s="28" t="s">
        <v>233</v>
      </c>
      <c r="B4" s="29" t="s">
        <v>471</v>
      </c>
    </row>
    <row r="5" spans="1:8">
      <c r="A5" s="28" t="s">
        <v>235</v>
      </c>
      <c r="B5" s="29" t="s">
        <v>236</v>
      </c>
    </row>
    <row r="6" spans="1:8">
      <c r="A6" s="28" t="s">
        <v>237</v>
      </c>
      <c r="B6" s="29" t="s">
        <v>238</v>
      </c>
    </row>
    <row r="8" spans="1:8">
      <c r="A8" s="30" t="s">
        <v>239</v>
      </c>
      <c r="B8" s="37" t="s">
        <v>240</v>
      </c>
    </row>
    <row r="9" spans="1:8">
      <c r="A9" t="s">
        <v>241</v>
      </c>
      <c r="B9" s="38" t="s">
        <v>472</v>
      </c>
    </row>
    <row r="10" spans="1:8">
      <c r="A10" t="s">
        <v>473</v>
      </c>
      <c r="B10" s="38" t="s">
        <v>474</v>
      </c>
    </row>
    <row r="11" spans="1:8">
      <c r="A11" t="s">
        <v>475</v>
      </c>
      <c r="B11" s="38" t="s">
        <v>476</v>
      </c>
    </row>
    <row r="12" spans="1:8">
      <c r="A12" t="s">
        <v>477</v>
      </c>
      <c r="B12" s="38" t="s">
        <v>478</v>
      </c>
    </row>
    <row r="13" spans="1:8">
      <c r="A13" t="s">
        <v>243</v>
      </c>
      <c r="B13" s="38" t="s">
        <v>479</v>
      </c>
    </row>
    <row r="14" spans="1:8">
      <c r="A14" t="s">
        <v>245</v>
      </c>
      <c r="B14" s="38" t="s">
        <v>480</v>
      </c>
    </row>
    <row r="16" spans="1:8">
      <c r="A16" s="80" t="s">
        <v>481</v>
      </c>
      <c r="B16" s="80"/>
      <c r="C16" s="80"/>
      <c r="D16" s="80"/>
    </row>
    <row r="17" spans="1:8">
      <c r="A17" s="33" t="s">
        <v>258</v>
      </c>
      <c r="B17" s="33"/>
      <c r="C17" s="33"/>
      <c r="D17" s="33"/>
      <c r="E17" s="33"/>
      <c r="F17" s="33"/>
      <c r="G17" s="33"/>
      <c r="H17" s="33"/>
    </row>
    <row r="19" spans="1:8">
      <c r="A19" s="81" t="s">
        <v>249</v>
      </c>
      <c r="B19" s="81"/>
      <c r="C19" s="81"/>
      <c r="D19" s="81"/>
      <c r="E19" s="82" t="s">
        <v>250</v>
      </c>
      <c r="F19" s="82"/>
      <c r="G19" s="82"/>
      <c r="H19" s="82"/>
    </row>
    <row r="20" spans="1:8">
      <c r="A20" s="64" t="s">
        <v>254</v>
      </c>
      <c r="B20" s="39" t="s">
        <v>252</v>
      </c>
      <c r="C20" s="39" t="s">
        <v>253</v>
      </c>
      <c r="D20" s="39" t="s">
        <v>482</v>
      </c>
      <c r="E20" s="39" t="s">
        <v>255</v>
      </c>
      <c r="F20" s="39" t="s">
        <v>256</v>
      </c>
      <c r="G20" s="39" t="s">
        <v>241</v>
      </c>
      <c r="H20" s="39" t="s">
        <v>243</v>
      </c>
    </row>
    <row r="21" spans="1:8">
      <c r="A21" s="50">
        <v>135759329655</v>
      </c>
      <c r="B21" s="35" t="s">
        <v>264</v>
      </c>
      <c r="C21" t="s">
        <v>483</v>
      </c>
      <c r="D21" s="40">
        <v>1199</v>
      </c>
      <c r="E21" s="35" t="s">
        <v>264</v>
      </c>
      <c r="F21" s="29" t="s">
        <v>484</v>
      </c>
      <c r="G21" s="36">
        <v>1199</v>
      </c>
      <c r="H21" s="36">
        <v>17.989999999999998</v>
      </c>
    </row>
    <row r="22" spans="1:8">
      <c r="A22" s="50">
        <v>136364596558</v>
      </c>
      <c r="B22" s="35" t="s">
        <v>264</v>
      </c>
      <c r="C22" t="s">
        <v>483</v>
      </c>
      <c r="D22" s="40">
        <v>240</v>
      </c>
      <c r="E22" s="35" t="s">
        <v>264</v>
      </c>
      <c r="F22" s="29" t="s">
        <v>484</v>
      </c>
      <c r="G22" s="36">
        <v>240</v>
      </c>
      <c r="H22" s="36">
        <v>3.6</v>
      </c>
    </row>
    <row r="23" spans="1:8">
      <c r="A23" s="50">
        <v>135762846725</v>
      </c>
      <c r="B23" s="35" t="s">
        <v>264</v>
      </c>
      <c r="C23" t="s">
        <v>483</v>
      </c>
      <c r="D23" s="40">
        <v>1530</v>
      </c>
      <c r="E23" s="35" t="s">
        <v>266</v>
      </c>
      <c r="F23" s="29" t="s">
        <v>484</v>
      </c>
      <c r="G23" s="36">
        <v>1530</v>
      </c>
      <c r="H23" s="36">
        <v>22.95</v>
      </c>
    </row>
    <row r="24" spans="1:8">
      <c r="A24" s="50">
        <v>136374922986</v>
      </c>
      <c r="B24" s="35" t="s">
        <v>264</v>
      </c>
      <c r="C24" t="s">
        <v>483</v>
      </c>
      <c r="D24" s="40">
        <v>2889</v>
      </c>
      <c r="E24" s="35" t="s">
        <v>264</v>
      </c>
      <c r="F24" s="29" t="s">
        <v>484</v>
      </c>
      <c r="G24" s="36">
        <v>2889</v>
      </c>
      <c r="H24" s="36">
        <v>43.34</v>
      </c>
    </row>
    <row r="25" spans="1:8">
      <c r="A25" s="50">
        <v>136505473782</v>
      </c>
      <c r="B25" s="35" t="s">
        <v>266</v>
      </c>
      <c r="C25" t="s">
        <v>483</v>
      </c>
      <c r="D25" s="40">
        <v>2820</v>
      </c>
      <c r="E25" s="35" t="s">
        <v>266</v>
      </c>
      <c r="F25" s="29" t="s">
        <v>484</v>
      </c>
      <c r="G25" s="36">
        <v>2820</v>
      </c>
      <c r="H25" s="36">
        <v>42.3</v>
      </c>
    </row>
    <row r="26" spans="1:8">
      <c r="A26" s="50">
        <v>135903889629</v>
      </c>
      <c r="B26" s="35" t="s">
        <v>266</v>
      </c>
      <c r="C26" t="s">
        <v>483</v>
      </c>
      <c r="D26" s="40">
        <v>200</v>
      </c>
      <c r="E26" s="35" t="s">
        <v>266</v>
      </c>
      <c r="F26" s="29" t="s">
        <v>484</v>
      </c>
      <c r="G26" s="36">
        <v>200</v>
      </c>
      <c r="H26" s="36">
        <v>3</v>
      </c>
    </row>
    <row r="27" spans="1:8">
      <c r="A27" s="50">
        <v>135888975597</v>
      </c>
      <c r="B27" s="35" t="s">
        <v>266</v>
      </c>
      <c r="C27" t="s">
        <v>483</v>
      </c>
      <c r="D27" s="40">
        <v>495</v>
      </c>
      <c r="E27" s="35" t="s">
        <v>266</v>
      </c>
      <c r="F27" s="29" t="s">
        <v>484</v>
      </c>
      <c r="G27" s="36">
        <v>495</v>
      </c>
      <c r="H27" s="36">
        <v>7.43</v>
      </c>
    </row>
    <row r="28" spans="1:8">
      <c r="A28" s="50">
        <v>136531346928</v>
      </c>
      <c r="B28" s="35" t="s">
        <v>266</v>
      </c>
      <c r="C28" t="s">
        <v>483</v>
      </c>
      <c r="D28" s="40">
        <v>2350</v>
      </c>
      <c r="E28" s="35" t="s">
        <v>273</v>
      </c>
      <c r="F28" s="29" t="s">
        <v>484</v>
      </c>
      <c r="G28" s="36">
        <v>2350</v>
      </c>
      <c r="H28" s="36">
        <v>35.25</v>
      </c>
    </row>
    <row r="29" spans="1:8">
      <c r="A29" s="50">
        <v>135900601361</v>
      </c>
      <c r="B29" s="35" t="s">
        <v>266</v>
      </c>
      <c r="C29" t="s">
        <v>483</v>
      </c>
      <c r="D29" s="40">
        <v>210</v>
      </c>
      <c r="E29" s="35" t="s">
        <v>266</v>
      </c>
      <c r="F29" s="29" t="s">
        <v>484</v>
      </c>
      <c r="G29" s="36">
        <v>210</v>
      </c>
      <c r="H29" s="36">
        <v>3.15</v>
      </c>
    </row>
    <row r="30" spans="1:8">
      <c r="A30" s="50">
        <v>135904259461</v>
      </c>
      <c r="B30" s="35" t="s">
        <v>266</v>
      </c>
      <c r="C30" t="s">
        <v>483</v>
      </c>
      <c r="D30" s="40">
        <v>240</v>
      </c>
      <c r="E30" s="35" t="s">
        <v>266</v>
      </c>
      <c r="F30" s="29" t="s">
        <v>484</v>
      </c>
      <c r="G30" s="36">
        <v>240</v>
      </c>
      <c r="H30" s="36">
        <v>3.6</v>
      </c>
    </row>
    <row r="31" spans="1:8">
      <c r="A31" s="50">
        <v>136582518616</v>
      </c>
      <c r="B31" s="35" t="s">
        <v>273</v>
      </c>
      <c r="C31" t="s">
        <v>483</v>
      </c>
      <c r="D31" s="40">
        <v>64500</v>
      </c>
      <c r="E31" s="35" t="s">
        <v>273</v>
      </c>
      <c r="F31" s="29" t="s">
        <v>484</v>
      </c>
      <c r="G31" s="36">
        <v>64500</v>
      </c>
      <c r="H31" s="36">
        <v>967.5</v>
      </c>
    </row>
    <row r="32" spans="1:8">
      <c r="A32" s="50">
        <v>136051543027</v>
      </c>
      <c r="B32" s="35" t="s">
        <v>273</v>
      </c>
      <c r="C32" t="s">
        <v>483</v>
      </c>
      <c r="D32" s="40">
        <v>210</v>
      </c>
      <c r="E32" s="35" t="s">
        <v>273</v>
      </c>
      <c r="F32" s="29" t="s">
        <v>484</v>
      </c>
      <c r="G32" s="36">
        <v>210</v>
      </c>
      <c r="H32" s="36">
        <v>3.15</v>
      </c>
    </row>
    <row r="33" spans="1:8">
      <c r="A33" s="50">
        <v>136684356570</v>
      </c>
      <c r="B33" s="35" t="s">
        <v>273</v>
      </c>
      <c r="C33" t="s">
        <v>483</v>
      </c>
      <c r="D33" s="40">
        <v>1375</v>
      </c>
      <c r="E33" s="35" t="s">
        <v>273</v>
      </c>
      <c r="F33" s="29" t="s">
        <v>484</v>
      </c>
      <c r="G33" s="36">
        <v>1375</v>
      </c>
      <c r="H33" s="36">
        <v>20.63</v>
      </c>
    </row>
    <row r="34" spans="1:8">
      <c r="A34" s="50">
        <v>136079648859</v>
      </c>
      <c r="B34" s="35" t="s">
        <v>273</v>
      </c>
      <c r="C34" t="s">
        <v>483</v>
      </c>
      <c r="D34" s="40">
        <v>2935</v>
      </c>
      <c r="E34" s="35" t="s">
        <v>280</v>
      </c>
      <c r="F34" s="29" t="s">
        <v>484</v>
      </c>
      <c r="G34" s="36">
        <v>2935</v>
      </c>
      <c r="H34" s="36">
        <v>44.03</v>
      </c>
    </row>
    <row r="35" spans="1:8">
      <c r="A35" s="50">
        <v>136083759929</v>
      </c>
      <c r="B35" s="35" t="s">
        <v>280</v>
      </c>
      <c r="C35" t="s">
        <v>483</v>
      </c>
      <c r="D35" s="40">
        <v>4900</v>
      </c>
      <c r="E35" s="35" t="s">
        <v>280</v>
      </c>
      <c r="F35" s="29" t="s">
        <v>484</v>
      </c>
      <c r="G35" s="36">
        <v>4900</v>
      </c>
      <c r="H35" s="36">
        <v>73.5</v>
      </c>
    </row>
    <row r="36" spans="1:8">
      <c r="A36" s="50">
        <v>136085501779</v>
      </c>
      <c r="B36" s="35" t="s">
        <v>280</v>
      </c>
      <c r="C36" t="s">
        <v>483</v>
      </c>
      <c r="D36" s="40">
        <v>1560</v>
      </c>
      <c r="E36" s="35" t="s">
        <v>280</v>
      </c>
      <c r="F36" s="29" t="s">
        <v>484</v>
      </c>
      <c r="G36" s="36">
        <v>1560</v>
      </c>
      <c r="H36" s="36">
        <v>23.4</v>
      </c>
    </row>
    <row r="37" spans="1:8">
      <c r="A37" s="50">
        <v>136709402958</v>
      </c>
      <c r="B37" s="35" t="s">
        <v>280</v>
      </c>
      <c r="C37" t="s">
        <v>483</v>
      </c>
      <c r="D37" s="40">
        <v>3040</v>
      </c>
      <c r="E37" s="35" t="s">
        <v>280</v>
      </c>
      <c r="F37" s="29" t="s">
        <v>484</v>
      </c>
      <c r="G37" s="36">
        <v>3040</v>
      </c>
      <c r="H37" s="36">
        <v>45.6</v>
      </c>
    </row>
    <row r="38" spans="1:8">
      <c r="A38" s="50">
        <v>136210105119</v>
      </c>
      <c r="B38" s="35" t="s">
        <v>280</v>
      </c>
      <c r="C38" t="s">
        <v>483</v>
      </c>
      <c r="D38" s="40">
        <v>5670</v>
      </c>
      <c r="E38" s="35" t="s">
        <v>280</v>
      </c>
      <c r="F38" s="29" t="s">
        <v>484</v>
      </c>
      <c r="G38" s="36">
        <v>5670</v>
      </c>
      <c r="H38" s="36">
        <v>85.05</v>
      </c>
    </row>
    <row r="39" spans="1:8">
      <c r="A39" s="50">
        <v>136220625165</v>
      </c>
      <c r="B39" s="35" t="s">
        <v>280</v>
      </c>
      <c r="C39" t="s">
        <v>483</v>
      </c>
      <c r="D39" s="40">
        <v>3370</v>
      </c>
      <c r="E39" s="35" t="s">
        <v>289</v>
      </c>
      <c r="F39" s="29" t="s">
        <v>484</v>
      </c>
      <c r="G39" s="36">
        <v>3370</v>
      </c>
      <c r="H39" s="36">
        <v>50.55</v>
      </c>
    </row>
    <row r="40" spans="1:8">
      <c r="A40" s="50">
        <v>136845900762</v>
      </c>
      <c r="B40" s="35" t="s">
        <v>280</v>
      </c>
      <c r="C40" t="s">
        <v>483</v>
      </c>
      <c r="D40" s="40">
        <v>1000</v>
      </c>
      <c r="E40" s="35" t="s">
        <v>289</v>
      </c>
      <c r="F40" s="29" t="s">
        <v>484</v>
      </c>
      <c r="G40" s="36">
        <v>1000</v>
      </c>
      <c r="H40" s="36">
        <v>15</v>
      </c>
    </row>
    <row r="41" spans="1:8">
      <c r="A41" s="50">
        <v>136847779382</v>
      </c>
      <c r="B41" s="35" t="s">
        <v>280</v>
      </c>
      <c r="C41" t="s">
        <v>483</v>
      </c>
      <c r="D41" s="40">
        <v>240</v>
      </c>
      <c r="E41" s="35" t="s">
        <v>289</v>
      </c>
      <c r="F41" s="29" t="s">
        <v>484</v>
      </c>
      <c r="G41" s="36">
        <v>240</v>
      </c>
      <c r="H41" s="36">
        <v>3.6</v>
      </c>
    </row>
    <row r="42" spans="1:8">
      <c r="A42" s="50">
        <v>136829205946</v>
      </c>
      <c r="B42" s="35" t="s">
        <v>280</v>
      </c>
      <c r="C42" t="s">
        <v>483</v>
      </c>
      <c r="D42" s="40">
        <v>1015</v>
      </c>
      <c r="E42" s="35" t="s">
        <v>280</v>
      </c>
      <c r="F42" s="29" t="s">
        <v>484</v>
      </c>
      <c r="G42" s="36">
        <v>1015</v>
      </c>
      <c r="H42" s="36">
        <v>15.23</v>
      </c>
    </row>
    <row r="43" spans="1:8">
      <c r="A43" s="50">
        <v>136852399824</v>
      </c>
      <c r="B43" s="35" t="s">
        <v>289</v>
      </c>
      <c r="C43" t="s">
        <v>483</v>
      </c>
      <c r="D43" s="40">
        <v>1175</v>
      </c>
      <c r="E43" s="35" t="s">
        <v>289</v>
      </c>
      <c r="F43" s="29" t="s">
        <v>484</v>
      </c>
      <c r="G43" s="36">
        <v>1175</v>
      </c>
      <c r="H43" s="36">
        <v>17.63</v>
      </c>
    </row>
    <row r="44" spans="1:8">
      <c r="A44" s="50">
        <v>136843283090</v>
      </c>
      <c r="B44" s="35" t="s">
        <v>280</v>
      </c>
      <c r="C44" t="s">
        <v>483</v>
      </c>
      <c r="D44" s="40">
        <v>3090</v>
      </c>
      <c r="E44" s="35" t="s">
        <v>280</v>
      </c>
      <c r="F44" s="29" t="s">
        <v>484</v>
      </c>
      <c r="G44" s="36">
        <v>3090</v>
      </c>
      <c r="H44" s="36">
        <v>46.35</v>
      </c>
    </row>
    <row r="45" spans="1:8">
      <c r="A45" s="50">
        <v>136845098224</v>
      </c>
      <c r="B45" s="35" t="s">
        <v>280</v>
      </c>
      <c r="C45" t="s">
        <v>483</v>
      </c>
      <c r="D45" s="40">
        <v>490</v>
      </c>
      <c r="E45" s="35" t="s">
        <v>289</v>
      </c>
      <c r="F45" s="29" t="s">
        <v>484</v>
      </c>
      <c r="G45" s="36">
        <v>490</v>
      </c>
      <c r="H45" s="36">
        <v>7.35</v>
      </c>
    </row>
    <row r="46" spans="1:8">
      <c r="A46" s="50">
        <v>136223263413</v>
      </c>
      <c r="B46" s="35" t="s">
        <v>280</v>
      </c>
      <c r="C46" t="s">
        <v>483</v>
      </c>
      <c r="D46" s="40">
        <v>2005</v>
      </c>
      <c r="E46" s="35" t="s">
        <v>289</v>
      </c>
      <c r="F46" s="29" t="s">
        <v>484</v>
      </c>
      <c r="G46" s="36">
        <v>2005</v>
      </c>
      <c r="H46" s="36">
        <v>30.08</v>
      </c>
    </row>
    <row r="47" spans="1:8">
      <c r="A47" s="50">
        <v>136849195784</v>
      </c>
      <c r="B47" s="35" t="s">
        <v>289</v>
      </c>
      <c r="C47" t="s">
        <v>483</v>
      </c>
      <c r="D47" s="40">
        <v>2700</v>
      </c>
      <c r="E47" s="35" t="s">
        <v>289</v>
      </c>
      <c r="F47" s="29" t="s">
        <v>484</v>
      </c>
      <c r="G47" s="36">
        <v>2700</v>
      </c>
      <c r="H47" s="36">
        <v>40.5</v>
      </c>
    </row>
    <row r="48" spans="1:8">
      <c r="A48" s="50">
        <v>136850580072</v>
      </c>
      <c r="B48" s="35" t="s">
        <v>289</v>
      </c>
      <c r="C48" t="s">
        <v>483</v>
      </c>
      <c r="D48" s="40">
        <v>1995</v>
      </c>
      <c r="E48" s="35" t="s">
        <v>289</v>
      </c>
      <c r="F48" s="29" t="s">
        <v>484</v>
      </c>
      <c r="G48" s="36">
        <v>1995</v>
      </c>
      <c r="H48" s="36">
        <v>29.93</v>
      </c>
    </row>
    <row r="49" spans="1:8">
      <c r="A49" s="50">
        <v>136936109502</v>
      </c>
      <c r="B49" s="35" t="s">
        <v>289</v>
      </c>
      <c r="C49" t="s">
        <v>483</v>
      </c>
      <c r="D49" s="40">
        <v>1455</v>
      </c>
      <c r="E49" s="35" t="s">
        <v>289</v>
      </c>
      <c r="F49" s="29" t="s">
        <v>484</v>
      </c>
      <c r="G49" s="36">
        <v>1455</v>
      </c>
      <c r="H49" s="36">
        <v>21.83</v>
      </c>
    </row>
    <row r="50" spans="1:8">
      <c r="A50" s="50">
        <v>136943914206</v>
      </c>
      <c r="B50" s="35" t="s">
        <v>289</v>
      </c>
      <c r="C50" t="s">
        <v>483</v>
      </c>
      <c r="D50" s="40">
        <v>2820</v>
      </c>
      <c r="E50" s="35" t="s">
        <v>289</v>
      </c>
      <c r="F50" s="29" t="s">
        <v>484</v>
      </c>
      <c r="G50" s="36">
        <v>2820</v>
      </c>
      <c r="H50" s="36">
        <v>42.3</v>
      </c>
    </row>
    <row r="51" spans="1:8">
      <c r="A51" s="50">
        <v>136321620855</v>
      </c>
      <c r="B51" s="35" t="s">
        <v>289</v>
      </c>
      <c r="C51" t="s">
        <v>483</v>
      </c>
      <c r="D51" s="40">
        <v>240</v>
      </c>
      <c r="E51" s="35" t="s">
        <v>289</v>
      </c>
      <c r="F51" s="29" t="s">
        <v>484</v>
      </c>
      <c r="G51" s="36">
        <v>240</v>
      </c>
      <c r="H51" s="36">
        <v>3.6</v>
      </c>
    </row>
    <row r="52" spans="1:8">
      <c r="A52" s="50">
        <v>136308330289</v>
      </c>
      <c r="B52" s="35" t="s">
        <v>289</v>
      </c>
      <c r="C52" t="s">
        <v>483</v>
      </c>
      <c r="D52" s="40">
        <v>725</v>
      </c>
      <c r="E52" s="35" t="s">
        <v>289</v>
      </c>
      <c r="F52" s="29" t="s">
        <v>484</v>
      </c>
      <c r="G52" s="36">
        <v>725</v>
      </c>
      <c r="H52" s="36">
        <v>10.88</v>
      </c>
    </row>
    <row r="53" spans="1:8">
      <c r="A53" s="50">
        <v>136956585806</v>
      </c>
      <c r="B53" s="35" t="s">
        <v>289</v>
      </c>
      <c r="C53" t="s">
        <v>483</v>
      </c>
      <c r="D53" s="40">
        <v>1145</v>
      </c>
      <c r="E53" s="35" t="s">
        <v>304</v>
      </c>
      <c r="F53" s="29" t="s">
        <v>484</v>
      </c>
      <c r="G53" s="36">
        <v>1145</v>
      </c>
      <c r="H53" s="36">
        <v>17.18</v>
      </c>
    </row>
    <row r="54" spans="1:8">
      <c r="A54" s="50">
        <v>136333911623</v>
      </c>
      <c r="B54" s="35" t="s">
        <v>304</v>
      </c>
      <c r="C54" t="s">
        <v>483</v>
      </c>
      <c r="D54" s="40">
        <v>2415</v>
      </c>
      <c r="E54" s="35" t="s">
        <v>304</v>
      </c>
      <c r="F54" s="29" t="s">
        <v>484</v>
      </c>
      <c r="G54" s="36">
        <v>2415</v>
      </c>
      <c r="H54" s="36">
        <v>36.229999999999997</v>
      </c>
    </row>
    <row r="55" spans="1:8">
      <c r="A55" s="50">
        <v>136334392821</v>
      </c>
      <c r="B55" s="35" t="s">
        <v>304</v>
      </c>
      <c r="C55" t="s">
        <v>483</v>
      </c>
      <c r="D55" s="40">
        <v>475</v>
      </c>
      <c r="E55" s="35" t="s">
        <v>304</v>
      </c>
      <c r="F55" s="29" t="s">
        <v>484</v>
      </c>
      <c r="G55" s="36">
        <v>475</v>
      </c>
      <c r="H55" s="36">
        <v>7.13</v>
      </c>
    </row>
    <row r="56" spans="1:8">
      <c r="A56" s="50">
        <v>136334889161</v>
      </c>
      <c r="B56" s="35" t="s">
        <v>304</v>
      </c>
      <c r="C56" t="s">
        <v>483</v>
      </c>
      <c r="D56" s="40">
        <v>3620</v>
      </c>
      <c r="E56" s="35" t="s">
        <v>304</v>
      </c>
      <c r="F56" s="29" t="s">
        <v>484</v>
      </c>
      <c r="G56" s="36">
        <v>3620</v>
      </c>
      <c r="H56" s="36">
        <v>54.3</v>
      </c>
    </row>
    <row r="57" spans="1:8">
      <c r="A57" s="50">
        <v>136319904505</v>
      </c>
      <c r="B57" s="35" t="s">
        <v>289</v>
      </c>
      <c r="C57" t="s">
        <v>483</v>
      </c>
      <c r="D57" s="40">
        <v>6280</v>
      </c>
      <c r="E57" s="35" t="s">
        <v>289</v>
      </c>
      <c r="F57" s="29" t="s">
        <v>484</v>
      </c>
      <c r="G57" s="36">
        <v>6280</v>
      </c>
      <c r="H57" s="36">
        <v>94.2</v>
      </c>
    </row>
    <row r="58" spans="1:8">
      <c r="A58" s="50">
        <v>136950519952</v>
      </c>
      <c r="B58" s="35" t="s">
        <v>289</v>
      </c>
      <c r="C58" t="s">
        <v>483</v>
      </c>
      <c r="D58" s="40">
        <v>3730</v>
      </c>
      <c r="E58" s="35" t="s">
        <v>289</v>
      </c>
      <c r="F58" s="29" t="s">
        <v>484</v>
      </c>
      <c r="G58" s="36">
        <v>3730</v>
      </c>
      <c r="H58" s="36">
        <v>55.95</v>
      </c>
    </row>
    <row r="59" spans="1:8">
      <c r="A59" s="50">
        <v>136334300589</v>
      </c>
      <c r="B59" s="35" t="s">
        <v>304</v>
      </c>
      <c r="C59" t="s">
        <v>483</v>
      </c>
      <c r="D59" s="40">
        <v>395</v>
      </c>
      <c r="E59" s="35" t="s">
        <v>304</v>
      </c>
      <c r="F59" s="29" t="s">
        <v>484</v>
      </c>
      <c r="G59" s="36">
        <v>395</v>
      </c>
      <c r="H59" s="36">
        <v>5.93</v>
      </c>
    </row>
    <row r="60" spans="1:8">
      <c r="A60" s="50">
        <v>136958796086</v>
      </c>
      <c r="B60" s="35" t="s">
        <v>304</v>
      </c>
      <c r="C60" t="s">
        <v>483</v>
      </c>
      <c r="D60" s="40">
        <v>1010</v>
      </c>
      <c r="E60" s="35" t="s">
        <v>304</v>
      </c>
      <c r="F60" s="29" t="s">
        <v>484</v>
      </c>
      <c r="G60" s="36">
        <v>1010</v>
      </c>
      <c r="H60" s="36">
        <v>15.15</v>
      </c>
    </row>
    <row r="61" spans="1:8">
      <c r="A61" s="50">
        <v>136334931569</v>
      </c>
      <c r="B61" s="35" t="s">
        <v>304</v>
      </c>
      <c r="C61" t="s">
        <v>483</v>
      </c>
      <c r="D61" s="40">
        <v>530</v>
      </c>
      <c r="E61" s="35" t="s">
        <v>304</v>
      </c>
      <c r="F61" s="29" t="s">
        <v>484</v>
      </c>
      <c r="G61" s="36">
        <v>530</v>
      </c>
      <c r="H61" s="36">
        <v>7.95</v>
      </c>
    </row>
    <row r="62" spans="1:8">
      <c r="A62" s="50">
        <v>136959627750</v>
      </c>
      <c r="B62" s="35" t="s">
        <v>304</v>
      </c>
      <c r="C62" t="s">
        <v>483</v>
      </c>
      <c r="D62" s="40">
        <v>1040</v>
      </c>
      <c r="E62" s="35" t="s">
        <v>304</v>
      </c>
      <c r="F62" s="29" t="s">
        <v>484</v>
      </c>
      <c r="G62" s="36">
        <v>1040</v>
      </c>
      <c r="H62" s="36">
        <v>15.6</v>
      </c>
    </row>
    <row r="63" spans="1:8">
      <c r="A63" s="50">
        <v>137371068462</v>
      </c>
      <c r="B63" s="35" t="s">
        <v>315</v>
      </c>
      <c r="C63" t="s">
        <v>483</v>
      </c>
      <c r="D63" s="40">
        <v>31399</v>
      </c>
      <c r="E63" s="35" t="s">
        <v>315</v>
      </c>
      <c r="F63" s="29" t="s">
        <v>484</v>
      </c>
      <c r="G63" s="36">
        <v>31399</v>
      </c>
      <c r="H63" s="36">
        <v>470.99</v>
      </c>
    </row>
    <row r="64" spans="1:8">
      <c r="A64" s="50">
        <v>137375738068</v>
      </c>
      <c r="B64" s="35" t="s">
        <v>315</v>
      </c>
      <c r="C64" t="s">
        <v>483</v>
      </c>
      <c r="D64" s="40">
        <v>38800</v>
      </c>
      <c r="E64" s="35" t="s">
        <v>315</v>
      </c>
      <c r="F64" s="29" t="s">
        <v>484</v>
      </c>
      <c r="G64" s="36">
        <v>38800</v>
      </c>
      <c r="H64" s="36">
        <v>582</v>
      </c>
    </row>
    <row r="65" spans="1:8">
      <c r="A65" s="50">
        <v>137380209516</v>
      </c>
      <c r="B65" s="35" t="s">
        <v>315</v>
      </c>
      <c r="C65" t="s">
        <v>483</v>
      </c>
      <c r="D65" s="40">
        <v>212800</v>
      </c>
      <c r="E65" s="35" t="s">
        <v>315</v>
      </c>
      <c r="F65" s="29" t="s">
        <v>484</v>
      </c>
      <c r="G65" s="36">
        <v>212800</v>
      </c>
      <c r="H65" s="36">
        <v>3192</v>
      </c>
    </row>
    <row r="66" spans="1:8">
      <c r="A66" s="50">
        <v>136759583173</v>
      </c>
      <c r="B66" s="35" t="s">
        <v>315</v>
      </c>
      <c r="C66" t="s">
        <v>483</v>
      </c>
      <c r="D66" s="40">
        <v>3340</v>
      </c>
      <c r="E66" s="35" t="s">
        <v>320</v>
      </c>
      <c r="F66" s="29" t="s">
        <v>484</v>
      </c>
      <c r="G66" s="36">
        <v>3340</v>
      </c>
      <c r="H66" s="36">
        <v>50.1</v>
      </c>
    </row>
    <row r="67" spans="1:8">
      <c r="A67" s="50">
        <v>137391748382</v>
      </c>
      <c r="B67" s="35" t="s">
        <v>320</v>
      </c>
      <c r="C67" t="s">
        <v>483</v>
      </c>
      <c r="D67" s="40">
        <v>23998</v>
      </c>
      <c r="E67" s="35" t="s">
        <v>320</v>
      </c>
      <c r="F67" s="29" t="s">
        <v>484</v>
      </c>
      <c r="G67" s="36">
        <v>23998</v>
      </c>
      <c r="H67" s="36">
        <v>359.97</v>
      </c>
    </row>
    <row r="68" spans="1:8">
      <c r="A68" s="50">
        <v>137381180222</v>
      </c>
      <c r="B68" s="35" t="s">
        <v>315</v>
      </c>
      <c r="C68" t="s">
        <v>483</v>
      </c>
      <c r="D68" s="40">
        <v>1294</v>
      </c>
      <c r="E68" s="35" t="s">
        <v>315</v>
      </c>
      <c r="F68" s="29" t="s">
        <v>484</v>
      </c>
      <c r="G68" s="36">
        <v>1294</v>
      </c>
      <c r="H68" s="36">
        <v>19.41</v>
      </c>
    </row>
    <row r="69" spans="1:8">
      <c r="A69" s="50">
        <v>137387927580</v>
      </c>
      <c r="B69" s="35" t="s">
        <v>315</v>
      </c>
      <c r="C69" t="s">
        <v>483</v>
      </c>
      <c r="D69" s="40">
        <v>27500</v>
      </c>
      <c r="E69" s="35" t="s">
        <v>320</v>
      </c>
      <c r="F69" s="29" t="s">
        <v>484</v>
      </c>
      <c r="G69" s="36">
        <v>27500</v>
      </c>
      <c r="H69" s="36">
        <v>412.5</v>
      </c>
    </row>
    <row r="70" spans="1:8">
      <c r="A70" s="50">
        <v>136759889445</v>
      </c>
      <c r="B70" s="35" t="s">
        <v>315</v>
      </c>
      <c r="C70" t="s">
        <v>483</v>
      </c>
      <c r="D70" s="40">
        <v>8200</v>
      </c>
      <c r="E70" s="35" t="s">
        <v>320</v>
      </c>
      <c r="F70" s="29" t="s">
        <v>484</v>
      </c>
      <c r="G70" s="36">
        <v>8200</v>
      </c>
      <c r="H70" s="36">
        <v>123</v>
      </c>
    </row>
    <row r="71" spans="1:8">
      <c r="A71" s="50">
        <v>136763226203</v>
      </c>
      <c r="B71" s="35" t="s">
        <v>320</v>
      </c>
      <c r="C71" t="s">
        <v>483</v>
      </c>
      <c r="D71" s="40">
        <v>1020</v>
      </c>
      <c r="E71" s="35" t="s">
        <v>320</v>
      </c>
      <c r="F71" s="29" t="s">
        <v>484</v>
      </c>
      <c r="G71" s="36">
        <v>1020</v>
      </c>
      <c r="H71" s="36">
        <v>15.3</v>
      </c>
    </row>
    <row r="72" spans="1:8">
      <c r="A72" s="50">
        <v>136888633383</v>
      </c>
      <c r="B72" s="35" t="s">
        <v>320</v>
      </c>
      <c r="C72" t="s">
        <v>483</v>
      </c>
      <c r="D72" s="40">
        <v>2090</v>
      </c>
      <c r="E72" s="35" t="s">
        <v>320</v>
      </c>
      <c r="F72" s="29" t="s">
        <v>484</v>
      </c>
      <c r="G72" s="36">
        <v>2090</v>
      </c>
      <c r="H72" s="36">
        <v>31.35</v>
      </c>
    </row>
    <row r="73" spans="1:8">
      <c r="A73" s="50">
        <v>136902088409</v>
      </c>
      <c r="B73" s="35" t="s">
        <v>320</v>
      </c>
      <c r="C73" t="s">
        <v>483</v>
      </c>
      <c r="D73" s="40">
        <v>1100</v>
      </c>
      <c r="E73" s="35" t="s">
        <v>320</v>
      </c>
      <c r="F73" s="29" t="s">
        <v>484</v>
      </c>
      <c r="G73" s="36">
        <v>1100</v>
      </c>
      <c r="H73" s="36">
        <v>16.5</v>
      </c>
    </row>
    <row r="74" spans="1:8">
      <c r="A74" s="50">
        <v>137537835128</v>
      </c>
      <c r="B74" s="35" t="s">
        <v>320</v>
      </c>
      <c r="C74" t="s">
        <v>483</v>
      </c>
      <c r="D74" s="40">
        <v>240</v>
      </c>
      <c r="E74" s="35" t="s">
        <v>320</v>
      </c>
      <c r="F74" s="29" t="s">
        <v>484</v>
      </c>
      <c r="G74" s="36">
        <v>240</v>
      </c>
      <c r="H74" s="36">
        <v>3.6</v>
      </c>
    </row>
    <row r="75" spans="1:8">
      <c r="A75" s="50">
        <v>137541122404</v>
      </c>
      <c r="B75" s="35" t="s">
        <v>320</v>
      </c>
      <c r="C75" t="s">
        <v>483</v>
      </c>
      <c r="D75" s="40">
        <v>1280</v>
      </c>
      <c r="E75" s="35" t="s">
        <v>327</v>
      </c>
      <c r="F75" s="29" t="s">
        <v>484</v>
      </c>
      <c r="G75" s="36">
        <v>1280</v>
      </c>
      <c r="H75" s="36">
        <v>19.2</v>
      </c>
    </row>
    <row r="76" spans="1:8">
      <c r="A76" s="50">
        <v>137545666916</v>
      </c>
      <c r="B76" s="35" t="s">
        <v>327</v>
      </c>
      <c r="C76" t="s">
        <v>483</v>
      </c>
      <c r="D76" s="40">
        <v>2200</v>
      </c>
      <c r="E76" s="35" t="s">
        <v>327</v>
      </c>
      <c r="F76" s="29" t="s">
        <v>484</v>
      </c>
      <c r="G76" s="36">
        <v>2200</v>
      </c>
      <c r="H76" s="36">
        <v>33</v>
      </c>
    </row>
    <row r="77" spans="1:8">
      <c r="A77" s="50">
        <v>136916514577</v>
      </c>
      <c r="B77" s="35" t="s">
        <v>327</v>
      </c>
      <c r="C77" t="s">
        <v>483</v>
      </c>
      <c r="D77" s="40">
        <v>550</v>
      </c>
      <c r="E77" s="35" t="s">
        <v>327</v>
      </c>
      <c r="F77" s="29" t="s">
        <v>484</v>
      </c>
      <c r="G77" s="36">
        <v>550</v>
      </c>
      <c r="H77" s="36">
        <v>8.25</v>
      </c>
    </row>
    <row r="78" spans="1:8">
      <c r="A78" s="50">
        <v>137549963508</v>
      </c>
      <c r="B78" s="35" t="s">
        <v>327</v>
      </c>
      <c r="C78" t="s">
        <v>483</v>
      </c>
      <c r="D78" s="40">
        <v>570</v>
      </c>
      <c r="E78" s="35" t="s">
        <v>327</v>
      </c>
      <c r="F78" s="29" t="s">
        <v>484</v>
      </c>
      <c r="G78" s="36">
        <v>570</v>
      </c>
      <c r="H78" s="36">
        <v>8.5500000000000007</v>
      </c>
    </row>
    <row r="79" spans="1:8">
      <c r="A79" s="50">
        <v>137048989753</v>
      </c>
      <c r="B79" s="35" t="s">
        <v>327</v>
      </c>
      <c r="C79" t="s">
        <v>483</v>
      </c>
      <c r="D79" s="40">
        <v>2780</v>
      </c>
      <c r="E79" s="35" t="s">
        <v>327</v>
      </c>
      <c r="F79" s="29" t="s">
        <v>484</v>
      </c>
      <c r="G79" s="36">
        <v>2780</v>
      </c>
      <c r="H79" s="36">
        <v>41.7</v>
      </c>
    </row>
    <row r="80" spans="1:8">
      <c r="A80" s="50">
        <v>137064470797</v>
      </c>
      <c r="B80" s="35" t="s">
        <v>336</v>
      </c>
      <c r="C80" t="s">
        <v>483</v>
      </c>
      <c r="D80" s="40">
        <v>1500</v>
      </c>
      <c r="E80" s="35" t="s">
        <v>336</v>
      </c>
      <c r="F80" s="29" t="s">
        <v>484</v>
      </c>
      <c r="G80" s="36">
        <v>1500</v>
      </c>
      <c r="H80" s="36">
        <v>22.5</v>
      </c>
    </row>
    <row r="81" spans="1:8">
      <c r="A81" s="50">
        <v>137697947034</v>
      </c>
      <c r="B81" s="35" t="s">
        <v>336</v>
      </c>
      <c r="C81" t="s">
        <v>483</v>
      </c>
      <c r="D81" s="40">
        <v>1065</v>
      </c>
      <c r="E81" s="35" t="s">
        <v>336</v>
      </c>
      <c r="F81" s="29" t="s">
        <v>484</v>
      </c>
      <c r="G81" s="36">
        <v>1065</v>
      </c>
      <c r="H81" s="36">
        <v>15.98</v>
      </c>
    </row>
    <row r="82" spans="1:8">
      <c r="A82" s="50">
        <v>137053262509</v>
      </c>
      <c r="B82" s="35" t="s">
        <v>327</v>
      </c>
      <c r="C82" t="s">
        <v>483</v>
      </c>
      <c r="D82" s="40">
        <v>5190</v>
      </c>
      <c r="E82" s="35" t="s">
        <v>327</v>
      </c>
      <c r="F82" s="29" t="s">
        <v>484</v>
      </c>
      <c r="G82" s="36">
        <v>5190</v>
      </c>
      <c r="H82" s="36">
        <v>77.849999999999994</v>
      </c>
    </row>
    <row r="83" spans="1:8">
      <c r="A83" s="50">
        <v>137056849773</v>
      </c>
      <c r="B83" s="35" t="s">
        <v>327</v>
      </c>
      <c r="C83" t="s">
        <v>483</v>
      </c>
      <c r="D83" s="40">
        <v>2070</v>
      </c>
      <c r="E83" s="35" t="s">
        <v>336</v>
      </c>
      <c r="F83" s="29" t="s">
        <v>484</v>
      </c>
      <c r="G83" s="36">
        <v>2070</v>
      </c>
      <c r="H83" s="36">
        <v>31.05</v>
      </c>
    </row>
    <row r="84" spans="1:8">
      <c r="A84" s="50">
        <v>137691015632</v>
      </c>
      <c r="B84" s="35" t="s">
        <v>327</v>
      </c>
      <c r="C84" t="s">
        <v>483</v>
      </c>
      <c r="D84" s="40">
        <v>1790</v>
      </c>
      <c r="E84" s="35" t="s">
        <v>336</v>
      </c>
      <c r="F84" s="29" t="s">
        <v>484</v>
      </c>
      <c r="G84" s="36">
        <v>1790</v>
      </c>
      <c r="H84" s="36">
        <v>26.85</v>
      </c>
    </row>
    <row r="85" spans="1:8">
      <c r="A85" s="50">
        <v>137694132400</v>
      </c>
      <c r="B85" s="35" t="s">
        <v>336</v>
      </c>
      <c r="C85" t="s">
        <v>483</v>
      </c>
      <c r="D85" s="40">
        <v>4105</v>
      </c>
      <c r="E85" s="35" t="s">
        <v>336</v>
      </c>
      <c r="F85" s="29" t="s">
        <v>484</v>
      </c>
      <c r="G85" s="36">
        <v>4105</v>
      </c>
      <c r="H85" s="36">
        <v>61.58</v>
      </c>
    </row>
    <row r="86" spans="1:8">
      <c r="A86" s="50">
        <v>137181617531</v>
      </c>
      <c r="B86" s="35" t="s">
        <v>336</v>
      </c>
      <c r="C86" t="s">
        <v>483</v>
      </c>
      <c r="D86" s="40">
        <v>5630</v>
      </c>
      <c r="E86" s="35" t="s">
        <v>336</v>
      </c>
      <c r="F86" s="29" t="s">
        <v>484</v>
      </c>
      <c r="G86" s="36">
        <v>5630</v>
      </c>
      <c r="H86" s="36">
        <v>84.45</v>
      </c>
    </row>
    <row r="87" spans="1:8">
      <c r="A87" s="50">
        <v>137183950129</v>
      </c>
      <c r="B87" s="35" t="s">
        <v>336</v>
      </c>
      <c r="C87" t="s">
        <v>483</v>
      </c>
      <c r="D87" s="40">
        <v>1820</v>
      </c>
      <c r="E87" s="35" t="s">
        <v>336</v>
      </c>
      <c r="F87" s="29" t="s">
        <v>484</v>
      </c>
      <c r="G87" s="36">
        <v>1820</v>
      </c>
      <c r="H87" s="36">
        <v>27.3</v>
      </c>
    </row>
    <row r="88" spans="1:8">
      <c r="A88" s="50">
        <v>137194236351</v>
      </c>
      <c r="B88" s="35" t="s">
        <v>345</v>
      </c>
      <c r="C88" t="s">
        <v>483</v>
      </c>
      <c r="D88" s="40">
        <v>2675</v>
      </c>
      <c r="E88" s="35" t="s">
        <v>345</v>
      </c>
      <c r="F88" s="29" t="s">
        <v>484</v>
      </c>
      <c r="G88" s="36">
        <v>2675</v>
      </c>
      <c r="H88" s="36">
        <v>40.130000000000003</v>
      </c>
    </row>
    <row r="89" spans="1:8">
      <c r="A89" s="50">
        <v>137828683812</v>
      </c>
      <c r="B89" s="35" t="s">
        <v>345</v>
      </c>
      <c r="C89" t="s">
        <v>483</v>
      </c>
      <c r="D89" s="40">
        <v>1525</v>
      </c>
      <c r="E89" s="35" t="s">
        <v>345</v>
      </c>
      <c r="F89" s="29" t="s">
        <v>484</v>
      </c>
      <c r="G89" s="36">
        <v>1525</v>
      </c>
      <c r="H89" s="36">
        <v>22.88</v>
      </c>
    </row>
    <row r="90" spans="1:8">
      <c r="A90" s="50">
        <v>137194166731</v>
      </c>
      <c r="B90" s="35" t="s">
        <v>345</v>
      </c>
      <c r="C90" t="s">
        <v>483</v>
      </c>
      <c r="D90" s="40">
        <v>5390</v>
      </c>
      <c r="E90" s="35" t="s">
        <v>345</v>
      </c>
      <c r="F90" s="29" t="s">
        <v>484</v>
      </c>
      <c r="G90" s="36">
        <v>5390</v>
      </c>
      <c r="H90" s="36">
        <v>80.849999999999994</v>
      </c>
    </row>
    <row r="91" spans="1:8">
      <c r="A91" s="50">
        <v>137829278598</v>
      </c>
      <c r="B91" s="35" t="s">
        <v>345</v>
      </c>
      <c r="C91" t="s">
        <v>483</v>
      </c>
      <c r="D91" s="40">
        <v>275</v>
      </c>
      <c r="E91" s="35" t="s">
        <v>345</v>
      </c>
      <c r="F91" s="29" t="s">
        <v>484</v>
      </c>
      <c r="G91" s="36">
        <v>275</v>
      </c>
      <c r="H91" s="36">
        <v>4.13</v>
      </c>
    </row>
    <row r="92" spans="1:8">
      <c r="A92" s="50">
        <v>137829499784</v>
      </c>
      <c r="B92" s="35" t="s">
        <v>345</v>
      </c>
      <c r="C92" t="s">
        <v>483</v>
      </c>
      <c r="D92" s="40">
        <v>1060</v>
      </c>
      <c r="E92" s="35" t="s">
        <v>345</v>
      </c>
      <c r="F92" s="29" t="s">
        <v>484</v>
      </c>
      <c r="G92" s="36">
        <v>1060</v>
      </c>
      <c r="H92" s="36">
        <v>15.9</v>
      </c>
    </row>
    <row r="93" spans="1:8">
      <c r="A93" s="50">
        <v>137283589283</v>
      </c>
      <c r="B93" s="35" t="s">
        <v>345</v>
      </c>
      <c r="C93" t="s">
        <v>483</v>
      </c>
      <c r="D93" s="40">
        <v>4900</v>
      </c>
      <c r="E93" s="35" t="s">
        <v>345</v>
      </c>
      <c r="F93" s="29" t="s">
        <v>484</v>
      </c>
      <c r="G93" s="36">
        <v>4900</v>
      </c>
      <c r="H93" s="36">
        <v>73.5</v>
      </c>
    </row>
    <row r="94" spans="1:8">
      <c r="A94" s="50">
        <v>137920633474</v>
      </c>
      <c r="B94" s="35" t="s">
        <v>345</v>
      </c>
      <c r="C94" t="s">
        <v>483</v>
      </c>
      <c r="D94" s="40">
        <v>1975</v>
      </c>
      <c r="E94" s="35" t="s">
        <v>345</v>
      </c>
      <c r="F94" s="29" t="s">
        <v>484</v>
      </c>
      <c r="G94" s="36">
        <v>1975</v>
      </c>
      <c r="H94" s="36">
        <v>29.63</v>
      </c>
    </row>
    <row r="95" spans="1:8">
      <c r="A95" s="50">
        <v>137926260696</v>
      </c>
      <c r="B95" s="35" t="s">
        <v>345</v>
      </c>
      <c r="C95" t="s">
        <v>483</v>
      </c>
      <c r="D95" s="40">
        <v>240</v>
      </c>
      <c r="E95" s="35" t="s">
        <v>345</v>
      </c>
      <c r="F95" s="29" t="s">
        <v>484</v>
      </c>
      <c r="G95" s="36">
        <v>240</v>
      </c>
      <c r="H95" s="36">
        <v>3.6</v>
      </c>
    </row>
    <row r="96" spans="1:8">
      <c r="A96" s="50">
        <v>138371875180</v>
      </c>
      <c r="B96" s="35" t="s">
        <v>355</v>
      </c>
      <c r="C96" t="s">
        <v>483</v>
      </c>
      <c r="D96" s="40">
        <v>2399</v>
      </c>
      <c r="E96" s="35" t="s">
        <v>355</v>
      </c>
      <c r="F96" s="29" t="s">
        <v>484</v>
      </c>
      <c r="G96" s="36">
        <v>2399</v>
      </c>
      <c r="H96" s="36">
        <v>35.99</v>
      </c>
    </row>
    <row r="97" spans="1:8">
      <c r="A97" s="50">
        <v>137739797245</v>
      </c>
      <c r="B97" s="35" t="s">
        <v>355</v>
      </c>
      <c r="C97" t="s">
        <v>483</v>
      </c>
      <c r="D97" s="40">
        <v>6190</v>
      </c>
      <c r="E97" s="35" t="s">
        <v>355</v>
      </c>
      <c r="F97" s="29" t="s">
        <v>484</v>
      </c>
      <c r="G97" s="36">
        <v>6190</v>
      </c>
      <c r="H97" s="36">
        <v>92.85</v>
      </c>
    </row>
    <row r="98" spans="1:8">
      <c r="A98" s="50">
        <v>138507542274</v>
      </c>
      <c r="B98" s="35" t="s">
        <v>360</v>
      </c>
      <c r="C98" t="s">
        <v>483</v>
      </c>
      <c r="D98" s="40">
        <v>1000</v>
      </c>
      <c r="E98" s="35" t="s">
        <v>360</v>
      </c>
      <c r="F98" s="29" t="s">
        <v>484</v>
      </c>
      <c r="G98" s="36">
        <v>1000</v>
      </c>
      <c r="H98" s="36">
        <v>15</v>
      </c>
    </row>
    <row r="99" spans="1:8">
      <c r="A99" s="50">
        <v>137883804495</v>
      </c>
      <c r="B99" s="35" t="s">
        <v>360</v>
      </c>
      <c r="C99" t="s">
        <v>483</v>
      </c>
      <c r="D99" s="40">
        <v>375</v>
      </c>
      <c r="E99" s="35" t="s">
        <v>360</v>
      </c>
      <c r="F99" s="29" t="s">
        <v>484</v>
      </c>
      <c r="G99" s="36">
        <v>375</v>
      </c>
      <c r="H99" s="36">
        <v>5.63</v>
      </c>
    </row>
    <row r="100" spans="1:8">
      <c r="A100" s="50">
        <v>138533691820</v>
      </c>
      <c r="B100" s="35" t="s">
        <v>360</v>
      </c>
      <c r="C100" t="s">
        <v>483</v>
      </c>
      <c r="D100" s="40">
        <v>250</v>
      </c>
      <c r="E100" s="35" t="s">
        <v>360</v>
      </c>
      <c r="F100" s="29" t="s">
        <v>484</v>
      </c>
      <c r="G100" s="36">
        <v>250</v>
      </c>
      <c r="H100" s="36">
        <v>3.75</v>
      </c>
    </row>
    <row r="101" spans="1:8">
      <c r="A101" s="50">
        <v>138534987942</v>
      </c>
      <c r="B101" s="35" t="s">
        <v>360</v>
      </c>
      <c r="C101" t="s">
        <v>483</v>
      </c>
      <c r="D101" s="40">
        <v>250</v>
      </c>
      <c r="E101" s="35" t="s">
        <v>360</v>
      </c>
      <c r="F101" s="29" t="s">
        <v>484</v>
      </c>
      <c r="G101" s="36">
        <v>250</v>
      </c>
      <c r="H101" s="36">
        <v>3.75</v>
      </c>
    </row>
    <row r="102" spans="1:8">
      <c r="A102" s="50">
        <v>138536531052</v>
      </c>
      <c r="B102" s="35" t="s">
        <v>360</v>
      </c>
      <c r="C102" t="s">
        <v>483</v>
      </c>
      <c r="D102" s="40">
        <v>3945</v>
      </c>
      <c r="E102" s="35" t="s">
        <v>367</v>
      </c>
      <c r="F102" s="29" t="s">
        <v>484</v>
      </c>
      <c r="G102" s="36">
        <v>3945</v>
      </c>
      <c r="H102" s="36">
        <v>59.18</v>
      </c>
    </row>
    <row r="103" spans="1:8">
      <c r="A103" s="50">
        <v>137898435063</v>
      </c>
      <c r="B103" s="35" t="s">
        <v>360</v>
      </c>
      <c r="C103" t="s">
        <v>483</v>
      </c>
      <c r="D103" s="40">
        <v>250</v>
      </c>
      <c r="E103" s="35" t="s">
        <v>367</v>
      </c>
      <c r="F103" s="29" t="s">
        <v>484</v>
      </c>
      <c r="G103" s="36">
        <v>250</v>
      </c>
      <c r="H103" s="36">
        <v>3.75</v>
      </c>
    </row>
    <row r="104" spans="1:8">
      <c r="A104" s="50">
        <v>138540024370</v>
      </c>
      <c r="B104" s="35" t="s">
        <v>367</v>
      </c>
      <c r="C104" t="s">
        <v>483</v>
      </c>
      <c r="D104" s="40">
        <v>595</v>
      </c>
      <c r="E104" s="35" t="s">
        <v>367</v>
      </c>
      <c r="F104" s="29" t="s">
        <v>484</v>
      </c>
      <c r="G104" s="36">
        <v>595</v>
      </c>
      <c r="H104" s="36">
        <v>8.93</v>
      </c>
    </row>
    <row r="105" spans="1:8">
      <c r="A105" s="50">
        <v>138540813558</v>
      </c>
      <c r="B105" s="35" t="s">
        <v>367</v>
      </c>
      <c r="C105" t="s">
        <v>483</v>
      </c>
      <c r="D105" s="40">
        <v>250</v>
      </c>
      <c r="E105" s="35" t="s">
        <v>367</v>
      </c>
      <c r="F105" s="29" t="s">
        <v>484</v>
      </c>
      <c r="G105" s="36">
        <v>250</v>
      </c>
      <c r="H105" s="36">
        <v>3.75</v>
      </c>
    </row>
    <row r="106" spans="1:8">
      <c r="A106" s="50">
        <v>137903470371</v>
      </c>
      <c r="B106" s="35" t="s">
        <v>367</v>
      </c>
      <c r="C106" t="s">
        <v>483</v>
      </c>
      <c r="D106" s="40">
        <v>2590</v>
      </c>
      <c r="E106" s="35" t="s">
        <v>367</v>
      </c>
      <c r="F106" s="29" t="s">
        <v>484</v>
      </c>
      <c r="G106" s="36">
        <v>2590</v>
      </c>
      <c r="H106" s="36">
        <v>38.85</v>
      </c>
    </row>
    <row r="107" spans="1:8">
      <c r="A107" s="50">
        <v>137883883605</v>
      </c>
      <c r="B107" s="35" t="s">
        <v>360</v>
      </c>
      <c r="C107" t="s">
        <v>483</v>
      </c>
      <c r="D107" s="40">
        <v>1095</v>
      </c>
      <c r="E107" s="35" t="s">
        <v>360</v>
      </c>
      <c r="F107" s="29" t="s">
        <v>484</v>
      </c>
      <c r="G107" s="36">
        <v>1095</v>
      </c>
      <c r="H107" s="36">
        <v>16.43</v>
      </c>
    </row>
    <row r="108" spans="1:8">
      <c r="A108" s="50">
        <v>137904879445</v>
      </c>
      <c r="B108" s="35" t="s">
        <v>367</v>
      </c>
      <c r="C108" t="s">
        <v>483</v>
      </c>
      <c r="D108" s="40">
        <v>250</v>
      </c>
      <c r="E108" s="35" t="s">
        <v>367</v>
      </c>
      <c r="F108" s="29" t="s">
        <v>484</v>
      </c>
      <c r="G108" s="36">
        <v>250</v>
      </c>
      <c r="H108" s="36">
        <v>3.75</v>
      </c>
    </row>
    <row r="109" spans="1:8">
      <c r="A109" s="50">
        <v>138545543956</v>
      </c>
      <c r="B109" s="35" t="s">
        <v>367</v>
      </c>
      <c r="C109" t="s">
        <v>483</v>
      </c>
      <c r="D109" s="40">
        <v>675</v>
      </c>
      <c r="E109" s="35" t="s">
        <v>367</v>
      </c>
      <c r="F109" s="29" t="s">
        <v>484</v>
      </c>
      <c r="G109" s="36">
        <v>675</v>
      </c>
      <c r="H109" s="36">
        <v>10.130000000000001</v>
      </c>
    </row>
    <row r="110" spans="1:8">
      <c r="A110" s="50">
        <v>138531210626</v>
      </c>
      <c r="B110" s="35" t="s">
        <v>360</v>
      </c>
      <c r="C110" t="s">
        <v>483</v>
      </c>
      <c r="D110" s="40">
        <v>910</v>
      </c>
      <c r="E110" s="35" t="s">
        <v>360</v>
      </c>
      <c r="F110" s="29" t="s">
        <v>484</v>
      </c>
      <c r="G110" s="36">
        <v>910</v>
      </c>
      <c r="H110" s="36">
        <v>13.65</v>
      </c>
    </row>
    <row r="111" spans="1:8">
      <c r="A111" s="50">
        <v>138536663026</v>
      </c>
      <c r="B111" s="35" t="s">
        <v>360</v>
      </c>
      <c r="C111" t="s">
        <v>483</v>
      </c>
      <c r="D111" s="40">
        <v>1000</v>
      </c>
      <c r="E111" s="35" t="s">
        <v>367</v>
      </c>
      <c r="F111" s="29" t="s">
        <v>484</v>
      </c>
      <c r="G111" s="36">
        <v>1000</v>
      </c>
      <c r="H111" s="36">
        <v>15</v>
      </c>
    </row>
    <row r="112" spans="1:8">
      <c r="A112" s="50">
        <v>138697916442</v>
      </c>
      <c r="B112" s="35" t="s">
        <v>367</v>
      </c>
      <c r="C112" t="s">
        <v>483</v>
      </c>
      <c r="D112" s="40">
        <v>2985</v>
      </c>
      <c r="E112" s="35" t="s">
        <v>367</v>
      </c>
      <c r="F112" s="29" t="s">
        <v>484</v>
      </c>
      <c r="G112" s="36">
        <v>2985</v>
      </c>
      <c r="H112" s="36">
        <v>44.78</v>
      </c>
    </row>
    <row r="113" spans="1:8">
      <c r="A113" s="50">
        <v>138064631729</v>
      </c>
      <c r="B113" s="35" t="s">
        <v>367</v>
      </c>
      <c r="C113" t="s">
        <v>483</v>
      </c>
      <c r="D113" s="40">
        <v>6590</v>
      </c>
      <c r="E113" s="35" t="s">
        <v>379</v>
      </c>
      <c r="F113" s="29" t="s">
        <v>484</v>
      </c>
      <c r="G113" s="36">
        <v>6590</v>
      </c>
      <c r="H113" s="36">
        <v>98.85</v>
      </c>
    </row>
    <row r="114" spans="1:8">
      <c r="A114" s="50">
        <v>138053901839</v>
      </c>
      <c r="B114" s="35" t="s">
        <v>367</v>
      </c>
      <c r="C114" t="s">
        <v>483</v>
      </c>
      <c r="D114" s="40">
        <v>4060</v>
      </c>
      <c r="E114" s="35" t="s">
        <v>367</v>
      </c>
      <c r="F114" s="29" t="s">
        <v>484</v>
      </c>
      <c r="G114" s="36">
        <v>4060</v>
      </c>
      <c r="H114" s="36">
        <v>60.9</v>
      </c>
    </row>
    <row r="115" spans="1:8">
      <c r="A115" s="50">
        <v>138069276345</v>
      </c>
      <c r="B115" s="35" t="s">
        <v>379</v>
      </c>
      <c r="C115" t="s">
        <v>483</v>
      </c>
      <c r="D115" s="40">
        <v>4720</v>
      </c>
      <c r="E115" s="35" t="s">
        <v>379</v>
      </c>
      <c r="F115" s="29" t="s">
        <v>484</v>
      </c>
      <c r="G115" s="36">
        <v>4720</v>
      </c>
      <c r="H115" s="36">
        <v>70.8</v>
      </c>
    </row>
    <row r="116" spans="1:8">
      <c r="A116" s="50">
        <v>138072847151</v>
      </c>
      <c r="B116" s="35" t="s">
        <v>379</v>
      </c>
      <c r="C116" t="s">
        <v>483</v>
      </c>
      <c r="D116" s="40">
        <v>2940</v>
      </c>
      <c r="E116" s="35" t="s">
        <v>379</v>
      </c>
      <c r="F116" s="29" t="s">
        <v>484</v>
      </c>
      <c r="G116" s="36">
        <v>2940</v>
      </c>
      <c r="H116" s="36">
        <v>44.1</v>
      </c>
    </row>
    <row r="117" spans="1:8">
      <c r="A117" s="50">
        <v>138205242047</v>
      </c>
      <c r="B117" s="35" t="s">
        <v>379</v>
      </c>
      <c r="C117" t="s">
        <v>483</v>
      </c>
      <c r="D117" s="40">
        <v>2470</v>
      </c>
      <c r="E117" s="35" t="s">
        <v>379</v>
      </c>
      <c r="F117" s="29" t="s">
        <v>484</v>
      </c>
      <c r="G117" s="36">
        <v>2470</v>
      </c>
      <c r="H117" s="36">
        <v>37.049999999999997</v>
      </c>
    </row>
    <row r="118" spans="1:8">
      <c r="A118" s="50">
        <v>138207819305</v>
      </c>
      <c r="B118" s="35" t="s">
        <v>379</v>
      </c>
      <c r="C118" t="s">
        <v>483</v>
      </c>
      <c r="D118" s="40">
        <v>990</v>
      </c>
      <c r="E118" s="35" t="s">
        <v>379</v>
      </c>
      <c r="F118" s="29" t="s">
        <v>484</v>
      </c>
      <c r="G118" s="36">
        <v>990</v>
      </c>
      <c r="H118" s="36">
        <v>14.85</v>
      </c>
    </row>
    <row r="119" spans="1:8">
      <c r="A119" s="50">
        <v>138853147094</v>
      </c>
      <c r="B119" s="35" t="s">
        <v>387</v>
      </c>
      <c r="C119" t="s">
        <v>483</v>
      </c>
      <c r="D119" s="40">
        <v>1290</v>
      </c>
      <c r="E119" s="35" t="s">
        <v>387</v>
      </c>
      <c r="F119" s="29" t="s">
        <v>484</v>
      </c>
      <c r="G119" s="36">
        <v>1290</v>
      </c>
      <c r="H119" s="36">
        <v>19.350000000000001</v>
      </c>
    </row>
    <row r="120" spans="1:8">
      <c r="A120" s="50">
        <v>138213161831</v>
      </c>
      <c r="B120" s="35" t="s">
        <v>387</v>
      </c>
      <c r="C120" t="s">
        <v>483</v>
      </c>
      <c r="D120" s="40">
        <v>1000</v>
      </c>
      <c r="E120" s="35" t="s">
        <v>387</v>
      </c>
      <c r="F120" s="29" t="s">
        <v>484</v>
      </c>
      <c r="G120" s="36">
        <v>1000</v>
      </c>
      <c r="H120" s="36">
        <v>15</v>
      </c>
    </row>
    <row r="121" spans="1:8">
      <c r="A121" s="50">
        <v>138214690391</v>
      </c>
      <c r="B121" s="35" t="s">
        <v>387</v>
      </c>
      <c r="C121" t="s">
        <v>483</v>
      </c>
      <c r="D121" s="40">
        <v>7105</v>
      </c>
      <c r="E121" s="35" t="s">
        <v>387</v>
      </c>
      <c r="F121" s="29" t="s">
        <v>484</v>
      </c>
      <c r="G121" s="36">
        <v>7105</v>
      </c>
      <c r="H121" s="36">
        <v>106.58</v>
      </c>
    </row>
    <row r="122" spans="1:8">
      <c r="A122" s="50">
        <v>138217820543</v>
      </c>
      <c r="B122" s="35" t="s">
        <v>387</v>
      </c>
      <c r="C122" t="s">
        <v>483</v>
      </c>
      <c r="D122" s="40">
        <v>755</v>
      </c>
      <c r="E122" s="35" t="s">
        <v>387</v>
      </c>
      <c r="F122" s="29" t="s">
        <v>484</v>
      </c>
      <c r="G122" s="36">
        <v>755</v>
      </c>
      <c r="H122" s="36">
        <v>11.33</v>
      </c>
    </row>
    <row r="123" spans="1:8">
      <c r="A123" s="50">
        <v>138849001012</v>
      </c>
      <c r="B123" s="35" t="s">
        <v>379</v>
      </c>
      <c r="C123" t="s">
        <v>483</v>
      </c>
      <c r="D123" s="40">
        <v>1450</v>
      </c>
      <c r="E123" s="35" t="s">
        <v>387</v>
      </c>
      <c r="F123" s="29" t="s">
        <v>484</v>
      </c>
      <c r="G123" s="36">
        <v>1450</v>
      </c>
      <c r="H123" s="36">
        <v>21.75</v>
      </c>
    </row>
    <row r="124" spans="1:8">
      <c r="A124" s="50">
        <v>138215505465</v>
      </c>
      <c r="B124" s="35" t="s">
        <v>387</v>
      </c>
      <c r="C124" t="s">
        <v>483</v>
      </c>
      <c r="D124" s="40">
        <v>2515</v>
      </c>
      <c r="E124" s="35" t="s">
        <v>387</v>
      </c>
      <c r="F124" s="29" t="s">
        <v>484</v>
      </c>
      <c r="G124" s="36">
        <v>2515</v>
      </c>
      <c r="H124" s="36">
        <v>37.729999999999997</v>
      </c>
    </row>
    <row r="125" spans="1:8">
      <c r="A125" s="50">
        <v>138856908296</v>
      </c>
      <c r="B125" s="35" t="s">
        <v>387</v>
      </c>
      <c r="C125" t="s">
        <v>483</v>
      </c>
      <c r="D125" s="40">
        <v>820</v>
      </c>
      <c r="E125" s="35" t="s">
        <v>387</v>
      </c>
      <c r="F125" s="29" t="s">
        <v>484</v>
      </c>
      <c r="G125" s="36">
        <v>820</v>
      </c>
      <c r="H125" s="36">
        <v>12.3</v>
      </c>
    </row>
    <row r="126" spans="1:8">
      <c r="A126" s="50">
        <v>138217676459</v>
      </c>
      <c r="B126" s="35" t="s">
        <v>387</v>
      </c>
      <c r="C126" t="s">
        <v>483</v>
      </c>
      <c r="D126" s="40">
        <v>3190</v>
      </c>
      <c r="E126" s="35" t="s">
        <v>387</v>
      </c>
      <c r="F126" s="29" t="s">
        <v>484</v>
      </c>
      <c r="G126" s="36">
        <v>3190</v>
      </c>
      <c r="H126" s="36">
        <v>47.85</v>
      </c>
    </row>
    <row r="127" spans="1:8">
      <c r="A127" s="50">
        <v>138306522707</v>
      </c>
      <c r="B127" s="35" t="s">
        <v>387</v>
      </c>
      <c r="C127" t="s">
        <v>483</v>
      </c>
      <c r="D127" s="40">
        <v>1235</v>
      </c>
      <c r="E127" s="35" t="s">
        <v>387</v>
      </c>
      <c r="F127" s="29" t="s">
        <v>484</v>
      </c>
      <c r="G127" s="36">
        <v>1235</v>
      </c>
      <c r="H127" s="36">
        <v>18.53</v>
      </c>
    </row>
    <row r="128" spans="1:8">
      <c r="A128" s="50">
        <v>138948009288</v>
      </c>
      <c r="B128" s="35" t="s">
        <v>387</v>
      </c>
      <c r="C128" t="s">
        <v>483</v>
      </c>
      <c r="D128" s="40">
        <v>2450</v>
      </c>
      <c r="E128" s="35" t="s">
        <v>387</v>
      </c>
      <c r="F128" s="29" t="s">
        <v>484</v>
      </c>
      <c r="G128" s="36">
        <v>2450</v>
      </c>
      <c r="H128" s="36">
        <v>36.75</v>
      </c>
    </row>
    <row r="129" spans="1:8">
      <c r="A129" s="50">
        <v>138948247016</v>
      </c>
      <c r="B129" s="35" t="s">
        <v>387</v>
      </c>
      <c r="C129" t="s">
        <v>483</v>
      </c>
      <c r="D129" s="40">
        <v>250</v>
      </c>
      <c r="E129" s="35" t="s">
        <v>387</v>
      </c>
      <c r="F129" s="29" t="s">
        <v>484</v>
      </c>
      <c r="G129" s="36">
        <v>250</v>
      </c>
      <c r="H129" s="36">
        <v>3.75</v>
      </c>
    </row>
    <row r="130" spans="1:8">
      <c r="A130" s="50">
        <v>138954494952</v>
      </c>
      <c r="B130" s="35" t="s">
        <v>387</v>
      </c>
      <c r="C130" t="s">
        <v>483</v>
      </c>
      <c r="D130" s="40">
        <v>6870</v>
      </c>
      <c r="E130" s="35" t="s">
        <v>387</v>
      </c>
      <c r="F130" s="29" t="s">
        <v>484</v>
      </c>
      <c r="G130" s="36">
        <v>6870</v>
      </c>
      <c r="H130" s="36">
        <v>103.05</v>
      </c>
    </row>
    <row r="131" spans="1:8">
      <c r="A131" s="50">
        <v>138950884454</v>
      </c>
      <c r="B131" s="35" t="s">
        <v>387</v>
      </c>
      <c r="C131" t="s">
        <v>483</v>
      </c>
      <c r="D131" s="40">
        <v>3130</v>
      </c>
      <c r="E131" s="35" t="s">
        <v>387</v>
      </c>
      <c r="F131" s="29" t="s">
        <v>484</v>
      </c>
      <c r="G131" s="36">
        <v>3130</v>
      </c>
      <c r="H131" s="36">
        <v>46.95</v>
      </c>
    </row>
    <row r="132" spans="1:8">
      <c r="A132" s="50">
        <v>138315661395</v>
      </c>
      <c r="B132" s="35" t="s">
        <v>387</v>
      </c>
      <c r="C132" t="s">
        <v>483</v>
      </c>
      <c r="D132" s="40">
        <v>8860</v>
      </c>
      <c r="E132" s="35" t="s">
        <v>387</v>
      </c>
      <c r="F132" s="29" t="s">
        <v>484</v>
      </c>
      <c r="G132" s="36">
        <v>8860</v>
      </c>
      <c r="H132" s="36">
        <v>132.9</v>
      </c>
    </row>
    <row r="133" spans="1:8">
      <c r="A133" s="50">
        <v>138317696189</v>
      </c>
      <c r="B133" s="35" t="s">
        <v>387</v>
      </c>
      <c r="C133" t="s">
        <v>483</v>
      </c>
      <c r="D133" s="40">
        <v>5520</v>
      </c>
      <c r="E133" s="35" t="s">
        <v>387</v>
      </c>
      <c r="F133" s="29" t="s">
        <v>484</v>
      </c>
      <c r="G133" s="36">
        <v>5520</v>
      </c>
      <c r="H133" s="36">
        <v>82.8</v>
      </c>
    </row>
    <row r="134" spans="1:8">
      <c r="A134" s="50">
        <v>138319640265</v>
      </c>
      <c r="B134" s="35" t="s">
        <v>387</v>
      </c>
      <c r="C134" t="s">
        <v>483</v>
      </c>
      <c r="D134" s="40">
        <v>3740</v>
      </c>
      <c r="E134" s="35" t="s">
        <v>387</v>
      </c>
      <c r="F134" s="29" t="s">
        <v>484</v>
      </c>
      <c r="G134" s="36">
        <v>3740</v>
      </c>
      <c r="H134" s="36">
        <v>56.1</v>
      </c>
    </row>
    <row r="135" spans="1:8">
      <c r="A135" s="50">
        <v>138323774237</v>
      </c>
      <c r="B135" s="35" t="s">
        <v>387</v>
      </c>
      <c r="C135" t="s">
        <v>483</v>
      </c>
      <c r="D135" s="40">
        <v>6835</v>
      </c>
      <c r="E135" s="35" t="s">
        <v>400</v>
      </c>
      <c r="F135" s="29" t="s">
        <v>484</v>
      </c>
      <c r="G135" s="36">
        <v>6835</v>
      </c>
      <c r="H135" s="36">
        <v>102.53</v>
      </c>
    </row>
    <row r="136" spans="1:8">
      <c r="A136" s="50">
        <v>138626440873</v>
      </c>
      <c r="B136" s="35" t="s">
        <v>407</v>
      </c>
      <c r="C136" t="s">
        <v>483</v>
      </c>
      <c r="D136" s="40">
        <v>240</v>
      </c>
      <c r="E136" s="35" t="s">
        <v>407</v>
      </c>
      <c r="F136" s="29" t="s">
        <v>484</v>
      </c>
      <c r="G136" s="36">
        <v>240</v>
      </c>
      <c r="H136" s="36">
        <v>3.6</v>
      </c>
    </row>
    <row r="137" spans="1:8">
      <c r="A137" s="50">
        <v>138638016173</v>
      </c>
      <c r="B137" s="35" t="s">
        <v>407</v>
      </c>
      <c r="C137" t="s">
        <v>483</v>
      </c>
      <c r="D137" s="40">
        <v>4245</v>
      </c>
      <c r="E137" s="35" t="s">
        <v>411</v>
      </c>
      <c r="F137" s="29" t="s">
        <v>484</v>
      </c>
      <c r="G137" s="36">
        <v>4245</v>
      </c>
      <c r="H137" s="36">
        <v>63.68</v>
      </c>
    </row>
    <row r="138" spans="1:8">
      <c r="A138" s="50">
        <v>139283452990</v>
      </c>
      <c r="B138" s="35" t="s">
        <v>407</v>
      </c>
      <c r="C138" t="s">
        <v>483</v>
      </c>
      <c r="D138" s="40">
        <v>1815</v>
      </c>
      <c r="E138" s="35" t="s">
        <v>411</v>
      </c>
      <c r="F138" s="29" t="s">
        <v>484</v>
      </c>
      <c r="G138" s="36">
        <v>1815</v>
      </c>
      <c r="H138" s="36">
        <v>27.23</v>
      </c>
    </row>
    <row r="139" spans="1:8">
      <c r="A139" s="50">
        <v>139286484298</v>
      </c>
      <c r="B139" s="35" t="s">
        <v>407</v>
      </c>
      <c r="C139" t="s">
        <v>483</v>
      </c>
      <c r="D139" s="40">
        <v>1645</v>
      </c>
      <c r="E139" s="35" t="s">
        <v>411</v>
      </c>
      <c r="F139" s="29" t="s">
        <v>484</v>
      </c>
      <c r="G139" s="36">
        <v>1645</v>
      </c>
      <c r="H139" s="36">
        <v>24.68</v>
      </c>
    </row>
    <row r="140" spans="1:8">
      <c r="A140" s="50">
        <v>138644454343</v>
      </c>
      <c r="B140" s="35" t="s">
        <v>411</v>
      </c>
      <c r="C140" t="s">
        <v>483</v>
      </c>
      <c r="D140" s="40">
        <v>3265</v>
      </c>
      <c r="E140" s="35" t="s">
        <v>411</v>
      </c>
      <c r="F140" s="29" t="s">
        <v>484</v>
      </c>
      <c r="G140" s="36">
        <v>3265</v>
      </c>
      <c r="H140" s="36">
        <v>48.98</v>
      </c>
    </row>
    <row r="141" spans="1:8">
      <c r="A141" s="50">
        <v>139274304686</v>
      </c>
      <c r="B141" s="35" t="s">
        <v>407</v>
      </c>
      <c r="C141" t="s">
        <v>483</v>
      </c>
      <c r="D141" s="40">
        <v>500</v>
      </c>
      <c r="E141" s="35" t="s">
        <v>407</v>
      </c>
      <c r="F141" s="29" t="s">
        <v>484</v>
      </c>
      <c r="G141" s="36">
        <v>500</v>
      </c>
      <c r="H141" s="36">
        <v>7.5</v>
      </c>
    </row>
    <row r="142" spans="1:8">
      <c r="A142" s="50">
        <v>138633472447</v>
      </c>
      <c r="B142" s="35" t="s">
        <v>407</v>
      </c>
      <c r="C142" t="s">
        <v>483</v>
      </c>
      <c r="D142" s="40">
        <v>490</v>
      </c>
      <c r="E142" s="35" t="s">
        <v>407</v>
      </c>
      <c r="F142" s="29" t="s">
        <v>484</v>
      </c>
      <c r="G142" s="36">
        <v>490</v>
      </c>
      <c r="H142" s="36">
        <v>7.35</v>
      </c>
    </row>
    <row r="143" spans="1:8">
      <c r="A143" s="50">
        <v>138635067467</v>
      </c>
      <c r="B143" s="35" t="s">
        <v>407</v>
      </c>
      <c r="C143" t="s">
        <v>483</v>
      </c>
      <c r="D143" s="40">
        <v>1790</v>
      </c>
      <c r="E143" s="35" t="s">
        <v>407</v>
      </c>
      <c r="F143" s="29" t="s">
        <v>484</v>
      </c>
      <c r="G143" s="36">
        <v>1790</v>
      </c>
      <c r="H143" s="36">
        <v>26.85</v>
      </c>
    </row>
    <row r="144" spans="1:8">
      <c r="A144" s="50">
        <v>138636696367</v>
      </c>
      <c r="B144" s="35" t="s">
        <v>407</v>
      </c>
      <c r="C144" t="s">
        <v>483</v>
      </c>
      <c r="D144" s="40">
        <v>3180</v>
      </c>
      <c r="E144" s="35" t="s">
        <v>407</v>
      </c>
      <c r="F144" s="29" t="s">
        <v>484</v>
      </c>
      <c r="G144" s="36">
        <v>3180</v>
      </c>
      <c r="H144" s="36">
        <v>47.7</v>
      </c>
    </row>
    <row r="145" spans="1:8">
      <c r="A145" s="50">
        <v>138638300625</v>
      </c>
      <c r="B145" s="35" t="s">
        <v>407</v>
      </c>
      <c r="C145" t="s">
        <v>483</v>
      </c>
      <c r="D145" s="40">
        <v>1315</v>
      </c>
      <c r="E145" s="35" t="s">
        <v>411</v>
      </c>
      <c r="F145" s="29" t="s">
        <v>484</v>
      </c>
      <c r="G145" s="36">
        <v>1315</v>
      </c>
      <c r="H145" s="36">
        <v>19.73</v>
      </c>
    </row>
    <row r="146" spans="1:8">
      <c r="A146" s="50">
        <v>139480526116</v>
      </c>
      <c r="B146" s="35" t="s">
        <v>421</v>
      </c>
      <c r="C146" t="s">
        <v>483</v>
      </c>
      <c r="D146" s="40">
        <v>2170</v>
      </c>
      <c r="E146" s="35" t="s">
        <v>421</v>
      </c>
      <c r="F146" s="29" t="s">
        <v>484</v>
      </c>
      <c r="G146" s="36">
        <v>2170</v>
      </c>
      <c r="H146" s="36">
        <v>32.549999999999997</v>
      </c>
    </row>
    <row r="147" spans="1:8">
      <c r="A147" s="50">
        <v>138846676695</v>
      </c>
      <c r="B147" s="35" t="s">
        <v>421</v>
      </c>
      <c r="C147" t="s">
        <v>483</v>
      </c>
      <c r="D147" s="40">
        <v>835</v>
      </c>
      <c r="E147" s="35" t="s">
        <v>423</v>
      </c>
      <c r="F147" s="29" t="s">
        <v>484</v>
      </c>
      <c r="G147" s="36">
        <v>835</v>
      </c>
      <c r="H147" s="36">
        <v>12.53</v>
      </c>
    </row>
    <row r="148" spans="1:8">
      <c r="A148" s="50">
        <v>139485979798</v>
      </c>
      <c r="B148" s="35" t="s">
        <v>421</v>
      </c>
      <c r="C148" t="s">
        <v>483</v>
      </c>
      <c r="D148" s="40">
        <v>2660</v>
      </c>
      <c r="E148" s="35" t="s">
        <v>421</v>
      </c>
      <c r="F148" s="29" t="s">
        <v>484</v>
      </c>
      <c r="G148" s="36">
        <v>2660</v>
      </c>
      <c r="H148" s="36">
        <v>39.9</v>
      </c>
    </row>
    <row r="149" spans="1:8">
      <c r="A149" s="50">
        <v>139486139202</v>
      </c>
      <c r="B149" s="35" t="s">
        <v>421</v>
      </c>
      <c r="C149" t="s">
        <v>483</v>
      </c>
      <c r="D149" s="40">
        <v>2095</v>
      </c>
      <c r="E149" s="35" t="s">
        <v>421</v>
      </c>
      <c r="F149" s="29" t="s">
        <v>484</v>
      </c>
      <c r="G149" s="36">
        <v>2095</v>
      </c>
      <c r="H149" s="36">
        <v>31.43</v>
      </c>
    </row>
    <row r="150" spans="1:8">
      <c r="A150" s="50">
        <v>139617382916</v>
      </c>
      <c r="B150" s="35" t="s">
        <v>423</v>
      </c>
      <c r="C150" t="s">
        <v>483</v>
      </c>
      <c r="D150" s="40">
        <v>1000</v>
      </c>
      <c r="E150" s="35" t="s">
        <v>423</v>
      </c>
      <c r="F150" s="29" t="s">
        <v>484</v>
      </c>
      <c r="G150" s="36">
        <v>1000</v>
      </c>
      <c r="H150" s="36">
        <v>15</v>
      </c>
    </row>
    <row r="151" spans="1:8">
      <c r="A151" s="50">
        <v>138952390031</v>
      </c>
      <c r="B151" s="35" t="s">
        <v>423</v>
      </c>
      <c r="C151" t="s">
        <v>483</v>
      </c>
      <c r="D151" s="40">
        <v>2750</v>
      </c>
      <c r="E151" s="35" t="s">
        <v>423</v>
      </c>
      <c r="F151" s="29" t="s">
        <v>484</v>
      </c>
      <c r="G151" s="36">
        <v>2750</v>
      </c>
      <c r="H151" s="36">
        <v>41.25</v>
      </c>
    </row>
    <row r="152" spans="1:8">
      <c r="A152" s="50">
        <v>138983534997</v>
      </c>
      <c r="B152" s="35" t="s">
        <v>430</v>
      </c>
      <c r="C152" t="s">
        <v>483</v>
      </c>
      <c r="D152" s="40">
        <v>275</v>
      </c>
      <c r="E152" s="35" t="s">
        <v>430</v>
      </c>
      <c r="F152" s="29" t="s">
        <v>484</v>
      </c>
      <c r="G152" s="36">
        <v>275</v>
      </c>
      <c r="H152" s="36">
        <v>4.13</v>
      </c>
    </row>
    <row r="153" spans="1:8">
      <c r="A153" s="50">
        <v>139630899542</v>
      </c>
      <c r="B153" s="35" t="s">
        <v>430</v>
      </c>
      <c r="C153" t="s">
        <v>483</v>
      </c>
      <c r="D153" s="40">
        <v>720</v>
      </c>
      <c r="E153" s="35" t="s">
        <v>430</v>
      </c>
      <c r="F153" s="29" t="s">
        <v>484</v>
      </c>
      <c r="G153" s="36">
        <v>720</v>
      </c>
      <c r="H153" s="36">
        <v>10.8</v>
      </c>
    </row>
    <row r="154" spans="1:8">
      <c r="A154" s="50">
        <v>139087916413</v>
      </c>
      <c r="B154" s="35" t="s">
        <v>430</v>
      </c>
      <c r="C154" t="s">
        <v>483</v>
      </c>
      <c r="D154" s="40">
        <v>2530</v>
      </c>
      <c r="E154" s="35" t="s">
        <v>430</v>
      </c>
      <c r="F154" s="29" t="s">
        <v>484</v>
      </c>
      <c r="G154" s="36">
        <v>2530</v>
      </c>
      <c r="H154" s="36">
        <v>37.950000000000003</v>
      </c>
    </row>
    <row r="155" spans="1:8">
      <c r="A155" s="50">
        <v>139089399095</v>
      </c>
      <c r="B155" s="35" t="s">
        <v>430</v>
      </c>
      <c r="C155" t="s">
        <v>483</v>
      </c>
      <c r="D155" s="40">
        <v>500</v>
      </c>
      <c r="E155" s="35" t="s">
        <v>430</v>
      </c>
      <c r="F155" s="29" t="s">
        <v>484</v>
      </c>
      <c r="G155" s="36">
        <v>500</v>
      </c>
      <c r="H155" s="36">
        <v>7.5</v>
      </c>
    </row>
    <row r="156" spans="1:8">
      <c r="A156" s="50">
        <v>139095930685</v>
      </c>
      <c r="B156" s="35" t="s">
        <v>435</v>
      </c>
      <c r="C156" t="s">
        <v>483</v>
      </c>
      <c r="D156" s="40">
        <v>2830</v>
      </c>
      <c r="E156" s="35" t="s">
        <v>435</v>
      </c>
      <c r="F156" s="29" t="s">
        <v>484</v>
      </c>
      <c r="G156" s="36">
        <v>2830</v>
      </c>
      <c r="H156" s="36">
        <v>42.45</v>
      </c>
    </row>
    <row r="157" spans="1:8">
      <c r="A157" s="50">
        <v>139099300533</v>
      </c>
      <c r="B157" s="35" t="s">
        <v>435</v>
      </c>
      <c r="C157" t="s">
        <v>483</v>
      </c>
      <c r="D157" s="40">
        <v>2055</v>
      </c>
      <c r="E157" s="35" t="s">
        <v>435</v>
      </c>
      <c r="F157" s="29" t="s">
        <v>484</v>
      </c>
      <c r="G157" s="36">
        <v>2055</v>
      </c>
      <c r="H157" s="36">
        <v>30.83</v>
      </c>
    </row>
    <row r="158" spans="1:8">
      <c r="A158" s="50">
        <v>139737185630</v>
      </c>
      <c r="B158" s="35" t="s">
        <v>430</v>
      </c>
      <c r="C158" t="s">
        <v>483</v>
      </c>
      <c r="D158" s="40">
        <v>2760</v>
      </c>
      <c r="E158" s="35" t="s">
        <v>430</v>
      </c>
      <c r="F158" s="29" t="s">
        <v>484</v>
      </c>
      <c r="G158" s="36">
        <v>2760</v>
      </c>
      <c r="H158" s="36">
        <v>41.4</v>
      </c>
    </row>
    <row r="159" spans="1:8">
      <c r="A159" s="50">
        <v>139093172083</v>
      </c>
      <c r="B159" s="35" t="s">
        <v>430</v>
      </c>
      <c r="C159" t="s">
        <v>483</v>
      </c>
      <c r="D159" s="40">
        <v>990</v>
      </c>
      <c r="E159" s="35" t="s">
        <v>435</v>
      </c>
      <c r="F159" s="29" t="s">
        <v>484</v>
      </c>
      <c r="G159" s="36">
        <v>990</v>
      </c>
      <c r="H159" s="36">
        <v>14.85</v>
      </c>
    </row>
    <row r="160" spans="1:8">
      <c r="A160" s="50">
        <v>139095760979</v>
      </c>
      <c r="B160" s="35" t="s">
        <v>430</v>
      </c>
      <c r="C160" t="s">
        <v>483</v>
      </c>
      <c r="D160" s="40">
        <v>2315</v>
      </c>
      <c r="E160" s="35" t="s">
        <v>435</v>
      </c>
      <c r="F160" s="29" t="s">
        <v>484</v>
      </c>
      <c r="G160" s="36">
        <v>2315</v>
      </c>
      <c r="H160" s="36">
        <v>34.729999999999997</v>
      </c>
    </row>
    <row r="161" spans="1:8">
      <c r="A161" s="50">
        <v>139747543928</v>
      </c>
      <c r="B161" s="35" t="s">
        <v>435</v>
      </c>
      <c r="C161" t="s">
        <v>483</v>
      </c>
      <c r="D161" s="40">
        <v>3100</v>
      </c>
      <c r="E161" s="35" t="s">
        <v>435</v>
      </c>
      <c r="F161" s="29" t="s">
        <v>484</v>
      </c>
      <c r="G161" s="36">
        <v>3100</v>
      </c>
      <c r="H161" s="36">
        <v>46.5</v>
      </c>
    </row>
    <row r="162" spans="1:8">
      <c r="A162" s="50">
        <v>139187005321</v>
      </c>
      <c r="B162" s="35" t="s">
        <v>435</v>
      </c>
      <c r="C162" t="s">
        <v>483</v>
      </c>
      <c r="D162" s="40">
        <v>1000</v>
      </c>
      <c r="E162" s="35" t="s">
        <v>435</v>
      </c>
      <c r="F162" s="29" t="s">
        <v>484</v>
      </c>
      <c r="G162" s="36">
        <v>1000</v>
      </c>
      <c r="H162" s="36">
        <v>15</v>
      </c>
    </row>
    <row r="163" spans="1:8">
      <c r="A163" s="50">
        <v>139836327732</v>
      </c>
      <c r="B163" s="35" t="s">
        <v>435</v>
      </c>
      <c r="C163" t="s">
        <v>483</v>
      </c>
      <c r="D163" s="40">
        <v>3820</v>
      </c>
      <c r="E163" s="35" t="s">
        <v>444</v>
      </c>
      <c r="F163" s="29" t="s">
        <v>484</v>
      </c>
      <c r="G163" s="36">
        <v>3820</v>
      </c>
      <c r="H163" s="36">
        <v>57.3</v>
      </c>
    </row>
    <row r="164" spans="1:8">
      <c r="A164" s="50">
        <v>139836791360</v>
      </c>
      <c r="B164" s="35" t="s">
        <v>435</v>
      </c>
      <c r="C164" t="s">
        <v>483</v>
      </c>
      <c r="D164" s="40">
        <v>2000</v>
      </c>
      <c r="E164" s="35" t="s">
        <v>444</v>
      </c>
      <c r="F164" s="29" t="s">
        <v>484</v>
      </c>
      <c r="G164" s="36">
        <v>2000</v>
      </c>
      <c r="H164" s="36">
        <v>30</v>
      </c>
    </row>
    <row r="165" spans="1:8">
      <c r="A165" s="50">
        <v>139819986828</v>
      </c>
      <c r="B165" s="35" t="s">
        <v>435</v>
      </c>
      <c r="C165" t="s">
        <v>483</v>
      </c>
      <c r="D165" s="40">
        <v>1940</v>
      </c>
      <c r="E165" s="35" t="s">
        <v>435</v>
      </c>
      <c r="F165" s="29" t="s">
        <v>484</v>
      </c>
      <c r="G165" s="36">
        <v>1940</v>
      </c>
      <c r="H165" s="36">
        <v>29.1</v>
      </c>
    </row>
    <row r="166" spans="1:8">
      <c r="A166" s="50">
        <v>139173662641</v>
      </c>
      <c r="B166" s="35" t="s">
        <v>435</v>
      </c>
      <c r="C166" t="s">
        <v>483</v>
      </c>
      <c r="D166" s="40">
        <v>1340</v>
      </c>
      <c r="E166" s="35" t="s">
        <v>435</v>
      </c>
      <c r="F166" s="29" t="s">
        <v>484</v>
      </c>
      <c r="G166" s="36">
        <v>1340</v>
      </c>
      <c r="H166" s="36">
        <v>20.100000000000001</v>
      </c>
    </row>
    <row r="167" spans="1:8">
      <c r="A167" s="50">
        <v>139830676398</v>
      </c>
      <c r="B167" s="35" t="s">
        <v>435</v>
      </c>
      <c r="C167" t="s">
        <v>483</v>
      </c>
      <c r="D167" s="40">
        <v>1215</v>
      </c>
      <c r="E167" s="35" t="s">
        <v>435</v>
      </c>
      <c r="F167" s="29" t="s">
        <v>484</v>
      </c>
      <c r="G167" s="36">
        <v>1215</v>
      </c>
      <c r="H167" s="36">
        <v>18.23</v>
      </c>
    </row>
    <row r="168" spans="1:8">
      <c r="A168" s="50">
        <v>139184362387</v>
      </c>
      <c r="B168" s="35" t="s">
        <v>435</v>
      </c>
      <c r="C168" t="s">
        <v>483</v>
      </c>
      <c r="D168" s="40">
        <v>1400</v>
      </c>
      <c r="E168" s="35" t="s">
        <v>435</v>
      </c>
      <c r="F168" s="29" t="s">
        <v>484</v>
      </c>
      <c r="G168" s="36">
        <v>1400</v>
      </c>
      <c r="H168" s="36">
        <v>21</v>
      </c>
    </row>
    <row r="169" spans="1:8">
      <c r="A169" s="50">
        <v>139188337731</v>
      </c>
      <c r="B169" s="35" t="s">
        <v>435</v>
      </c>
      <c r="C169" t="s">
        <v>483</v>
      </c>
      <c r="D169" s="40">
        <v>5670</v>
      </c>
      <c r="E169" s="35" t="s">
        <v>444</v>
      </c>
      <c r="F169" s="29" t="s">
        <v>484</v>
      </c>
      <c r="G169" s="36">
        <v>5670</v>
      </c>
      <c r="H169" s="36">
        <v>85.05</v>
      </c>
    </row>
    <row r="170" spans="1:8">
      <c r="A170" s="50">
        <v>139835864462</v>
      </c>
      <c r="B170" s="35" t="s">
        <v>435</v>
      </c>
      <c r="C170" t="s">
        <v>483</v>
      </c>
      <c r="D170" s="40">
        <v>5430</v>
      </c>
      <c r="E170" s="35" t="s">
        <v>444</v>
      </c>
      <c r="F170" s="29" t="s">
        <v>484</v>
      </c>
      <c r="G170" s="36">
        <v>5430</v>
      </c>
      <c r="H170" s="36">
        <v>81.45</v>
      </c>
    </row>
    <row r="171" spans="1:8">
      <c r="A171" s="50">
        <v>139836544342</v>
      </c>
      <c r="B171" s="35" t="s">
        <v>435</v>
      </c>
      <c r="C171" t="s">
        <v>483</v>
      </c>
      <c r="D171" s="40">
        <v>2040</v>
      </c>
      <c r="E171" s="35" t="s">
        <v>444</v>
      </c>
      <c r="F171" s="29" t="s">
        <v>484</v>
      </c>
      <c r="G171" s="36">
        <v>2040</v>
      </c>
      <c r="H171" s="36">
        <v>30.6</v>
      </c>
    </row>
    <row r="172" spans="1:8">
      <c r="A172" s="50">
        <v>139427737813</v>
      </c>
      <c r="B172" s="35" t="s">
        <v>454</v>
      </c>
      <c r="C172" t="s">
        <v>483</v>
      </c>
      <c r="D172" s="40">
        <v>40000</v>
      </c>
      <c r="E172" s="35" t="s">
        <v>454</v>
      </c>
      <c r="F172" s="29" t="s">
        <v>484</v>
      </c>
      <c r="G172" s="36">
        <v>40000</v>
      </c>
      <c r="H172" s="36">
        <v>600</v>
      </c>
    </row>
    <row r="173" spans="1:8">
      <c r="A173" s="50">
        <v>140111640118</v>
      </c>
      <c r="B173" s="35" t="s">
        <v>454</v>
      </c>
      <c r="C173" t="s">
        <v>483</v>
      </c>
      <c r="D173" s="40">
        <v>2505</v>
      </c>
      <c r="E173" s="35" t="s">
        <v>454</v>
      </c>
      <c r="F173" s="29" t="s">
        <v>484</v>
      </c>
      <c r="G173" s="36">
        <v>2505</v>
      </c>
      <c r="H173" s="36">
        <v>37.58</v>
      </c>
    </row>
    <row r="174" spans="1:8">
      <c r="A174" s="50">
        <v>140124023076</v>
      </c>
      <c r="B174" s="35" t="s">
        <v>454</v>
      </c>
      <c r="C174" t="s">
        <v>483</v>
      </c>
      <c r="D174" s="40">
        <v>240</v>
      </c>
      <c r="E174" s="35" t="s">
        <v>454</v>
      </c>
      <c r="F174" s="29" t="s">
        <v>484</v>
      </c>
      <c r="G174" s="36">
        <v>240</v>
      </c>
      <c r="H174" s="36">
        <v>3.6</v>
      </c>
    </row>
    <row r="175" spans="1:8">
      <c r="A175" s="50">
        <v>139476918527</v>
      </c>
      <c r="B175" s="35" t="s">
        <v>454</v>
      </c>
      <c r="C175" t="s">
        <v>483</v>
      </c>
      <c r="D175" s="40">
        <v>500</v>
      </c>
      <c r="E175" s="35" t="s">
        <v>454</v>
      </c>
      <c r="F175" s="29" t="s">
        <v>484</v>
      </c>
      <c r="G175" s="36">
        <v>500</v>
      </c>
      <c r="H175" s="36">
        <v>7.5</v>
      </c>
    </row>
    <row r="176" spans="1:8">
      <c r="A176" s="50">
        <v>139480876737</v>
      </c>
      <c r="B176" s="35" t="s">
        <v>454</v>
      </c>
      <c r="C176" t="s">
        <v>483</v>
      </c>
      <c r="D176" s="40">
        <v>500</v>
      </c>
      <c r="E176" s="35" t="s">
        <v>458</v>
      </c>
      <c r="F176" s="29" t="s">
        <v>484</v>
      </c>
      <c r="G176" s="36">
        <v>500</v>
      </c>
      <c r="H176" s="36">
        <v>7.5</v>
      </c>
    </row>
    <row r="177" spans="1:9">
      <c r="A177" s="50">
        <v>140133811442</v>
      </c>
      <c r="B177" s="35" t="s">
        <v>458</v>
      </c>
      <c r="C177" t="s">
        <v>483</v>
      </c>
      <c r="D177" s="40">
        <v>735</v>
      </c>
      <c r="E177" s="35" t="s">
        <v>458</v>
      </c>
      <c r="F177" s="29" t="s">
        <v>484</v>
      </c>
      <c r="G177" s="36">
        <v>735</v>
      </c>
      <c r="H177" s="36">
        <v>11.03</v>
      </c>
    </row>
    <row r="178" spans="1:9">
      <c r="A178" s="50">
        <v>140133851874</v>
      </c>
      <c r="B178" s="35" t="s">
        <v>458</v>
      </c>
      <c r="C178" t="s">
        <v>483</v>
      </c>
      <c r="D178" s="40">
        <v>480</v>
      </c>
      <c r="E178" s="35" t="s">
        <v>458</v>
      </c>
      <c r="F178" s="29" t="s">
        <v>484</v>
      </c>
      <c r="G178" s="36">
        <v>480</v>
      </c>
      <c r="H178" s="36">
        <v>7.2</v>
      </c>
    </row>
    <row r="179" spans="1:9">
      <c r="A179" s="50">
        <v>140113621612</v>
      </c>
      <c r="B179" s="35" t="s">
        <v>454</v>
      </c>
      <c r="C179" t="s">
        <v>483</v>
      </c>
      <c r="D179" s="40">
        <v>500</v>
      </c>
      <c r="E179" s="35" t="s">
        <v>454</v>
      </c>
      <c r="F179" s="29" t="s">
        <v>484</v>
      </c>
      <c r="G179" s="36">
        <v>500</v>
      </c>
      <c r="H179" s="36">
        <v>7.5</v>
      </c>
    </row>
    <row r="180" spans="1:9">
      <c r="A180" s="50">
        <v>139466124447</v>
      </c>
      <c r="B180" s="35" t="s">
        <v>454</v>
      </c>
      <c r="C180" t="s">
        <v>483</v>
      </c>
      <c r="D180" s="40">
        <v>1000</v>
      </c>
      <c r="E180" s="35" t="s">
        <v>454</v>
      </c>
      <c r="F180" s="29" t="s">
        <v>484</v>
      </c>
      <c r="G180" s="36">
        <v>1000</v>
      </c>
      <c r="H180" s="36">
        <v>15</v>
      </c>
    </row>
    <row r="181" spans="1:9">
      <c r="A181" s="50">
        <v>139476996191</v>
      </c>
      <c r="B181" s="35" t="s">
        <v>454</v>
      </c>
      <c r="C181" t="s">
        <v>483</v>
      </c>
      <c r="D181" s="40">
        <v>3190</v>
      </c>
      <c r="E181" s="35" t="s">
        <v>454</v>
      </c>
      <c r="F181" s="29" t="s">
        <v>484</v>
      </c>
      <c r="G181" s="36">
        <v>3190</v>
      </c>
      <c r="H181" s="36">
        <v>47.85</v>
      </c>
    </row>
    <row r="182" spans="1:9">
      <c r="A182" s="50">
        <v>139478507609</v>
      </c>
      <c r="B182" s="35" t="s">
        <v>454</v>
      </c>
      <c r="C182" t="s">
        <v>483</v>
      </c>
      <c r="D182" s="40">
        <v>375</v>
      </c>
      <c r="E182" s="35" t="s">
        <v>454</v>
      </c>
      <c r="F182" s="29" t="s">
        <v>484</v>
      </c>
      <c r="G182" s="36">
        <v>375</v>
      </c>
      <c r="H182" s="36">
        <v>5.63</v>
      </c>
    </row>
    <row r="183" spans="1:9">
      <c r="A183" s="50">
        <v>140129960332</v>
      </c>
      <c r="B183" s="35" t="s">
        <v>454</v>
      </c>
      <c r="C183" t="s">
        <v>483</v>
      </c>
      <c r="D183" s="40">
        <v>395</v>
      </c>
      <c r="E183" s="35" t="s">
        <v>458</v>
      </c>
      <c r="F183" s="29" t="s">
        <v>484</v>
      </c>
      <c r="G183" s="36">
        <v>395</v>
      </c>
      <c r="H183" s="36">
        <v>5.93</v>
      </c>
    </row>
    <row r="184" spans="1:9">
      <c r="A184" s="50">
        <v>140131190404</v>
      </c>
      <c r="B184" s="35" t="s">
        <v>454</v>
      </c>
      <c r="C184" t="s">
        <v>483</v>
      </c>
      <c r="D184" s="40">
        <v>2415</v>
      </c>
      <c r="E184" s="35" t="s">
        <v>458</v>
      </c>
      <c r="F184" s="29" t="s">
        <v>484</v>
      </c>
      <c r="G184" s="36">
        <v>2415</v>
      </c>
      <c r="H184" s="36">
        <v>36.229999999999997</v>
      </c>
    </row>
    <row r="185" spans="1:9">
      <c r="A185" s="50">
        <v>139485224387</v>
      </c>
      <c r="B185" s="35" t="s">
        <v>458</v>
      </c>
      <c r="C185" t="s">
        <v>483</v>
      </c>
      <c r="D185" s="40">
        <v>790</v>
      </c>
      <c r="E185" s="35" t="s">
        <v>458</v>
      </c>
      <c r="F185" s="29" t="s">
        <v>484</v>
      </c>
      <c r="G185" s="36">
        <v>790</v>
      </c>
      <c r="H185" s="36">
        <v>11.85</v>
      </c>
    </row>
    <row r="186" spans="1:9">
      <c r="A186" s="50">
        <v>139485730265</v>
      </c>
      <c r="B186" s="35" t="s">
        <v>458</v>
      </c>
      <c r="C186" t="s">
        <v>483</v>
      </c>
      <c r="D186" s="40">
        <v>740</v>
      </c>
      <c r="E186" s="35" t="s">
        <v>458</v>
      </c>
      <c r="F186" s="29" t="s">
        <v>484</v>
      </c>
      <c r="G186" s="36">
        <v>740</v>
      </c>
      <c r="H186" s="36">
        <v>11.1</v>
      </c>
    </row>
    <row r="187" spans="1:9">
      <c r="A187" s="50"/>
      <c r="B187" s="35"/>
      <c r="D187" s="40"/>
      <c r="E187" s="35"/>
      <c r="F187" s="29"/>
      <c r="G187" s="36"/>
      <c r="H187" s="36"/>
    </row>
    <row r="188" spans="1:9">
      <c r="A188" s="50"/>
      <c r="G188" s="63">
        <f>SUM(G21:G187)</f>
        <v>771778</v>
      </c>
      <c r="H188" s="63">
        <f t="shared" ref="H188" si="0">SUM(H21:H187)</f>
        <v>11576.920000000004</v>
      </c>
      <c r="I188" s="1"/>
    </row>
  </sheetData>
  <autoFilter ref="A20:H20" xr:uid="{00000000-0009-0000-0000-000003000000}"/>
  <mergeCells count="4">
    <mergeCell ref="A1:H1"/>
    <mergeCell ref="A16:D16"/>
    <mergeCell ref="A19:D19"/>
    <mergeCell ref="E19:H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H1407"/>
  <sheetViews>
    <sheetView zoomScale="85" zoomScaleNormal="85" workbookViewId="0">
      <pane xSplit="3" ySplit="15" topLeftCell="D16" activePane="bottomRight" state="frozen"/>
      <selection activeCell="A1604" sqref="A1604"/>
      <selection pane="topRight" activeCell="A1604" sqref="A1604"/>
      <selection pane="bottomLeft" activeCell="A1604" sqref="A1604"/>
      <selection pane="bottomRight" activeCell="A722" sqref="A722"/>
    </sheetView>
  </sheetViews>
  <sheetFormatPr defaultColWidth="9.1328125" defaultRowHeight="14.25"/>
  <cols>
    <col min="1" max="1" width="35.3984375" customWidth="1"/>
    <col min="2" max="2" width="23" customWidth="1"/>
    <col min="3" max="3" width="11.3984375" bestFit="1" customWidth="1"/>
    <col min="4" max="4" width="30" customWidth="1"/>
    <col min="5" max="5" width="19.3984375" bestFit="1" customWidth="1"/>
    <col min="6" max="6" width="9.3984375" bestFit="1" customWidth="1"/>
    <col min="7" max="7" width="15.3984375" bestFit="1" customWidth="1"/>
    <col min="8" max="8" width="17.3984375" bestFit="1" customWidth="1"/>
  </cols>
  <sheetData>
    <row r="1" spans="1:8" ht="15.4">
      <c r="A1" s="78" t="s">
        <v>485</v>
      </c>
      <c r="B1" s="79"/>
      <c r="C1" s="79"/>
      <c r="D1" s="79"/>
      <c r="E1" s="79"/>
      <c r="F1" s="79"/>
      <c r="G1" s="79"/>
      <c r="H1" s="79"/>
    </row>
    <row r="2" spans="1:8">
      <c r="A2" s="28"/>
      <c r="B2" s="29"/>
    </row>
    <row r="3" spans="1:8">
      <c r="A3" s="28" t="s">
        <v>231</v>
      </c>
      <c r="B3" s="29" t="s">
        <v>232</v>
      </c>
    </row>
    <row r="4" spans="1:8">
      <c r="A4" s="28" t="s">
        <v>233</v>
      </c>
      <c r="B4" s="29" t="s">
        <v>486</v>
      </c>
    </row>
    <row r="5" spans="1:8">
      <c r="A5" s="28" t="s">
        <v>235</v>
      </c>
      <c r="B5" s="29" t="s">
        <v>236</v>
      </c>
    </row>
    <row r="6" spans="1:8">
      <c r="A6" s="28" t="s">
        <v>237</v>
      </c>
      <c r="B6" s="29" t="s">
        <v>487</v>
      </c>
    </row>
    <row r="8" spans="1:8">
      <c r="A8" s="30" t="s">
        <v>239</v>
      </c>
      <c r="B8" s="31" t="s">
        <v>240</v>
      </c>
    </row>
    <row r="9" spans="1:8">
      <c r="A9" t="s">
        <v>241</v>
      </c>
      <c r="B9" s="29" t="s">
        <v>488</v>
      </c>
    </row>
    <row r="10" spans="1:8">
      <c r="A10" t="s">
        <v>243</v>
      </c>
      <c r="B10" s="29" t="s">
        <v>489</v>
      </c>
    </row>
    <row r="11" spans="1:8">
      <c r="A11" t="s">
        <v>245</v>
      </c>
      <c r="B11" s="29" t="s">
        <v>490</v>
      </c>
    </row>
    <row r="12" spans="1:8">
      <c r="A12" s="33" t="s">
        <v>257</v>
      </c>
      <c r="B12" s="33"/>
      <c r="C12" s="33"/>
      <c r="D12" s="33" t="s">
        <v>258</v>
      </c>
      <c r="E12" s="34"/>
      <c r="F12" s="34"/>
      <c r="G12" s="34"/>
      <c r="H12" s="34"/>
    </row>
    <row r="14" spans="1:8">
      <c r="A14" s="81" t="s">
        <v>249</v>
      </c>
      <c r="B14" s="81"/>
      <c r="C14" s="81"/>
      <c r="D14" s="81"/>
      <c r="E14" s="82" t="s">
        <v>250</v>
      </c>
      <c r="F14" s="82"/>
      <c r="G14" s="82"/>
      <c r="H14" s="82"/>
    </row>
    <row r="15" spans="1:8">
      <c r="A15" s="61" t="s">
        <v>254</v>
      </c>
      <c r="B15" s="32" t="s">
        <v>251</v>
      </c>
      <c r="C15" s="32" t="s">
        <v>252</v>
      </c>
      <c r="D15" s="32" t="s">
        <v>253</v>
      </c>
      <c r="E15" s="32" t="s">
        <v>255</v>
      </c>
      <c r="F15" s="32" t="s">
        <v>256</v>
      </c>
      <c r="G15" s="32" t="s">
        <v>241</v>
      </c>
      <c r="H15" s="32" t="s">
        <v>243</v>
      </c>
    </row>
    <row r="16" spans="1:8">
      <c r="A16" s="62">
        <v>135329078135</v>
      </c>
      <c r="B16" t="s">
        <v>4</v>
      </c>
      <c r="C16" s="35" t="s">
        <v>259</v>
      </c>
      <c r="D16" t="s">
        <v>491</v>
      </c>
      <c r="E16" s="35" t="s">
        <v>261</v>
      </c>
      <c r="F16" s="29" t="s">
        <v>492</v>
      </c>
      <c r="G16" s="36">
        <v>19900</v>
      </c>
      <c r="H16" s="36">
        <v>199</v>
      </c>
    </row>
    <row r="17" spans="1:8">
      <c r="A17" s="62">
        <v>135329349869</v>
      </c>
      <c r="B17" t="s">
        <v>263</v>
      </c>
      <c r="C17" s="35" t="s">
        <v>259</v>
      </c>
      <c r="D17" t="s">
        <v>491</v>
      </c>
      <c r="E17" s="35" t="s">
        <v>261</v>
      </c>
      <c r="F17" s="29" t="s">
        <v>492</v>
      </c>
      <c r="G17" s="36">
        <v>39800</v>
      </c>
      <c r="H17" s="36">
        <v>398</v>
      </c>
    </row>
    <row r="18" spans="1:8">
      <c r="A18" s="62">
        <v>135945633656</v>
      </c>
      <c r="B18" t="s">
        <v>4</v>
      </c>
      <c r="C18" s="35" t="s">
        <v>259</v>
      </c>
      <c r="D18" t="s">
        <v>491</v>
      </c>
      <c r="E18" s="35" t="s">
        <v>261</v>
      </c>
      <c r="F18" s="29" t="s">
        <v>492</v>
      </c>
      <c r="G18" s="36">
        <v>8400</v>
      </c>
      <c r="H18" s="36">
        <v>84</v>
      </c>
    </row>
    <row r="19" spans="1:8">
      <c r="A19" s="62">
        <v>135330988071</v>
      </c>
      <c r="B19" t="s">
        <v>263</v>
      </c>
      <c r="C19" s="35" t="s">
        <v>259</v>
      </c>
      <c r="D19" t="s">
        <v>491</v>
      </c>
      <c r="E19" s="35" t="s">
        <v>261</v>
      </c>
      <c r="F19" s="29" t="s">
        <v>492</v>
      </c>
      <c r="G19" s="36">
        <v>50300</v>
      </c>
      <c r="H19" s="36">
        <v>503</v>
      </c>
    </row>
    <row r="20" spans="1:8">
      <c r="A20" s="62">
        <v>135949105672</v>
      </c>
      <c r="B20" t="s">
        <v>4</v>
      </c>
      <c r="C20" s="35" t="s">
        <v>261</v>
      </c>
      <c r="D20" t="s">
        <v>491</v>
      </c>
      <c r="E20" s="35" t="s">
        <v>261</v>
      </c>
      <c r="F20" s="29" t="s">
        <v>492</v>
      </c>
      <c r="G20" s="36">
        <v>10100</v>
      </c>
      <c r="H20" s="36">
        <v>101</v>
      </c>
    </row>
    <row r="21" spans="1:8">
      <c r="A21" s="62">
        <v>135945997406</v>
      </c>
      <c r="B21" t="s">
        <v>4</v>
      </c>
      <c r="C21" s="35" t="s">
        <v>259</v>
      </c>
      <c r="D21" t="s">
        <v>491</v>
      </c>
      <c r="E21" s="35" t="s">
        <v>261</v>
      </c>
      <c r="F21" s="29" t="s">
        <v>492</v>
      </c>
      <c r="G21" s="36">
        <v>12600</v>
      </c>
      <c r="H21" s="36">
        <v>126</v>
      </c>
    </row>
    <row r="22" spans="1:8">
      <c r="A22" s="62">
        <v>135330440377</v>
      </c>
      <c r="B22" t="s">
        <v>4</v>
      </c>
      <c r="C22" s="35" t="s">
        <v>259</v>
      </c>
      <c r="D22" t="s">
        <v>491</v>
      </c>
      <c r="E22" s="35" t="s">
        <v>261</v>
      </c>
      <c r="F22" s="29" t="s">
        <v>492</v>
      </c>
      <c r="G22" s="36">
        <v>56700</v>
      </c>
      <c r="H22" s="36">
        <v>567</v>
      </c>
    </row>
    <row r="23" spans="1:8">
      <c r="A23" s="62">
        <v>135331302959</v>
      </c>
      <c r="B23" t="s">
        <v>4</v>
      </c>
      <c r="C23" s="35" t="s">
        <v>259</v>
      </c>
      <c r="D23" t="s">
        <v>491</v>
      </c>
      <c r="E23" s="35" t="s">
        <v>261</v>
      </c>
      <c r="F23" s="29" t="s">
        <v>492</v>
      </c>
      <c r="G23" s="36">
        <v>16800</v>
      </c>
      <c r="H23" s="36">
        <v>168</v>
      </c>
    </row>
    <row r="24" spans="1:8">
      <c r="A24" s="62">
        <v>135734903707</v>
      </c>
      <c r="B24" t="s">
        <v>4</v>
      </c>
      <c r="C24" s="35" t="s">
        <v>264</v>
      </c>
      <c r="D24" t="s">
        <v>491</v>
      </c>
      <c r="E24" s="35" t="s">
        <v>264</v>
      </c>
      <c r="F24" s="29" t="s">
        <v>492</v>
      </c>
      <c r="G24" s="36">
        <v>11999</v>
      </c>
      <c r="H24" s="36">
        <v>119.99</v>
      </c>
    </row>
    <row r="25" spans="1:8">
      <c r="A25" s="62">
        <v>136364441784</v>
      </c>
      <c r="B25" t="s">
        <v>4</v>
      </c>
      <c r="C25" s="35" t="s">
        <v>264</v>
      </c>
      <c r="D25" t="s">
        <v>491</v>
      </c>
      <c r="E25" s="35" t="s">
        <v>264</v>
      </c>
      <c r="F25" s="29" t="s">
        <v>492</v>
      </c>
      <c r="G25" s="36">
        <v>4800</v>
      </c>
      <c r="H25" s="36">
        <v>48</v>
      </c>
    </row>
    <row r="26" spans="1:8">
      <c r="A26" s="62">
        <v>136366138324</v>
      </c>
      <c r="B26" t="s">
        <v>4</v>
      </c>
      <c r="C26" s="35" t="s">
        <v>264</v>
      </c>
      <c r="D26" t="s">
        <v>491</v>
      </c>
      <c r="E26" s="35" t="s">
        <v>264</v>
      </c>
      <c r="F26" s="29" t="s">
        <v>492</v>
      </c>
      <c r="G26" s="36">
        <v>8200</v>
      </c>
      <c r="H26" s="36">
        <v>82</v>
      </c>
    </row>
    <row r="27" spans="1:8">
      <c r="A27" s="62">
        <v>135748062571</v>
      </c>
      <c r="B27" t="s">
        <v>263</v>
      </c>
      <c r="C27" s="35" t="s">
        <v>264</v>
      </c>
      <c r="D27" t="s">
        <v>491</v>
      </c>
      <c r="E27" s="35" t="s">
        <v>264</v>
      </c>
      <c r="F27" s="29" t="s">
        <v>492</v>
      </c>
      <c r="G27" s="36">
        <v>48300</v>
      </c>
      <c r="H27" s="36">
        <v>483</v>
      </c>
    </row>
    <row r="28" spans="1:8">
      <c r="A28" s="62">
        <v>136373560516</v>
      </c>
      <c r="B28" t="s">
        <v>4</v>
      </c>
      <c r="C28" s="35" t="s">
        <v>264</v>
      </c>
      <c r="D28" t="s">
        <v>491</v>
      </c>
      <c r="E28" s="35" t="s">
        <v>264</v>
      </c>
      <c r="F28" s="29" t="s">
        <v>492</v>
      </c>
      <c r="G28" s="36">
        <v>31000</v>
      </c>
      <c r="H28" s="36">
        <v>310</v>
      </c>
    </row>
    <row r="29" spans="1:8">
      <c r="A29" s="62">
        <v>136374478166</v>
      </c>
      <c r="B29" t="s">
        <v>4</v>
      </c>
      <c r="C29" s="35" t="s">
        <v>264</v>
      </c>
      <c r="D29" t="s">
        <v>491</v>
      </c>
      <c r="E29" s="35" t="s">
        <v>264</v>
      </c>
      <c r="F29" s="29" t="s">
        <v>492</v>
      </c>
      <c r="G29" s="36">
        <v>29800</v>
      </c>
      <c r="H29" s="36">
        <v>298</v>
      </c>
    </row>
    <row r="30" spans="1:8">
      <c r="A30" s="62">
        <v>135754447275</v>
      </c>
      <c r="B30" t="s">
        <v>263</v>
      </c>
      <c r="C30" s="35" t="s">
        <v>264</v>
      </c>
      <c r="D30" t="s">
        <v>491</v>
      </c>
      <c r="E30" s="35" t="s">
        <v>264</v>
      </c>
      <c r="F30" s="29" t="s">
        <v>492</v>
      </c>
      <c r="G30" s="36">
        <v>11999</v>
      </c>
      <c r="H30" s="36">
        <v>119.99</v>
      </c>
    </row>
    <row r="31" spans="1:8">
      <c r="A31" s="62">
        <v>135754874311</v>
      </c>
      <c r="B31" t="s">
        <v>263</v>
      </c>
      <c r="C31" s="35" t="s">
        <v>264</v>
      </c>
      <c r="D31" t="s">
        <v>491</v>
      </c>
      <c r="E31" s="35" t="s">
        <v>264</v>
      </c>
      <c r="F31" s="29" t="s">
        <v>492</v>
      </c>
      <c r="G31" s="36">
        <v>50500</v>
      </c>
      <c r="H31" s="36">
        <v>505</v>
      </c>
    </row>
    <row r="32" spans="1:8">
      <c r="A32" s="62">
        <v>135738371583</v>
      </c>
      <c r="B32" t="s">
        <v>263</v>
      </c>
      <c r="C32" s="35" t="s">
        <v>264</v>
      </c>
      <c r="D32" t="s">
        <v>491</v>
      </c>
      <c r="E32" s="35" t="s">
        <v>264</v>
      </c>
      <c r="F32" s="29" t="s">
        <v>492</v>
      </c>
      <c r="G32" s="36">
        <v>25900</v>
      </c>
      <c r="H32" s="36">
        <v>259</v>
      </c>
    </row>
    <row r="33" spans="1:8">
      <c r="A33" s="62">
        <v>135739132419</v>
      </c>
      <c r="B33" t="s">
        <v>263</v>
      </c>
      <c r="C33" s="35" t="s">
        <v>264</v>
      </c>
      <c r="D33" t="s">
        <v>491</v>
      </c>
      <c r="E33" s="35" t="s">
        <v>264</v>
      </c>
      <c r="F33" s="29" t="s">
        <v>492</v>
      </c>
      <c r="G33" s="36">
        <v>16599</v>
      </c>
      <c r="H33" s="36">
        <v>165.99</v>
      </c>
    </row>
    <row r="34" spans="1:8">
      <c r="A34" s="62">
        <v>135757364099</v>
      </c>
      <c r="B34" t="s">
        <v>4</v>
      </c>
      <c r="C34" s="35" t="s">
        <v>264</v>
      </c>
      <c r="D34" t="s">
        <v>491</v>
      </c>
      <c r="E34" s="35" t="s">
        <v>264</v>
      </c>
      <c r="F34" s="29" t="s">
        <v>492</v>
      </c>
      <c r="G34" s="36">
        <v>14600</v>
      </c>
      <c r="H34" s="36">
        <v>146</v>
      </c>
    </row>
    <row r="35" spans="1:8">
      <c r="A35" s="62">
        <v>136379529420</v>
      </c>
      <c r="B35" t="s">
        <v>263</v>
      </c>
      <c r="C35" s="35" t="s">
        <v>264</v>
      </c>
      <c r="D35" t="s">
        <v>491</v>
      </c>
      <c r="E35" s="35" t="s">
        <v>264</v>
      </c>
      <c r="F35" s="29" t="s">
        <v>492</v>
      </c>
      <c r="G35" s="36">
        <v>73500</v>
      </c>
      <c r="H35" s="36">
        <v>735</v>
      </c>
    </row>
    <row r="36" spans="1:8">
      <c r="A36" s="62">
        <v>136380032928</v>
      </c>
      <c r="B36" t="s">
        <v>263</v>
      </c>
      <c r="C36" s="35" t="s">
        <v>264</v>
      </c>
      <c r="D36" t="s">
        <v>491</v>
      </c>
      <c r="E36" s="35" t="s">
        <v>264</v>
      </c>
      <c r="F36" s="29" t="s">
        <v>492</v>
      </c>
      <c r="G36" s="36">
        <v>154897</v>
      </c>
      <c r="H36" s="36">
        <v>1548.97</v>
      </c>
    </row>
    <row r="37" spans="1:8">
      <c r="A37" s="62">
        <v>136380185164</v>
      </c>
      <c r="B37" t="s">
        <v>4</v>
      </c>
      <c r="C37" s="35" t="s">
        <v>264</v>
      </c>
      <c r="D37" t="s">
        <v>491</v>
      </c>
      <c r="E37" s="35" t="s">
        <v>264</v>
      </c>
      <c r="F37" s="29" t="s">
        <v>492</v>
      </c>
      <c r="G37" s="36">
        <v>50400</v>
      </c>
      <c r="H37" s="36">
        <v>504</v>
      </c>
    </row>
    <row r="38" spans="1:8">
      <c r="A38" s="62">
        <v>135759480719</v>
      </c>
      <c r="B38" t="s">
        <v>4</v>
      </c>
      <c r="C38" s="35" t="s">
        <v>264</v>
      </c>
      <c r="D38" t="s">
        <v>491</v>
      </c>
      <c r="E38" s="35" t="s">
        <v>264</v>
      </c>
      <c r="F38" s="29" t="s">
        <v>492</v>
      </c>
      <c r="G38" s="36">
        <v>23998</v>
      </c>
      <c r="H38" s="36">
        <v>239.98</v>
      </c>
    </row>
    <row r="39" spans="1:8">
      <c r="A39" s="62">
        <v>135759894119</v>
      </c>
      <c r="B39" t="s">
        <v>4</v>
      </c>
      <c r="C39" s="35" t="s">
        <v>264</v>
      </c>
      <c r="D39" t="s">
        <v>491</v>
      </c>
      <c r="E39" s="35" t="s">
        <v>264</v>
      </c>
      <c r="F39" s="29" t="s">
        <v>492</v>
      </c>
      <c r="G39" s="36">
        <v>35997</v>
      </c>
      <c r="H39" s="36">
        <v>359.97</v>
      </c>
    </row>
    <row r="40" spans="1:8">
      <c r="A40" s="62">
        <v>135759931927</v>
      </c>
      <c r="B40" t="s">
        <v>4</v>
      </c>
      <c r="C40" s="35" t="s">
        <v>264</v>
      </c>
      <c r="D40" t="s">
        <v>491</v>
      </c>
      <c r="E40" s="35" t="s">
        <v>266</v>
      </c>
      <c r="F40" s="29" t="s">
        <v>492</v>
      </c>
      <c r="G40" s="36">
        <v>8400</v>
      </c>
      <c r="H40" s="36">
        <v>84</v>
      </c>
    </row>
    <row r="41" spans="1:8">
      <c r="A41" s="62">
        <v>135760275699</v>
      </c>
      <c r="B41" t="s">
        <v>4</v>
      </c>
      <c r="C41" s="35" t="s">
        <v>264</v>
      </c>
      <c r="D41" t="s">
        <v>491</v>
      </c>
      <c r="E41" s="35" t="s">
        <v>266</v>
      </c>
      <c r="F41" s="29" t="s">
        <v>492</v>
      </c>
      <c r="G41" s="36">
        <v>63500</v>
      </c>
      <c r="H41" s="36">
        <v>635</v>
      </c>
    </row>
    <row r="42" spans="1:8">
      <c r="A42" s="62">
        <v>136364614462</v>
      </c>
      <c r="B42" t="s">
        <v>263</v>
      </c>
      <c r="C42" s="35" t="s">
        <v>264</v>
      </c>
      <c r="D42" t="s">
        <v>491</v>
      </c>
      <c r="E42" s="35" t="s">
        <v>264</v>
      </c>
      <c r="F42" s="29" t="s">
        <v>492</v>
      </c>
      <c r="G42" s="36">
        <v>9600</v>
      </c>
      <c r="H42" s="36">
        <v>96</v>
      </c>
    </row>
    <row r="43" spans="1:8">
      <c r="A43" s="62">
        <v>135762331375</v>
      </c>
      <c r="B43" t="s">
        <v>4</v>
      </c>
      <c r="C43" s="35" t="s">
        <v>264</v>
      </c>
      <c r="D43" t="s">
        <v>491</v>
      </c>
      <c r="E43" s="35" t="s">
        <v>266</v>
      </c>
      <c r="F43" s="29" t="s">
        <v>492</v>
      </c>
      <c r="G43" s="36">
        <v>4900</v>
      </c>
      <c r="H43" s="36">
        <v>49</v>
      </c>
    </row>
    <row r="44" spans="1:8">
      <c r="A44" s="62">
        <v>136383695972</v>
      </c>
      <c r="B44" t="s">
        <v>263</v>
      </c>
      <c r="C44" s="35" t="s">
        <v>264</v>
      </c>
      <c r="D44" t="s">
        <v>491</v>
      </c>
      <c r="E44" s="35" t="s">
        <v>266</v>
      </c>
      <c r="F44" s="29" t="s">
        <v>492</v>
      </c>
      <c r="G44" s="36">
        <v>34498</v>
      </c>
      <c r="H44" s="36">
        <v>344.98</v>
      </c>
    </row>
    <row r="45" spans="1:8">
      <c r="A45" s="62">
        <v>136384024660</v>
      </c>
      <c r="B45" t="s">
        <v>4</v>
      </c>
      <c r="C45" s="35" t="s">
        <v>264</v>
      </c>
      <c r="D45" t="s">
        <v>491</v>
      </c>
      <c r="E45" s="35" t="s">
        <v>266</v>
      </c>
      <c r="F45" s="29" t="s">
        <v>492</v>
      </c>
      <c r="G45" s="36">
        <v>19400</v>
      </c>
      <c r="H45" s="36">
        <v>194</v>
      </c>
    </row>
    <row r="46" spans="1:8">
      <c r="A46" s="62">
        <v>136384104070</v>
      </c>
      <c r="B46" t="s">
        <v>263</v>
      </c>
      <c r="C46" s="35" t="s">
        <v>264</v>
      </c>
      <c r="D46" t="s">
        <v>491</v>
      </c>
      <c r="E46" s="35" t="s">
        <v>266</v>
      </c>
      <c r="F46" s="29" t="s">
        <v>492</v>
      </c>
      <c r="G46" s="36">
        <v>47600</v>
      </c>
      <c r="H46" s="36">
        <v>476</v>
      </c>
    </row>
    <row r="47" spans="1:8">
      <c r="A47" s="62">
        <v>136370129344</v>
      </c>
      <c r="B47" t="s">
        <v>4</v>
      </c>
      <c r="C47" s="35" t="s">
        <v>264</v>
      </c>
      <c r="D47" t="s">
        <v>491</v>
      </c>
      <c r="E47" s="35" t="s">
        <v>264</v>
      </c>
      <c r="F47" s="29" t="s">
        <v>492</v>
      </c>
      <c r="G47" s="36">
        <v>24300</v>
      </c>
      <c r="H47" s="36">
        <v>243</v>
      </c>
    </row>
    <row r="48" spans="1:8">
      <c r="A48" s="62">
        <v>135749825345</v>
      </c>
      <c r="B48" t="s">
        <v>263</v>
      </c>
      <c r="C48" s="35" t="s">
        <v>264</v>
      </c>
      <c r="D48" t="s">
        <v>491</v>
      </c>
      <c r="E48" s="35" t="s">
        <v>264</v>
      </c>
      <c r="F48" s="29" t="s">
        <v>492</v>
      </c>
      <c r="G48" s="36">
        <v>9600</v>
      </c>
      <c r="H48" s="36">
        <v>96</v>
      </c>
    </row>
    <row r="49" spans="1:8">
      <c r="A49" s="62">
        <v>136374043234</v>
      </c>
      <c r="B49" t="s">
        <v>4</v>
      </c>
      <c r="C49" s="35" t="s">
        <v>264</v>
      </c>
      <c r="D49" t="s">
        <v>491</v>
      </c>
      <c r="E49" s="35" t="s">
        <v>264</v>
      </c>
      <c r="F49" s="29" t="s">
        <v>492</v>
      </c>
      <c r="G49" s="36">
        <v>14500</v>
      </c>
      <c r="H49" s="36">
        <v>145</v>
      </c>
    </row>
    <row r="50" spans="1:8">
      <c r="A50" s="62">
        <v>135753489523</v>
      </c>
      <c r="B50" t="s">
        <v>4</v>
      </c>
      <c r="C50" s="35" t="s">
        <v>264</v>
      </c>
      <c r="D50" t="s">
        <v>491</v>
      </c>
      <c r="E50" s="35" t="s">
        <v>264</v>
      </c>
      <c r="F50" s="29" t="s">
        <v>492</v>
      </c>
      <c r="G50" s="36">
        <v>8800</v>
      </c>
      <c r="H50" s="36">
        <v>88</v>
      </c>
    </row>
    <row r="51" spans="1:8">
      <c r="A51" s="62">
        <v>136374909026</v>
      </c>
      <c r="B51" t="s">
        <v>4</v>
      </c>
      <c r="C51" s="35" t="s">
        <v>264</v>
      </c>
      <c r="D51" t="s">
        <v>491</v>
      </c>
      <c r="E51" s="35" t="s">
        <v>264</v>
      </c>
      <c r="F51" s="29" t="s">
        <v>492</v>
      </c>
      <c r="G51" s="36">
        <v>28898</v>
      </c>
      <c r="H51" s="36">
        <v>288.98</v>
      </c>
    </row>
    <row r="52" spans="1:8">
      <c r="A52" s="62">
        <v>136376223468</v>
      </c>
      <c r="B52" t="s">
        <v>4</v>
      </c>
      <c r="C52" s="35" t="s">
        <v>264</v>
      </c>
      <c r="D52" t="s">
        <v>491</v>
      </c>
      <c r="E52" s="35" t="s">
        <v>264</v>
      </c>
      <c r="F52" s="29" t="s">
        <v>492</v>
      </c>
      <c r="G52" s="36">
        <v>23998</v>
      </c>
      <c r="H52" s="36">
        <v>239.98</v>
      </c>
    </row>
    <row r="53" spans="1:8">
      <c r="A53" s="62">
        <v>136377026240</v>
      </c>
      <c r="B53" t="s">
        <v>263</v>
      </c>
      <c r="C53" s="35" t="s">
        <v>264</v>
      </c>
      <c r="D53" t="s">
        <v>491</v>
      </c>
      <c r="E53" s="35" t="s">
        <v>264</v>
      </c>
      <c r="F53" s="29" t="s">
        <v>492</v>
      </c>
      <c r="G53" s="36">
        <v>33900</v>
      </c>
      <c r="H53" s="36">
        <v>339</v>
      </c>
    </row>
    <row r="54" spans="1:8">
      <c r="A54" s="62">
        <v>135757136427</v>
      </c>
      <c r="B54" t="s">
        <v>4</v>
      </c>
      <c r="C54" s="35" t="s">
        <v>264</v>
      </c>
      <c r="D54" t="s">
        <v>491</v>
      </c>
      <c r="E54" s="35" t="s">
        <v>264</v>
      </c>
      <c r="F54" s="29" t="s">
        <v>492</v>
      </c>
      <c r="G54" s="36">
        <v>4800</v>
      </c>
      <c r="H54" s="36">
        <v>48</v>
      </c>
    </row>
    <row r="55" spans="1:8">
      <c r="A55" s="62">
        <v>135757391225</v>
      </c>
      <c r="B55" t="s">
        <v>4</v>
      </c>
      <c r="C55" s="35" t="s">
        <v>264</v>
      </c>
      <c r="D55" t="s">
        <v>491</v>
      </c>
      <c r="E55" s="35" t="s">
        <v>264</v>
      </c>
      <c r="F55" s="29" t="s">
        <v>492</v>
      </c>
      <c r="G55" s="36">
        <v>109000</v>
      </c>
      <c r="H55" s="36">
        <v>1090</v>
      </c>
    </row>
    <row r="56" spans="1:8">
      <c r="A56" s="62">
        <v>136380675948</v>
      </c>
      <c r="B56" t="s">
        <v>4</v>
      </c>
      <c r="C56" s="35" t="s">
        <v>264</v>
      </c>
      <c r="D56" t="s">
        <v>491</v>
      </c>
      <c r="E56" s="35" t="s">
        <v>264</v>
      </c>
      <c r="F56" s="29" t="s">
        <v>492</v>
      </c>
      <c r="G56" s="36">
        <v>69399</v>
      </c>
      <c r="H56" s="36">
        <v>693.99</v>
      </c>
    </row>
    <row r="57" spans="1:8">
      <c r="A57" s="62">
        <v>136381321286</v>
      </c>
      <c r="B57" t="s">
        <v>4</v>
      </c>
      <c r="C57" s="35" t="s">
        <v>264</v>
      </c>
      <c r="D57" t="s">
        <v>491</v>
      </c>
      <c r="E57" s="35" t="s">
        <v>266</v>
      </c>
      <c r="F57" s="29" t="s">
        <v>492</v>
      </c>
      <c r="G57" s="36">
        <v>10100</v>
      </c>
      <c r="H57" s="36">
        <v>101</v>
      </c>
    </row>
    <row r="58" spans="1:8">
      <c r="A58" s="62">
        <v>135760346847</v>
      </c>
      <c r="B58" t="s">
        <v>4</v>
      </c>
      <c r="C58" s="35" t="s">
        <v>264</v>
      </c>
      <c r="D58" t="s">
        <v>491</v>
      </c>
      <c r="E58" s="35" t="s">
        <v>266</v>
      </c>
      <c r="F58" s="29" t="s">
        <v>492</v>
      </c>
      <c r="G58" s="36">
        <v>11999</v>
      </c>
      <c r="H58" s="36">
        <v>119.99</v>
      </c>
    </row>
    <row r="59" spans="1:8">
      <c r="A59" s="62">
        <v>136382002426</v>
      </c>
      <c r="B59" t="s">
        <v>4</v>
      </c>
      <c r="C59" s="35" t="s">
        <v>264</v>
      </c>
      <c r="D59" t="s">
        <v>491</v>
      </c>
      <c r="E59" s="35" t="s">
        <v>266</v>
      </c>
      <c r="F59" s="29" t="s">
        <v>492</v>
      </c>
      <c r="G59" s="36">
        <v>53700</v>
      </c>
      <c r="H59" s="36">
        <v>537</v>
      </c>
    </row>
    <row r="60" spans="1:8">
      <c r="A60" s="62">
        <v>136383829954</v>
      </c>
      <c r="B60" t="s">
        <v>4</v>
      </c>
      <c r="C60" s="35" t="s">
        <v>264</v>
      </c>
      <c r="D60" t="s">
        <v>491</v>
      </c>
      <c r="E60" s="35" t="s">
        <v>266</v>
      </c>
      <c r="F60" s="29" t="s">
        <v>492</v>
      </c>
      <c r="G60" s="36">
        <v>30600</v>
      </c>
      <c r="H60" s="36">
        <v>306</v>
      </c>
    </row>
    <row r="61" spans="1:8">
      <c r="A61" s="62">
        <v>135763446201</v>
      </c>
      <c r="B61" t="s">
        <v>4</v>
      </c>
      <c r="C61" s="35" t="s">
        <v>264</v>
      </c>
      <c r="D61" t="s">
        <v>491</v>
      </c>
      <c r="E61" s="35" t="s">
        <v>266</v>
      </c>
      <c r="F61" s="29" t="s">
        <v>492</v>
      </c>
      <c r="G61" s="36">
        <v>21200</v>
      </c>
      <c r="H61" s="36">
        <v>212</v>
      </c>
    </row>
    <row r="62" spans="1:8">
      <c r="A62" s="62">
        <v>135877734691</v>
      </c>
      <c r="B62" t="s">
        <v>263</v>
      </c>
      <c r="C62" s="35" t="s">
        <v>266</v>
      </c>
      <c r="D62" t="s">
        <v>491</v>
      </c>
      <c r="E62" s="35" t="s">
        <v>266</v>
      </c>
      <c r="F62" s="29" t="s">
        <v>492</v>
      </c>
      <c r="G62" s="36">
        <v>14700</v>
      </c>
      <c r="H62" s="36">
        <v>147</v>
      </c>
    </row>
    <row r="63" spans="1:8">
      <c r="A63" s="62">
        <v>136507926506</v>
      </c>
      <c r="B63" t="s">
        <v>263</v>
      </c>
      <c r="C63" s="35" t="s">
        <v>266</v>
      </c>
      <c r="D63" t="s">
        <v>491</v>
      </c>
      <c r="E63" s="35" t="s">
        <v>266</v>
      </c>
      <c r="F63" s="29" t="s">
        <v>492</v>
      </c>
      <c r="G63" s="36">
        <v>9800</v>
      </c>
      <c r="H63" s="36">
        <v>98</v>
      </c>
    </row>
    <row r="64" spans="1:8">
      <c r="A64" s="62">
        <v>135887589531</v>
      </c>
      <c r="B64" t="s">
        <v>263</v>
      </c>
      <c r="C64" s="35" t="s">
        <v>266</v>
      </c>
      <c r="D64" t="s">
        <v>491</v>
      </c>
      <c r="E64" s="35" t="s">
        <v>266</v>
      </c>
      <c r="F64" s="29" t="s">
        <v>492</v>
      </c>
      <c r="G64" s="36">
        <v>8400</v>
      </c>
      <c r="H64" s="36">
        <v>84</v>
      </c>
    </row>
    <row r="65" spans="1:8">
      <c r="A65" s="62">
        <v>136521246224</v>
      </c>
      <c r="B65" t="s">
        <v>263</v>
      </c>
      <c r="C65" s="35" t="s">
        <v>266</v>
      </c>
      <c r="D65" t="s">
        <v>491</v>
      </c>
      <c r="E65" s="35" t="s">
        <v>266</v>
      </c>
      <c r="F65" s="29" t="s">
        <v>492</v>
      </c>
      <c r="G65" s="36">
        <v>22700</v>
      </c>
      <c r="H65" s="36">
        <v>227</v>
      </c>
    </row>
    <row r="66" spans="1:8">
      <c r="A66" s="62">
        <v>135899858747</v>
      </c>
      <c r="B66" t="s">
        <v>263</v>
      </c>
      <c r="C66" s="35" t="s">
        <v>266</v>
      </c>
      <c r="D66" t="s">
        <v>491</v>
      </c>
      <c r="E66" s="35" t="s">
        <v>266</v>
      </c>
      <c r="F66" s="29" t="s">
        <v>492</v>
      </c>
      <c r="G66" s="36">
        <v>13600</v>
      </c>
      <c r="H66" s="36">
        <v>136</v>
      </c>
    </row>
    <row r="67" spans="1:8">
      <c r="A67" s="62">
        <v>136505580672</v>
      </c>
      <c r="B67" t="s">
        <v>4</v>
      </c>
      <c r="C67" s="35" t="s">
        <v>266</v>
      </c>
      <c r="D67" t="s">
        <v>491</v>
      </c>
      <c r="E67" s="35" t="s">
        <v>266</v>
      </c>
      <c r="F67" s="29" t="s">
        <v>492</v>
      </c>
      <c r="G67" s="36">
        <v>28200</v>
      </c>
      <c r="H67" s="36">
        <v>282</v>
      </c>
    </row>
    <row r="68" spans="1:8">
      <c r="A68" s="62">
        <v>135884884887</v>
      </c>
      <c r="B68" t="s">
        <v>263</v>
      </c>
      <c r="C68" s="35" t="s">
        <v>266</v>
      </c>
      <c r="D68" t="s">
        <v>491</v>
      </c>
      <c r="E68" s="35" t="s">
        <v>266</v>
      </c>
      <c r="F68" s="29" t="s">
        <v>492</v>
      </c>
      <c r="G68" s="36">
        <v>30700</v>
      </c>
      <c r="H68" s="36">
        <v>307</v>
      </c>
    </row>
    <row r="69" spans="1:8">
      <c r="A69" s="62">
        <v>135902991043</v>
      </c>
      <c r="B69" t="s">
        <v>4</v>
      </c>
      <c r="C69" s="35" t="s">
        <v>266</v>
      </c>
      <c r="D69" t="s">
        <v>491</v>
      </c>
      <c r="E69" s="35" t="s">
        <v>266</v>
      </c>
      <c r="F69" s="29" t="s">
        <v>492</v>
      </c>
      <c r="G69" s="36">
        <v>14400</v>
      </c>
      <c r="H69" s="36">
        <v>144</v>
      </c>
    </row>
    <row r="70" spans="1:8">
      <c r="A70" s="62">
        <v>135903079939</v>
      </c>
      <c r="B70" t="s">
        <v>4</v>
      </c>
      <c r="C70" s="35" t="s">
        <v>266</v>
      </c>
      <c r="D70" t="s">
        <v>491</v>
      </c>
      <c r="E70" s="35" t="s">
        <v>266</v>
      </c>
      <c r="F70" s="29" t="s">
        <v>492</v>
      </c>
      <c r="G70" s="36">
        <v>42300</v>
      </c>
      <c r="H70" s="36">
        <v>423</v>
      </c>
    </row>
    <row r="71" spans="1:8">
      <c r="A71" s="62">
        <v>135903824609</v>
      </c>
      <c r="B71" t="s">
        <v>4</v>
      </c>
      <c r="C71" s="35" t="s">
        <v>266</v>
      </c>
      <c r="D71" t="s">
        <v>491</v>
      </c>
      <c r="E71" s="35" t="s">
        <v>266</v>
      </c>
      <c r="F71" s="29" t="s">
        <v>492</v>
      </c>
      <c r="G71" s="36">
        <v>32000</v>
      </c>
      <c r="H71" s="36">
        <v>320</v>
      </c>
    </row>
    <row r="72" spans="1:8">
      <c r="A72" s="62">
        <v>135903962267</v>
      </c>
      <c r="B72" t="s">
        <v>4</v>
      </c>
      <c r="C72" s="35" t="s">
        <v>266</v>
      </c>
      <c r="D72" t="s">
        <v>491</v>
      </c>
      <c r="E72" s="35" t="s">
        <v>266</v>
      </c>
      <c r="F72" s="29" t="s">
        <v>492</v>
      </c>
      <c r="G72" s="36">
        <v>4000</v>
      </c>
      <c r="H72" s="36">
        <v>40</v>
      </c>
    </row>
    <row r="73" spans="1:8">
      <c r="A73" s="62">
        <v>135903977575</v>
      </c>
      <c r="B73" t="s">
        <v>4</v>
      </c>
      <c r="C73" s="35" t="s">
        <v>266</v>
      </c>
      <c r="D73" t="s">
        <v>491</v>
      </c>
      <c r="E73" s="35" t="s">
        <v>266</v>
      </c>
      <c r="F73" s="29" t="s">
        <v>492</v>
      </c>
      <c r="G73" s="36">
        <v>11000</v>
      </c>
      <c r="H73" s="36">
        <v>110</v>
      </c>
    </row>
    <row r="74" spans="1:8">
      <c r="A74" s="62">
        <v>135904176073</v>
      </c>
      <c r="B74" t="s">
        <v>4</v>
      </c>
      <c r="C74" s="35" t="s">
        <v>266</v>
      </c>
      <c r="D74" t="s">
        <v>491</v>
      </c>
      <c r="E74" s="35" t="s">
        <v>266</v>
      </c>
      <c r="F74" s="29" t="s">
        <v>492</v>
      </c>
      <c r="G74" s="36">
        <v>4800</v>
      </c>
      <c r="H74" s="36">
        <v>48</v>
      </c>
    </row>
    <row r="75" spans="1:8">
      <c r="A75" s="62">
        <v>136527051650</v>
      </c>
      <c r="B75" t="s">
        <v>4</v>
      </c>
      <c r="C75" s="35" t="s">
        <v>266</v>
      </c>
      <c r="D75" t="s">
        <v>491</v>
      </c>
      <c r="E75" s="35" t="s">
        <v>266</v>
      </c>
      <c r="F75" s="29" t="s">
        <v>492</v>
      </c>
      <c r="G75" s="36">
        <v>9600</v>
      </c>
      <c r="H75" s="36">
        <v>96</v>
      </c>
    </row>
    <row r="76" spans="1:8">
      <c r="A76" s="62">
        <v>136528092580</v>
      </c>
      <c r="B76" t="s">
        <v>4</v>
      </c>
      <c r="C76" s="35" t="s">
        <v>266</v>
      </c>
      <c r="D76" t="s">
        <v>491</v>
      </c>
      <c r="E76" s="35" t="s">
        <v>266</v>
      </c>
      <c r="F76" s="29" t="s">
        <v>492</v>
      </c>
      <c r="G76" s="36">
        <v>23000</v>
      </c>
      <c r="H76" s="36">
        <v>230</v>
      </c>
    </row>
    <row r="77" spans="1:8">
      <c r="A77" s="62">
        <v>136528753792</v>
      </c>
      <c r="B77" t="s">
        <v>4</v>
      </c>
      <c r="C77" s="35" t="s">
        <v>266</v>
      </c>
      <c r="D77" t="s">
        <v>491</v>
      </c>
      <c r="E77" s="35" t="s">
        <v>266</v>
      </c>
      <c r="F77" s="29" t="s">
        <v>492</v>
      </c>
      <c r="G77" s="36">
        <v>14900</v>
      </c>
      <c r="H77" s="36">
        <v>149</v>
      </c>
    </row>
    <row r="78" spans="1:8">
      <c r="A78" s="62">
        <v>135889088143</v>
      </c>
      <c r="B78" t="s">
        <v>4</v>
      </c>
      <c r="C78" s="35" t="s">
        <v>266</v>
      </c>
      <c r="D78" t="s">
        <v>491</v>
      </c>
      <c r="E78" s="35" t="s">
        <v>266</v>
      </c>
      <c r="F78" s="29" t="s">
        <v>492</v>
      </c>
      <c r="G78" s="36">
        <v>9900</v>
      </c>
      <c r="H78" s="36">
        <v>99</v>
      </c>
    </row>
    <row r="79" spans="1:8">
      <c r="A79" s="62">
        <v>136529368322</v>
      </c>
      <c r="B79" t="s">
        <v>4</v>
      </c>
      <c r="C79" s="35" t="s">
        <v>266</v>
      </c>
      <c r="D79" t="s">
        <v>491</v>
      </c>
      <c r="E79" s="35" t="s">
        <v>266</v>
      </c>
      <c r="F79" s="29" t="s">
        <v>492</v>
      </c>
      <c r="G79" s="36">
        <v>16500</v>
      </c>
      <c r="H79" s="36">
        <v>165</v>
      </c>
    </row>
    <row r="80" spans="1:8">
      <c r="A80" s="62">
        <v>136512148984</v>
      </c>
      <c r="B80" t="s">
        <v>4</v>
      </c>
      <c r="C80" s="35" t="s">
        <v>266</v>
      </c>
      <c r="D80" t="s">
        <v>491</v>
      </c>
      <c r="E80" s="35" t="s">
        <v>266</v>
      </c>
      <c r="F80" s="29" t="s">
        <v>492</v>
      </c>
      <c r="G80" s="36">
        <v>9800</v>
      </c>
      <c r="H80" s="36">
        <v>98</v>
      </c>
    </row>
    <row r="81" spans="1:8">
      <c r="A81" s="62">
        <v>136530047680</v>
      </c>
      <c r="B81" t="s">
        <v>4</v>
      </c>
      <c r="C81" s="35" t="s">
        <v>266</v>
      </c>
      <c r="D81" t="s">
        <v>491</v>
      </c>
      <c r="E81" s="35" t="s">
        <v>266</v>
      </c>
      <c r="F81" s="29" t="s">
        <v>492</v>
      </c>
      <c r="G81" s="36">
        <v>56050</v>
      </c>
      <c r="H81" s="36">
        <v>560.5</v>
      </c>
    </row>
    <row r="82" spans="1:8">
      <c r="A82" s="62">
        <v>135908897041</v>
      </c>
      <c r="B82" t="s">
        <v>4</v>
      </c>
      <c r="C82" s="35" t="s">
        <v>266</v>
      </c>
      <c r="D82" t="s">
        <v>491</v>
      </c>
      <c r="E82" s="35" t="s">
        <v>273</v>
      </c>
      <c r="F82" s="29" t="s">
        <v>492</v>
      </c>
      <c r="G82" s="36">
        <v>47000</v>
      </c>
      <c r="H82" s="36">
        <v>470</v>
      </c>
    </row>
    <row r="83" spans="1:8">
      <c r="A83" s="62">
        <v>135909210549</v>
      </c>
      <c r="B83" t="s">
        <v>4</v>
      </c>
      <c r="C83" s="35" t="s">
        <v>266</v>
      </c>
      <c r="D83" t="s">
        <v>491</v>
      </c>
      <c r="E83" s="35" t="s">
        <v>273</v>
      </c>
      <c r="F83" s="29" t="s">
        <v>492</v>
      </c>
      <c r="G83" s="36">
        <v>42800</v>
      </c>
      <c r="H83" s="36">
        <v>428</v>
      </c>
    </row>
    <row r="84" spans="1:8">
      <c r="A84" s="62">
        <v>136532271696</v>
      </c>
      <c r="B84" t="s">
        <v>263</v>
      </c>
      <c r="C84" s="35" t="s">
        <v>266</v>
      </c>
      <c r="D84" t="s">
        <v>491</v>
      </c>
      <c r="E84" s="35" t="s">
        <v>273</v>
      </c>
      <c r="F84" s="29" t="s">
        <v>492</v>
      </c>
      <c r="G84" s="36">
        <v>28400</v>
      </c>
      <c r="H84" s="36">
        <v>284</v>
      </c>
    </row>
    <row r="85" spans="1:8">
      <c r="A85" s="62">
        <v>135909801847</v>
      </c>
      <c r="B85" t="s">
        <v>4</v>
      </c>
      <c r="C85" s="35" t="s">
        <v>266</v>
      </c>
      <c r="D85" t="s">
        <v>491</v>
      </c>
      <c r="E85" s="35" t="s">
        <v>273</v>
      </c>
      <c r="F85" s="29" t="s">
        <v>492</v>
      </c>
      <c r="G85" s="36">
        <v>24400</v>
      </c>
      <c r="H85" s="36">
        <v>244</v>
      </c>
    </row>
    <row r="86" spans="1:8">
      <c r="A86" s="62">
        <v>136532968476</v>
      </c>
      <c r="B86" t="s">
        <v>263</v>
      </c>
      <c r="C86" s="35" t="s">
        <v>266</v>
      </c>
      <c r="D86" t="s">
        <v>491</v>
      </c>
      <c r="E86" s="35" t="s">
        <v>273</v>
      </c>
      <c r="F86" s="29" t="s">
        <v>492</v>
      </c>
      <c r="G86" s="36">
        <v>185650</v>
      </c>
      <c r="H86" s="36">
        <v>1856.5</v>
      </c>
    </row>
    <row r="87" spans="1:8">
      <c r="A87" s="62">
        <v>135910779181</v>
      </c>
      <c r="B87" t="s">
        <v>263</v>
      </c>
      <c r="C87" s="35" t="s">
        <v>266</v>
      </c>
      <c r="D87" t="s">
        <v>491</v>
      </c>
      <c r="E87" s="35" t="s">
        <v>273</v>
      </c>
      <c r="F87" s="29" t="s">
        <v>492</v>
      </c>
      <c r="G87" s="36">
        <v>6100</v>
      </c>
      <c r="H87" s="36">
        <v>61</v>
      </c>
    </row>
    <row r="88" spans="1:8">
      <c r="A88" s="62">
        <v>135910838031</v>
      </c>
      <c r="B88" t="s">
        <v>4</v>
      </c>
      <c r="C88" s="35" t="s">
        <v>266</v>
      </c>
      <c r="D88" t="s">
        <v>491</v>
      </c>
      <c r="E88" s="35" t="s">
        <v>273</v>
      </c>
      <c r="F88" s="29" t="s">
        <v>492</v>
      </c>
      <c r="G88" s="36">
        <v>4500</v>
      </c>
      <c r="H88" s="36">
        <v>45</v>
      </c>
    </row>
    <row r="89" spans="1:8">
      <c r="A89" s="62">
        <v>135911230541</v>
      </c>
      <c r="B89" t="s">
        <v>263</v>
      </c>
      <c r="C89" s="35" t="s">
        <v>266</v>
      </c>
      <c r="D89" t="s">
        <v>491</v>
      </c>
      <c r="E89" s="35" t="s">
        <v>273</v>
      </c>
      <c r="F89" s="29" t="s">
        <v>492</v>
      </c>
      <c r="G89" s="36">
        <v>49900</v>
      </c>
      <c r="H89" s="36">
        <v>499</v>
      </c>
    </row>
    <row r="90" spans="1:8">
      <c r="A90" s="62">
        <v>136535032914</v>
      </c>
      <c r="B90" t="s">
        <v>4</v>
      </c>
      <c r="C90" s="35" t="s">
        <v>266</v>
      </c>
      <c r="D90" t="s">
        <v>491</v>
      </c>
      <c r="E90" s="35" t="s">
        <v>273</v>
      </c>
      <c r="F90" s="29" t="s">
        <v>492</v>
      </c>
      <c r="G90" s="36">
        <v>4900</v>
      </c>
      <c r="H90" s="36">
        <v>49</v>
      </c>
    </row>
    <row r="91" spans="1:8">
      <c r="A91" s="62">
        <v>136535221070</v>
      </c>
      <c r="B91" t="s">
        <v>4</v>
      </c>
      <c r="C91" s="35" t="s">
        <v>273</v>
      </c>
      <c r="D91" t="s">
        <v>491</v>
      </c>
      <c r="E91" s="35" t="s">
        <v>273</v>
      </c>
      <c r="F91" s="29" t="s">
        <v>492</v>
      </c>
      <c r="G91" s="36">
        <v>63800</v>
      </c>
      <c r="H91" s="36">
        <v>638</v>
      </c>
    </row>
    <row r="92" spans="1:8">
      <c r="A92" s="62">
        <v>135897982183</v>
      </c>
      <c r="B92" t="s">
        <v>263</v>
      </c>
      <c r="C92" s="35" t="s">
        <v>266</v>
      </c>
      <c r="D92" t="s">
        <v>491</v>
      </c>
      <c r="E92" s="35" t="s">
        <v>266</v>
      </c>
      <c r="F92" s="29" t="s">
        <v>492</v>
      </c>
      <c r="G92" s="36">
        <v>4700</v>
      </c>
      <c r="H92" s="36">
        <v>47</v>
      </c>
    </row>
    <row r="93" spans="1:8">
      <c r="A93" s="62">
        <v>136520889392</v>
      </c>
      <c r="B93" t="s">
        <v>4</v>
      </c>
      <c r="C93" s="35" t="s">
        <v>266</v>
      </c>
      <c r="D93" t="s">
        <v>491</v>
      </c>
      <c r="E93" s="35" t="s">
        <v>266</v>
      </c>
      <c r="F93" s="29" t="s">
        <v>492</v>
      </c>
      <c r="G93" s="36">
        <v>4800</v>
      </c>
      <c r="H93" s="36">
        <v>48</v>
      </c>
    </row>
    <row r="94" spans="1:8">
      <c r="A94" s="62">
        <v>135898239819</v>
      </c>
      <c r="B94" t="s">
        <v>4</v>
      </c>
      <c r="C94" s="35" t="s">
        <v>266</v>
      </c>
      <c r="D94" t="s">
        <v>491</v>
      </c>
      <c r="E94" s="35" t="s">
        <v>266</v>
      </c>
      <c r="F94" s="29" t="s">
        <v>492</v>
      </c>
      <c r="G94" s="36">
        <v>4200</v>
      </c>
      <c r="H94" s="36">
        <v>42</v>
      </c>
    </row>
    <row r="95" spans="1:8">
      <c r="A95" s="62">
        <v>135915566345</v>
      </c>
      <c r="B95" t="s">
        <v>4</v>
      </c>
      <c r="C95" s="35" t="s">
        <v>273</v>
      </c>
      <c r="D95" t="s">
        <v>491</v>
      </c>
      <c r="E95" s="35" t="s">
        <v>273</v>
      </c>
      <c r="F95" s="29" t="s">
        <v>492</v>
      </c>
      <c r="G95" s="36">
        <v>24100</v>
      </c>
      <c r="H95" s="36">
        <v>241</v>
      </c>
    </row>
    <row r="96" spans="1:8">
      <c r="A96" s="62">
        <v>136539211002</v>
      </c>
      <c r="B96" t="s">
        <v>4</v>
      </c>
      <c r="C96" s="35" t="s">
        <v>273</v>
      </c>
      <c r="D96" t="s">
        <v>491</v>
      </c>
      <c r="E96" s="35" t="s">
        <v>273</v>
      </c>
      <c r="F96" s="29" t="s">
        <v>492</v>
      </c>
      <c r="G96" s="36">
        <v>8750</v>
      </c>
      <c r="H96" s="36">
        <v>87.5</v>
      </c>
    </row>
    <row r="97" spans="1:8">
      <c r="A97" s="62">
        <v>136522852030</v>
      </c>
      <c r="B97" t="s">
        <v>4</v>
      </c>
      <c r="C97" s="35" t="s">
        <v>266</v>
      </c>
      <c r="D97" t="s">
        <v>491</v>
      </c>
      <c r="E97" s="35" t="s">
        <v>266</v>
      </c>
      <c r="F97" s="29" t="s">
        <v>492</v>
      </c>
      <c r="G97" s="36">
        <v>27700</v>
      </c>
      <c r="H97" s="36">
        <v>277</v>
      </c>
    </row>
    <row r="98" spans="1:8">
      <c r="A98" s="62">
        <v>135900371775</v>
      </c>
      <c r="B98" t="s">
        <v>263</v>
      </c>
      <c r="C98" s="35" t="s">
        <v>266</v>
      </c>
      <c r="D98" t="s">
        <v>491</v>
      </c>
      <c r="E98" s="35" t="s">
        <v>266</v>
      </c>
      <c r="F98" s="29" t="s">
        <v>492</v>
      </c>
      <c r="G98" s="36">
        <v>15800</v>
      </c>
      <c r="H98" s="36">
        <v>158</v>
      </c>
    </row>
    <row r="99" spans="1:8">
      <c r="A99" s="62">
        <v>135900611305</v>
      </c>
      <c r="B99" t="s">
        <v>4</v>
      </c>
      <c r="C99" s="35" t="s">
        <v>266</v>
      </c>
      <c r="D99" t="s">
        <v>491</v>
      </c>
      <c r="E99" s="35" t="s">
        <v>266</v>
      </c>
      <c r="F99" s="29" t="s">
        <v>492</v>
      </c>
      <c r="G99" s="36">
        <v>4200</v>
      </c>
      <c r="H99" s="36">
        <v>42</v>
      </c>
    </row>
    <row r="100" spans="1:8">
      <c r="A100" s="62">
        <v>136523721252</v>
      </c>
      <c r="B100" t="s">
        <v>4</v>
      </c>
      <c r="C100" s="35" t="s">
        <v>266</v>
      </c>
      <c r="D100" t="s">
        <v>491</v>
      </c>
      <c r="E100" s="35" t="s">
        <v>266</v>
      </c>
      <c r="F100" s="29" t="s">
        <v>492</v>
      </c>
      <c r="G100" s="36">
        <v>5500</v>
      </c>
      <c r="H100" s="36">
        <v>55</v>
      </c>
    </row>
    <row r="101" spans="1:8">
      <c r="A101" s="62">
        <v>136523955074</v>
      </c>
      <c r="B101" t="s">
        <v>4</v>
      </c>
      <c r="C101" s="35" t="s">
        <v>266</v>
      </c>
      <c r="D101" t="s">
        <v>491</v>
      </c>
      <c r="E101" s="35" t="s">
        <v>266</v>
      </c>
      <c r="F101" s="29" t="s">
        <v>492</v>
      </c>
      <c r="G101" s="36">
        <v>4100</v>
      </c>
      <c r="H101" s="36">
        <v>41</v>
      </c>
    </row>
    <row r="102" spans="1:8">
      <c r="A102" s="62">
        <v>136524590174</v>
      </c>
      <c r="B102" t="s">
        <v>263</v>
      </c>
      <c r="C102" s="35" t="s">
        <v>266</v>
      </c>
      <c r="D102" t="s">
        <v>491</v>
      </c>
      <c r="E102" s="35" t="s">
        <v>266</v>
      </c>
      <c r="F102" s="29" t="s">
        <v>492</v>
      </c>
      <c r="G102" s="36">
        <v>33000</v>
      </c>
      <c r="H102" s="36">
        <v>330</v>
      </c>
    </row>
    <row r="103" spans="1:8">
      <c r="A103" s="62">
        <v>135902300611</v>
      </c>
      <c r="B103" t="s">
        <v>263</v>
      </c>
      <c r="C103" s="35" t="s">
        <v>266</v>
      </c>
      <c r="D103" t="s">
        <v>491</v>
      </c>
      <c r="E103" s="35" t="s">
        <v>266</v>
      </c>
      <c r="F103" s="29" t="s">
        <v>492</v>
      </c>
      <c r="G103" s="36">
        <v>12100</v>
      </c>
      <c r="H103" s="36">
        <v>121</v>
      </c>
    </row>
    <row r="104" spans="1:8">
      <c r="A104" s="62">
        <v>135903488753</v>
      </c>
      <c r="B104" t="s">
        <v>4</v>
      </c>
      <c r="C104" s="35" t="s">
        <v>266</v>
      </c>
      <c r="D104" t="s">
        <v>491</v>
      </c>
      <c r="E104" s="35" t="s">
        <v>266</v>
      </c>
      <c r="F104" s="29" t="s">
        <v>492</v>
      </c>
      <c r="G104" s="36">
        <v>4800</v>
      </c>
      <c r="H104" s="36">
        <v>48</v>
      </c>
    </row>
    <row r="105" spans="1:8">
      <c r="A105" s="62">
        <v>136525966018</v>
      </c>
      <c r="B105" t="s">
        <v>4</v>
      </c>
      <c r="C105" s="35" t="s">
        <v>266</v>
      </c>
      <c r="D105" t="s">
        <v>491</v>
      </c>
      <c r="E105" s="35" t="s">
        <v>266</v>
      </c>
      <c r="F105" s="29" t="s">
        <v>492</v>
      </c>
      <c r="G105" s="36">
        <v>5500</v>
      </c>
      <c r="H105" s="36">
        <v>55</v>
      </c>
    </row>
    <row r="106" spans="1:8">
      <c r="A106" s="62">
        <v>135903704321</v>
      </c>
      <c r="B106" t="s">
        <v>4</v>
      </c>
      <c r="C106" s="35" t="s">
        <v>266</v>
      </c>
      <c r="D106" t="s">
        <v>491</v>
      </c>
      <c r="E106" s="35" t="s">
        <v>266</v>
      </c>
      <c r="F106" s="29" t="s">
        <v>492</v>
      </c>
      <c r="G106" s="36">
        <v>4500</v>
      </c>
      <c r="H106" s="36">
        <v>45</v>
      </c>
    </row>
    <row r="107" spans="1:8">
      <c r="A107" s="62">
        <v>136526927868</v>
      </c>
      <c r="B107" t="s">
        <v>4</v>
      </c>
      <c r="C107" s="35" t="s">
        <v>266</v>
      </c>
      <c r="D107" t="s">
        <v>491</v>
      </c>
      <c r="E107" s="35" t="s">
        <v>266</v>
      </c>
      <c r="F107" s="29" t="s">
        <v>492</v>
      </c>
      <c r="G107" s="36">
        <v>4800</v>
      </c>
      <c r="H107" s="36">
        <v>48</v>
      </c>
    </row>
    <row r="108" spans="1:8">
      <c r="A108" s="62">
        <v>136527375236</v>
      </c>
      <c r="B108" t="s">
        <v>4</v>
      </c>
      <c r="C108" s="35" t="s">
        <v>266</v>
      </c>
      <c r="D108" t="s">
        <v>491</v>
      </c>
      <c r="E108" s="35" t="s">
        <v>266</v>
      </c>
      <c r="F108" s="29" t="s">
        <v>492</v>
      </c>
      <c r="G108" s="36">
        <v>9600</v>
      </c>
      <c r="H108" s="36">
        <v>96</v>
      </c>
    </row>
    <row r="109" spans="1:8">
      <c r="A109" s="62">
        <v>135904784987</v>
      </c>
      <c r="B109" t="s">
        <v>4</v>
      </c>
      <c r="C109" s="35" t="s">
        <v>266</v>
      </c>
      <c r="D109" t="s">
        <v>491</v>
      </c>
      <c r="E109" s="35" t="s">
        <v>266</v>
      </c>
      <c r="F109" s="29" t="s">
        <v>492</v>
      </c>
      <c r="G109" s="36">
        <v>5500</v>
      </c>
      <c r="H109" s="36">
        <v>55</v>
      </c>
    </row>
    <row r="110" spans="1:8">
      <c r="A110" s="62">
        <v>136527796466</v>
      </c>
      <c r="B110" t="s">
        <v>4</v>
      </c>
      <c r="C110" s="35" t="s">
        <v>266</v>
      </c>
      <c r="D110" t="s">
        <v>491</v>
      </c>
      <c r="E110" s="35" t="s">
        <v>266</v>
      </c>
      <c r="F110" s="29" t="s">
        <v>492</v>
      </c>
      <c r="G110" s="36">
        <v>4100</v>
      </c>
      <c r="H110" s="36">
        <v>41</v>
      </c>
    </row>
    <row r="111" spans="1:8">
      <c r="A111" s="62">
        <v>136527826814</v>
      </c>
      <c r="B111" t="s">
        <v>4</v>
      </c>
      <c r="C111" s="35" t="s">
        <v>266</v>
      </c>
      <c r="D111" t="s">
        <v>491</v>
      </c>
      <c r="E111" s="35" t="s">
        <v>266</v>
      </c>
      <c r="F111" s="29" t="s">
        <v>492</v>
      </c>
      <c r="G111" s="36">
        <v>4400</v>
      </c>
      <c r="H111" s="36">
        <v>44</v>
      </c>
    </row>
    <row r="112" spans="1:8">
      <c r="A112" s="62">
        <v>136528512600</v>
      </c>
      <c r="B112" t="s">
        <v>4</v>
      </c>
      <c r="C112" s="35" t="s">
        <v>266</v>
      </c>
      <c r="D112" t="s">
        <v>491</v>
      </c>
      <c r="E112" s="35" t="s">
        <v>266</v>
      </c>
      <c r="F112" s="29" t="s">
        <v>492</v>
      </c>
      <c r="G112" s="36">
        <v>5500</v>
      </c>
      <c r="H112" s="36">
        <v>55</v>
      </c>
    </row>
    <row r="113" spans="1:8">
      <c r="A113" s="62">
        <v>136528767468</v>
      </c>
      <c r="B113" t="s">
        <v>4</v>
      </c>
      <c r="C113" s="35" t="s">
        <v>266</v>
      </c>
      <c r="D113" t="s">
        <v>491</v>
      </c>
      <c r="E113" s="35" t="s">
        <v>266</v>
      </c>
      <c r="F113" s="29" t="s">
        <v>492</v>
      </c>
      <c r="G113" s="36">
        <v>4400</v>
      </c>
      <c r="H113" s="36">
        <v>44</v>
      </c>
    </row>
    <row r="114" spans="1:8">
      <c r="A114" s="62">
        <v>135906555589</v>
      </c>
      <c r="B114" t="s">
        <v>4</v>
      </c>
      <c r="C114" s="35" t="s">
        <v>266</v>
      </c>
      <c r="D114" t="s">
        <v>491</v>
      </c>
      <c r="E114" s="35" t="s">
        <v>266</v>
      </c>
      <c r="F114" s="29" t="s">
        <v>492</v>
      </c>
      <c r="G114" s="36">
        <v>14400</v>
      </c>
      <c r="H114" s="36">
        <v>144</v>
      </c>
    </row>
    <row r="115" spans="1:8">
      <c r="A115" s="62">
        <v>136529601672</v>
      </c>
      <c r="B115" t="s">
        <v>4</v>
      </c>
      <c r="C115" s="35" t="s">
        <v>266</v>
      </c>
      <c r="D115" t="s">
        <v>491</v>
      </c>
      <c r="E115" s="35" t="s">
        <v>266</v>
      </c>
      <c r="F115" s="29" t="s">
        <v>492</v>
      </c>
      <c r="G115" s="36">
        <v>4800</v>
      </c>
      <c r="H115" s="36">
        <v>48</v>
      </c>
    </row>
    <row r="116" spans="1:8">
      <c r="A116" s="62">
        <v>136529790482</v>
      </c>
      <c r="B116" t="s">
        <v>4</v>
      </c>
      <c r="C116" s="35" t="s">
        <v>266</v>
      </c>
      <c r="D116" t="s">
        <v>491</v>
      </c>
      <c r="E116" s="35" t="s">
        <v>266</v>
      </c>
      <c r="F116" s="29" t="s">
        <v>492</v>
      </c>
      <c r="G116" s="36">
        <v>4000</v>
      </c>
      <c r="H116" s="36">
        <v>40</v>
      </c>
    </row>
    <row r="117" spans="1:8">
      <c r="A117" s="62">
        <v>135909548389</v>
      </c>
      <c r="B117" t="s">
        <v>4</v>
      </c>
      <c r="C117" s="35" t="s">
        <v>266</v>
      </c>
      <c r="D117" t="s">
        <v>491</v>
      </c>
      <c r="E117" s="35" t="s">
        <v>273</v>
      </c>
      <c r="F117" s="29" t="s">
        <v>492</v>
      </c>
      <c r="G117" s="36">
        <v>19300</v>
      </c>
      <c r="H117" s="36">
        <v>193</v>
      </c>
    </row>
    <row r="118" spans="1:8">
      <c r="A118" s="62">
        <v>136532314330</v>
      </c>
      <c r="B118" t="s">
        <v>263</v>
      </c>
      <c r="C118" s="35" t="s">
        <v>266</v>
      </c>
      <c r="D118" t="s">
        <v>491</v>
      </c>
      <c r="E118" s="35" t="s">
        <v>273</v>
      </c>
      <c r="F118" s="29" t="s">
        <v>492</v>
      </c>
      <c r="G118" s="36">
        <v>20900</v>
      </c>
      <c r="H118" s="36">
        <v>209</v>
      </c>
    </row>
    <row r="119" spans="1:8">
      <c r="A119" s="62">
        <v>135910347159</v>
      </c>
      <c r="B119" t="s">
        <v>4</v>
      </c>
      <c r="C119" s="35" t="s">
        <v>266</v>
      </c>
      <c r="D119" t="s">
        <v>491</v>
      </c>
      <c r="E119" s="35" t="s">
        <v>273</v>
      </c>
      <c r="F119" s="29" t="s">
        <v>492</v>
      </c>
      <c r="G119" s="36">
        <v>45700</v>
      </c>
      <c r="H119" s="36">
        <v>457</v>
      </c>
    </row>
    <row r="120" spans="1:8">
      <c r="A120" s="62">
        <v>135910717417</v>
      </c>
      <c r="B120" t="s">
        <v>263</v>
      </c>
      <c r="C120" s="35" t="s">
        <v>266</v>
      </c>
      <c r="D120" t="s">
        <v>491</v>
      </c>
      <c r="E120" s="35" t="s">
        <v>273</v>
      </c>
      <c r="F120" s="29" t="s">
        <v>492</v>
      </c>
      <c r="G120" s="36">
        <v>88400</v>
      </c>
      <c r="H120" s="36">
        <v>884</v>
      </c>
    </row>
    <row r="121" spans="1:8">
      <c r="A121" s="62">
        <v>135910964657</v>
      </c>
      <c r="B121" t="s">
        <v>4</v>
      </c>
      <c r="C121" s="35" t="s">
        <v>266</v>
      </c>
      <c r="D121" t="s">
        <v>491</v>
      </c>
      <c r="E121" s="35" t="s">
        <v>273</v>
      </c>
      <c r="F121" s="29" t="s">
        <v>492</v>
      </c>
      <c r="G121" s="36">
        <v>88200</v>
      </c>
      <c r="H121" s="36">
        <v>882</v>
      </c>
    </row>
    <row r="122" spans="1:8">
      <c r="A122" s="62">
        <v>135911102295</v>
      </c>
      <c r="B122" t="s">
        <v>263</v>
      </c>
      <c r="C122" s="35" t="s">
        <v>266</v>
      </c>
      <c r="D122" t="s">
        <v>491</v>
      </c>
      <c r="E122" s="35" t="s">
        <v>273</v>
      </c>
      <c r="F122" s="29" t="s">
        <v>492</v>
      </c>
      <c r="G122" s="36">
        <v>71500</v>
      </c>
      <c r="H122" s="36">
        <v>715</v>
      </c>
    </row>
    <row r="123" spans="1:8">
      <c r="A123" s="62">
        <v>136534523898</v>
      </c>
      <c r="B123" t="s">
        <v>4</v>
      </c>
      <c r="C123" s="35" t="s">
        <v>266</v>
      </c>
      <c r="D123" t="s">
        <v>491</v>
      </c>
      <c r="E123" s="35" t="s">
        <v>273</v>
      </c>
      <c r="F123" s="29" t="s">
        <v>492</v>
      </c>
      <c r="G123" s="36">
        <v>15800</v>
      </c>
      <c r="H123" s="36">
        <v>158</v>
      </c>
    </row>
    <row r="124" spans="1:8">
      <c r="A124" s="62">
        <v>136535378680</v>
      </c>
      <c r="B124" t="s">
        <v>4</v>
      </c>
      <c r="C124" s="35" t="s">
        <v>273</v>
      </c>
      <c r="D124" t="s">
        <v>491</v>
      </c>
      <c r="E124" s="35" t="s">
        <v>273</v>
      </c>
      <c r="F124" s="29" t="s">
        <v>492</v>
      </c>
      <c r="G124" s="36">
        <v>45100</v>
      </c>
      <c r="H124" s="36">
        <v>451</v>
      </c>
    </row>
    <row r="125" spans="1:8">
      <c r="A125" s="62">
        <v>136537920028</v>
      </c>
      <c r="B125" t="s">
        <v>4</v>
      </c>
      <c r="C125" s="35" t="s">
        <v>273</v>
      </c>
      <c r="D125" t="s">
        <v>491</v>
      </c>
      <c r="E125" s="35" t="s">
        <v>273</v>
      </c>
      <c r="F125" s="29" t="s">
        <v>492</v>
      </c>
      <c r="G125" s="36">
        <v>19600</v>
      </c>
      <c r="H125" s="36">
        <v>196</v>
      </c>
    </row>
    <row r="126" spans="1:8">
      <c r="A126" s="62">
        <v>135916127391</v>
      </c>
      <c r="B126" t="s">
        <v>4</v>
      </c>
      <c r="C126" s="35" t="s">
        <v>273</v>
      </c>
      <c r="D126" t="s">
        <v>491</v>
      </c>
      <c r="E126" s="35" t="s">
        <v>273</v>
      </c>
      <c r="F126" s="29" t="s">
        <v>492</v>
      </c>
      <c r="G126" s="36">
        <v>41000</v>
      </c>
      <c r="H126" s="36">
        <v>410</v>
      </c>
    </row>
    <row r="127" spans="1:8">
      <c r="A127" s="62">
        <v>136052254573</v>
      </c>
      <c r="B127" t="s">
        <v>263</v>
      </c>
      <c r="C127" s="35" t="s">
        <v>273</v>
      </c>
      <c r="D127" t="s">
        <v>491</v>
      </c>
      <c r="E127" s="35" t="s">
        <v>273</v>
      </c>
      <c r="F127" s="29" t="s">
        <v>492</v>
      </c>
      <c r="G127" s="36">
        <v>4800</v>
      </c>
      <c r="H127" s="36">
        <v>48</v>
      </c>
    </row>
    <row r="128" spans="1:8">
      <c r="A128" s="62">
        <v>136676483834</v>
      </c>
      <c r="B128" t="s">
        <v>263</v>
      </c>
      <c r="C128" s="35" t="s">
        <v>273</v>
      </c>
      <c r="D128" t="s">
        <v>491</v>
      </c>
      <c r="E128" s="35" t="s">
        <v>273</v>
      </c>
      <c r="F128" s="29" t="s">
        <v>492</v>
      </c>
      <c r="G128" s="36">
        <v>27500</v>
      </c>
      <c r="H128" s="36">
        <v>275</v>
      </c>
    </row>
    <row r="129" spans="1:8">
      <c r="A129" s="62">
        <v>136676932768</v>
      </c>
      <c r="B129" t="s">
        <v>263</v>
      </c>
      <c r="C129" s="35" t="s">
        <v>273</v>
      </c>
      <c r="D129" t="s">
        <v>491</v>
      </c>
      <c r="E129" s="35" t="s">
        <v>273</v>
      </c>
      <c r="F129" s="29" t="s">
        <v>492</v>
      </c>
      <c r="G129" s="36">
        <v>16800</v>
      </c>
      <c r="H129" s="36">
        <v>168</v>
      </c>
    </row>
    <row r="130" spans="1:8">
      <c r="A130" s="62">
        <v>136058124483</v>
      </c>
      <c r="B130" t="s">
        <v>4</v>
      </c>
      <c r="C130" s="35" t="s">
        <v>273</v>
      </c>
      <c r="D130" t="s">
        <v>491</v>
      </c>
      <c r="E130" s="35" t="s">
        <v>273</v>
      </c>
      <c r="F130" s="29" t="s">
        <v>492</v>
      </c>
      <c r="G130" s="36">
        <v>9600</v>
      </c>
      <c r="H130" s="36">
        <v>96</v>
      </c>
    </row>
    <row r="131" spans="1:8">
      <c r="A131" s="62">
        <v>136684524618</v>
      </c>
      <c r="B131" t="s">
        <v>263</v>
      </c>
      <c r="C131" s="35" t="s">
        <v>273</v>
      </c>
      <c r="D131" t="s">
        <v>491</v>
      </c>
      <c r="E131" s="35" t="s">
        <v>273</v>
      </c>
      <c r="F131" s="29" t="s">
        <v>492</v>
      </c>
      <c r="G131" s="36">
        <v>4900</v>
      </c>
      <c r="H131" s="36">
        <v>49</v>
      </c>
    </row>
    <row r="132" spans="1:8">
      <c r="A132" s="62">
        <v>136686063362</v>
      </c>
      <c r="B132" t="s">
        <v>4</v>
      </c>
      <c r="C132" s="35" t="s">
        <v>273</v>
      </c>
      <c r="D132" t="s">
        <v>491</v>
      </c>
      <c r="E132" s="35" t="s">
        <v>273</v>
      </c>
      <c r="F132" s="29" t="s">
        <v>492</v>
      </c>
      <c r="G132" s="36">
        <v>9800</v>
      </c>
      <c r="H132" s="36">
        <v>98</v>
      </c>
    </row>
    <row r="133" spans="1:8">
      <c r="A133" s="62">
        <v>136689207772</v>
      </c>
      <c r="B133" t="s">
        <v>263</v>
      </c>
      <c r="C133" s="35" t="s">
        <v>273</v>
      </c>
      <c r="D133" t="s">
        <v>491</v>
      </c>
      <c r="E133" s="35" t="s">
        <v>273</v>
      </c>
      <c r="F133" s="29" t="s">
        <v>492</v>
      </c>
      <c r="G133" s="36">
        <v>45400</v>
      </c>
      <c r="H133" s="36">
        <v>454</v>
      </c>
    </row>
    <row r="134" spans="1:8">
      <c r="A134" s="62">
        <v>136067944241</v>
      </c>
      <c r="B134" t="s">
        <v>263</v>
      </c>
      <c r="C134" s="35" t="s">
        <v>273</v>
      </c>
      <c r="D134" t="s">
        <v>491</v>
      </c>
      <c r="E134" s="35" t="s">
        <v>273</v>
      </c>
      <c r="F134" s="29" t="s">
        <v>492</v>
      </c>
      <c r="G134" s="36">
        <v>14500</v>
      </c>
      <c r="H134" s="36">
        <v>145</v>
      </c>
    </row>
    <row r="135" spans="1:8">
      <c r="A135" s="62">
        <v>136675013138</v>
      </c>
      <c r="B135" t="s">
        <v>4</v>
      </c>
      <c r="C135" s="35" t="s">
        <v>273</v>
      </c>
      <c r="D135" t="s">
        <v>491</v>
      </c>
      <c r="E135" s="35" t="s">
        <v>273</v>
      </c>
      <c r="F135" s="29" t="s">
        <v>492</v>
      </c>
      <c r="G135" s="36">
        <v>4200</v>
      </c>
      <c r="H135" s="36">
        <v>42</v>
      </c>
    </row>
    <row r="136" spans="1:8">
      <c r="A136" s="62">
        <v>136072576761</v>
      </c>
      <c r="B136" t="s">
        <v>4</v>
      </c>
      <c r="C136" s="35" t="s">
        <v>273</v>
      </c>
      <c r="D136" t="s">
        <v>491</v>
      </c>
      <c r="E136" s="35" t="s">
        <v>273</v>
      </c>
      <c r="F136" s="29" t="s">
        <v>492</v>
      </c>
      <c r="G136" s="36">
        <v>25800</v>
      </c>
      <c r="H136" s="36">
        <v>258</v>
      </c>
    </row>
    <row r="137" spans="1:8">
      <c r="A137" s="62">
        <v>136677967596</v>
      </c>
      <c r="B137" t="s">
        <v>4</v>
      </c>
      <c r="C137" s="35" t="s">
        <v>273</v>
      </c>
      <c r="D137" t="s">
        <v>491</v>
      </c>
      <c r="E137" s="35" t="s">
        <v>273</v>
      </c>
      <c r="F137" s="29" t="s">
        <v>492</v>
      </c>
      <c r="G137" s="36">
        <v>15700</v>
      </c>
      <c r="H137" s="36">
        <v>157</v>
      </c>
    </row>
    <row r="138" spans="1:8">
      <c r="A138" s="62">
        <v>136697737900</v>
      </c>
      <c r="B138" t="s">
        <v>4</v>
      </c>
      <c r="C138" s="35" t="s">
        <v>273</v>
      </c>
      <c r="D138" t="s">
        <v>491</v>
      </c>
      <c r="E138" s="35" t="s">
        <v>273</v>
      </c>
      <c r="F138" s="29" t="s">
        <v>492</v>
      </c>
      <c r="G138" s="36">
        <v>30500</v>
      </c>
      <c r="H138" s="36">
        <v>305</v>
      </c>
    </row>
    <row r="139" spans="1:8">
      <c r="A139" s="62">
        <v>136078826713</v>
      </c>
      <c r="B139" t="s">
        <v>4</v>
      </c>
      <c r="C139" s="35" t="s">
        <v>273</v>
      </c>
      <c r="D139" t="s">
        <v>491</v>
      </c>
      <c r="E139" s="35" t="s">
        <v>280</v>
      </c>
      <c r="F139" s="29" t="s">
        <v>492</v>
      </c>
      <c r="G139" s="36">
        <v>38300</v>
      </c>
      <c r="H139" s="36">
        <v>383</v>
      </c>
    </row>
    <row r="140" spans="1:8">
      <c r="A140" s="62">
        <v>136684362466</v>
      </c>
      <c r="B140" t="s">
        <v>4</v>
      </c>
      <c r="C140" s="35" t="s">
        <v>273</v>
      </c>
      <c r="D140" t="s">
        <v>491</v>
      </c>
      <c r="E140" s="35" t="s">
        <v>273</v>
      </c>
      <c r="F140" s="29" t="s">
        <v>492</v>
      </c>
      <c r="G140" s="36">
        <v>27500</v>
      </c>
      <c r="H140" s="36">
        <v>275</v>
      </c>
    </row>
    <row r="141" spans="1:8">
      <c r="A141" s="62">
        <v>136082556343</v>
      </c>
      <c r="B141" t="s">
        <v>263</v>
      </c>
      <c r="C141" s="35" t="s">
        <v>280</v>
      </c>
      <c r="D141" t="s">
        <v>491</v>
      </c>
      <c r="E141" s="35" t="s">
        <v>280</v>
      </c>
      <c r="F141" s="29" t="s">
        <v>492</v>
      </c>
      <c r="G141" s="36">
        <v>13900</v>
      </c>
      <c r="H141" s="36">
        <v>139</v>
      </c>
    </row>
    <row r="142" spans="1:8">
      <c r="A142" s="62">
        <v>136706595996</v>
      </c>
      <c r="B142" t="s">
        <v>4</v>
      </c>
      <c r="C142" s="35" t="s">
        <v>280</v>
      </c>
      <c r="D142" t="s">
        <v>491</v>
      </c>
      <c r="E142" s="35" t="s">
        <v>280</v>
      </c>
      <c r="F142" s="29" t="s">
        <v>492</v>
      </c>
      <c r="G142" s="36">
        <v>85700</v>
      </c>
      <c r="H142" s="36">
        <v>857</v>
      </c>
    </row>
    <row r="143" spans="1:8">
      <c r="A143" s="62">
        <v>136083238703</v>
      </c>
      <c r="B143" t="s">
        <v>4</v>
      </c>
      <c r="C143" s="35" t="s">
        <v>280</v>
      </c>
      <c r="D143" t="s">
        <v>491</v>
      </c>
      <c r="E143" s="35" t="s">
        <v>280</v>
      </c>
      <c r="F143" s="29" t="s">
        <v>492</v>
      </c>
      <c r="G143" s="36">
        <v>46500</v>
      </c>
      <c r="H143" s="36">
        <v>465</v>
      </c>
    </row>
    <row r="144" spans="1:8">
      <c r="A144" s="62">
        <v>136707102110</v>
      </c>
      <c r="B144" t="s">
        <v>4</v>
      </c>
      <c r="C144" s="35" t="s">
        <v>280</v>
      </c>
      <c r="D144" t="s">
        <v>491</v>
      </c>
      <c r="E144" s="35" t="s">
        <v>280</v>
      </c>
      <c r="F144" s="29" t="s">
        <v>492</v>
      </c>
      <c r="G144" s="36">
        <v>20300</v>
      </c>
      <c r="H144" s="36">
        <v>203</v>
      </c>
    </row>
    <row r="145" spans="1:8">
      <c r="A145" s="62">
        <v>136707892144</v>
      </c>
      <c r="B145" t="s">
        <v>4</v>
      </c>
      <c r="C145" s="35" t="s">
        <v>280</v>
      </c>
      <c r="D145" t="s">
        <v>491</v>
      </c>
      <c r="E145" s="35" t="s">
        <v>280</v>
      </c>
      <c r="F145" s="29" t="s">
        <v>492</v>
      </c>
      <c r="G145" s="36">
        <v>54400</v>
      </c>
      <c r="H145" s="36">
        <v>544</v>
      </c>
    </row>
    <row r="146" spans="1:8">
      <c r="A146" s="62">
        <v>136708150316</v>
      </c>
      <c r="B146" t="s">
        <v>4</v>
      </c>
      <c r="C146" s="35" t="s">
        <v>280</v>
      </c>
      <c r="D146" t="s">
        <v>491</v>
      </c>
      <c r="E146" s="35" t="s">
        <v>280</v>
      </c>
      <c r="F146" s="29" t="s">
        <v>492</v>
      </c>
      <c r="G146" s="36">
        <v>16500</v>
      </c>
      <c r="H146" s="36">
        <v>165</v>
      </c>
    </row>
    <row r="147" spans="1:8">
      <c r="A147" s="62">
        <v>136708166040</v>
      </c>
      <c r="B147" t="s">
        <v>4</v>
      </c>
      <c r="C147" s="35" t="s">
        <v>280</v>
      </c>
      <c r="D147" t="s">
        <v>491</v>
      </c>
      <c r="E147" s="35" t="s">
        <v>280</v>
      </c>
      <c r="F147" s="29" t="s">
        <v>492</v>
      </c>
      <c r="G147" s="36">
        <v>14000</v>
      </c>
      <c r="H147" s="36">
        <v>140</v>
      </c>
    </row>
    <row r="148" spans="1:8">
      <c r="A148" s="62">
        <v>136085255891</v>
      </c>
      <c r="B148" t="s">
        <v>263</v>
      </c>
      <c r="C148" s="35" t="s">
        <v>280</v>
      </c>
      <c r="D148" t="s">
        <v>491</v>
      </c>
      <c r="E148" s="35" t="s">
        <v>280</v>
      </c>
      <c r="F148" s="29" t="s">
        <v>492</v>
      </c>
      <c r="G148" s="36">
        <v>8800</v>
      </c>
      <c r="H148" s="36">
        <v>88</v>
      </c>
    </row>
    <row r="149" spans="1:8">
      <c r="A149" s="62">
        <v>136689125144</v>
      </c>
      <c r="B149" t="s">
        <v>4</v>
      </c>
      <c r="C149" s="35" t="s">
        <v>273</v>
      </c>
      <c r="D149" t="s">
        <v>491</v>
      </c>
      <c r="E149" s="35" t="s">
        <v>273</v>
      </c>
      <c r="F149" s="29" t="s">
        <v>492</v>
      </c>
      <c r="G149" s="36">
        <v>9000</v>
      </c>
      <c r="H149" s="36">
        <v>90</v>
      </c>
    </row>
    <row r="150" spans="1:8">
      <c r="A150" s="62">
        <v>136709365352</v>
      </c>
      <c r="B150" t="s">
        <v>4</v>
      </c>
      <c r="C150" s="35" t="s">
        <v>280</v>
      </c>
      <c r="D150" t="s">
        <v>491</v>
      </c>
      <c r="E150" s="35" t="s">
        <v>280</v>
      </c>
      <c r="F150" s="29" t="s">
        <v>492</v>
      </c>
      <c r="G150" s="36">
        <v>60800</v>
      </c>
      <c r="H150" s="36">
        <v>608</v>
      </c>
    </row>
    <row r="151" spans="1:8">
      <c r="A151" s="62">
        <v>136086050167</v>
      </c>
      <c r="B151" t="s">
        <v>4</v>
      </c>
      <c r="C151" s="35" t="s">
        <v>280</v>
      </c>
      <c r="D151" t="s">
        <v>491</v>
      </c>
      <c r="E151" s="35" t="s">
        <v>280</v>
      </c>
      <c r="F151" s="29" t="s">
        <v>492</v>
      </c>
      <c r="G151" s="36">
        <v>10900</v>
      </c>
      <c r="H151" s="36">
        <v>109</v>
      </c>
    </row>
    <row r="152" spans="1:8">
      <c r="A152" s="62">
        <v>136690556608</v>
      </c>
      <c r="B152" t="s">
        <v>263</v>
      </c>
      <c r="C152" s="35" t="s">
        <v>273</v>
      </c>
      <c r="D152" t="s">
        <v>491</v>
      </c>
      <c r="E152" s="35" t="s">
        <v>273</v>
      </c>
      <c r="F152" s="29" t="s">
        <v>492</v>
      </c>
      <c r="G152" s="36">
        <v>16950</v>
      </c>
      <c r="H152" s="36">
        <v>169.5</v>
      </c>
    </row>
    <row r="153" spans="1:8">
      <c r="A153" s="62">
        <v>136067110391</v>
      </c>
      <c r="B153" t="s">
        <v>263</v>
      </c>
      <c r="C153" s="35" t="s">
        <v>273</v>
      </c>
      <c r="D153" t="s">
        <v>491</v>
      </c>
      <c r="E153" s="35" t="s">
        <v>273</v>
      </c>
      <c r="F153" s="29" t="s">
        <v>492</v>
      </c>
      <c r="G153" s="36">
        <v>19750</v>
      </c>
      <c r="H153" s="36">
        <v>197.5</v>
      </c>
    </row>
    <row r="154" spans="1:8">
      <c r="A154" s="62">
        <v>136691246728</v>
      </c>
      <c r="B154" t="s">
        <v>4</v>
      </c>
      <c r="C154" s="35" t="s">
        <v>273</v>
      </c>
      <c r="D154" t="s">
        <v>491</v>
      </c>
      <c r="E154" s="35" t="s">
        <v>273</v>
      </c>
      <c r="F154" s="29" t="s">
        <v>492</v>
      </c>
      <c r="G154" s="36">
        <v>51500</v>
      </c>
      <c r="H154" s="36">
        <v>515</v>
      </c>
    </row>
    <row r="155" spans="1:8">
      <c r="A155" s="62">
        <v>136693286622</v>
      </c>
      <c r="B155" t="s">
        <v>4</v>
      </c>
      <c r="C155" s="35" t="s">
        <v>273</v>
      </c>
      <c r="D155" t="s">
        <v>491</v>
      </c>
      <c r="E155" s="35" t="s">
        <v>273</v>
      </c>
      <c r="F155" s="29" t="s">
        <v>492</v>
      </c>
      <c r="G155" s="36">
        <v>4900</v>
      </c>
      <c r="H155" s="36">
        <v>49</v>
      </c>
    </row>
    <row r="156" spans="1:8">
      <c r="A156" s="62">
        <v>136075632673</v>
      </c>
      <c r="B156" t="s">
        <v>4</v>
      </c>
      <c r="C156" s="35" t="s">
        <v>273</v>
      </c>
      <c r="D156" t="s">
        <v>491</v>
      </c>
      <c r="E156" s="35" t="s">
        <v>273</v>
      </c>
      <c r="F156" s="29" t="s">
        <v>492</v>
      </c>
      <c r="G156" s="36">
        <v>65300</v>
      </c>
      <c r="H156" s="36">
        <v>653</v>
      </c>
    </row>
    <row r="157" spans="1:8">
      <c r="A157" s="62">
        <v>136699638344</v>
      </c>
      <c r="B157" t="s">
        <v>4</v>
      </c>
      <c r="C157" s="35" t="s">
        <v>273</v>
      </c>
      <c r="D157" t="s">
        <v>491</v>
      </c>
      <c r="E157" s="35" t="s">
        <v>273</v>
      </c>
      <c r="F157" s="29" t="s">
        <v>492</v>
      </c>
      <c r="G157" s="36">
        <v>58900</v>
      </c>
      <c r="H157" s="36">
        <v>589</v>
      </c>
    </row>
    <row r="158" spans="1:8">
      <c r="A158" s="62">
        <v>136076832363</v>
      </c>
      <c r="B158" t="s">
        <v>4</v>
      </c>
      <c r="C158" s="35" t="s">
        <v>273</v>
      </c>
      <c r="D158" t="s">
        <v>491</v>
      </c>
      <c r="E158" s="35" t="s">
        <v>273</v>
      </c>
      <c r="F158" s="29" t="s">
        <v>492</v>
      </c>
      <c r="G158" s="36">
        <v>32600</v>
      </c>
      <c r="H158" s="36">
        <v>326</v>
      </c>
    </row>
    <row r="159" spans="1:8">
      <c r="A159" s="62">
        <v>136078016419</v>
      </c>
      <c r="B159" t="s">
        <v>4</v>
      </c>
      <c r="C159" s="35" t="s">
        <v>273</v>
      </c>
      <c r="D159" t="s">
        <v>491</v>
      </c>
      <c r="E159" s="35" t="s">
        <v>280</v>
      </c>
      <c r="F159" s="29" t="s">
        <v>492</v>
      </c>
      <c r="G159" s="36">
        <v>40400</v>
      </c>
      <c r="H159" s="36">
        <v>404</v>
      </c>
    </row>
    <row r="160" spans="1:8">
      <c r="A160" s="62">
        <v>136703140262</v>
      </c>
      <c r="B160" t="s">
        <v>4</v>
      </c>
      <c r="C160" s="35" t="s">
        <v>273</v>
      </c>
      <c r="D160" t="s">
        <v>491</v>
      </c>
      <c r="E160" s="35" t="s">
        <v>280</v>
      </c>
      <c r="F160" s="29" t="s">
        <v>492</v>
      </c>
      <c r="G160" s="36">
        <v>58700</v>
      </c>
      <c r="H160" s="36">
        <v>587</v>
      </c>
    </row>
    <row r="161" spans="1:8">
      <c r="A161" s="62">
        <v>136703920262</v>
      </c>
      <c r="B161" t="s">
        <v>4</v>
      </c>
      <c r="C161" s="35" t="s">
        <v>273</v>
      </c>
      <c r="D161" t="s">
        <v>491</v>
      </c>
      <c r="E161" s="35" t="s">
        <v>280</v>
      </c>
      <c r="F161" s="29" t="s">
        <v>492</v>
      </c>
      <c r="G161" s="36">
        <v>43700</v>
      </c>
      <c r="H161" s="36">
        <v>437</v>
      </c>
    </row>
    <row r="162" spans="1:8">
      <c r="A162" s="62">
        <v>136704187344</v>
      </c>
      <c r="B162" t="s">
        <v>263</v>
      </c>
      <c r="C162" s="35" t="s">
        <v>273</v>
      </c>
      <c r="D162" t="s">
        <v>491</v>
      </c>
      <c r="E162" s="35" t="s">
        <v>280</v>
      </c>
      <c r="F162" s="29" t="s">
        <v>492</v>
      </c>
      <c r="G162" s="36">
        <v>22500</v>
      </c>
      <c r="H162" s="36">
        <v>225</v>
      </c>
    </row>
    <row r="163" spans="1:8">
      <c r="A163" s="62">
        <v>136080717447</v>
      </c>
      <c r="B163" t="s">
        <v>4</v>
      </c>
      <c r="C163" s="35" t="s">
        <v>273</v>
      </c>
      <c r="D163" t="s">
        <v>491</v>
      </c>
      <c r="E163" s="35" t="s">
        <v>280</v>
      </c>
      <c r="F163" s="29" t="s">
        <v>492</v>
      </c>
      <c r="G163" s="36">
        <v>13800</v>
      </c>
      <c r="H163" s="36">
        <v>138</v>
      </c>
    </row>
    <row r="164" spans="1:8">
      <c r="A164" s="62">
        <v>136082008275</v>
      </c>
      <c r="B164" t="s">
        <v>4</v>
      </c>
      <c r="C164" s="35" t="s">
        <v>280</v>
      </c>
      <c r="D164" t="s">
        <v>491</v>
      </c>
      <c r="E164" s="35" t="s">
        <v>280</v>
      </c>
      <c r="F164" s="29" t="s">
        <v>492</v>
      </c>
      <c r="G164" s="36">
        <v>25900</v>
      </c>
      <c r="H164" s="36">
        <v>259</v>
      </c>
    </row>
    <row r="165" spans="1:8">
      <c r="A165" s="62">
        <v>136706179074</v>
      </c>
      <c r="B165" t="s">
        <v>4</v>
      </c>
      <c r="C165" s="35" t="s">
        <v>280</v>
      </c>
      <c r="D165" t="s">
        <v>491</v>
      </c>
      <c r="E165" s="35" t="s">
        <v>280</v>
      </c>
      <c r="F165" s="29" t="s">
        <v>492</v>
      </c>
      <c r="G165" s="36">
        <v>96300</v>
      </c>
      <c r="H165" s="36">
        <v>963</v>
      </c>
    </row>
    <row r="166" spans="1:8">
      <c r="A166" s="62">
        <v>136706567546</v>
      </c>
      <c r="B166" t="s">
        <v>4</v>
      </c>
      <c r="C166" s="35" t="s">
        <v>280</v>
      </c>
      <c r="D166" t="s">
        <v>491</v>
      </c>
      <c r="E166" s="35" t="s">
        <v>280</v>
      </c>
      <c r="F166" s="29" t="s">
        <v>492</v>
      </c>
      <c r="G166" s="36">
        <v>19500</v>
      </c>
      <c r="H166" s="36">
        <v>195</v>
      </c>
    </row>
    <row r="167" spans="1:8">
      <c r="A167" s="62">
        <v>136707233790</v>
      </c>
      <c r="B167" t="s">
        <v>4</v>
      </c>
      <c r="C167" s="35" t="s">
        <v>280</v>
      </c>
      <c r="D167" t="s">
        <v>491</v>
      </c>
      <c r="E167" s="35" t="s">
        <v>280</v>
      </c>
      <c r="F167" s="29" t="s">
        <v>492</v>
      </c>
      <c r="G167" s="36">
        <v>49000</v>
      </c>
      <c r="H167" s="36">
        <v>490</v>
      </c>
    </row>
    <row r="168" spans="1:8">
      <c r="A168" s="62">
        <v>136085098461</v>
      </c>
      <c r="B168" t="s">
        <v>4</v>
      </c>
      <c r="C168" s="35" t="s">
        <v>280</v>
      </c>
      <c r="D168" t="s">
        <v>491</v>
      </c>
      <c r="E168" s="35" t="s">
        <v>280</v>
      </c>
      <c r="F168" s="29" t="s">
        <v>492</v>
      </c>
      <c r="G168" s="36">
        <v>59600</v>
      </c>
      <c r="H168" s="36">
        <v>596</v>
      </c>
    </row>
    <row r="169" spans="1:8">
      <c r="A169" s="62">
        <v>136709093234</v>
      </c>
      <c r="B169" t="s">
        <v>4</v>
      </c>
      <c r="C169" s="35" t="s">
        <v>280</v>
      </c>
      <c r="D169" t="s">
        <v>491</v>
      </c>
      <c r="E169" s="35" t="s">
        <v>280</v>
      </c>
      <c r="F169" s="29" t="s">
        <v>492</v>
      </c>
      <c r="G169" s="36">
        <v>31200</v>
      </c>
      <c r="H169" s="36">
        <v>312</v>
      </c>
    </row>
    <row r="170" spans="1:8">
      <c r="A170" s="62">
        <v>136709325646</v>
      </c>
      <c r="B170" t="s">
        <v>4</v>
      </c>
      <c r="C170" s="35" t="s">
        <v>280</v>
      </c>
      <c r="D170" t="s">
        <v>491</v>
      </c>
      <c r="E170" s="35" t="s">
        <v>280</v>
      </c>
      <c r="F170" s="29" t="s">
        <v>492</v>
      </c>
      <c r="G170" s="36">
        <v>18000</v>
      </c>
      <c r="H170" s="36">
        <v>180</v>
      </c>
    </row>
    <row r="171" spans="1:8">
      <c r="A171" s="62">
        <v>136086178973</v>
      </c>
      <c r="B171" t="s">
        <v>4</v>
      </c>
      <c r="C171" s="35" t="s">
        <v>280</v>
      </c>
      <c r="D171" t="s">
        <v>491</v>
      </c>
      <c r="E171" s="35" t="s">
        <v>280</v>
      </c>
      <c r="F171" s="29" t="s">
        <v>492</v>
      </c>
      <c r="G171" s="36">
        <v>23500</v>
      </c>
      <c r="H171" s="36">
        <v>235</v>
      </c>
    </row>
    <row r="172" spans="1:8">
      <c r="A172" s="62">
        <v>136182589345</v>
      </c>
      <c r="B172" t="s">
        <v>263</v>
      </c>
      <c r="C172" s="35" t="s">
        <v>280</v>
      </c>
      <c r="D172" t="s">
        <v>491</v>
      </c>
      <c r="E172" s="35" t="s">
        <v>280</v>
      </c>
      <c r="F172" s="29" t="s">
        <v>492</v>
      </c>
      <c r="G172" s="36">
        <v>15</v>
      </c>
      <c r="H172" s="36">
        <v>0.15</v>
      </c>
    </row>
    <row r="173" spans="1:8">
      <c r="A173" s="62">
        <v>136197610809</v>
      </c>
      <c r="B173" t="s">
        <v>4</v>
      </c>
      <c r="C173" s="35" t="s">
        <v>280</v>
      </c>
      <c r="D173" t="s">
        <v>491</v>
      </c>
      <c r="E173" s="35" t="s">
        <v>280</v>
      </c>
      <c r="F173" s="29" t="s">
        <v>492</v>
      </c>
      <c r="G173" s="36">
        <v>9600</v>
      </c>
      <c r="H173" s="36">
        <v>96</v>
      </c>
    </row>
    <row r="174" spans="1:8">
      <c r="A174" s="62">
        <v>136199301371</v>
      </c>
      <c r="B174" t="s">
        <v>4</v>
      </c>
      <c r="C174" s="35" t="s">
        <v>280</v>
      </c>
      <c r="D174" t="s">
        <v>491</v>
      </c>
      <c r="E174" s="35" t="s">
        <v>280</v>
      </c>
      <c r="F174" s="29" t="s">
        <v>492</v>
      </c>
      <c r="G174" s="36">
        <v>12400</v>
      </c>
      <c r="H174" s="36">
        <v>124</v>
      </c>
    </row>
    <row r="175" spans="1:8">
      <c r="A175" s="62">
        <v>136825810056</v>
      </c>
      <c r="B175" t="s">
        <v>263</v>
      </c>
      <c r="C175" s="35" t="s">
        <v>280</v>
      </c>
      <c r="D175" t="s">
        <v>491</v>
      </c>
      <c r="E175" s="35" t="s">
        <v>280</v>
      </c>
      <c r="F175" s="29" t="s">
        <v>492</v>
      </c>
      <c r="G175" s="36">
        <v>14000</v>
      </c>
      <c r="H175" s="36">
        <v>140</v>
      </c>
    </row>
    <row r="176" spans="1:8">
      <c r="A176" s="62">
        <v>136182589345</v>
      </c>
      <c r="B176" t="s">
        <v>263</v>
      </c>
      <c r="C176" s="35" t="s">
        <v>280</v>
      </c>
      <c r="D176" t="s">
        <v>287</v>
      </c>
      <c r="E176" s="35" t="s">
        <v>280</v>
      </c>
      <c r="F176" s="29" t="s">
        <v>492</v>
      </c>
      <c r="G176" s="36">
        <v>-15</v>
      </c>
      <c r="H176" s="36">
        <v>-0.15</v>
      </c>
    </row>
    <row r="177" spans="1:8">
      <c r="A177" s="62">
        <v>136204861051</v>
      </c>
      <c r="B177" t="s">
        <v>4</v>
      </c>
      <c r="C177" s="35" t="s">
        <v>280</v>
      </c>
      <c r="D177" t="s">
        <v>491</v>
      </c>
      <c r="E177" s="35" t="s">
        <v>280</v>
      </c>
      <c r="F177" s="29" t="s">
        <v>492</v>
      </c>
      <c r="G177" s="36">
        <v>20300</v>
      </c>
      <c r="H177" s="36">
        <v>203</v>
      </c>
    </row>
    <row r="178" spans="1:8">
      <c r="A178" s="62">
        <v>136830857486</v>
      </c>
      <c r="B178" t="s">
        <v>4</v>
      </c>
      <c r="C178" s="35" t="s">
        <v>280</v>
      </c>
      <c r="D178" t="s">
        <v>491</v>
      </c>
      <c r="E178" s="35" t="s">
        <v>280</v>
      </c>
      <c r="F178" s="29" t="s">
        <v>492</v>
      </c>
      <c r="G178" s="36">
        <v>9800</v>
      </c>
      <c r="H178" s="36">
        <v>98</v>
      </c>
    </row>
    <row r="179" spans="1:8">
      <c r="A179" s="62">
        <v>136831622152</v>
      </c>
      <c r="B179" t="s">
        <v>263</v>
      </c>
      <c r="C179" s="35" t="s">
        <v>280</v>
      </c>
      <c r="D179" t="s">
        <v>491</v>
      </c>
      <c r="E179" s="35" t="s">
        <v>280</v>
      </c>
      <c r="F179" s="29" t="s">
        <v>492</v>
      </c>
      <c r="G179" s="36">
        <v>33600</v>
      </c>
      <c r="H179" s="36">
        <v>336</v>
      </c>
    </row>
    <row r="180" spans="1:8">
      <c r="A180" s="62">
        <v>136834993162</v>
      </c>
      <c r="B180" t="s">
        <v>4</v>
      </c>
      <c r="C180" s="35" t="s">
        <v>280</v>
      </c>
      <c r="D180" t="s">
        <v>491</v>
      </c>
      <c r="E180" s="35" t="s">
        <v>280</v>
      </c>
      <c r="F180" s="29" t="s">
        <v>492</v>
      </c>
      <c r="G180" s="36">
        <v>28800</v>
      </c>
      <c r="H180" s="36">
        <v>288</v>
      </c>
    </row>
    <row r="181" spans="1:8">
      <c r="A181" s="62">
        <v>136211684499</v>
      </c>
      <c r="B181" t="s">
        <v>263</v>
      </c>
      <c r="C181" s="35" t="s">
        <v>280</v>
      </c>
      <c r="D181" t="s">
        <v>491</v>
      </c>
      <c r="E181" s="35" t="s">
        <v>280</v>
      </c>
      <c r="F181" s="29" t="s">
        <v>492</v>
      </c>
      <c r="G181" s="36">
        <v>8400</v>
      </c>
      <c r="H181" s="36">
        <v>84</v>
      </c>
    </row>
    <row r="182" spans="1:8">
      <c r="A182" s="62">
        <v>136215527717</v>
      </c>
      <c r="B182" t="s">
        <v>4</v>
      </c>
      <c r="C182" s="35" t="s">
        <v>280</v>
      </c>
      <c r="D182" t="s">
        <v>491</v>
      </c>
      <c r="E182" s="35" t="s">
        <v>280</v>
      </c>
      <c r="F182" s="29" t="s">
        <v>492</v>
      </c>
      <c r="G182" s="36">
        <v>9800</v>
      </c>
      <c r="H182" s="36">
        <v>98</v>
      </c>
    </row>
    <row r="183" spans="1:8">
      <c r="A183" s="62">
        <v>136818536256</v>
      </c>
      <c r="B183" t="s">
        <v>263</v>
      </c>
      <c r="C183" s="35" t="s">
        <v>280</v>
      </c>
      <c r="D183" t="s">
        <v>491</v>
      </c>
      <c r="E183" s="35" t="s">
        <v>280</v>
      </c>
      <c r="F183" s="29" t="s">
        <v>492</v>
      </c>
      <c r="G183" s="36">
        <v>8400</v>
      </c>
      <c r="H183" s="36">
        <v>84</v>
      </c>
    </row>
    <row r="184" spans="1:8">
      <c r="A184" s="62">
        <v>136216655895</v>
      </c>
      <c r="B184" t="s">
        <v>4</v>
      </c>
      <c r="C184" s="35" t="s">
        <v>280</v>
      </c>
      <c r="D184" t="s">
        <v>491</v>
      </c>
      <c r="E184" s="35" t="s">
        <v>280</v>
      </c>
      <c r="F184" s="29" t="s">
        <v>492</v>
      </c>
      <c r="G184" s="36">
        <v>74900</v>
      </c>
      <c r="H184" s="36">
        <v>749</v>
      </c>
    </row>
    <row r="185" spans="1:8">
      <c r="A185" s="62">
        <v>136842377166</v>
      </c>
      <c r="B185" t="s">
        <v>4</v>
      </c>
      <c r="C185" s="35" t="s">
        <v>280</v>
      </c>
      <c r="D185" t="s">
        <v>491</v>
      </c>
      <c r="E185" s="35" t="s">
        <v>280</v>
      </c>
      <c r="F185" s="29" t="s">
        <v>492</v>
      </c>
      <c r="G185" s="36">
        <v>45900</v>
      </c>
      <c r="H185" s="36">
        <v>459</v>
      </c>
    </row>
    <row r="186" spans="1:8">
      <c r="A186" s="62">
        <v>136218123829</v>
      </c>
      <c r="B186" t="s">
        <v>263</v>
      </c>
      <c r="C186" s="35" t="s">
        <v>280</v>
      </c>
      <c r="D186" t="s">
        <v>491</v>
      </c>
      <c r="E186" s="35" t="s">
        <v>280</v>
      </c>
      <c r="F186" s="29" t="s">
        <v>492</v>
      </c>
      <c r="G186" s="36">
        <v>35400</v>
      </c>
      <c r="H186" s="36">
        <v>354</v>
      </c>
    </row>
    <row r="187" spans="1:8">
      <c r="A187" s="62">
        <v>136219156717</v>
      </c>
      <c r="B187" t="s">
        <v>4</v>
      </c>
      <c r="C187" s="35" t="s">
        <v>280</v>
      </c>
      <c r="D187" t="s">
        <v>491</v>
      </c>
      <c r="E187" s="35" t="s">
        <v>280</v>
      </c>
      <c r="F187" s="29" t="s">
        <v>492</v>
      </c>
      <c r="G187" s="36">
        <v>30900</v>
      </c>
      <c r="H187" s="36">
        <v>309</v>
      </c>
    </row>
    <row r="188" spans="1:8">
      <c r="A188" s="62">
        <v>136220557227</v>
      </c>
      <c r="B188" t="s">
        <v>4</v>
      </c>
      <c r="C188" s="35" t="s">
        <v>280</v>
      </c>
      <c r="D188" t="s">
        <v>491</v>
      </c>
      <c r="E188" s="35" t="s">
        <v>289</v>
      </c>
      <c r="F188" s="29" t="s">
        <v>492</v>
      </c>
      <c r="G188" s="36">
        <v>40600</v>
      </c>
      <c r="H188" s="36">
        <v>406</v>
      </c>
    </row>
    <row r="189" spans="1:8">
      <c r="A189" s="62">
        <v>136220730559</v>
      </c>
      <c r="B189" t="s">
        <v>4</v>
      </c>
      <c r="C189" s="35" t="s">
        <v>280</v>
      </c>
      <c r="D189" t="s">
        <v>491</v>
      </c>
      <c r="E189" s="35" t="s">
        <v>289</v>
      </c>
      <c r="F189" s="29" t="s">
        <v>492</v>
      </c>
      <c r="G189" s="36">
        <v>67400</v>
      </c>
      <c r="H189" s="36">
        <v>674</v>
      </c>
    </row>
    <row r="190" spans="1:8">
      <c r="A190" s="62">
        <v>136220865009</v>
      </c>
      <c r="B190" t="s">
        <v>4</v>
      </c>
      <c r="C190" s="35" t="s">
        <v>280</v>
      </c>
      <c r="D190" t="s">
        <v>491</v>
      </c>
      <c r="E190" s="35" t="s">
        <v>289</v>
      </c>
      <c r="F190" s="29" t="s">
        <v>492</v>
      </c>
      <c r="G190" s="36">
        <v>108500</v>
      </c>
      <c r="H190" s="36">
        <v>1085</v>
      </c>
    </row>
    <row r="191" spans="1:8">
      <c r="A191" s="62">
        <v>136220881265</v>
      </c>
      <c r="B191" t="s">
        <v>4</v>
      </c>
      <c r="C191" s="35" t="s">
        <v>280</v>
      </c>
      <c r="D191" t="s">
        <v>491</v>
      </c>
      <c r="E191" s="35" t="s">
        <v>289</v>
      </c>
      <c r="F191" s="29" t="s">
        <v>492</v>
      </c>
      <c r="G191" s="36">
        <v>4900</v>
      </c>
      <c r="H191" s="36">
        <v>49</v>
      </c>
    </row>
    <row r="192" spans="1:8">
      <c r="A192" s="62">
        <v>136845876898</v>
      </c>
      <c r="B192" t="s">
        <v>4</v>
      </c>
      <c r="C192" s="35" t="s">
        <v>280</v>
      </c>
      <c r="D192" t="s">
        <v>491</v>
      </c>
      <c r="E192" s="35" t="s">
        <v>289</v>
      </c>
      <c r="F192" s="29" t="s">
        <v>492</v>
      </c>
      <c r="G192" s="36">
        <v>10000</v>
      </c>
      <c r="H192" s="36">
        <v>100</v>
      </c>
    </row>
    <row r="193" spans="1:8">
      <c r="A193" s="62">
        <v>136222531101</v>
      </c>
      <c r="B193" t="s">
        <v>263</v>
      </c>
      <c r="C193" s="35" t="s">
        <v>280</v>
      </c>
      <c r="D193" t="s">
        <v>491</v>
      </c>
      <c r="E193" s="35" t="s">
        <v>289</v>
      </c>
      <c r="F193" s="29" t="s">
        <v>492</v>
      </c>
      <c r="G193" s="36">
        <v>69800</v>
      </c>
      <c r="H193" s="36">
        <v>698</v>
      </c>
    </row>
    <row r="194" spans="1:8">
      <c r="A194" s="62">
        <v>136847009092</v>
      </c>
      <c r="B194" t="s">
        <v>4</v>
      </c>
      <c r="C194" s="35" t="s">
        <v>280</v>
      </c>
      <c r="D194" t="s">
        <v>491</v>
      </c>
      <c r="E194" s="35" t="s">
        <v>289</v>
      </c>
      <c r="F194" s="29" t="s">
        <v>492</v>
      </c>
      <c r="G194" s="36">
        <v>49300</v>
      </c>
      <c r="H194" s="36">
        <v>493</v>
      </c>
    </row>
    <row r="195" spans="1:8">
      <c r="A195" s="62">
        <v>136223253361</v>
      </c>
      <c r="B195" t="s">
        <v>4</v>
      </c>
      <c r="C195" s="35" t="s">
        <v>280</v>
      </c>
      <c r="D195" t="s">
        <v>491</v>
      </c>
      <c r="E195" s="35" t="s">
        <v>289</v>
      </c>
      <c r="F195" s="29" t="s">
        <v>492</v>
      </c>
      <c r="G195" s="36">
        <v>40100</v>
      </c>
      <c r="H195" s="36">
        <v>401</v>
      </c>
    </row>
    <row r="196" spans="1:8">
      <c r="A196" s="62">
        <v>136848149164</v>
      </c>
      <c r="B196" t="s">
        <v>263</v>
      </c>
      <c r="C196" s="35" t="s">
        <v>289</v>
      </c>
      <c r="D196" t="s">
        <v>491</v>
      </c>
      <c r="E196" s="35" t="s">
        <v>289</v>
      </c>
      <c r="F196" s="29" t="s">
        <v>492</v>
      </c>
      <c r="G196" s="36">
        <v>8000</v>
      </c>
      <c r="H196" s="36">
        <v>80</v>
      </c>
    </row>
    <row r="197" spans="1:8">
      <c r="A197" s="62">
        <v>136224867297</v>
      </c>
      <c r="B197" t="s">
        <v>263</v>
      </c>
      <c r="C197" s="35" t="s">
        <v>289</v>
      </c>
      <c r="D197" t="s">
        <v>491</v>
      </c>
      <c r="E197" s="35" t="s">
        <v>289</v>
      </c>
      <c r="F197" s="29" t="s">
        <v>492</v>
      </c>
      <c r="G197" s="36">
        <v>15800</v>
      </c>
      <c r="H197" s="36">
        <v>158</v>
      </c>
    </row>
    <row r="198" spans="1:8">
      <c r="A198" s="62">
        <v>136849120260</v>
      </c>
      <c r="B198" t="s">
        <v>4</v>
      </c>
      <c r="C198" s="35" t="s">
        <v>289</v>
      </c>
      <c r="D198" t="s">
        <v>491</v>
      </c>
      <c r="E198" s="35" t="s">
        <v>289</v>
      </c>
      <c r="F198" s="29" t="s">
        <v>492</v>
      </c>
      <c r="G198" s="36">
        <v>128400</v>
      </c>
      <c r="H198" s="36">
        <v>1284</v>
      </c>
    </row>
    <row r="199" spans="1:8">
      <c r="A199" s="62">
        <v>136203880503</v>
      </c>
      <c r="B199" t="s">
        <v>263</v>
      </c>
      <c r="C199" s="35" t="s">
        <v>280</v>
      </c>
      <c r="D199" t="s">
        <v>491</v>
      </c>
      <c r="E199" s="35" t="s">
        <v>280</v>
      </c>
      <c r="F199" s="29" t="s">
        <v>492</v>
      </c>
      <c r="G199" s="36">
        <v>23800</v>
      </c>
      <c r="H199" s="36">
        <v>238</v>
      </c>
    </row>
    <row r="200" spans="1:8">
      <c r="A200" s="62">
        <v>136225395513</v>
      </c>
      <c r="B200" t="s">
        <v>4</v>
      </c>
      <c r="C200" s="35" t="s">
        <v>289</v>
      </c>
      <c r="D200" t="s">
        <v>491</v>
      </c>
      <c r="E200" s="35" t="s">
        <v>289</v>
      </c>
      <c r="F200" s="29" t="s">
        <v>492</v>
      </c>
      <c r="G200" s="36">
        <v>54800</v>
      </c>
      <c r="H200" s="36">
        <v>548</v>
      </c>
    </row>
    <row r="201" spans="1:8">
      <c r="A201" s="62">
        <v>136850043496</v>
      </c>
      <c r="B201" t="s">
        <v>4</v>
      </c>
      <c r="C201" s="35" t="s">
        <v>289</v>
      </c>
      <c r="D201" t="s">
        <v>491</v>
      </c>
      <c r="E201" s="35" t="s">
        <v>289</v>
      </c>
      <c r="F201" s="29" t="s">
        <v>492</v>
      </c>
      <c r="G201" s="36">
        <v>8200</v>
      </c>
      <c r="H201" s="36">
        <v>82</v>
      </c>
    </row>
    <row r="202" spans="1:8">
      <c r="A202" s="62">
        <v>136225810367</v>
      </c>
      <c r="B202" t="s">
        <v>4</v>
      </c>
      <c r="C202" s="35" t="s">
        <v>289</v>
      </c>
      <c r="D202" t="s">
        <v>491</v>
      </c>
      <c r="E202" s="35" t="s">
        <v>289</v>
      </c>
      <c r="F202" s="29" t="s">
        <v>492</v>
      </c>
      <c r="G202" s="36">
        <v>13600</v>
      </c>
      <c r="H202" s="36">
        <v>136</v>
      </c>
    </row>
    <row r="203" spans="1:8">
      <c r="A203" s="62">
        <v>136851154852</v>
      </c>
      <c r="B203" t="s">
        <v>263</v>
      </c>
      <c r="C203" s="35" t="s">
        <v>289</v>
      </c>
      <c r="D203" t="s">
        <v>491</v>
      </c>
      <c r="E203" s="35" t="s">
        <v>289</v>
      </c>
      <c r="F203" s="29" t="s">
        <v>492</v>
      </c>
      <c r="G203" s="36">
        <v>16500</v>
      </c>
      <c r="H203" s="36">
        <v>165</v>
      </c>
    </row>
    <row r="204" spans="1:8">
      <c r="A204" s="62">
        <v>136851820766</v>
      </c>
      <c r="B204" t="s">
        <v>4</v>
      </c>
      <c r="C204" s="35" t="s">
        <v>289</v>
      </c>
      <c r="D204" t="s">
        <v>491</v>
      </c>
      <c r="E204" s="35" t="s">
        <v>289</v>
      </c>
      <c r="F204" s="29" t="s">
        <v>492</v>
      </c>
      <c r="G204" s="36">
        <v>11000</v>
      </c>
      <c r="H204" s="36">
        <v>110</v>
      </c>
    </row>
    <row r="205" spans="1:8">
      <c r="A205" s="62">
        <v>136206758325</v>
      </c>
      <c r="B205" t="s">
        <v>4</v>
      </c>
      <c r="C205" s="35" t="s">
        <v>280</v>
      </c>
      <c r="D205" t="s">
        <v>491</v>
      </c>
      <c r="E205" s="35" t="s">
        <v>280</v>
      </c>
      <c r="F205" s="29" t="s">
        <v>492</v>
      </c>
      <c r="G205" s="36">
        <v>79200</v>
      </c>
      <c r="H205" s="36">
        <v>792</v>
      </c>
    </row>
    <row r="206" spans="1:8">
      <c r="A206" s="62">
        <v>136228392459</v>
      </c>
      <c r="B206" t="s">
        <v>263</v>
      </c>
      <c r="C206" s="35" t="s">
        <v>289</v>
      </c>
      <c r="D206" t="s">
        <v>491</v>
      </c>
      <c r="E206" s="35" t="s">
        <v>289</v>
      </c>
      <c r="F206" s="29" t="s">
        <v>492</v>
      </c>
      <c r="G206" s="36">
        <v>9600</v>
      </c>
      <c r="H206" s="36">
        <v>96</v>
      </c>
    </row>
    <row r="207" spans="1:8">
      <c r="A207" s="62">
        <v>136206659707</v>
      </c>
      <c r="B207" t="s">
        <v>4</v>
      </c>
      <c r="C207" s="35" t="s">
        <v>280</v>
      </c>
      <c r="D207" t="s">
        <v>491</v>
      </c>
      <c r="E207" s="35" t="s">
        <v>280</v>
      </c>
      <c r="F207" s="29" t="s">
        <v>492</v>
      </c>
      <c r="G207" s="36">
        <v>35800</v>
      </c>
      <c r="H207" s="36">
        <v>358</v>
      </c>
    </row>
    <row r="208" spans="1:8">
      <c r="A208" s="62">
        <v>136852498300</v>
      </c>
      <c r="B208" t="s">
        <v>4</v>
      </c>
      <c r="C208" s="35" t="s">
        <v>289</v>
      </c>
      <c r="D208" t="s">
        <v>491</v>
      </c>
      <c r="E208" s="35" t="s">
        <v>289</v>
      </c>
      <c r="F208" s="29" t="s">
        <v>492</v>
      </c>
      <c r="G208" s="36">
        <v>50900</v>
      </c>
      <c r="H208" s="36">
        <v>509</v>
      </c>
    </row>
    <row r="209" spans="1:8">
      <c r="A209" s="62">
        <v>136852538278</v>
      </c>
      <c r="B209" t="s">
        <v>4</v>
      </c>
      <c r="C209" s="35" t="s">
        <v>289</v>
      </c>
      <c r="D209" t="s">
        <v>491</v>
      </c>
      <c r="E209" s="35" t="s">
        <v>289</v>
      </c>
      <c r="F209" s="29" t="s">
        <v>492</v>
      </c>
      <c r="G209" s="36">
        <v>40000</v>
      </c>
      <c r="H209" s="36">
        <v>400</v>
      </c>
    </row>
    <row r="210" spans="1:8">
      <c r="A210" s="62">
        <v>136228863049</v>
      </c>
      <c r="B210" t="s">
        <v>4</v>
      </c>
      <c r="C210" s="35" t="s">
        <v>289</v>
      </c>
      <c r="D210" t="s">
        <v>491</v>
      </c>
      <c r="E210" s="35" t="s">
        <v>289</v>
      </c>
      <c r="F210" s="29" t="s">
        <v>492</v>
      </c>
      <c r="G210" s="36">
        <v>23400</v>
      </c>
      <c r="H210" s="36">
        <v>234</v>
      </c>
    </row>
    <row r="211" spans="1:8">
      <c r="A211" s="62">
        <v>136853412720</v>
      </c>
      <c r="B211" t="s">
        <v>4</v>
      </c>
      <c r="C211" s="35" t="s">
        <v>289</v>
      </c>
      <c r="D211" t="s">
        <v>491</v>
      </c>
      <c r="E211" s="35" t="s">
        <v>289</v>
      </c>
      <c r="F211" s="29" t="s">
        <v>492</v>
      </c>
      <c r="G211" s="36">
        <v>8900</v>
      </c>
      <c r="H211" s="36">
        <v>89</v>
      </c>
    </row>
    <row r="212" spans="1:8">
      <c r="A212" s="62">
        <v>136853256074</v>
      </c>
      <c r="B212" t="s">
        <v>4</v>
      </c>
      <c r="C212" s="35" t="s">
        <v>289</v>
      </c>
      <c r="D212" t="s">
        <v>491</v>
      </c>
      <c r="E212" s="35" t="s">
        <v>289</v>
      </c>
      <c r="F212" s="29" t="s">
        <v>492</v>
      </c>
      <c r="G212" s="36">
        <v>4600</v>
      </c>
      <c r="H212" s="36">
        <v>46</v>
      </c>
    </row>
    <row r="213" spans="1:8">
      <c r="A213" s="62">
        <v>136832417604</v>
      </c>
      <c r="B213" t="s">
        <v>263</v>
      </c>
      <c r="C213" s="35" t="s">
        <v>280</v>
      </c>
      <c r="D213" t="s">
        <v>491</v>
      </c>
      <c r="E213" s="35" t="s">
        <v>280</v>
      </c>
      <c r="F213" s="29" t="s">
        <v>492</v>
      </c>
      <c r="G213" s="36">
        <v>9800</v>
      </c>
      <c r="H213" s="36">
        <v>98</v>
      </c>
    </row>
    <row r="214" spans="1:8">
      <c r="A214" s="62">
        <v>136832854604</v>
      </c>
      <c r="B214" t="s">
        <v>4</v>
      </c>
      <c r="C214" s="35" t="s">
        <v>280</v>
      </c>
      <c r="D214" t="s">
        <v>491</v>
      </c>
      <c r="E214" s="35" t="s">
        <v>280</v>
      </c>
      <c r="F214" s="29" t="s">
        <v>492</v>
      </c>
      <c r="G214" s="36">
        <v>45900</v>
      </c>
      <c r="H214" s="36">
        <v>459</v>
      </c>
    </row>
    <row r="215" spans="1:8">
      <c r="A215" s="62">
        <v>136833574628</v>
      </c>
      <c r="B215" t="s">
        <v>263</v>
      </c>
      <c r="C215" s="35" t="s">
        <v>280</v>
      </c>
      <c r="D215" t="s">
        <v>491</v>
      </c>
      <c r="E215" s="35" t="s">
        <v>280</v>
      </c>
      <c r="F215" s="29" t="s">
        <v>492</v>
      </c>
      <c r="G215" s="36">
        <v>16700</v>
      </c>
      <c r="H215" s="36">
        <v>167</v>
      </c>
    </row>
    <row r="216" spans="1:8">
      <c r="A216" s="62">
        <v>136834634474</v>
      </c>
      <c r="B216" t="s">
        <v>4</v>
      </c>
      <c r="C216" s="35" t="s">
        <v>280</v>
      </c>
      <c r="D216" t="s">
        <v>491</v>
      </c>
      <c r="E216" s="35" t="s">
        <v>280</v>
      </c>
      <c r="F216" s="29" t="s">
        <v>492</v>
      </c>
      <c r="G216" s="36">
        <v>56700</v>
      </c>
      <c r="H216" s="36">
        <v>567</v>
      </c>
    </row>
    <row r="217" spans="1:8">
      <c r="A217" s="62">
        <v>136210130003</v>
      </c>
      <c r="B217" t="s">
        <v>263</v>
      </c>
      <c r="C217" s="35" t="s">
        <v>280</v>
      </c>
      <c r="D217" t="s">
        <v>491</v>
      </c>
      <c r="E217" s="35" t="s">
        <v>280</v>
      </c>
      <c r="F217" s="29" t="s">
        <v>492</v>
      </c>
      <c r="G217" s="36">
        <v>9600</v>
      </c>
      <c r="H217" s="36">
        <v>96</v>
      </c>
    </row>
    <row r="218" spans="1:8">
      <c r="A218" s="62">
        <v>136213897005</v>
      </c>
      <c r="B218" t="s">
        <v>4</v>
      </c>
      <c r="C218" s="35" t="s">
        <v>280</v>
      </c>
      <c r="D218" t="s">
        <v>491</v>
      </c>
      <c r="E218" s="35" t="s">
        <v>280</v>
      </c>
      <c r="F218" s="29" t="s">
        <v>492</v>
      </c>
      <c r="G218" s="36">
        <v>28600</v>
      </c>
      <c r="H218" s="36">
        <v>286</v>
      </c>
    </row>
    <row r="219" spans="1:8">
      <c r="A219" s="62">
        <v>136838943248</v>
      </c>
      <c r="B219" t="s">
        <v>4</v>
      </c>
      <c r="C219" s="35" t="s">
        <v>280</v>
      </c>
      <c r="D219" t="s">
        <v>491</v>
      </c>
      <c r="E219" s="35" t="s">
        <v>280</v>
      </c>
      <c r="F219" s="29" t="s">
        <v>492</v>
      </c>
      <c r="G219" s="36">
        <v>55200</v>
      </c>
      <c r="H219" s="36">
        <v>552</v>
      </c>
    </row>
    <row r="220" spans="1:8">
      <c r="A220" s="62">
        <v>136841338408</v>
      </c>
      <c r="B220" t="s">
        <v>263</v>
      </c>
      <c r="C220" s="35" t="s">
        <v>280</v>
      </c>
      <c r="D220" t="s">
        <v>491</v>
      </c>
      <c r="E220" s="35" t="s">
        <v>280</v>
      </c>
      <c r="F220" s="29" t="s">
        <v>492</v>
      </c>
      <c r="G220" s="36">
        <v>30400</v>
      </c>
      <c r="H220" s="36">
        <v>304</v>
      </c>
    </row>
    <row r="221" spans="1:8">
      <c r="A221" s="62">
        <v>136218385685</v>
      </c>
      <c r="B221" t="s">
        <v>263</v>
      </c>
      <c r="C221" s="35" t="s">
        <v>280</v>
      </c>
      <c r="D221" t="s">
        <v>491</v>
      </c>
      <c r="E221" s="35" t="s">
        <v>280</v>
      </c>
      <c r="F221" s="29" t="s">
        <v>492</v>
      </c>
      <c r="G221" s="36">
        <v>11900</v>
      </c>
      <c r="H221" s="36">
        <v>119</v>
      </c>
    </row>
    <row r="222" spans="1:8">
      <c r="A222" s="62">
        <v>136219694583</v>
      </c>
      <c r="B222" t="s">
        <v>4</v>
      </c>
      <c r="C222" s="35" t="s">
        <v>280</v>
      </c>
      <c r="D222" t="s">
        <v>491</v>
      </c>
      <c r="E222" s="35" t="s">
        <v>280</v>
      </c>
      <c r="F222" s="29" t="s">
        <v>492</v>
      </c>
      <c r="G222" s="36">
        <v>13800</v>
      </c>
      <c r="H222" s="36">
        <v>138</v>
      </c>
    </row>
    <row r="223" spans="1:8">
      <c r="A223" s="62">
        <v>136219721357</v>
      </c>
      <c r="B223" t="s">
        <v>4</v>
      </c>
      <c r="C223" s="35" t="s">
        <v>280</v>
      </c>
      <c r="D223" t="s">
        <v>491</v>
      </c>
      <c r="E223" s="35" t="s">
        <v>280</v>
      </c>
      <c r="F223" s="29" t="s">
        <v>492</v>
      </c>
      <c r="G223" s="36">
        <v>47400</v>
      </c>
      <c r="H223" s="36">
        <v>474</v>
      </c>
    </row>
    <row r="224" spans="1:8">
      <c r="A224" s="62">
        <v>136220079091</v>
      </c>
      <c r="B224" t="s">
        <v>4</v>
      </c>
      <c r="C224" s="35" t="s">
        <v>280</v>
      </c>
      <c r="D224" t="s">
        <v>491</v>
      </c>
      <c r="E224" s="35" t="s">
        <v>289</v>
      </c>
      <c r="F224" s="29" t="s">
        <v>492</v>
      </c>
      <c r="G224" s="36">
        <v>40500</v>
      </c>
      <c r="H224" s="36">
        <v>405</v>
      </c>
    </row>
    <row r="225" spans="1:8">
      <c r="A225" s="62">
        <v>136220272599</v>
      </c>
      <c r="B225" t="s">
        <v>263</v>
      </c>
      <c r="C225" s="35" t="s">
        <v>280</v>
      </c>
      <c r="D225" t="s">
        <v>491</v>
      </c>
      <c r="E225" s="35" t="s">
        <v>289</v>
      </c>
      <c r="F225" s="29" t="s">
        <v>492</v>
      </c>
      <c r="G225" s="36">
        <v>78500</v>
      </c>
      <c r="H225" s="36">
        <v>785</v>
      </c>
    </row>
    <row r="226" spans="1:8">
      <c r="A226" s="62">
        <v>136221145509</v>
      </c>
      <c r="B226" t="s">
        <v>4</v>
      </c>
      <c r="C226" s="35" t="s">
        <v>280</v>
      </c>
      <c r="D226" t="s">
        <v>491</v>
      </c>
      <c r="E226" s="35" t="s">
        <v>289</v>
      </c>
      <c r="F226" s="29" t="s">
        <v>492</v>
      </c>
      <c r="G226" s="36">
        <v>39200</v>
      </c>
      <c r="H226" s="36">
        <v>392</v>
      </c>
    </row>
    <row r="227" spans="1:8">
      <c r="A227" s="62">
        <v>136221829339</v>
      </c>
      <c r="B227" t="s">
        <v>4</v>
      </c>
      <c r="C227" s="35" t="s">
        <v>280</v>
      </c>
      <c r="D227" t="s">
        <v>491</v>
      </c>
      <c r="E227" s="35" t="s">
        <v>289</v>
      </c>
      <c r="F227" s="29" t="s">
        <v>492</v>
      </c>
      <c r="G227" s="36">
        <v>67000</v>
      </c>
      <c r="H227" s="36">
        <v>670</v>
      </c>
    </row>
    <row r="228" spans="1:8">
      <c r="A228" s="62">
        <v>136847414214</v>
      </c>
      <c r="B228" t="s">
        <v>263</v>
      </c>
      <c r="C228" s="35" t="s">
        <v>280</v>
      </c>
      <c r="D228" t="s">
        <v>491</v>
      </c>
      <c r="E228" s="35" t="s">
        <v>289</v>
      </c>
      <c r="F228" s="29" t="s">
        <v>492</v>
      </c>
      <c r="G228" s="36">
        <v>125900</v>
      </c>
      <c r="H228" s="36">
        <v>1259</v>
      </c>
    </row>
    <row r="229" spans="1:8">
      <c r="A229" s="62">
        <v>136223962251</v>
      </c>
      <c r="B229" t="s">
        <v>4</v>
      </c>
      <c r="C229" s="35" t="s">
        <v>280</v>
      </c>
      <c r="D229" t="s">
        <v>491</v>
      </c>
      <c r="E229" s="35" t="s">
        <v>289</v>
      </c>
      <c r="F229" s="29" t="s">
        <v>492</v>
      </c>
      <c r="G229" s="36">
        <v>4800</v>
      </c>
      <c r="H229" s="36">
        <v>48</v>
      </c>
    </row>
    <row r="230" spans="1:8">
      <c r="A230" s="62">
        <v>136847902518</v>
      </c>
      <c r="B230" t="s">
        <v>4</v>
      </c>
      <c r="C230" s="35" t="s">
        <v>280</v>
      </c>
      <c r="D230" t="s">
        <v>491</v>
      </c>
      <c r="E230" s="35" t="s">
        <v>289</v>
      </c>
      <c r="F230" s="29" t="s">
        <v>492</v>
      </c>
      <c r="G230" s="36">
        <v>35000</v>
      </c>
      <c r="H230" s="36">
        <v>350</v>
      </c>
    </row>
    <row r="231" spans="1:8">
      <c r="A231" s="62">
        <v>136224880879</v>
      </c>
      <c r="B231" t="s">
        <v>263</v>
      </c>
      <c r="C231" s="35" t="s">
        <v>289</v>
      </c>
      <c r="D231" t="s">
        <v>491</v>
      </c>
      <c r="E231" s="35" t="s">
        <v>289</v>
      </c>
      <c r="F231" s="29" t="s">
        <v>492</v>
      </c>
      <c r="G231" s="36">
        <v>30300</v>
      </c>
      <c r="H231" s="36">
        <v>303</v>
      </c>
    </row>
    <row r="232" spans="1:8">
      <c r="A232" s="62">
        <v>136849253616</v>
      </c>
      <c r="B232" t="s">
        <v>4</v>
      </c>
      <c r="C232" s="35" t="s">
        <v>289</v>
      </c>
      <c r="D232" t="s">
        <v>491</v>
      </c>
      <c r="E232" s="35" t="s">
        <v>289</v>
      </c>
      <c r="F232" s="29" t="s">
        <v>492</v>
      </c>
      <c r="G232" s="36">
        <v>27000</v>
      </c>
      <c r="H232" s="36">
        <v>270</v>
      </c>
    </row>
    <row r="233" spans="1:8">
      <c r="A233" s="62">
        <v>136225228919</v>
      </c>
      <c r="B233" t="s">
        <v>263</v>
      </c>
      <c r="C233" s="35" t="s">
        <v>289</v>
      </c>
      <c r="D233" t="s">
        <v>491</v>
      </c>
      <c r="E233" s="35" t="s">
        <v>289</v>
      </c>
      <c r="F233" s="29" t="s">
        <v>492</v>
      </c>
      <c r="G233" s="36">
        <v>18600</v>
      </c>
      <c r="H233" s="36">
        <v>186</v>
      </c>
    </row>
    <row r="234" spans="1:8">
      <c r="A234" s="62">
        <v>136226252295</v>
      </c>
      <c r="B234" t="s">
        <v>4</v>
      </c>
      <c r="C234" s="35" t="s">
        <v>289</v>
      </c>
      <c r="D234" t="s">
        <v>491</v>
      </c>
      <c r="E234" s="35" t="s">
        <v>289</v>
      </c>
      <c r="F234" s="29" t="s">
        <v>492</v>
      </c>
      <c r="G234" s="36">
        <v>39900</v>
      </c>
      <c r="H234" s="36">
        <v>399</v>
      </c>
    </row>
    <row r="235" spans="1:8">
      <c r="A235" s="62">
        <v>136852576368</v>
      </c>
      <c r="B235" t="s">
        <v>4</v>
      </c>
      <c r="C235" s="35" t="s">
        <v>289</v>
      </c>
      <c r="D235" t="s">
        <v>491</v>
      </c>
      <c r="E235" s="35" t="s">
        <v>289</v>
      </c>
      <c r="F235" s="29" t="s">
        <v>492</v>
      </c>
      <c r="G235" s="36">
        <v>23500</v>
      </c>
      <c r="H235" s="36">
        <v>235</v>
      </c>
    </row>
    <row r="236" spans="1:8">
      <c r="A236" s="62">
        <v>136853004650</v>
      </c>
      <c r="B236" t="s">
        <v>263</v>
      </c>
      <c r="C236" s="35" t="s">
        <v>289</v>
      </c>
      <c r="D236" t="s">
        <v>491</v>
      </c>
      <c r="E236" s="35" t="s">
        <v>289</v>
      </c>
      <c r="F236" s="29" t="s">
        <v>492</v>
      </c>
      <c r="G236" s="36">
        <v>12800</v>
      </c>
      <c r="H236" s="36">
        <v>128</v>
      </c>
    </row>
    <row r="237" spans="1:8">
      <c r="A237" s="62">
        <v>136229026095</v>
      </c>
      <c r="B237" t="s">
        <v>4</v>
      </c>
      <c r="C237" s="35" t="s">
        <v>289</v>
      </c>
      <c r="D237" t="s">
        <v>491</v>
      </c>
      <c r="E237" s="35" t="s">
        <v>289</v>
      </c>
      <c r="F237" s="29" t="s">
        <v>492</v>
      </c>
      <c r="G237" s="36">
        <v>11000</v>
      </c>
      <c r="H237" s="36">
        <v>110</v>
      </c>
    </row>
    <row r="238" spans="1:8">
      <c r="A238" s="62">
        <v>136853257216</v>
      </c>
      <c r="B238" t="s">
        <v>263</v>
      </c>
      <c r="C238" s="35" t="s">
        <v>289</v>
      </c>
      <c r="D238" t="s">
        <v>491</v>
      </c>
      <c r="E238" s="35" t="s">
        <v>289</v>
      </c>
      <c r="F238" s="29" t="s">
        <v>492</v>
      </c>
      <c r="G238" s="36">
        <v>9600</v>
      </c>
      <c r="H238" s="36">
        <v>96</v>
      </c>
    </row>
    <row r="239" spans="1:8">
      <c r="A239" s="62">
        <v>136853330906</v>
      </c>
      <c r="B239" t="s">
        <v>4</v>
      </c>
      <c r="C239" s="35" t="s">
        <v>289</v>
      </c>
      <c r="D239" t="s">
        <v>491</v>
      </c>
      <c r="E239" s="35" t="s">
        <v>289</v>
      </c>
      <c r="F239" s="29" t="s">
        <v>492</v>
      </c>
      <c r="G239" s="36">
        <v>24100</v>
      </c>
      <c r="H239" s="36">
        <v>241</v>
      </c>
    </row>
    <row r="240" spans="1:8">
      <c r="A240" s="62">
        <v>136853572472</v>
      </c>
      <c r="B240" t="s">
        <v>4</v>
      </c>
      <c r="C240" s="35" t="s">
        <v>289</v>
      </c>
      <c r="D240" t="s">
        <v>491</v>
      </c>
      <c r="E240" s="35" t="s">
        <v>289</v>
      </c>
      <c r="F240" s="29" t="s">
        <v>492</v>
      </c>
      <c r="G240" s="36">
        <v>23800</v>
      </c>
      <c r="H240" s="36">
        <v>238</v>
      </c>
    </row>
    <row r="241" spans="1:8">
      <c r="A241" s="62">
        <v>136229366917</v>
      </c>
      <c r="B241" t="s">
        <v>263</v>
      </c>
      <c r="C241" s="35" t="s">
        <v>289</v>
      </c>
      <c r="D241" t="s">
        <v>491</v>
      </c>
      <c r="E241" s="35" t="s">
        <v>289</v>
      </c>
      <c r="F241" s="29" t="s">
        <v>492</v>
      </c>
      <c r="G241" s="36">
        <v>19400</v>
      </c>
      <c r="H241" s="36">
        <v>194</v>
      </c>
    </row>
    <row r="242" spans="1:8">
      <c r="A242" s="62">
        <v>136932804102</v>
      </c>
      <c r="B242" t="s">
        <v>4</v>
      </c>
      <c r="C242" s="35" t="s">
        <v>289</v>
      </c>
      <c r="D242" t="s">
        <v>491</v>
      </c>
      <c r="E242" s="35" t="s">
        <v>289</v>
      </c>
      <c r="F242" s="29" t="s">
        <v>492</v>
      </c>
      <c r="G242" s="36">
        <v>19600</v>
      </c>
      <c r="H242" s="36">
        <v>196</v>
      </c>
    </row>
    <row r="243" spans="1:8">
      <c r="A243" s="62">
        <v>136308302633</v>
      </c>
      <c r="B243" t="s">
        <v>4</v>
      </c>
      <c r="C243" s="35" t="s">
        <v>289</v>
      </c>
      <c r="D243" t="s">
        <v>491</v>
      </c>
      <c r="E243" s="35" t="s">
        <v>289</v>
      </c>
      <c r="F243" s="29" t="s">
        <v>492</v>
      </c>
      <c r="G243" s="36">
        <v>14500</v>
      </c>
      <c r="H243" s="36">
        <v>145</v>
      </c>
    </row>
    <row r="244" spans="1:8">
      <c r="A244" s="62">
        <v>136310829977</v>
      </c>
      <c r="B244" t="s">
        <v>4</v>
      </c>
      <c r="C244" s="35" t="s">
        <v>289</v>
      </c>
      <c r="D244" t="s">
        <v>491</v>
      </c>
      <c r="E244" s="35" t="s">
        <v>289</v>
      </c>
      <c r="F244" s="29" t="s">
        <v>492</v>
      </c>
      <c r="G244" s="36">
        <v>11600</v>
      </c>
      <c r="H244" s="36">
        <v>116</v>
      </c>
    </row>
    <row r="245" spans="1:8">
      <c r="A245" s="62">
        <v>136317195527</v>
      </c>
      <c r="B245" t="s">
        <v>4</v>
      </c>
      <c r="C245" s="35" t="s">
        <v>289</v>
      </c>
      <c r="D245" t="s">
        <v>491</v>
      </c>
      <c r="E245" s="35" t="s">
        <v>289</v>
      </c>
      <c r="F245" s="29" t="s">
        <v>492</v>
      </c>
      <c r="G245" s="36">
        <v>17250</v>
      </c>
      <c r="H245" s="36">
        <v>172.5</v>
      </c>
    </row>
    <row r="246" spans="1:8">
      <c r="A246" s="62">
        <v>136319101835</v>
      </c>
      <c r="B246" t="s">
        <v>4</v>
      </c>
      <c r="C246" s="35" t="s">
        <v>289</v>
      </c>
      <c r="D246" t="s">
        <v>491</v>
      </c>
      <c r="E246" s="35" t="s">
        <v>289</v>
      </c>
      <c r="F246" s="29" t="s">
        <v>492</v>
      </c>
      <c r="G246" s="36">
        <v>9600</v>
      </c>
      <c r="H246" s="36">
        <v>96</v>
      </c>
    </row>
    <row r="247" spans="1:8">
      <c r="A247" s="62">
        <v>136943872826</v>
      </c>
      <c r="B247" t="s">
        <v>4</v>
      </c>
      <c r="C247" s="35" t="s">
        <v>289</v>
      </c>
      <c r="D247" t="s">
        <v>491</v>
      </c>
      <c r="E247" s="35" t="s">
        <v>289</v>
      </c>
      <c r="F247" s="29" t="s">
        <v>492</v>
      </c>
      <c r="G247" s="36">
        <v>28200</v>
      </c>
      <c r="H247" s="36">
        <v>282</v>
      </c>
    </row>
    <row r="248" spans="1:8">
      <c r="A248" s="62">
        <v>136944124048</v>
      </c>
      <c r="B248" t="s">
        <v>4</v>
      </c>
      <c r="C248" s="35" t="s">
        <v>289</v>
      </c>
      <c r="D248" t="s">
        <v>491</v>
      </c>
      <c r="E248" s="35" t="s">
        <v>289</v>
      </c>
      <c r="F248" s="29" t="s">
        <v>492</v>
      </c>
      <c r="G248" s="36">
        <v>8900</v>
      </c>
      <c r="H248" s="36">
        <v>89</v>
      </c>
    </row>
    <row r="249" spans="1:8">
      <c r="A249" s="62">
        <v>136319916303</v>
      </c>
      <c r="B249" t="s">
        <v>4</v>
      </c>
      <c r="C249" s="35" t="s">
        <v>289</v>
      </c>
      <c r="D249" t="s">
        <v>491</v>
      </c>
      <c r="E249" s="35" t="s">
        <v>289</v>
      </c>
      <c r="F249" s="29" t="s">
        <v>492</v>
      </c>
      <c r="G249" s="36">
        <v>62800</v>
      </c>
      <c r="H249" s="36">
        <v>628</v>
      </c>
    </row>
    <row r="250" spans="1:8">
      <c r="A250" s="62">
        <v>136945689714</v>
      </c>
      <c r="B250" t="s">
        <v>4</v>
      </c>
      <c r="C250" s="35" t="s">
        <v>289</v>
      </c>
      <c r="D250" t="s">
        <v>491</v>
      </c>
      <c r="E250" s="35" t="s">
        <v>289</v>
      </c>
      <c r="F250" s="29" t="s">
        <v>492</v>
      </c>
      <c r="G250" s="36">
        <v>45400</v>
      </c>
      <c r="H250" s="36">
        <v>454</v>
      </c>
    </row>
    <row r="251" spans="1:8">
      <c r="A251" s="62">
        <v>136321226061</v>
      </c>
      <c r="B251" t="s">
        <v>4</v>
      </c>
      <c r="C251" s="35" t="s">
        <v>289</v>
      </c>
      <c r="D251" t="s">
        <v>491</v>
      </c>
      <c r="E251" s="35" t="s">
        <v>289</v>
      </c>
      <c r="F251" s="29" t="s">
        <v>492</v>
      </c>
      <c r="G251" s="36">
        <v>46200</v>
      </c>
      <c r="H251" s="36">
        <v>462</v>
      </c>
    </row>
    <row r="252" spans="1:8">
      <c r="A252" s="62">
        <v>136946176762</v>
      </c>
      <c r="B252" t="s">
        <v>263</v>
      </c>
      <c r="C252" s="35" t="s">
        <v>289</v>
      </c>
      <c r="D252" t="s">
        <v>491</v>
      </c>
      <c r="E252" s="35" t="s">
        <v>289</v>
      </c>
      <c r="F252" s="29" t="s">
        <v>492</v>
      </c>
      <c r="G252" s="36">
        <v>81100</v>
      </c>
      <c r="H252" s="36">
        <v>811</v>
      </c>
    </row>
    <row r="253" spans="1:8">
      <c r="A253" s="62">
        <v>136946271262</v>
      </c>
      <c r="B253" t="s">
        <v>4</v>
      </c>
      <c r="C253" s="35" t="s">
        <v>289</v>
      </c>
      <c r="D253" t="s">
        <v>491</v>
      </c>
      <c r="E253" s="35" t="s">
        <v>289</v>
      </c>
      <c r="F253" s="29" t="s">
        <v>492</v>
      </c>
      <c r="G253" s="36">
        <v>4800</v>
      </c>
      <c r="H253" s="36">
        <v>48</v>
      </c>
    </row>
    <row r="254" spans="1:8">
      <c r="A254" s="62">
        <v>136324281207</v>
      </c>
      <c r="B254" t="s">
        <v>263</v>
      </c>
      <c r="C254" s="35" t="s">
        <v>289</v>
      </c>
      <c r="D254" t="s">
        <v>491</v>
      </c>
      <c r="E254" s="35" t="s">
        <v>289</v>
      </c>
      <c r="F254" s="29" t="s">
        <v>492</v>
      </c>
      <c r="G254" s="36">
        <v>39700</v>
      </c>
      <c r="H254" s="36">
        <v>397</v>
      </c>
    </row>
    <row r="255" spans="1:8">
      <c r="A255" s="62">
        <v>136324797799</v>
      </c>
      <c r="B255" t="s">
        <v>263</v>
      </c>
      <c r="C255" s="35" t="s">
        <v>289</v>
      </c>
      <c r="D255" t="s">
        <v>491</v>
      </c>
      <c r="E255" s="35" t="s">
        <v>289</v>
      </c>
      <c r="F255" s="29" t="s">
        <v>492</v>
      </c>
      <c r="G255" s="36">
        <v>40300</v>
      </c>
      <c r="H255" s="36">
        <v>403</v>
      </c>
    </row>
    <row r="256" spans="1:8">
      <c r="A256" s="62">
        <v>136325278171</v>
      </c>
      <c r="B256" t="s">
        <v>263</v>
      </c>
      <c r="C256" s="35" t="s">
        <v>289</v>
      </c>
      <c r="D256" t="s">
        <v>491</v>
      </c>
      <c r="E256" s="35" t="s">
        <v>289</v>
      </c>
      <c r="F256" s="29" t="s">
        <v>492</v>
      </c>
      <c r="G256" s="36">
        <v>9800</v>
      </c>
      <c r="H256" s="36">
        <v>98</v>
      </c>
    </row>
    <row r="257" spans="1:8">
      <c r="A257" s="62">
        <v>136950108244</v>
      </c>
      <c r="B257" t="s">
        <v>4</v>
      </c>
      <c r="C257" s="35" t="s">
        <v>289</v>
      </c>
      <c r="D257" t="s">
        <v>491</v>
      </c>
      <c r="E257" s="35" t="s">
        <v>289</v>
      </c>
      <c r="F257" s="29" t="s">
        <v>492</v>
      </c>
      <c r="G257" s="36">
        <v>10300</v>
      </c>
      <c r="H257" s="36">
        <v>103</v>
      </c>
    </row>
    <row r="258" spans="1:8">
      <c r="A258" s="62">
        <v>136950669354</v>
      </c>
      <c r="B258" t="s">
        <v>263</v>
      </c>
      <c r="C258" s="35" t="s">
        <v>289</v>
      </c>
      <c r="D258" t="s">
        <v>491</v>
      </c>
      <c r="E258" s="35" t="s">
        <v>289</v>
      </c>
      <c r="F258" s="29" t="s">
        <v>492</v>
      </c>
      <c r="G258" s="36">
        <v>36600</v>
      </c>
      <c r="H258" s="36">
        <v>366</v>
      </c>
    </row>
    <row r="259" spans="1:8">
      <c r="A259" s="62">
        <v>136326731001</v>
      </c>
      <c r="B259" t="s">
        <v>4</v>
      </c>
      <c r="C259" s="35" t="s">
        <v>289</v>
      </c>
      <c r="D259" t="s">
        <v>491</v>
      </c>
      <c r="E259" s="35" t="s">
        <v>289</v>
      </c>
      <c r="F259" s="29" t="s">
        <v>492</v>
      </c>
      <c r="G259" s="36">
        <v>11900</v>
      </c>
      <c r="H259" s="36">
        <v>119</v>
      </c>
    </row>
    <row r="260" spans="1:8">
      <c r="A260" s="62">
        <v>136327286571</v>
      </c>
      <c r="B260" t="s">
        <v>4</v>
      </c>
      <c r="C260" s="35" t="s">
        <v>289</v>
      </c>
      <c r="D260" t="s">
        <v>491</v>
      </c>
      <c r="E260" s="35" t="s">
        <v>289</v>
      </c>
      <c r="F260" s="29" t="s">
        <v>492</v>
      </c>
      <c r="G260" s="36">
        <v>19900</v>
      </c>
      <c r="H260" s="36">
        <v>199</v>
      </c>
    </row>
    <row r="261" spans="1:8">
      <c r="A261" s="62">
        <v>136952289620</v>
      </c>
      <c r="B261" t="s">
        <v>4</v>
      </c>
      <c r="C261" s="35" t="s">
        <v>289</v>
      </c>
      <c r="D261" t="s">
        <v>491</v>
      </c>
      <c r="E261" s="35" t="s">
        <v>289</v>
      </c>
      <c r="F261" s="29" t="s">
        <v>492</v>
      </c>
      <c r="G261" s="36">
        <v>4900</v>
      </c>
      <c r="H261" s="36">
        <v>49</v>
      </c>
    </row>
    <row r="262" spans="1:8">
      <c r="A262" s="62">
        <v>136328449873</v>
      </c>
      <c r="B262" t="s">
        <v>4</v>
      </c>
      <c r="C262" s="35" t="s">
        <v>289</v>
      </c>
      <c r="D262" t="s">
        <v>491</v>
      </c>
      <c r="E262" s="35" t="s">
        <v>289</v>
      </c>
      <c r="F262" s="29" t="s">
        <v>492</v>
      </c>
      <c r="G262" s="36">
        <v>145100</v>
      </c>
      <c r="H262" s="36">
        <v>1451</v>
      </c>
    </row>
    <row r="263" spans="1:8">
      <c r="A263" s="62">
        <v>136307742213</v>
      </c>
      <c r="B263" t="s">
        <v>4</v>
      </c>
      <c r="C263" s="35" t="s">
        <v>289</v>
      </c>
      <c r="D263" t="s">
        <v>491</v>
      </c>
      <c r="E263" s="35" t="s">
        <v>289</v>
      </c>
      <c r="F263" s="29" t="s">
        <v>492</v>
      </c>
      <c r="G263" s="36">
        <v>14200</v>
      </c>
      <c r="H263" s="36">
        <v>142</v>
      </c>
    </row>
    <row r="264" spans="1:8">
      <c r="A264" s="62">
        <v>136328990057</v>
      </c>
      <c r="B264" t="s">
        <v>263</v>
      </c>
      <c r="C264" s="35" t="s">
        <v>289</v>
      </c>
      <c r="D264" t="s">
        <v>491</v>
      </c>
      <c r="E264" s="35" t="s">
        <v>289</v>
      </c>
      <c r="F264" s="29" t="s">
        <v>492</v>
      </c>
      <c r="G264" s="36">
        <v>56700</v>
      </c>
      <c r="H264" s="36">
        <v>567</v>
      </c>
    </row>
    <row r="265" spans="1:8">
      <c r="A265" s="62">
        <v>136953884316</v>
      </c>
      <c r="B265" t="s">
        <v>263</v>
      </c>
      <c r="C265" s="35" t="s">
        <v>289</v>
      </c>
      <c r="D265" t="s">
        <v>491</v>
      </c>
      <c r="E265" s="35" t="s">
        <v>289</v>
      </c>
      <c r="F265" s="29" t="s">
        <v>492</v>
      </c>
      <c r="G265" s="36">
        <v>48000</v>
      </c>
      <c r="H265" s="36">
        <v>480</v>
      </c>
    </row>
    <row r="266" spans="1:8">
      <c r="A266" s="62">
        <v>136954494152</v>
      </c>
      <c r="B266" t="s">
        <v>263</v>
      </c>
      <c r="C266" s="35" t="s">
        <v>289</v>
      </c>
      <c r="D266" t="s">
        <v>491</v>
      </c>
      <c r="E266" s="35" t="s">
        <v>304</v>
      </c>
      <c r="F266" s="29" t="s">
        <v>492</v>
      </c>
      <c r="G266" s="36">
        <v>28800</v>
      </c>
      <c r="H266" s="36">
        <v>288</v>
      </c>
    </row>
    <row r="267" spans="1:8">
      <c r="A267" s="62">
        <v>136330605015</v>
      </c>
      <c r="B267" t="s">
        <v>263</v>
      </c>
      <c r="C267" s="35" t="s">
        <v>289</v>
      </c>
      <c r="D267" t="s">
        <v>491</v>
      </c>
      <c r="E267" s="35" t="s">
        <v>304</v>
      </c>
      <c r="F267" s="29" t="s">
        <v>492</v>
      </c>
      <c r="G267" s="36">
        <v>19700</v>
      </c>
      <c r="H267" s="36">
        <v>197</v>
      </c>
    </row>
    <row r="268" spans="1:8">
      <c r="A268" s="62">
        <v>136330599489</v>
      </c>
      <c r="B268" t="s">
        <v>4</v>
      </c>
      <c r="C268" s="35" t="s">
        <v>289</v>
      </c>
      <c r="D268" t="s">
        <v>491</v>
      </c>
      <c r="E268" s="35" t="s">
        <v>304</v>
      </c>
      <c r="F268" s="29" t="s">
        <v>492</v>
      </c>
      <c r="G268" s="36">
        <v>75900</v>
      </c>
      <c r="H268" s="36">
        <v>759</v>
      </c>
    </row>
    <row r="269" spans="1:8">
      <c r="A269" s="62">
        <v>136330964239</v>
      </c>
      <c r="B269" t="s">
        <v>4</v>
      </c>
      <c r="C269" s="35" t="s">
        <v>289</v>
      </c>
      <c r="D269" t="s">
        <v>491</v>
      </c>
      <c r="E269" s="35" t="s">
        <v>304</v>
      </c>
      <c r="F269" s="29" t="s">
        <v>492</v>
      </c>
      <c r="G269" s="36">
        <v>59400</v>
      </c>
      <c r="H269" s="36">
        <v>594</v>
      </c>
    </row>
    <row r="270" spans="1:8">
      <c r="A270" s="62">
        <v>136331418449</v>
      </c>
      <c r="B270" t="s">
        <v>263</v>
      </c>
      <c r="C270" s="35" t="s">
        <v>289</v>
      </c>
      <c r="D270" t="s">
        <v>491</v>
      </c>
      <c r="E270" s="35" t="s">
        <v>304</v>
      </c>
      <c r="F270" s="29" t="s">
        <v>492</v>
      </c>
      <c r="G270" s="36">
        <v>56600</v>
      </c>
      <c r="H270" s="36">
        <v>566</v>
      </c>
    </row>
    <row r="271" spans="1:8">
      <c r="A271" s="62">
        <v>136331423567</v>
      </c>
      <c r="B271" t="s">
        <v>4</v>
      </c>
      <c r="C271" s="35" t="s">
        <v>289</v>
      </c>
      <c r="D271" t="s">
        <v>491</v>
      </c>
      <c r="E271" s="35" t="s">
        <v>304</v>
      </c>
      <c r="F271" s="29" t="s">
        <v>492</v>
      </c>
      <c r="G271" s="36">
        <v>44200</v>
      </c>
      <c r="H271" s="36">
        <v>442</v>
      </c>
    </row>
    <row r="272" spans="1:8">
      <c r="A272" s="62">
        <v>136956816280</v>
      </c>
      <c r="B272" t="s">
        <v>263</v>
      </c>
      <c r="C272" s="35" t="s">
        <v>289</v>
      </c>
      <c r="D272" t="s">
        <v>491</v>
      </c>
      <c r="E272" s="35" t="s">
        <v>304</v>
      </c>
      <c r="F272" s="29" t="s">
        <v>492</v>
      </c>
      <c r="G272" s="36">
        <v>23000</v>
      </c>
      <c r="H272" s="36">
        <v>230</v>
      </c>
    </row>
    <row r="273" spans="1:8">
      <c r="A273" s="62">
        <v>136311573047</v>
      </c>
      <c r="B273" t="s">
        <v>4</v>
      </c>
      <c r="C273" s="35" t="s">
        <v>289</v>
      </c>
      <c r="D273" t="s">
        <v>491</v>
      </c>
      <c r="E273" s="35" t="s">
        <v>289</v>
      </c>
      <c r="F273" s="29" t="s">
        <v>492</v>
      </c>
      <c r="G273" s="36">
        <v>29100</v>
      </c>
      <c r="H273" s="36">
        <v>291</v>
      </c>
    </row>
    <row r="274" spans="1:8">
      <c r="A274" s="62">
        <v>136332882027</v>
      </c>
      <c r="B274" t="s">
        <v>263</v>
      </c>
      <c r="C274" s="35" t="s">
        <v>304</v>
      </c>
      <c r="D274" t="s">
        <v>491</v>
      </c>
      <c r="E274" s="35" t="s">
        <v>304</v>
      </c>
      <c r="F274" s="29" t="s">
        <v>492</v>
      </c>
      <c r="G274" s="36">
        <v>80900</v>
      </c>
      <c r="H274" s="36">
        <v>809</v>
      </c>
    </row>
    <row r="275" spans="1:8">
      <c r="A275" s="62">
        <v>136936831094</v>
      </c>
      <c r="B275" t="s">
        <v>4</v>
      </c>
      <c r="C275" s="35" t="s">
        <v>289</v>
      </c>
      <c r="D275" t="s">
        <v>491</v>
      </c>
      <c r="E275" s="35" t="s">
        <v>289</v>
      </c>
      <c r="F275" s="29" t="s">
        <v>492</v>
      </c>
      <c r="G275" s="36">
        <v>9800</v>
      </c>
      <c r="H275" s="36">
        <v>98</v>
      </c>
    </row>
    <row r="276" spans="1:8">
      <c r="A276" s="62">
        <v>136958169118</v>
      </c>
      <c r="B276" t="s">
        <v>4</v>
      </c>
      <c r="C276" s="35" t="s">
        <v>304</v>
      </c>
      <c r="D276" t="s">
        <v>491</v>
      </c>
      <c r="E276" s="35" t="s">
        <v>304</v>
      </c>
      <c r="F276" s="29" t="s">
        <v>492</v>
      </c>
      <c r="G276" s="36">
        <v>61100</v>
      </c>
      <c r="H276" s="36">
        <v>611</v>
      </c>
    </row>
    <row r="277" spans="1:8">
      <c r="A277" s="62">
        <v>136333640811</v>
      </c>
      <c r="B277" t="s">
        <v>263</v>
      </c>
      <c r="C277" s="35" t="s">
        <v>304</v>
      </c>
      <c r="D277" t="s">
        <v>491</v>
      </c>
      <c r="E277" s="35" t="s">
        <v>304</v>
      </c>
      <c r="F277" s="29" t="s">
        <v>492</v>
      </c>
      <c r="G277" s="36">
        <v>8900</v>
      </c>
      <c r="H277" s="36">
        <v>89</v>
      </c>
    </row>
    <row r="278" spans="1:8">
      <c r="A278" s="62">
        <v>136333603887</v>
      </c>
      <c r="B278" t="s">
        <v>4</v>
      </c>
      <c r="C278" s="35" t="s">
        <v>304</v>
      </c>
      <c r="D278" t="s">
        <v>491</v>
      </c>
      <c r="E278" s="35" t="s">
        <v>304</v>
      </c>
      <c r="F278" s="29" t="s">
        <v>492</v>
      </c>
      <c r="G278" s="36">
        <v>32700</v>
      </c>
      <c r="H278" s="36">
        <v>327</v>
      </c>
    </row>
    <row r="279" spans="1:8">
      <c r="A279" s="62">
        <v>136334028143</v>
      </c>
      <c r="B279" t="s">
        <v>4</v>
      </c>
      <c r="C279" s="35" t="s">
        <v>304</v>
      </c>
      <c r="D279" t="s">
        <v>491</v>
      </c>
      <c r="E279" s="35" t="s">
        <v>304</v>
      </c>
      <c r="F279" s="29" t="s">
        <v>492</v>
      </c>
      <c r="G279" s="36">
        <v>48300</v>
      </c>
      <c r="H279" s="36">
        <v>483</v>
      </c>
    </row>
    <row r="280" spans="1:8">
      <c r="A280" s="62">
        <v>136958415842</v>
      </c>
      <c r="B280" t="s">
        <v>4</v>
      </c>
      <c r="C280" s="35" t="s">
        <v>304</v>
      </c>
      <c r="D280" t="s">
        <v>491</v>
      </c>
      <c r="E280" s="35" t="s">
        <v>304</v>
      </c>
      <c r="F280" s="29" t="s">
        <v>492</v>
      </c>
      <c r="G280" s="36">
        <v>18200</v>
      </c>
      <c r="H280" s="36">
        <v>182</v>
      </c>
    </row>
    <row r="281" spans="1:8">
      <c r="A281" s="62">
        <v>136958889094</v>
      </c>
      <c r="B281" t="s">
        <v>4</v>
      </c>
      <c r="C281" s="35" t="s">
        <v>304</v>
      </c>
      <c r="D281" t="s">
        <v>491</v>
      </c>
      <c r="E281" s="35" t="s">
        <v>304</v>
      </c>
      <c r="F281" s="29" t="s">
        <v>492</v>
      </c>
      <c r="G281" s="36">
        <v>20200</v>
      </c>
      <c r="H281" s="36">
        <v>202</v>
      </c>
    </row>
    <row r="282" spans="1:8">
      <c r="A282" s="62">
        <v>136334494425</v>
      </c>
      <c r="B282" t="s">
        <v>4</v>
      </c>
      <c r="C282" s="35" t="s">
        <v>304</v>
      </c>
      <c r="D282" t="s">
        <v>491</v>
      </c>
      <c r="E282" s="35" t="s">
        <v>304</v>
      </c>
      <c r="F282" s="29" t="s">
        <v>492</v>
      </c>
      <c r="G282" s="36">
        <v>26200</v>
      </c>
      <c r="H282" s="36">
        <v>262</v>
      </c>
    </row>
    <row r="283" spans="1:8">
      <c r="A283" s="62">
        <v>136959425226</v>
      </c>
      <c r="B283" t="s">
        <v>4</v>
      </c>
      <c r="C283" s="35" t="s">
        <v>304</v>
      </c>
      <c r="D283" t="s">
        <v>491</v>
      </c>
      <c r="E283" s="35" t="s">
        <v>304</v>
      </c>
      <c r="F283" s="29" t="s">
        <v>492</v>
      </c>
      <c r="G283" s="36">
        <v>16800</v>
      </c>
      <c r="H283" s="36">
        <v>168</v>
      </c>
    </row>
    <row r="284" spans="1:8">
      <c r="A284" s="62">
        <v>136334778599</v>
      </c>
      <c r="B284" t="s">
        <v>263</v>
      </c>
      <c r="C284" s="35" t="s">
        <v>304</v>
      </c>
      <c r="D284" t="s">
        <v>491</v>
      </c>
      <c r="E284" s="35" t="s">
        <v>304</v>
      </c>
      <c r="F284" s="29" t="s">
        <v>492</v>
      </c>
      <c r="G284" s="36">
        <v>88500</v>
      </c>
      <c r="H284" s="36">
        <v>885</v>
      </c>
    </row>
    <row r="285" spans="1:8">
      <c r="A285" s="62">
        <v>136959626564</v>
      </c>
      <c r="B285" t="s">
        <v>263</v>
      </c>
      <c r="C285" s="35" t="s">
        <v>304</v>
      </c>
      <c r="D285" t="s">
        <v>491</v>
      </c>
      <c r="E285" s="35" t="s">
        <v>304</v>
      </c>
      <c r="F285" s="29" t="s">
        <v>492</v>
      </c>
      <c r="G285" s="36">
        <v>19200</v>
      </c>
      <c r="H285" s="36">
        <v>192</v>
      </c>
    </row>
    <row r="286" spans="1:8">
      <c r="A286" s="62">
        <v>136334877837</v>
      </c>
      <c r="B286" t="s">
        <v>4</v>
      </c>
      <c r="C286" s="35" t="s">
        <v>304</v>
      </c>
      <c r="D286" t="s">
        <v>491</v>
      </c>
      <c r="E286" s="35" t="s">
        <v>304</v>
      </c>
      <c r="F286" s="29" t="s">
        <v>492</v>
      </c>
      <c r="G286" s="36">
        <v>14700</v>
      </c>
      <c r="H286" s="36">
        <v>147</v>
      </c>
    </row>
    <row r="287" spans="1:8">
      <c r="A287" s="62">
        <v>136959665908</v>
      </c>
      <c r="B287" t="s">
        <v>4</v>
      </c>
      <c r="C287" s="35" t="s">
        <v>304</v>
      </c>
      <c r="D287" t="s">
        <v>491</v>
      </c>
      <c r="E287" s="35" t="s">
        <v>304</v>
      </c>
      <c r="F287" s="29" t="s">
        <v>492</v>
      </c>
      <c r="G287" s="36">
        <v>15300</v>
      </c>
      <c r="H287" s="36">
        <v>153</v>
      </c>
    </row>
    <row r="288" spans="1:8">
      <c r="A288" s="62">
        <v>136959788742</v>
      </c>
      <c r="B288" t="s">
        <v>263</v>
      </c>
      <c r="C288" s="35" t="s">
        <v>304</v>
      </c>
      <c r="D288" t="s">
        <v>491</v>
      </c>
      <c r="E288" s="35" t="s">
        <v>304</v>
      </c>
      <c r="F288" s="29" t="s">
        <v>492</v>
      </c>
      <c r="G288" s="36">
        <v>11000</v>
      </c>
      <c r="H288" s="36">
        <v>110</v>
      </c>
    </row>
    <row r="289" spans="1:8">
      <c r="A289" s="62">
        <v>136941329056</v>
      </c>
      <c r="B289" t="s">
        <v>263</v>
      </c>
      <c r="C289" s="35" t="s">
        <v>289</v>
      </c>
      <c r="D289" t="s">
        <v>491</v>
      </c>
      <c r="E289" s="35" t="s">
        <v>289</v>
      </c>
      <c r="F289" s="29" t="s">
        <v>492</v>
      </c>
      <c r="G289" s="36">
        <v>8400</v>
      </c>
      <c r="H289" s="36">
        <v>84</v>
      </c>
    </row>
    <row r="290" spans="1:8">
      <c r="A290" s="62">
        <v>136319893937</v>
      </c>
      <c r="B290" t="s">
        <v>263</v>
      </c>
      <c r="C290" s="35" t="s">
        <v>289</v>
      </c>
      <c r="D290" t="s">
        <v>491</v>
      </c>
      <c r="E290" s="35" t="s">
        <v>289</v>
      </c>
      <c r="F290" s="29" t="s">
        <v>492</v>
      </c>
      <c r="G290" s="36">
        <v>75400</v>
      </c>
      <c r="H290" s="36">
        <v>754</v>
      </c>
    </row>
    <row r="291" spans="1:8">
      <c r="A291" s="62">
        <v>136320927381</v>
      </c>
      <c r="B291" t="s">
        <v>263</v>
      </c>
      <c r="C291" s="35" t="s">
        <v>289</v>
      </c>
      <c r="D291" t="s">
        <v>491</v>
      </c>
      <c r="E291" s="35" t="s">
        <v>289</v>
      </c>
      <c r="F291" s="29" t="s">
        <v>492</v>
      </c>
      <c r="G291" s="36">
        <v>31200</v>
      </c>
      <c r="H291" s="36">
        <v>312</v>
      </c>
    </row>
    <row r="292" spans="1:8">
      <c r="A292" s="62">
        <v>136321148165</v>
      </c>
      <c r="B292" t="s">
        <v>4</v>
      </c>
      <c r="C292" s="35" t="s">
        <v>289</v>
      </c>
      <c r="D292" t="s">
        <v>491</v>
      </c>
      <c r="E292" s="35" t="s">
        <v>289</v>
      </c>
      <c r="F292" s="29" t="s">
        <v>492</v>
      </c>
      <c r="G292" s="36">
        <v>9600</v>
      </c>
      <c r="H292" s="36">
        <v>96</v>
      </c>
    </row>
    <row r="293" spans="1:8">
      <c r="A293" s="62">
        <v>136321853917</v>
      </c>
      <c r="B293" t="s">
        <v>263</v>
      </c>
      <c r="C293" s="35" t="s">
        <v>289</v>
      </c>
      <c r="D293" t="s">
        <v>491</v>
      </c>
      <c r="E293" s="35" t="s">
        <v>289</v>
      </c>
      <c r="F293" s="29" t="s">
        <v>492</v>
      </c>
      <c r="G293" s="36">
        <v>42000</v>
      </c>
      <c r="H293" s="36">
        <v>420</v>
      </c>
    </row>
    <row r="294" spans="1:8">
      <c r="A294" s="62">
        <v>136948433642</v>
      </c>
      <c r="B294" t="s">
        <v>4</v>
      </c>
      <c r="C294" s="35" t="s">
        <v>289</v>
      </c>
      <c r="D294" t="s">
        <v>491</v>
      </c>
      <c r="E294" s="35" t="s">
        <v>289</v>
      </c>
      <c r="F294" s="29" t="s">
        <v>492</v>
      </c>
      <c r="G294" s="36">
        <v>30400</v>
      </c>
      <c r="H294" s="36">
        <v>304</v>
      </c>
    </row>
    <row r="295" spans="1:8">
      <c r="A295" s="62">
        <v>136324541637</v>
      </c>
      <c r="B295" t="s">
        <v>263</v>
      </c>
      <c r="C295" s="35" t="s">
        <v>289</v>
      </c>
      <c r="D295" t="s">
        <v>491</v>
      </c>
      <c r="E295" s="35" t="s">
        <v>289</v>
      </c>
      <c r="F295" s="29" t="s">
        <v>492</v>
      </c>
      <c r="G295" s="36">
        <v>38400</v>
      </c>
      <c r="H295" s="36">
        <v>384</v>
      </c>
    </row>
    <row r="296" spans="1:8">
      <c r="A296" s="62">
        <v>136326087677</v>
      </c>
      <c r="B296" t="s">
        <v>4</v>
      </c>
      <c r="C296" s="35" t="s">
        <v>289</v>
      </c>
      <c r="D296" t="s">
        <v>491</v>
      </c>
      <c r="E296" s="35" t="s">
        <v>289</v>
      </c>
      <c r="F296" s="29" t="s">
        <v>492</v>
      </c>
      <c r="G296" s="36">
        <v>37300</v>
      </c>
      <c r="H296" s="36">
        <v>373</v>
      </c>
    </row>
    <row r="297" spans="1:8">
      <c r="A297" s="62">
        <v>136326212539</v>
      </c>
      <c r="B297" t="s">
        <v>263</v>
      </c>
      <c r="C297" s="35" t="s">
        <v>289</v>
      </c>
      <c r="D297" t="s">
        <v>491</v>
      </c>
      <c r="E297" s="35" t="s">
        <v>289</v>
      </c>
      <c r="F297" s="29" t="s">
        <v>492</v>
      </c>
      <c r="G297" s="36">
        <v>35000</v>
      </c>
      <c r="H297" s="36">
        <v>350</v>
      </c>
    </row>
    <row r="298" spans="1:8">
      <c r="A298" s="62">
        <v>136951233398</v>
      </c>
      <c r="B298" t="s">
        <v>4</v>
      </c>
      <c r="C298" s="35" t="s">
        <v>289</v>
      </c>
      <c r="D298" t="s">
        <v>491</v>
      </c>
      <c r="E298" s="35" t="s">
        <v>289</v>
      </c>
      <c r="F298" s="29" t="s">
        <v>492</v>
      </c>
      <c r="G298" s="36">
        <v>61100</v>
      </c>
      <c r="H298" s="36">
        <v>611</v>
      </c>
    </row>
    <row r="299" spans="1:8">
      <c r="A299" s="62">
        <v>136951857762</v>
      </c>
      <c r="B299" t="s">
        <v>4</v>
      </c>
      <c r="C299" s="35" t="s">
        <v>289</v>
      </c>
      <c r="D299" t="s">
        <v>491</v>
      </c>
      <c r="E299" s="35" t="s">
        <v>289</v>
      </c>
      <c r="F299" s="29" t="s">
        <v>492</v>
      </c>
      <c r="G299" s="36">
        <v>40600</v>
      </c>
      <c r="H299" s="36">
        <v>406</v>
      </c>
    </row>
    <row r="300" spans="1:8">
      <c r="A300" s="62">
        <v>136952258442</v>
      </c>
      <c r="B300" t="s">
        <v>4</v>
      </c>
      <c r="C300" s="35" t="s">
        <v>289</v>
      </c>
      <c r="D300" t="s">
        <v>491</v>
      </c>
      <c r="E300" s="35" t="s">
        <v>289</v>
      </c>
      <c r="F300" s="29" t="s">
        <v>492</v>
      </c>
      <c r="G300" s="36">
        <v>48800</v>
      </c>
      <c r="H300" s="36">
        <v>488</v>
      </c>
    </row>
    <row r="301" spans="1:8">
      <c r="A301" s="62">
        <v>136329284763</v>
      </c>
      <c r="B301" t="s">
        <v>4</v>
      </c>
      <c r="C301" s="35" t="s">
        <v>289</v>
      </c>
      <c r="D301" t="s">
        <v>491</v>
      </c>
      <c r="E301" s="35" t="s">
        <v>289</v>
      </c>
      <c r="F301" s="29" t="s">
        <v>492</v>
      </c>
      <c r="G301" s="36">
        <v>33800</v>
      </c>
      <c r="H301" s="36">
        <v>338</v>
      </c>
    </row>
    <row r="302" spans="1:8">
      <c r="A302" s="62">
        <v>136330783263</v>
      </c>
      <c r="B302" t="s">
        <v>263</v>
      </c>
      <c r="C302" s="35" t="s">
        <v>289</v>
      </c>
      <c r="D302" t="s">
        <v>491</v>
      </c>
      <c r="E302" s="35" t="s">
        <v>304</v>
      </c>
      <c r="F302" s="29" t="s">
        <v>492</v>
      </c>
      <c r="G302" s="36">
        <v>11000</v>
      </c>
      <c r="H302" s="36">
        <v>110</v>
      </c>
    </row>
    <row r="303" spans="1:8">
      <c r="A303" s="62">
        <v>136955923120</v>
      </c>
      <c r="B303" t="s">
        <v>4</v>
      </c>
      <c r="C303" s="35" t="s">
        <v>289</v>
      </c>
      <c r="D303" t="s">
        <v>491</v>
      </c>
      <c r="E303" s="35" t="s">
        <v>304</v>
      </c>
      <c r="F303" s="29" t="s">
        <v>492</v>
      </c>
      <c r="G303" s="36">
        <v>9500</v>
      </c>
      <c r="H303" s="36">
        <v>95</v>
      </c>
    </row>
    <row r="304" spans="1:8">
      <c r="A304" s="62">
        <v>136956632996</v>
      </c>
      <c r="B304" t="s">
        <v>4</v>
      </c>
      <c r="C304" s="35" t="s">
        <v>289</v>
      </c>
      <c r="D304" t="s">
        <v>491</v>
      </c>
      <c r="E304" s="35" t="s">
        <v>304</v>
      </c>
      <c r="F304" s="29" t="s">
        <v>492</v>
      </c>
      <c r="G304" s="36">
        <v>22900</v>
      </c>
      <c r="H304" s="36">
        <v>229</v>
      </c>
    </row>
    <row r="305" spans="1:8">
      <c r="A305" s="62">
        <v>136956905972</v>
      </c>
      <c r="B305" t="s">
        <v>4</v>
      </c>
      <c r="C305" s="35" t="s">
        <v>289</v>
      </c>
      <c r="D305" t="s">
        <v>491</v>
      </c>
      <c r="E305" s="35" t="s">
        <v>304</v>
      </c>
      <c r="F305" s="29" t="s">
        <v>492</v>
      </c>
      <c r="G305" s="36">
        <v>43800</v>
      </c>
      <c r="H305" s="36">
        <v>438</v>
      </c>
    </row>
    <row r="306" spans="1:8">
      <c r="A306" s="62">
        <v>136333515769</v>
      </c>
      <c r="B306" t="s">
        <v>263</v>
      </c>
      <c r="C306" s="35" t="s">
        <v>304</v>
      </c>
      <c r="D306" t="s">
        <v>491</v>
      </c>
      <c r="E306" s="35" t="s">
        <v>304</v>
      </c>
      <c r="F306" s="29" t="s">
        <v>492</v>
      </c>
      <c r="G306" s="36">
        <v>3000</v>
      </c>
      <c r="H306" s="36">
        <v>30</v>
      </c>
    </row>
    <row r="307" spans="1:8">
      <c r="A307" s="62">
        <v>136333850811</v>
      </c>
      <c r="B307" t="s">
        <v>4</v>
      </c>
      <c r="C307" s="35" t="s">
        <v>304</v>
      </c>
      <c r="D307" t="s">
        <v>491</v>
      </c>
      <c r="E307" s="35" t="s">
        <v>304</v>
      </c>
      <c r="F307" s="29" t="s">
        <v>492</v>
      </c>
      <c r="G307" s="36">
        <v>12200</v>
      </c>
      <c r="H307" s="36">
        <v>122</v>
      </c>
    </row>
    <row r="308" spans="1:8">
      <c r="A308" s="62">
        <v>136334135265</v>
      </c>
      <c r="B308" t="s">
        <v>4</v>
      </c>
      <c r="C308" s="35" t="s">
        <v>304</v>
      </c>
      <c r="D308" t="s">
        <v>491</v>
      </c>
      <c r="E308" s="35" t="s">
        <v>304</v>
      </c>
      <c r="F308" s="29" t="s">
        <v>492</v>
      </c>
      <c r="G308" s="36">
        <v>30000</v>
      </c>
      <c r="H308" s="36">
        <v>300</v>
      </c>
    </row>
    <row r="309" spans="1:8">
      <c r="A309" s="62">
        <v>136334261105</v>
      </c>
      <c r="B309" t="s">
        <v>4</v>
      </c>
      <c r="C309" s="35" t="s">
        <v>304</v>
      </c>
      <c r="D309" t="s">
        <v>491</v>
      </c>
      <c r="E309" s="35" t="s">
        <v>304</v>
      </c>
      <c r="F309" s="29" t="s">
        <v>492</v>
      </c>
      <c r="G309" s="36">
        <v>7900</v>
      </c>
      <c r="H309" s="36">
        <v>79</v>
      </c>
    </row>
    <row r="310" spans="1:8">
      <c r="A310" s="62">
        <v>136334273453</v>
      </c>
      <c r="B310" t="s">
        <v>4</v>
      </c>
      <c r="C310" s="35" t="s">
        <v>304</v>
      </c>
      <c r="D310" t="s">
        <v>491</v>
      </c>
      <c r="E310" s="35" t="s">
        <v>304</v>
      </c>
      <c r="F310" s="29" t="s">
        <v>492</v>
      </c>
      <c r="G310" s="36">
        <v>15800</v>
      </c>
      <c r="H310" s="36">
        <v>158</v>
      </c>
    </row>
    <row r="311" spans="1:8">
      <c r="A311" s="62">
        <v>136958915420</v>
      </c>
      <c r="B311" t="s">
        <v>4</v>
      </c>
      <c r="C311" s="35" t="s">
        <v>304</v>
      </c>
      <c r="D311" t="s">
        <v>491</v>
      </c>
      <c r="E311" s="35" t="s">
        <v>304</v>
      </c>
      <c r="F311" s="29" t="s">
        <v>492</v>
      </c>
      <c r="G311" s="36">
        <v>9500</v>
      </c>
      <c r="H311" s="36">
        <v>95</v>
      </c>
    </row>
    <row r="312" spans="1:8">
      <c r="A312" s="62">
        <v>136959531074</v>
      </c>
      <c r="B312" t="s">
        <v>4</v>
      </c>
      <c r="C312" s="35" t="s">
        <v>304</v>
      </c>
      <c r="D312" t="s">
        <v>491</v>
      </c>
      <c r="E312" s="35" t="s">
        <v>304</v>
      </c>
      <c r="F312" s="29" t="s">
        <v>492</v>
      </c>
      <c r="G312" s="36">
        <v>21200</v>
      </c>
      <c r="H312" s="36">
        <v>212</v>
      </c>
    </row>
    <row r="313" spans="1:8">
      <c r="A313" s="62">
        <v>136334764081</v>
      </c>
      <c r="B313" t="s">
        <v>4</v>
      </c>
      <c r="C313" s="35" t="s">
        <v>304</v>
      </c>
      <c r="D313" t="s">
        <v>491</v>
      </c>
      <c r="E313" s="35" t="s">
        <v>304</v>
      </c>
      <c r="F313" s="29" t="s">
        <v>492</v>
      </c>
      <c r="G313" s="36">
        <v>28800</v>
      </c>
      <c r="H313" s="36">
        <v>288</v>
      </c>
    </row>
    <row r="314" spans="1:8">
      <c r="A314" s="62">
        <v>136334940399</v>
      </c>
      <c r="B314" t="s">
        <v>4</v>
      </c>
      <c r="C314" s="35" t="s">
        <v>304</v>
      </c>
      <c r="D314" t="s">
        <v>491</v>
      </c>
      <c r="E314" s="35" t="s">
        <v>304</v>
      </c>
      <c r="F314" s="29" t="s">
        <v>492</v>
      </c>
      <c r="G314" s="36">
        <v>36200</v>
      </c>
      <c r="H314" s="36">
        <v>362</v>
      </c>
    </row>
    <row r="315" spans="1:8">
      <c r="A315" s="62">
        <v>136335028573</v>
      </c>
      <c r="B315" t="s">
        <v>4</v>
      </c>
      <c r="C315" s="35" t="s">
        <v>304</v>
      </c>
      <c r="D315" t="s">
        <v>491</v>
      </c>
      <c r="E315" s="35" t="s">
        <v>304</v>
      </c>
      <c r="F315" s="29" t="s">
        <v>492</v>
      </c>
      <c r="G315" s="36">
        <v>10600</v>
      </c>
      <c r="H315" s="36">
        <v>106</v>
      </c>
    </row>
    <row r="316" spans="1:8">
      <c r="A316" s="62">
        <v>136335038561</v>
      </c>
      <c r="B316" t="s">
        <v>4</v>
      </c>
      <c r="C316" s="35" t="s">
        <v>304</v>
      </c>
      <c r="D316" t="s">
        <v>491</v>
      </c>
      <c r="E316" s="35" t="s">
        <v>304</v>
      </c>
      <c r="F316" s="29" t="s">
        <v>492</v>
      </c>
      <c r="G316" s="36">
        <v>20800</v>
      </c>
      <c r="H316" s="36">
        <v>208</v>
      </c>
    </row>
    <row r="317" spans="1:8">
      <c r="A317" s="62">
        <v>136740668549</v>
      </c>
      <c r="B317" t="s">
        <v>4</v>
      </c>
      <c r="C317" s="35" t="s">
        <v>315</v>
      </c>
      <c r="D317" t="s">
        <v>491</v>
      </c>
      <c r="E317" s="35" t="s">
        <v>315</v>
      </c>
      <c r="F317" s="29" t="s">
        <v>492</v>
      </c>
      <c r="G317" s="36">
        <v>4200</v>
      </c>
      <c r="H317" s="36">
        <v>42</v>
      </c>
    </row>
    <row r="318" spans="1:8">
      <c r="A318" s="62">
        <v>137373870662</v>
      </c>
      <c r="B318" t="s">
        <v>263</v>
      </c>
      <c r="C318" s="35" t="s">
        <v>315</v>
      </c>
      <c r="D318" t="s">
        <v>491</v>
      </c>
      <c r="E318" s="35" t="s">
        <v>315</v>
      </c>
      <c r="F318" s="29" t="s">
        <v>492</v>
      </c>
      <c r="G318" s="36">
        <v>31100</v>
      </c>
      <c r="H318" s="36">
        <v>311</v>
      </c>
    </row>
    <row r="319" spans="1:8">
      <c r="A319" s="62">
        <v>136743127343</v>
      </c>
      <c r="B319" t="s">
        <v>4</v>
      </c>
      <c r="C319" s="35" t="s">
        <v>315</v>
      </c>
      <c r="D319" t="s">
        <v>491</v>
      </c>
      <c r="E319" s="35" t="s">
        <v>315</v>
      </c>
      <c r="F319" s="29" t="s">
        <v>492</v>
      </c>
      <c r="G319" s="36">
        <v>9700</v>
      </c>
      <c r="H319" s="36">
        <v>97</v>
      </c>
    </row>
    <row r="320" spans="1:8">
      <c r="A320" s="62">
        <v>136750250721</v>
      </c>
      <c r="B320" t="s">
        <v>4</v>
      </c>
      <c r="C320" s="35" t="s">
        <v>315</v>
      </c>
      <c r="D320" t="s">
        <v>491</v>
      </c>
      <c r="E320" s="35" t="s">
        <v>315</v>
      </c>
      <c r="F320" s="29" t="s">
        <v>492</v>
      </c>
      <c r="G320" s="36">
        <v>25899</v>
      </c>
      <c r="H320" s="36">
        <v>258.99</v>
      </c>
    </row>
    <row r="321" spans="1:8">
      <c r="A321" s="62">
        <v>136751554233</v>
      </c>
      <c r="B321" t="s">
        <v>4</v>
      </c>
      <c r="C321" s="35" t="s">
        <v>315</v>
      </c>
      <c r="D321" t="s">
        <v>491</v>
      </c>
      <c r="E321" s="35" t="s">
        <v>315</v>
      </c>
      <c r="F321" s="29" t="s">
        <v>492</v>
      </c>
      <c r="G321" s="36">
        <v>57000</v>
      </c>
      <c r="H321" s="36">
        <v>570</v>
      </c>
    </row>
    <row r="322" spans="1:8">
      <c r="A322" s="62">
        <v>137382793626</v>
      </c>
      <c r="B322" t="s">
        <v>263</v>
      </c>
      <c r="C322" s="35" t="s">
        <v>315</v>
      </c>
      <c r="D322" t="s">
        <v>491</v>
      </c>
      <c r="E322" s="35" t="s">
        <v>315</v>
      </c>
      <c r="F322" s="29" t="s">
        <v>492</v>
      </c>
      <c r="G322" s="36">
        <v>61700</v>
      </c>
      <c r="H322" s="36">
        <v>617</v>
      </c>
    </row>
    <row r="323" spans="1:8">
      <c r="A323" s="62">
        <v>136754028045</v>
      </c>
      <c r="B323" t="s">
        <v>263</v>
      </c>
      <c r="C323" s="35" t="s">
        <v>315</v>
      </c>
      <c r="D323" t="s">
        <v>491</v>
      </c>
      <c r="E323" s="35" t="s">
        <v>315</v>
      </c>
      <c r="F323" s="29" t="s">
        <v>492</v>
      </c>
      <c r="G323" s="36">
        <v>39798</v>
      </c>
      <c r="H323" s="36">
        <v>397.98</v>
      </c>
    </row>
    <row r="324" spans="1:8">
      <c r="A324" s="62">
        <v>136754357781</v>
      </c>
      <c r="B324" t="s">
        <v>4</v>
      </c>
      <c r="C324" s="35" t="s">
        <v>315</v>
      </c>
      <c r="D324" t="s">
        <v>491</v>
      </c>
      <c r="E324" s="35" t="s">
        <v>315</v>
      </c>
      <c r="F324" s="29" t="s">
        <v>492</v>
      </c>
      <c r="G324" s="36">
        <v>37000</v>
      </c>
      <c r="H324" s="36">
        <v>370</v>
      </c>
    </row>
    <row r="325" spans="1:8">
      <c r="A325" s="62">
        <v>136743612291</v>
      </c>
      <c r="B325" t="s">
        <v>263</v>
      </c>
      <c r="C325" s="35" t="s">
        <v>315</v>
      </c>
      <c r="D325" t="s">
        <v>491</v>
      </c>
      <c r="E325" s="35" t="s">
        <v>315</v>
      </c>
      <c r="F325" s="29" t="s">
        <v>492</v>
      </c>
      <c r="G325" s="36">
        <v>39600</v>
      </c>
      <c r="H325" s="36">
        <v>396</v>
      </c>
    </row>
    <row r="326" spans="1:8">
      <c r="A326" s="62">
        <v>136763246569</v>
      </c>
      <c r="B326" t="s">
        <v>4</v>
      </c>
      <c r="C326" s="35" t="s">
        <v>320</v>
      </c>
      <c r="D326" t="s">
        <v>491</v>
      </c>
      <c r="E326" s="35" t="s">
        <v>320</v>
      </c>
      <c r="F326" s="29" t="s">
        <v>492</v>
      </c>
      <c r="G326" s="36">
        <v>18900</v>
      </c>
      <c r="H326" s="36">
        <v>189</v>
      </c>
    </row>
    <row r="327" spans="1:8">
      <c r="A327" s="62">
        <v>137381613934</v>
      </c>
      <c r="B327" t="s">
        <v>4</v>
      </c>
      <c r="C327" s="35" t="s">
        <v>315</v>
      </c>
      <c r="D327" t="s">
        <v>491</v>
      </c>
      <c r="E327" s="35" t="s">
        <v>315</v>
      </c>
      <c r="F327" s="29" t="s">
        <v>492</v>
      </c>
      <c r="G327" s="36">
        <v>41398</v>
      </c>
      <c r="H327" s="36">
        <v>413.98</v>
      </c>
    </row>
    <row r="328" spans="1:8">
      <c r="A328" s="62">
        <v>136751051819</v>
      </c>
      <c r="B328" t="s">
        <v>263</v>
      </c>
      <c r="C328" s="35" t="s">
        <v>315</v>
      </c>
      <c r="D328" t="s">
        <v>491</v>
      </c>
      <c r="E328" s="35" t="s">
        <v>315</v>
      </c>
      <c r="F328" s="29" t="s">
        <v>492</v>
      </c>
      <c r="G328" s="36">
        <v>127397</v>
      </c>
      <c r="H328" s="36">
        <v>1273.97</v>
      </c>
    </row>
    <row r="329" spans="1:8">
      <c r="A329" s="62">
        <v>136752846325</v>
      </c>
      <c r="B329" t="s">
        <v>263</v>
      </c>
      <c r="C329" s="35" t="s">
        <v>315</v>
      </c>
      <c r="D329" t="s">
        <v>491</v>
      </c>
      <c r="E329" s="35" t="s">
        <v>315</v>
      </c>
      <c r="F329" s="29" t="s">
        <v>492</v>
      </c>
      <c r="G329" s="36">
        <v>52896</v>
      </c>
      <c r="H329" s="36">
        <v>528.96</v>
      </c>
    </row>
    <row r="330" spans="1:8">
      <c r="A330" s="62">
        <v>136754376295</v>
      </c>
      <c r="B330" t="s">
        <v>263</v>
      </c>
      <c r="C330" s="35" t="s">
        <v>315</v>
      </c>
      <c r="D330" t="s">
        <v>491</v>
      </c>
      <c r="E330" s="35" t="s">
        <v>315</v>
      </c>
      <c r="F330" s="29" t="s">
        <v>492</v>
      </c>
      <c r="G330" s="36">
        <v>9600</v>
      </c>
      <c r="H330" s="36">
        <v>96</v>
      </c>
    </row>
    <row r="331" spans="1:8">
      <c r="A331" s="62">
        <v>136756050703</v>
      </c>
      <c r="B331" t="s">
        <v>4</v>
      </c>
      <c r="C331" s="35" t="s">
        <v>315</v>
      </c>
      <c r="D331" t="s">
        <v>491</v>
      </c>
      <c r="E331" s="35" t="s">
        <v>315</v>
      </c>
      <c r="F331" s="29" t="s">
        <v>492</v>
      </c>
      <c r="G331" s="36">
        <v>40600</v>
      </c>
      <c r="H331" s="36">
        <v>406</v>
      </c>
    </row>
    <row r="332" spans="1:8">
      <c r="A332" s="62">
        <v>137387028658</v>
      </c>
      <c r="B332" t="s">
        <v>4</v>
      </c>
      <c r="C332" s="35" t="s">
        <v>315</v>
      </c>
      <c r="D332" t="s">
        <v>491</v>
      </c>
      <c r="E332" s="35" t="s">
        <v>315</v>
      </c>
      <c r="F332" s="29" t="s">
        <v>492</v>
      </c>
      <c r="G332" s="36">
        <v>53400</v>
      </c>
      <c r="H332" s="36">
        <v>534</v>
      </c>
    </row>
    <row r="333" spans="1:8">
      <c r="A333" s="62">
        <v>137388651946</v>
      </c>
      <c r="B333" t="s">
        <v>4</v>
      </c>
      <c r="C333" s="35" t="s">
        <v>315</v>
      </c>
      <c r="D333" t="s">
        <v>491</v>
      </c>
      <c r="E333" s="35" t="s">
        <v>320</v>
      </c>
      <c r="F333" s="29" t="s">
        <v>492</v>
      </c>
      <c r="G333" s="36">
        <v>23000</v>
      </c>
      <c r="H333" s="36">
        <v>230</v>
      </c>
    </row>
    <row r="334" spans="1:8">
      <c r="A334" s="62">
        <v>136758090307</v>
      </c>
      <c r="B334" t="s">
        <v>4</v>
      </c>
      <c r="C334" s="35" t="s">
        <v>315</v>
      </c>
      <c r="D334" t="s">
        <v>491</v>
      </c>
      <c r="E334" s="35" t="s">
        <v>320</v>
      </c>
      <c r="F334" s="29" t="s">
        <v>492</v>
      </c>
      <c r="G334" s="36">
        <v>8400</v>
      </c>
      <c r="H334" s="36">
        <v>84</v>
      </c>
    </row>
    <row r="335" spans="1:8">
      <c r="A335" s="62">
        <v>137389146058</v>
      </c>
      <c r="B335" t="s">
        <v>4</v>
      </c>
      <c r="C335" s="35" t="s">
        <v>315</v>
      </c>
      <c r="D335" t="s">
        <v>491</v>
      </c>
      <c r="E335" s="35" t="s">
        <v>320</v>
      </c>
      <c r="F335" s="29" t="s">
        <v>492</v>
      </c>
      <c r="G335" s="36">
        <v>47996</v>
      </c>
      <c r="H335" s="36">
        <v>479.96</v>
      </c>
    </row>
    <row r="336" spans="1:8">
      <c r="A336" s="62">
        <v>136759600983</v>
      </c>
      <c r="B336" t="s">
        <v>4</v>
      </c>
      <c r="C336" s="35" t="s">
        <v>315</v>
      </c>
      <c r="D336" t="s">
        <v>491</v>
      </c>
      <c r="E336" s="35" t="s">
        <v>320</v>
      </c>
      <c r="F336" s="29" t="s">
        <v>492</v>
      </c>
      <c r="G336" s="36">
        <v>66800</v>
      </c>
      <c r="H336" s="36">
        <v>668</v>
      </c>
    </row>
    <row r="337" spans="1:8">
      <c r="A337" s="62">
        <v>137392666128</v>
      </c>
      <c r="B337" t="s">
        <v>4</v>
      </c>
      <c r="C337" s="35" t="s">
        <v>320</v>
      </c>
      <c r="D337" t="s">
        <v>491</v>
      </c>
      <c r="E337" s="35" t="s">
        <v>320</v>
      </c>
      <c r="F337" s="29" t="s">
        <v>492</v>
      </c>
      <c r="G337" s="36">
        <v>15500</v>
      </c>
      <c r="H337" s="36">
        <v>155</v>
      </c>
    </row>
    <row r="338" spans="1:8">
      <c r="A338" s="62">
        <v>136761788097</v>
      </c>
      <c r="B338" t="s">
        <v>263</v>
      </c>
      <c r="C338" s="35" t="s">
        <v>320</v>
      </c>
      <c r="D338" t="s">
        <v>491</v>
      </c>
      <c r="E338" s="35" t="s">
        <v>320</v>
      </c>
      <c r="F338" s="29" t="s">
        <v>492</v>
      </c>
      <c r="G338" s="36">
        <v>17000</v>
      </c>
      <c r="H338" s="36">
        <v>170</v>
      </c>
    </row>
    <row r="339" spans="1:8">
      <c r="A339" s="62">
        <v>136762890073</v>
      </c>
      <c r="B339" t="s">
        <v>263</v>
      </c>
      <c r="C339" s="35" t="s">
        <v>320</v>
      </c>
      <c r="D339" t="s">
        <v>491</v>
      </c>
      <c r="E339" s="35" t="s">
        <v>320</v>
      </c>
      <c r="F339" s="29" t="s">
        <v>492</v>
      </c>
      <c r="G339" s="36">
        <v>28000</v>
      </c>
      <c r="H339" s="36">
        <v>280</v>
      </c>
    </row>
    <row r="340" spans="1:8">
      <c r="A340" s="62">
        <v>136763077907</v>
      </c>
      <c r="B340" t="s">
        <v>4</v>
      </c>
      <c r="C340" s="35" t="s">
        <v>320</v>
      </c>
      <c r="D340" t="s">
        <v>491</v>
      </c>
      <c r="E340" s="35" t="s">
        <v>320</v>
      </c>
      <c r="F340" s="29" t="s">
        <v>492</v>
      </c>
      <c r="G340" s="36">
        <v>20400</v>
      </c>
      <c r="H340" s="36">
        <v>204</v>
      </c>
    </row>
    <row r="341" spans="1:8">
      <c r="A341" s="62">
        <v>136763251849</v>
      </c>
      <c r="B341" t="s">
        <v>4</v>
      </c>
      <c r="C341" s="35" t="s">
        <v>320</v>
      </c>
      <c r="D341" t="s">
        <v>491</v>
      </c>
      <c r="E341" s="35" t="s">
        <v>320</v>
      </c>
      <c r="F341" s="29" t="s">
        <v>492</v>
      </c>
      <c r="G341" s="36">
        <v>91598</v>
      </c>
      <c r="H341" s="36">
        <v>915.98</v>
      </c>
    </row>
    <row r="342" spans="1:8">
      <c r="A342" s="62">
        <v>137509141570</v>
      </c>
      <c r="B342" t="s">
        <v>4</v>
      </c>
      <c r="C342" s="35" t="s">
        <v>320</v>
      </c>
      <c r="D342" t="s">
        <v>491</v>
      </c>
      <c r="E342" s="35" t="s">
        <v>320</v>
      </c>
      <c r="F342" s="29" t="s">
        <v>492</v>
      </c>
      <c r="G342" s="36">
        <v>8800</v>
      </c>
      <c r="H342" s="36">
        <v>88</v>
      </c>
    </row>
    <row r="343" spans="1:8">
      <c r="A343" s="62">
        <v>137514965726</v>
      </c>
      <c r="B343" t="s">
        <v>263</v>
      </c>
      <c r="C343" s="35" t="s">
        <v>320</v>
      </c>
      <c r="D343" t="s">
        <v>491</v>
      </c>
      <c r="E343" s="35" t="s">
        <v>320</v>
      </c>
      <c r="F343" s="29" t="s">
        <v>492</v>
      </c>
      <c r="G343" s="36">
        <v>15300</v>
      </c>
      <c r="H343" s="36">
        <v>153</v>
      </c>
    </row>
    <row r="344" spans="1:8">
      <c r="A344" s="62">
        <v>137523926554</v>
      </c>
      <c r="B344" t="s">
        <v>4</v>
      </c>
      <c r="C344" s="35" t="s">
        <v>320</v>
      </c>
      <c r="D344" t="s">
        <v>491</v>
      </c>
      <c r="E344" s="35" t="s">
        <v>320</v>
      </c>
      <c r="F344" s="29" t="s">
        <v>492</v>
      </c>
      <c r="G344" s="36">
        <v>29300</v>
      </c>
      <c r="H344" s="36">
        <v>293</v>
      </c>
    </row>
    <row r="345" spans="1:8">
      <c r="A345" s="62">
        <v>136890753563</v>
      </c>
      <c r="B345" t="s">
        <v>263</v>
      </c>
      <c r="C345" s="35" t="s">
        <v>320</v>
      </c>
      <c r="D345" t="s">
        <v>491</v>
      </c>
      <c r="E345" s="35" t="s">
        <v>320</v>
      </c>
      <c r="F345" s="29" t="s">
        <v>492</v>
      </c>
      <c r="G345" s="36">
        <v>22200</v>
      </c>
      <c r="H345" s="36">
        <v>222</v>
      </c>
    </row>
    <row r="346" spans="1:8">
      <c r="A346" s="62">
        <v>137504808854</v>
      </c>
      <c r="B346" t="s">
        <v>4</v>
      </c>
      <c r="C346" s="35" t="s">
        <v>320</v>
      </c>
      <c r="D346" t="s">
        <v>491</v>
      </c>
      <c r="E346" s="35" t="s">
        <v>320</v>
      </c>
      <c r="F346" s="29" t="s">
        <v>492</v>
      </c>
      <c r="G346" s="36">
        <v>16800</v>
      </c>
      <c r="H346" s="36">
        <v>168</v>
      </c>
    </row>
    <row r="347" spans="1:8">
      <c r="A347" s="62">
        <v>137505117298</v>
      </c>
      <c r="B347" t="s">
        <v>263</v>
      </c>
      <c r="C347" s="35" t="s">
        <v>320</v>
      </c>
      <c r="D347" t="s">
        <v>491</v>
      </c>
      <c r="E347" s="35" t="s">
        <v>320</v>
      </c>
      <c r="F347" s="29" t="s">
        <v>492</v>
      </c>
      <c r="G347" s="36">
        <v>10200</v>
      </c>
      <c r="H347" s="36">
        <v>102</v>
      </c>
    </row>
    <row r="348" spans="1:8">
      <c r="A348" s="62">
        <v>136893538091</v>
      </c>
      <c r="B348" t="s">
        <v>4</v>
      </c>
      <c r="C348" s="35" t="s">
        <v>320</v>
      </c>
      <c r="D348" t="s">
        <v>491</v>
      </c>
      <c r="E348" s="35" t="s">
        <v>320</v>
      </c>
      <c r="F348" s="29" t="s">
        <v>492</v>
      </c>
      <c r="G348" s="36">
        <v>10700</v>
      </c>
      <c r="H348" s="36">
        <v>107</v>
      </c>
    </row>
    <row r="349" spans="1:8">
      <c r="A349" s="62">
        <v>136894464427</v>
      </c>
      <c r="B349" t="s">
        <v>4</v>
      </c>
      <c r="C349" s="35" t="s">
        <v>320</v>
      </c>
      <c r="D349" t="s">
        <v>491</v>
      </c>
      <c r="E349" s="35" t="s">
        <v>320</v>
      </c>
      <c r="F349" s="29" t="s">
        <v>492</v>
      </c>
      <c r="G349" s="36">
        <v>4800</v>
      </c>
      <c r="H349" s="36">
        <v>48</v>
      </c>
    </row>
    <row r="350" spans="1:8">
      <c r="A350" s="62">
        <v>136894824195</v>
      </c>
      <c r="B350" t="s">
        <v>4</v>
      </c>
      <c r="C350" s="35" t="s">
        <v>320</v>
      </c>
      <c r="D350" t="s">
        <v>491</v>
      </c>
      <c r="E350" s="35" t="s">
        <v>320</v>
      </c>
      <c r="F350" s="29" t="s">
        <v>492</v>
      </c>
      <c r="G350" s="36">
        <v>34300</v>
      </c>
      <c r="H350" s="36">
        <v>343</v>
      </c>
    </row>
    <row r="351" spans="1:8">
      <c r="A351" s="62">
        <v>137530279132</v>
      </c>
      <c r="B351" t="s">
        <v>4</v>
      </c>
      <c r="C351" s="35" t="s">
        <v>320</v>
      </c>
      <c r="D351" t="s">
        <v>491</v>
      </c>
      <c r="E351" s="35" t="s">
        <v>320</v>
      </c>
      <c r="F351" s="29" t="s">
        <v>492</v>
      </c>
      <c r="G351" s="36">
        <v>4200</v>
      </c>
      <c r="H351" s="36">
        <v>42</v>
      </c>
    </row>
    <row r="352" spans="1:8">
      <c r="A352" s="62">
        <v>137531931628</v>
      </c>
      <c r="B352" t="s">
        <v>4</v>
      </c>
      <c r="C352" s="35" t="s">
        <v>320</v>
      </c>
      <c r="D352" t="s">
        <v>491</v>
      </c>
      <c r="E352" s="35" t="s">
        <v>320</v>
      </c>
      <c r="F352" s="29" t="s">
        <v>492</v>
      </c>
      <c r="G352" s="36">
        <v>7200</v>
      </c>
      <c r="H352" s="36">
        <v>72</v>
      </c>
    </row>
    <row r="353" spans="1:8">
      <c r="A353" s="62">
        <v>137533326606</v>
      </c>
      <c r="B353" t="s">
        <v>263</v>
      </c>
      <c r="C353" s="35" t="s">
        <v>320</v>
      </c>
      <c r="D353" t="s">
        <v>491</v>
      </c>
      <c r="E353" s="35" t="s">
        <v>320</v>
      </c>
      <c r="F353" s="29" t="s">
        <v>492</v>
      </c>
      <c r="G353" s="36">
        <v>17800</v>
      </c>
      <c r="H353" s="36">
        <v>178</v>
      </c>
    </row>
    <row r="354" spans="1:8">
      <c r="A354" s="62">
        <v>136900364237</v>
      </c>
      <c r="B354" t="s">
        <v>4</v>
      </c>
      <c r="C354" s="35" t="s">
        <v>320</v>
      </c>
      <c r="D354" t="s">
        <v>491</v>
      </c>
      <c r="E354" s="35" t="s">
        <v>320</v>
      </c>
      <c r="F354" s="29" t="s">
        <v>492</v>
      </c>
      <c r="G354" s="36">
        <v>9600</v>
      </c>
      <c r="H354" s="36">
        <v>96</v>
      </c>
    </row>
    <row r="355" spans="1:8">
      <c r="A355" s="62">
        <v>137533431786</v>
      </c>
      <c r="B355" t="s">
        <v>4</v>
      </c>
      <c r="C355" s="35" t="s">
        <v>320</v>
      </c>
      <c r="D355" t="s">
        <v>491</v>
      </c>
      <c r="E355" s="35" t="s">
        <v>320</v>
      </c>
      <c r="F355" s="29" t="s">
        <v>492</v>
      </c>
      <c r="G355" s="36">
        <v>4800</v>
      </c>
      <c r="H355" s="36">
        <v>48</v>
      </c>
    </row>
    <row r="356" spans="1:8">
      <c r="A356" s="62">
        <v>136901010631</v>
      </c>
      <c r="B356" t="s">
        <v>4</v>
      </c>
      <c r="C356" s="35" t="s">
        <v>320</v>
      </c>
      <c r="D356" t="s">
        <v>491</v>
      </c>
      <c r="E356" s="35" t="s">
        <v>320</v>
      </c>
      <c r="F356" s="29" t="s">
        <v>492</v>
      </c>
      <c r="G356" s="36">
        <v>11000</v>
      </c>
      <c r="H356" s="36">
        <v>110</v>
      </c>
    </row>
    <row r="357" spans="1:8">
      <c r="A357" s="62">
        <v>136901033757</v>
      </c>
      <c r="B357" t="s">
        <v>263</v>
      </c>
      <c r="C357" s="35" t="s">
        <v>320</v>
      </c>
      <c r="D357" t="s">
        <v>491</v>
      </c>
      <c r="E357" s="35" t="s">
        <v>320</v>
      </c>
      <c r="F357" s="29" t="s">
        <v>492</v>
      </c>
      <c r="G357" s="36">
        <v>4800</v>
      </c>
      <c r="H357" s="36">
        <v>48</v>
      </c>
    </row>
    <row r="358" spans="1:8">
      <c r="A358" s="62">
        <v>136901169545</v>
      </c>
      <c r="B358" t="s">
        <v>4</v>
      </c>
      <c r="C358" s="35" t="s">
        <v>320</v>
      </c>
      <c r="D358" t="s">
        <v>491</v>
      </c>
      <c r="E358" s="35" t="s">
        <v>320</v>
      </c>
      <c r="F358" s="29" t="s">
        <v>492</v>
      </c>
      <c r="G358" s="36">
        <v>9500</v>
      </c>
      <c r="H358" s="36">
        <v>95</v>
      </c>
    </row>
    <row r="359" spans="1:8">
      <c r="A359" s="62">
        <v>137534515306</v>
      </c>
      <c r="B359" t="s">
        <v>4</v>
      </c>
      <c r="C359" s="35" t="s">
        <v>320</v>
      </c>
      <c r="D359" t="s">
        <v>491</v>
      </c>
      <c r="E359" s="35" t="s">
        <v>320</v>
      </c>
      <c r="F359" s="29" t="s">
        <v>492</v>
      </c>
      <c r="G359" s="36">
        <v>4400</v>
      </c>
      <c r="H359" s="36">
        <v>44</v>
      </c>
    </row>
    <row r="360" spans="1:8">
      <c r="A360" s="62">
        <v>136901930449</v>
      </c>
      <c r="B360" t="s">
        <v>4</v>
      </c>
      <c r="C360" s="35" t="s">
        <v>320</v>
      </c>
      <c r="D360" t="s">
        <v>491</v>
      </c>
      <c r="E360" s="35" t="s">
        <v>320</v>
      </c>
      <c r="F360" s="29" t="s">
        <v>492</v>
      </c>
      <c r="G360" s="36">
        <v>4900</v>
      </c>
      <c r="H360" s="36">
        <v>49</v>
      </c>
    </row>
    <row r="361" spans="1:8">
      <c r="A361" s="62">
        <v>136901875985</v>
      </c>
      <c r="B361" t="s">
        <v>4</v>
      </c>
      <c r="C361" s="35" t="s">
        <v>320</v>
      </c>
      <c r="D361" t="s">
        <v>491</v>
      </c>
      <c r="E361" s="35" t="s">
        <v>320</v>
      </c>
      <c r="F361" s="29" t="s">
        <v>492</v>
      </c>
      <c r="G361" s="36">
        <v>11000</v>
      </c>
      <c r="H361" s="36">
        <v>110</v>
      </c>
    </row>
    <row r="362" spans="1:8">
      <c r="A362" s="62">
        <v>137516316134</v>
      </c>
      <c r="B362" t="s">
        <v>263</v>
      </c>
      <c r="C362" s="35" t="s">
        <v>320</v>
      </c>
      <c r="D362" t="s">
        <v>491</v>
      </c>
      <c r="E362" s="35" t="s">
        <v>320</v>
      </c>
      <c r="F362" s="29" t="s">
        <v>492</v>
      </c>
      <c r="G362" s="36">
        <v>27100</v>
      </c>
      <c r="H362" s="36">
        <v>271</v>
      </c>
    </row>
    <row r="363" spans="1:8">
      <c r="A363" s="62">
        <v>137517341310</v>
      </c>
      <c r="B363" t="s">
        <v>263</v>
      </c>
      <c r="C363" s="35" t="s">
        <v>320</v>
      </c>
      <c r="D363" t="s">
        <v>491</v>
      </c>
      <c r="E363" s="35" t="s">
        <v>320</v>
      </c>
      <c r="F363" s="29" t="s">
        <v>492</v>
      </c>
      <c r="G363" s="36">
        <v>14200</v>
      </c>
      <c r="H363" s="36">
        <v>142</v>
      </c>
    </row>
    <row r="364" spans="1:8">
      <c r="A364" s="62">
        <v>137536970538</v>
      </c>
      <c r="B364" t="s">
        <v>263</v>
      </c>
      <c r="C364" s="35" t="s">
        <v>320</v>
      </c>
      <c r="D364" t="s">
        <v>491</v>
      </c>
      <c r="E364" s="35" t="s">
        <v>320</v>
      </c>
      <c r="F364" s="29" t="s">
        <v>492</v>
      </c>
      <c r="G364" s="36">
        <v>6000</v>
      </c>
      <c r="H364" s="36">
        <v>60</v>
      </c>
    </row>
    <row r="365" spans="1:8">
      <c r="A365" s="62">
        <v>136903665553</v>
      </c>
      <c r="B365" t="s">
        <v>4</v>
      </c>
      <c r="C365" s="35" t="s">
        <v>320</v>
      </c>
      <c r="D365" t="s">
        <v>491</v>
      </c>
      <c r="E365" s="35" t="s">
        <v>320</v>
      </c>
      <c r="F365" s="29" t="s">
        <v>492</v>
      </c>
      <c r="G365" s="36">
        <v>38850</v>
      </c>
      <c r="H365" s="36">
        <v>388.5</v>
      </c>
    </row>
    <row r="366" spans="1:8">
      <c r="A366" s="62">
        <v>136903944835</v>
      </c>
      <c r="B366" t="s">
        <v>4</v>
      </c>
      <c r="C366" s="35" t="s">
        <v>320</v>
      </c>
      <c r="D366" t="s">
        <v>491</v>
      </c>
      <c r="E366" s="35" t="s">
        <v>320</v>
      </c>
      <c r="F366" s="29" t="s">
        <v>492</v>
      </c>
      <c r="G366" s="36">
        <v>52200</v>
      </c>
      <c r="H366" s="36">
        <v>522</v>
      </c>
    </row>
    <row r="367" spans="1:8">
      <c r="A367" s="62">
        <v>136904069765</v>
      </c>
      <c r="B367" t="s">
        <v>4</v>
      </c>
      <c r="C367" s="35" t="s">
        <v>320</v>
      </c>
      <c r="D367" t="s">
        <v>491</v>
      </c>
      <c r="E367" s="35" t="s">
        <v>320</v>
      </c>
      <c r="F367" s="29" t="s">
        <v>492</v>
      </c>
      <c r="G367" s="36">
        <v>59900</v>
      </c>
      <c r="H367" s="36">
        <v>599</v>
      </c>
    </row>
    <row r="368" spans="1:8">
      <c r="A368" s="62">
        <v>136904745081</v>
      </c>
      <c r="B368" t="s">
        <v>4</v>
      </c>
      <c r="C368" s="35" t="s">
        <v>320</v>
      </c>
      <c r="D368" t="s">
        <v>491</v>
      </c>
      <c r="E368" s="35" t="s">
        <v>320</v>
      </c>
      <c r="F368" s="29" t="s">
        <v>492</v>
      </c>
      <c r="G368" s="36">
        <v>4800</v>
      </c>
      <c r="H368" s="36">
        <v>48</v>
      </c>
    </row>
    <row r="369" spans="1:8">
      <c r="A369" s="62">
        <v>137538383964</v>
      </c>
      <c r="B369" t="s">
        <v>263</v>
      </c>
      <c r="C369" s="35" t="s">
        <v>320</v>
      </c>
      <c r="D369" t="s">
        <v>491</v>
      </c>
      <c r="E369" s="35" t="s">
        <v>320</v>
      </c>
      <c r="F369" s="29" t="s">
        <v>492</v>
      </c>
      <c r="G369" s="36">
        <v>77100</v>
      </c>
      <c r="H369" s="36">
        <v>771</v>
      </c>
    </row>
    <row r="370" spans="1:8">
      <c r="A370" s="62">
        <v>136905808451</v>
      </c>
      <c r="B370" t="s">
        <v>4</v>
      </c>
      <c r="C370" s="35" t="s">
        <v>320</v>
      </c>
      <c r="D370" t="s">
        <v>491</v>
      </c>
      <c r="E370" s="35" t="s">
        <v>320</v>
      </c>
      <c r="F370" s="29" t="s">
        <v>492</v>
      </c>
      <c r="G370" s="36">
        <v>8400</v>
      </c>
      <c r="H370" s="36">
        <v>84</v>
      </c>
    </row>
    <row r="371" spans="1:8">
      <c r="A371" s="62">
        <v>136905906851</v>
      </c>
      <c r="B371" t="s">
        <v>4</v>
      </c>
      <c r="C371" s="35" t="s">
        <v>320</v>
      </c>
      <c r="D371" t="s">
        <v>491</v>
      </c>
      <c r="E371" s="35" t="s">
        <v>320</v>
      </c>
      <c r="F371" s="29" t="s">
        <v>492</v>
      </c>
      <c r="G371" s="36">
        <v>4800</v>
      </c>
      <c r="H371" s="36">
        <v>48</v>
      </c>
    </row>
    <row r="372" spans="1:8">
      <c r="A372" s="62">
        <v>137539449132</v>
      </c>
      <c r="B372" t="s">
        <v>4</v>
      </c>
      <c r="C372" s="35" t="s">
        <v>320</v>
      </c>
      <c r="D372" t="s">
        <v>491</v>
      </c>
      <c r="E372" s="35" t="s">
        <v>320</v>
      </c>
      <c r="F372" s="29" t="s">
        <v>492</v>
      </c>
      <c r="G372" s="36">
        <v>42200</v>
      </c>
      <c r="H372" s="36">
        <v>422</v>
      </c>
    </row>
    <row r="373" spans="1:8">
      <c r="A373" s="62">
        <v>136906571367</v>
      </c>
      <c r="B373" t="s">
        <v>4</v>
      </c>
      <c r="C373" s="35" t="s">
        <v>320</v>
      </c>
      <c r="D373" t="s">
        <v>491</v>
      </c>
      <c r="E373" s="35" t="s">
        <v>320</v>
      </c>
      <c r="F373" s="29" t="s">
        <v>492</v>
      </c>
      <c r="G373" s="36">
        <v>15800</v>
      </c>
      <c r="H373" s="36">
        <v>158</v>
      </c>
    </row>
    <row r="374" spans="1:8">
      <c r="A374" s="62">
        <v>136888436805</v>
      </c>
      <c r="B374" t="s">
        <v>263</v>
      </c>
      <c r="C374" s="35" t="s">
        <v>320</v>
      </c>
      <c r="D374" t="s">
        <v>491</v>
      </c>
      <c r="E374" s="35" t="s">
        <v>320</v>
      </c>
      <c r="F374" s="29" t="s">
        <v>492</v>
      </c>
      <c r="G374" s="36">
        <v>27850</v>
      </c>
      <c r="H374" s="36">
        <v>278.5</v>
      </c>
    </row>
    <row r="375" spans="1:8">
      <c r="A375" s="62">
        <v>137521468712</v>
      </c>
      <c r="B375" t="s">
        <v>4</v>
      </c>
      <c r="C375" s="35" t="s">
        <v>320</v>
      </c>
      <c r="D375" t="s">
        <v>491</v>
      </c>
      <c r="E375" s="35" t="s">
        <v>320</v>
      </c>
      <c r="F375" s="29" t="s">
        <v>492</v>
      </c>
      <c r="G375" s="36">
        <v>20900</v>
      </c>
      <c r="H375" s="36">
        <v>209</v>
      </c>
    </row>
    <row r="376" spans="1:8">
      <c r="A376" s="62">
        <v>136907146003</v>
      </c>
      <c r="B376" t="s">
        <v>4</v>
      </c>
      <c r="C376" s="35" t="s">
        <v>320</v>
      </c>
      <c r="D376" t="s">
        <v>491</v>
      </c>
      <c r="E376" s="35" t="s">
        <v>327</v>
      </c>
      <c r="F376" s="29" t="s">
        <v>492</v>
      </c>
      <c r="G376" s="36">
        <v>46200</v>
      </c>
      <c r="H376" s="36">
        <v>462</v>
      </c>
    </row>
    <row r="377" spans="1:8">
      <c r="A377" s="62">
        <v>137540388010</v>
      </c>
      <c r="B377" t="s">
        <v>4</v>
      </c>
      <c r="C377" s="35" t="s">
        <v>320</v>
      </c>
      <c r="D377" t="s">
        <v>491</v>
      </c>
      <c r="E377" s="35" t="s">
        <v>327</v>
      </c>
      <c r="F377" s="29" t="s">
        <v>492</v>
      </c>
      <c r="G377" s="36">
        <v>9600</v>
      </c>
      <c r="H377" s="36">
        <v>96</v>
      </c>
    </row>
    <row r="378" spans="1:8">
      <c r="A378" s="62">
        <v>137540595612</v>
      </c>
      <c r="B378" t="s">
        <v>4</v>
      </c>
      <c r="C378" s="35" t="s">
        <v>320</v>
      </c>
      <c r="D378" t="s">
        <v>491</v>
      </c>
      <c r="E378" s="35" t="s">
        <v>327</v>
      </c>
      <c r="F378" s="29" t="s">
        <v>492</v>
      </c>
      <c r="G378" s="36">
        <v>4000</v>
      </c>
      <c r="H378" s="36">
        <v>40</v>
      </c>
    </row>
    <row r="379" spans="1:8">
      <c r="A379" s="62">
        <v>137541156138</v>
      </c>
      <c r="B379" t="s">
        <v>4</v>
      </c>
      <c r="C379" s="35" t="s">
        <v>320</v>
      </c>
      <c r="D379" t="s">
        <v>491</v>
      </c>
      <c r="E379" s="35" t="s">
        <v>327</v>
      </c>
      <c r="F379" s="29" t="s">
        <v>492</v>
      </c>
      <c r="G379" s="36">
        <v>12800</v>
      </c>
      <c r="H379" s="36">
        <v>128</v>
      </c>
    </row>
    <row r="380" spans="1:8">
      <c r="A380" s="62">
        <v>137541514796</v>
      </c>
      <c r="B380" t="s">
        <v>4</v>
      </c>
      <c r="C380" s="35" t="s">
        <v>320</v>
      </c>
      <c r="D380" t="s">
        <v>491</v>
      </c>
      <c r="E380" s="35" t="s">
        <v>327</v>
      </c>
      <c r="F380" s="29" t="s">
        <v>492</v>
      </c>
      <c r="G380" s="36">
        <v>4100</v>
      </c>
      <c r="H380" s="36">
        <v>41</v>
      </c>
    </row>
    <row r="381" spans="1:8">
      <c r="A381" s="62">
        <v>137541617978</v>
      </c>
      <c r="B381" t="s">
        <v>4</v>
      </c>
      <c r="C381" s="35" t="s">
        <v>320</v>
      </c>
      <c r="D381" t="s">
        <v>491</v>
      </c>
      <c r="E381" s="35" t="s">
        <v>327</v>
      </c>
      <c r="F381" s="29" t="s">
        <v>492</v>
      </c>
      <c r="G381" s="36">
        <v>4400</v>
      </c>
      <c r="H381" s="36">
        <v>44</v>
      </c>
    </row>
    <row r="382" spans="1:8">
      <c r="A382" s="62">
        <v>137542387224</v>
      </c>
      <c r="B382" t="s">
        <v>4</v>
      </c>
      <c r="C382" s="35" t="s">
        <v>320</v>
      </c>
      <c r="D382" t="s">
        <v>491</v>
      </c>
      <c r="E382" s="35" t="s">
        <v>327</v>
      </c>
      <c r="F382" s="29" t="s">
        <v>492</v>
      </c>
      <c r="G382" s="36">
        <v>45500</v>
      </c>
      <c r="H382" s="36">
        <v>455</v>
      </c>
    </row>
    <row r="383" spans="1:8">
      <c r="A383" s="62">
        <v>136909607997</v>
      </c>
      <c r="B383" t="s">
        <v>4</v>
      </c>
      <c r="C383" s="35" t="s">
        <v>320</v>
      </c>
      <c r="D383" t="s">
        <v>491</v>
      </c>
      <c r="E383" s="35" t="s">
        <v>327</v>
      </c>
      <c r="F383" s="29" t="s">
        <v>492</v>
      </c>
      <c r="G383" s="36">
        <v>4800</v>
      </c>
      <c r="H383" s="36">
        <v>48</v>
      </c>
    </row>
    <row r="384" spans="1:8">
      <c r="A384" s="62">
        <v>137542736688</v>
      </c>
      <c r="B384" t="s">
        <v>263</v>
      </c>
      <c r="C384" s="35" t="s">
        <v>320</v>
      </c>
      <c r="D384" t="s">
        <v>491</v>
      </c>
      <c r="E384" s="35" t="s">
        <v>327</v>
      </c>
      <c r="F384" s="29" t="s">
        <v>492</v>
      </c>
      <c r="G384" s="36">
        <v>9600</v>
      </c>
      <c r="H384" s="36">
        <v>96</v>
      </c>
    </row>
    <row r="385" spans="1:8">
      <c r="A385" s="62">
        <v>136893462517</v>
      </c>
      <c r="B385" t="s">
        <v>263</v>
      </c>
      <c r="C385" s="35" t="s">
        <v>320</v>
      </c>
      <c r="D385" t="s">
        <v>491</v>
      </c>
      <c r="E385" s="35" t="s">
        <v>320</v>
      </c>
      <c r="F385" s="29" t="s">
        <v>492</v>
      </c>
      <c r="G385" s="36">
        <v>12400</v>
      </c>
      <c r="H385" s="36">
        <v>124</v>
      </c>
    </row>
    <row r="386" spans="1:8">
      <c r="A386" s="62">
        <v>137545150932</v>
      </c>
      <c r="B386" t="s">
        <v>4</v>
      </c>
      <c r="C386" s="35" t="s">
        <v>327</v>
      </c>
      <c r="D386" t="s">
        <v>491</v>
      </c>
      <c r="E386" s="35" t="s">
        <v>327</v>
      </c>
      <c r="F386" s="29" t="s">
        <v>492</v>
      </c>
      <c r="G386" s="36">
        <v>4800</v>
      </c>
      <c r="H386" s="36">
        <v>48</v>
      </c>
    </row>
    <row r="387" spans="1:8">
      <c r="A387" s="62">
        <v>137545257514</v>
      </c>
      <c r="B387" t="s">
        <v>4</v>
      </c>
      <c r="C387" s="35" t="s">
        <v>327</v>
      </c>
      <c r="D387" t="s">
        <v>491</v>
      </c>
      <c r="E387" s="35" t="s">
        <v>327</v>
      </c>
      <c r="F387" s="29" t="s">
        <v>492</v>
      </c>
      <c r="G387" s="36">
        <v>21500</v>
      </c>
      <c r="H387" s="36">
        <v>215</v>
      </c>
    </row>
    <row r="388" spans="1:8">
      <c r="A388" s="62">
        <v>137545399844</v>
      </c>
      <c r="B388" t="s">
        <v>4</v>
      </c>
      <c r="C388" s="35" t="s">
        <v>327</v>
      </c>
      <c r="D388" t="s">
        <v>491</v>
      </c>
      <c r="E388" s="35" t="s">
        <v>327</v>
      </c>
      <c r="F388" s="29" t="s">
        <v>492</v>
      </c>
      <c r="G388" s="36">
        <v>44000</v>
      </c>
      <c r="H388" s="36">
        <v>440</v>
      </c>
    </row>
    <row r="389" spans="1:8">
      <c r="A389" s="62">
        <v>136912525375</v>
      </c>
      <c r="B389" t="s">
        <v>4</v>
      </c>
      <c r="C389" s="35" t="s">
        <v>327</v>
      </c>
      <c r="D389" t="s">
        <v>491</v>
      </c>
      <c r="E389" s="35" t="s">
        <v>327</v>
      </c>
      <c r="F389" s="29" t="s">
        <v>492</v>
      </c>
      <c r="G389" s="36">
        <v>23400</v>
      </c>
      <c r="H389" s="36">
        <v>234</v>
      </c>
    </row>
    <row r="390" spans="1:8">
      <c r="A390" s="62">
        <v>136912585861</v>
      </c>
      <c r="B390" t="s">
        <v>4</v>
      </c>
      <c r="C390" s="35" t="s">
        <v>327</v>
      </c>
      <c r="D390" t="s">
        <v>491</v>
      </c>
      <c r="E390" s="35" t="s">
        <v>327</v>
      </c>
      <c r="F390" s="29" t="s">
        <v>492</v>
      </c>
      <c r="G390" s="36">
        <v>23400</v>
      </c>
      <c r="H390" s="36">
        <v>234</v>
      </c>
    </row>
    <row r="391" spans="1:8">
      <c r="A391" s="62">
        <v>136912751489</v>
      </c>
      <c r="B391" t="s">
        <v>4</v>
      </c>
      <c r="C391" s="35" t="s">
        <v>327</v>
      </c>
      <c r="D391" t="s">
        <v>491</v>
      </c>
      <c r="E391" s="35" t="s">
        <v>327</v>
      </c>
      <c r="F391" s="29" t="s">
        <v>492</v>
      </c>
      <c r="G391" s="36">
        <v>13600</v>
      </c>
      <c r="H391" s="36">
        <v>136</v>
      </c>
    </row>
    <row r="392" spans="1:8">
      <c r="A392" s="62">
        <v>136912732043</v>
      </c>
      <c r="B392" t="s">
        <v>4</v>
      </c>
      <c r="C392" s="35" t="s">
        <v>327</v>
      </c>
      <c r="D392" t="s">
        <v>491</v>
      </c>
      <c r="E392" s="35" t="s">
        <v>327</v>
      </c>
      <c r="F392" s="29" t="s">
        <v>492</v>
      </c>
      <c r="G392" s="36">
        <v>8400</v>
      </c>
      <c r="H392" s="36">
        <v>84</v>
      </c>
    </row>
    <row r="393" spans="1:8">
      <c r="A393" s="62">
        <v>136912975121</v>
      </c>
      <c r="B393" t="s">
        <v>4</v>
      </c>
      <c r="C393" s="35" t="s">
        <v>327</v>
      </c>
      <c r="D393" t="s">
        <v>491</v>
      </c>
      <c r="E393" s="35" t="s">
        <v>327</v>
      </c>
      <c r="F393" s="29" t="s">
        <v>492</v>
      </c>
      <c r="G393" s="36">
        <v>62000</v>
      </c>
      <c r="H393" s="36">
        <v>620</v>
      </c>
    </row>
    <row r="394" spans="1:8">
      <c r="A394" s="62">
        <v>137546227878</v>
      </c>
      <c r="B394" t="s">
        <v>4</v>
      </c>
      <c r="C394" s="35" t="s">
        <v>327</v>
      </c>
      <c r="D394" t="s">
        <v>491</v>
      </c>
      <c r="E394" s="35" t="s">
        <v>327</v>
      </c>
      <c r="F394" s="29" t="s">
        <v>492</v>
      </c>
      <c r="G394" s="36">
        <v>12900</v>
      </c>
      <c r="H394" s="36">
        <v>129</v>
      </c>
    </row>
    <row r="395" spans="1:8">
      <c r="A395" s="62">
        <v>137546578068</v>
      </c>
      <c r="B395" t="s">
        <v>4</v>
      </c>
      <c r="C395" s="35" t="s">
        <v>327</v>
      </c>
      <c r="D395" t="s">
        <v>491</v>
      </c>
      <c r="E395" s="35" t="s">
        <v>327</v>
      </c>
      <c r="F395" s="29" t="s">
        <v>492</v>
      </c>
      <c r="G395" s="36">
        <v>7900</v>
      </c>
      <c r="H395" s="36">
        <v>79</v>
      </c>
    </row>
    <row r="396" spans="1:8">
      <c r="A396" s="62">
        <v>137547228792</v>
      </c>
      <c r="B396" t="s">
        <v>263</v>
      </c>
      <c r="C396" s="35" t="s">
        <v>327</v>
      </c>
      <c r="D396" t="s">
        <v>491</v>
      </c>
      <c r="E396" s="35" t="s">
        <v>327</v>
      </c>
      <c r="F396" s="29" t="s">
        <v>492</v>
      </c>
      <c r="G396" s="36">
        <v>9600</v>
      </c>
      <c r="H396" s="36">
        <v>96</v>
      </c>
    </row>
    <row r="397" spans="1:8">
      <c r="A397" s="62">
        <v>136914446137</v>
      </c>
      <c r="B397" t="s">
        <v>4</v>
      </c>
      <c r="C397" s="35" t="s">
        <v>327</v>
      </c>
      <c r="D397" t="s">
        <v>491</v>
      </c>
      <c r="E397" s="35" t="s">
        <v>327</v>
      </c>
      <c r="F397" s="29" t="s">
        <v>492</v>
      </c>
      <c r="G397" s="36">
        <v>5800</v>
      </c>
      <c r="H397" s="36">
        <v>58</v>
      </c>
    </row>
    <row r="398" spans="1:8">
      <c r="A398" s="62">
        <v>136914570765</v>
      </c>
      <c r="B398" t="s">
        <v>4</v>
      </c>
      <c r="C398" s="35" t="s">
        <v>327</v>
      </c>
      <c r="D398" t="s">
        <v>491</v>
      </c>
      <c r="E398" s="35" t="s">
        <v>327</v>
      </c>
      <c r="F398" s="29" t="s">
        <v>492</v>
      </c>
      <c r="G398" s="36">
        <v>21300</v>
      </c>
      <c r="H398" s="36">
        <v>213</v>
      </c>
    </row>
    <row r="399" spans="1:8">
      <c r="A399" s="62">
        <v>136914671357</v>
      </c>
      <c r="B399" t="s">
        <v>4</v>
      </c>
      <c r="C399" s="35" t="s">
        <v>327</v>
      </c>
      <c r="D399" t="s">
        <v>491</v>
      </c>
      <c r="E399" s="35" t="s">
        <v>327</v>
      </c>
      <c r="F399" s="29" t="s">
        <v>492</v>
      </c>
      <c r="G399" s="36">
        <v>27600</v>
      </c>
      <c r="H399" s="36">
        <v>276</v>
      </c>
    </row>
    <row r="400" spans="1:8">
      <c r="A400" s="62">
        <v>136915272579</v>
      </c>
      <c r="B400" t="s">
        <v>263</v>
      </c>
      <c r="C400" s="35" t="s">
        <v>327</v>
      </c>
      <c r="D400" t="s">
        <v>491</v>
      </c>
      <c r="E400" s="35" t="s">
        <v>327</v>
      </c>
      <c r="F400" s="29" t="s">
        <v>492</v>
      </c>
      <c r="G400" s="36">
        <v>7900</v>
      </c>
      <c r="H400" s="36">
        <v>79</v>
      </c>
    </row>
    <row r="401" spans="1:8">
      <c r="A401" s="62">
        <v>136898510177</v>
      </c>
      <c r="B401" t="s">
        <v>263</v>
      </c>
      <c r="C401" s="35" t="s">
        <v>320</v>
      </c>
      <c r="D401" t="s">
        <v>491</v>
      </c>
      <c r="E401" s="35" t="s">
        <v>320</v>
      </c>
      <c r="F401" s="29" t="s">
        <v>492</v>
      </c>
      <c r="G401" s="36">
        <v>36300</v>
      </c>
      <c r="H401" s="36">
        <v>363</v>
      </c>
    </row>
    <row r="402" spans="1:8">
      <c r="A402" s="62">
        <v>136898457817</v>
      </c>
      <c r="B402" t="s">
        <v>263</v>
      </c>
      <c r="C402" s="35" t="s">
        <v>320</v>
      </c>
      <c r="D402" t="s">
        <v>491</v>
      </c>
      <c r="E402" s="35" t="s">
        <v>320</v>
      </c>
      <c r="F402" s="29" t="s">
        <v>492</v>
      </c>
      <c r="G402" s="36">
        <v>4800</v>
      </c>
      <c r="H402" s="36">
        <v>48</v>
      </c>
    </row>
    <row r="403" spans="1:8">
      <c r="A403" s="62">
        <v>137548968332</v>
      </c>
      <c r="B403" t="s">
        <v>263</v>
      </c>
      <c r="C403" s="35" t="s">
        <v>327</v>
      </c>
      <c r="D403" t="s">
        <v>491</v>
      </c>
      <c r="E403" s="35" t="s">
        <v>327</v>
      </c>
      <c r="F403" s="29" t="s">
        <v>492</v>
      </c>
      <c r="G403" s="36">
        <v>20900</v>
      </c>
      <c r="H403" s="36">
        <v>209</v>
      </c>
    </row>
    <row r="404" spans="1:8">
      <c r="A404" s="62">
        <v>137549612728</v>
      </c>
      <c r="B404" t="s">
        <v>4</v>
      </c>
      <c r="C404" s="35" t="s">
        <v>327</v>
      </c>
      <c r="D404" t="s">
        <v>491</v>
      </c>
      <c r="E404" s="35" t="s">
        <v>327</v>
      </c>
      <c r="F404" s="29" t="s">
        <v>492</v>
      </c>
      <c r="G404" s="36">
        <v>218500</v>
      </c>
      <c r="H404" s="36">
        <v>2185</v>
      </c>
    </row>
    <row r="405" spans="1:8">
      <c r="A405" s="62">
        <v>137549459378</v>
      </c>
      <c r="B405" t="s">
        <v>4</v>
      </c>
      <c r="C405" s="35" t="s">
        <v>327</v>
      </c>
      <c r="D405" t="s">
        <v>491</v>
      </c>
      <c r="E405" s="35" t="s">
        <v>327</v>
      </c>
      <c r="F405" s="29" t="s">
        <v>492</v>
      </c>
      <c r="G405" s="36">
        <v>8800</v>
      </c>
      <c r="H405" s="36">
        <v>88</v>
      </c>
    </row>
    <row r="406" spans="1:8">
      <c r="A406" s="62">
        <v>136901524811</v>
      </c>
      <c r="B406" t="s">
        <v>4</v>
      </c>
      <c r="C406" s="35" t="s">
        <v>320</v>
      </c>
      <c r="D406" t="s">
        <v>491</v>
      </c>
      <c r="E406" s="35" t="s">
        <v>320</v>
      </c>
      <c r="F406" s="29" t="s">
        <v>492</v>
      </c>
      <c r="G406" s="36">
        <v>13600</v>
      </c>
      <c r="H406" s="36">
        <v>136</v>
      </c>
    </row>
    <row r="407" spans="1:8">
      <c r="A407" s="62">
        <v>136902227587</v>
      </c>
      <c r="B407" t="s">
        <v>4</v>
      </c>
      <c r="C407" s="35" t="s">
        <v>320</v>
      </c>
      <c r="D407" t="s">
        <v>491</v>
      </c>
      <c r="E407" s="35" t="s">
        <v>320</v>
      </c>
      <c r="F407" s="29" t="s">
        <v>492</v>
      </c>
      <c r="G407" s="36">
        <v>9400</v>
      </c>
      <c r="H407" s="36">
        <v>94</v>
      </c>
    </row>
    <row r="408" spans="1:8">
      <c r="A408" s="62">
        <v>137535694252</v>
      </c>
      <c r="B408" t="s">
        <v>4</v>
      </c>
      <c r="C408" s="35" t="s">
        <v>320</v>
      </c>
      <c r="D408" t="s">
        <v>491</v>
      </c>
      <c r="E408" s="35" t="s">
        <v>320</v>
      </c>
      <c r="F408" s="29" t="s">
        <v>492</v>
      </c>
      <c r="G408" s="36">
        <v>4800</v>
      </c>
      <c r="H408" s="36">
        <v>48</v>
      </c>
    </row>
    <row r="409" spans="1:8">
      <c r="A409" s="62">
        <v>136902790397</v>
      </c>
      <c r="B409" t="s">
        <v>4</v>
      </c>
      <c r="C409" s="35" t="s">
        <v>320</v>
      </c>
      <c r="D409" t="s">
        <v>491</v>
      </c>
      <c r="E409" s="35" t="s">
        <v>320</v>
      </c>
      <c r="F409" s="29" t="s">
        <v>492</v>
      </c>
      <c r="G409" s="36">
        <v>4800</v>
      </c>
      <c r="H409" s="36">
        <v>48</v>
      </c>
    </row>
    <row r="410" spans="1:8">
      <c r="A410" s="62">
        <v>136903070923</v>
      </c>
      <c r="B410" t="s">
        <v>4</v>
      </c>
      <c r="C410" s="35" t="s">
        <v>320</v>
      </c>
      <c r="D410" t="s">
        <v>491</v>
      </c>
      <c r="E410" s="35" t="s">
        <v>320</v>
      </c>
      <c r="F410" s="29" t="s">
        <v>492</v>
      </c>
      <c r="G410" s="36">
        <v>4800</v>
      </c>
      <c r="H410" s="36">
        <v>48</v>
      </c>
    </row>
    <row r="411" spans="1:8">
      <c r="A411" s="62">
        <v>137536620552</v>
      </c>
      <c r="B411" t="s">
        <v>4</v>
      </c>
      <c r="C411" s="35" t="s">
        <v>320</v>
      </c>
      <c r="D411" t="s">
        <v>491</v>
      </c>
      <c r="E411" s="35" t="s">
        <v>320</v>
      </c>
      <c r="F411" s="29" t="s">
        <v>492</v>
      </c>
      <c r="G411" s="36">
        <v>37700</v>
      </c>
      <c r="H411" s="36">
        <v>377</v>
      </c>
    </row>
    <row r="412" spans="1:8">
      <c r="A412" s="62">
        <v>136903852707</v>
      </c>
      <c r="B412" t="s">
        <v>263</v>
      </c>
      <c r="C412" s="35" t="s">
        <v>320</v>
      </c>
      <c r="D412" t="s">
        <v>491</v>
      </c>
      <c r="E412" s="35" t="s">
        <v>320</v>
      </c>
      <c r="F412" s="29" t="s">
        <v>492</v>
      </c>
      <c r="G412" s="36">
        <v>71500</v>
      </c>
      <c r="H412" s="36">
        <v>715</v>
      </c>
    </row>
    <row r="413" spans="1:8">
      <c r="A413" s="62">
        <v>136903887707</v>
      </c>
      <c r="B413" t="s">
        <v>4</v>
      </c>
      <c r="C413" s="35" t="s">
        <v>320</v>
      </c>
      <c r="D413" t="s">
        <v>491</v>
      </c>
      <c r="E413" s="35" t="s">
        <v>320</v>
      </c>
      <c r="F413" s="29" t="s">
        <v>492</v>
      </c>
      <c r="G413" s="36">
        <v>4800</v>
      </c>
      <c r="H413" s="36">
        <v>48</v>
      </c>
    </row>
    <row r="414" spans="1:8">
      <c r="A414" s="62">
        <v>136904114823</v>
      </c>
      <c r="B414" t="s">
        <v>4</v>
      </c>
      <c r="C414" s="35" t="s">
        <v>320</v>
      </c>
      <c r="D414" t="s">
        <v>491</v>
      </c>
      <c r="E414" s="35" t="s">
        <v>320</v>
      </c>
      <c r="F414" s="29" t="s">
        <v>492</v>
      </c>
      <c r="G414" s="36">
        <v>4200</v>
      </c>
      <c r="H414" s="36">
        <v>42</v>
      </c>
    </row>
    <row r="415" spans="1:8">
      <c r="A415" s="62">
        <v>137539201804</v>
      </c>
      <c r="B415" t="s">
        <v>4</v>
      </c>
      <c r="C415" s="35" t="s">
        <v>320</v>
      </c>
      <c r="D415" t="s">
        <v>491</v>
      </c>
      <c r="E415" s="35" t="s">
        <v>320</v>
      </c>
      <c r="F415" s="29" t="s">
        <v>492</v>
      </c>
      <c r="G415" s="36">
        <v>4100</v>
      </c>
      <c r="H415" s="36">
        <v>41</v>
      </c>
    </row>
    <row r="416" spans="1:8">
      <c r="A416" s="62">
        <v>136906923221</v>
      </c>
      <c r="B416" t="s">
        <v>4</v>
      </c>
      <c r="C416" s="35" t="s">
        <v>320</v>
      </c>
      <c r="D416" t="s">
        <v>491</v>
      </c>
      <c r="E416" s="35" t="s">
        <v>320</v>
      </c>
      <c r="F416" s="29" t="s">
        <v>492</v>
      </c>
      <c r="G416" s="36">
        <v>109500</v>
      </c>
      <c r="H416" s="36">
        <v>1095</v>
      </c>
    </row>
    <row r="417" spans="1:8">
      <c r="A417" s="62">
        <v>137540105336</v>
      </c>
      <c r="B417" t="s">
        <v>4</v>
      </c>
      <c r="C417" s="35" t="s">
        <v>320</v>
      </c>
      <c r="D417" t="s">
        <v>491</v>
      </c>
      <c r="E417" s="35" t="s">
        <v>327</v>
      </c>
      <c r="F417" s="29" t="s">
        <v>492</v>
      </c>
      <c r="G417" s="36">
        <v>4800</v>
      </c>
      <c r="H417" s="36">
        <v>48</v>
      </c>
    </row>
    <row r="418" spans="1:8">
      <c r="A418" s="62">
        <v>137541218458</v>
      </c>
      <c r="B418" t="s">
        <v>4</v>
      </c>
      <c r="C418" s="35" t="s">
        <v>320</v>
      </c>
      <c r="D418" t="s">
        <v>491</v>
      </c>
      <c r="E418" s="35" t="s">
        <v>327</v>
      </c>
      <c r="F418" s="29" t="s">
        <v>492</v>
      </c>
      <c r="G418" s="36">
        <v>4800</v>
      </c>
      <c r="H418" s="36">
        <v>48</v>
      </c>
    </row>
    <row r="419" spans="1:8">
      <c r="A419" s="62">
        <v>136907946313</v>
      </c>
      <c r="B419" t="s">
        <v>263</v>
      </c>
      <c r="C419" s="35" t="s">
        <v>320</v>
      </c>
      <c r="D419" t="s">
        <v>491</v>
      </c>
      <c r="E419" s="35" t="s">
        <v>327</v>
      </c>
      <c r="F419" s="29" t="s">
        <v>492</v>
      </c>
      <c r="G419" s="36">
        <v>30000</v>
      </c>
      <c r="H419" s="36">
        <v>300</v>
      </c>
    </row>
    <row r="420" spans="1:8">
      <c r="A420" s="62">
        <v>137542444234</v>
      </c>
      <c r="B420" t="s">
        <v>4</v>
      </c>
      <c r="C420" s="35" t="s">
        <v>320</v>
      </c>
      <c r="D420" t="s">
        <v>491</v>
      </c>
      <c r="E420" s="35" t="s">
        <v>327</v>
      </c>
      <c r="F420" s="29" t="s">
        <v>492</v>
      </c>
      <c r="G420" s="36">
        <v>48100</v>
      </c>
      <c r="H420" s="36">
        <v>481</v>
      </c>
    </row>
    <row r="421" spans="1:8">
      <c r="A421" s="62">
        <v>137542727460</v>
      </c>
      <c r="B421" t="s">
        <v>4</v>
      </c>
      <c r="C421" s="35" t="s">
        <v>320</v>
      </c>
      <c r="D421" t="s">
        <v>491</v>
      </c>
      <c r="E421" s="35" t="s">
        <v>327</v>
      </c>
      <c r="F421" s="29" t="s">
        <v>492</v>
      </c>
      <c r="G421" s="36">
        <v>18400</v>
      </c>
      <c r="H421" s="36">
        <v>184</v>
      </c>
    </row>
    <row r="422" spans="1:8">
      <c r="A422" s="62">
        <v>136910253133</v>
      </c>
      <c r="B422" t="s">
        <v>4</v>
      </c>
      <c r="C422" s="35" t="s">
        <v>320</v>
      </c>
      <c r="D422" t="s">
        <v>491</v>
      </c>
      <c r="E422" s="35" t="s">
        <v>327</v>
      </c>
      <c r="F422" s="29" t="s">
        <v>492</v>
      </c>
      <c r="G422" s="36">
        <v>8000</v>
      </c>
      <c r="H422" s="36">
        <v>80</v>
      </c>
    </row>
    <row r="423" spans="1:8">
      <c r="A423" s="62">
        <v>137543547888</v>
      </c>
      <c r="B423" t="s">
        <v>4</v>
      </c>
      <c r="C423" s="35" t="s">
        <v>320</v>
      </c>
      <c r="D423" t="s">
        <v>491</v>
      </c>
      <c r="E423" s="35" t="s">
        <v>327</v>
      </c>
      <c r="F423" s="29" t="s">
        <v>492</v>
      </c>
      <c r="G423" s="36">
        <v>40500</v>
      </c>
      <c r="H423" s="36">
        <v>405</v>
      </c>
    </row>
    <row r="424" spans="1:8">
      <c r="A424" s="62">
        <v>137544322996</v>
      </c>
      <c r="B424" t="s">
        <v>263</v>
      </c>
      <c r="C424" s="35" t="s">
        <v>327</v>
      </c>
      <c r="D424" t="s">
        <v>491</v>
      </c>
      <c r="E424" s="35" t="s">
        <v>327</v>
      </c>
      <c r="F424" s="29" t="s">
        <v>492</v>
      </c>
      <c r="G424" s="36">
        <v>92100</v>
      </c>
      <c r="H424" s="36">
        <v>921</v>
      </c>
    </row>
    <row r="425" spans="1:8">
      <c r="A425" s="62">
        <v>137544399486</v>
      </c>
      <c r="B425" t="s">
        <v>4</v>
      </c>
      <c r="C425" s="35" t="s">
        <v>327</v>
      </c>
      <c r="D425" t="s">
        <v>491</v>
      </c>
      <c r="E425" s="35" t="s">
        <v>327</v>
      </c>
      <c r="F425" s="29" t="s">
        <v>492</v>
      </c>
      <c r="G425" s="36">
        <v>4200</v>
      </c>
      <c r="H425" s="36">
        <v>42</v>
      </c>
    </row>
    <row r="426" spans="1:8">
      <c r="A426" s="62">
        <v>136911982075</v>
      </c>
      <c r="B426" t="s">
        <v>4</v>
      </c>
      <c r="C426" s="35" t="s">
        <v>327</v>
      </c>
      <c r="D426" t="s">
        <v>491</v>
      </c>
      <c r="E426" s="35" t="s">
        <v>327</v>
      </c>
      <c r="F426" s="29" t="s">
        <v>492</v>
      </c>
      <c r="G426" s="36">
        <v>14700</v>
      </c>
      <c r="H426" s="36">
        <v>147</v>
      </c>
    </row>
    <row r="427" spans="1:8">
      <c r="A427" s="62">
        <v>136912149021</v>
      </c>
      <c r="B427" t="s">
        <v>4</v>
      </c>
      <c r="C427" s="35" t="s">
        <v>327</v>
      </c>
      <c r="D427" t="s">
        <v>491</v>
      </c>
      <c r="E427" s="35" t="s">
        <v>327</v>
      </c>
      <c r="F427" s="29" t="s">
        <v>492</v>
      </c>
      <c r="G427" s="36">
        <v>106500</v>
      </c>
      <c r="H427" s="36">
        <v>1065</v>
      </c>
    </row>
    <row r="428" spans="1:8">
      <c r="A428" s="62">
        <v>136912380571</v>
      </c>
      <c r="B428" t="s">
        <v>263</v>
      </c>
      <c r="C428" s="35" t="s">
        <v>327</v>
      </c>
      <c r="D428" t="s">
        <v>491</v>
      </c>
      <c r="E428" s="35" t="s">
        <v>327</v>
      </c>
      <c r="F428" s="29" t="s">
        <v>492</v>
      </c>
      <c r="G428" s="36">
        <v>20900</v>
      </c>
      <c r="H428" s="36">
        <v>209</v>
      </c>
    </row>
    <row r="429" spans="1:8">
      <c r="A429" s="62">
        <v>137545478442</v>
      </c>
      <c r="B429" t="s">
        <v>4</v>
      </c>
      <c r="C429" s="35" t="s">
        <v>327</v>
      </c>
      <c r="D429" t="s">
        <v>491</v>
      </c>
      <c r="E429" s="35" t="s">
        <v>327</v>
      </c>
      <c r="F429" s="29" t="s">
        <v>492</v>
      </c>
      <c r="G429" s="36">
        <v>12000</v>
      </c>
      <c r="H429" s="36">
        <v>120</v>
      </c>
    </row>
    <row r="430" spans="1:8">
      <c r="A430" s="62">
        <v>136912524459</v>
      </c>
      <c r="B430" t="s">
        <v>4</v>
      </c>
      <c r="C430" s="35" t="s">
        <v>327</v>
      </c>
      <c r="D430" t="s">
        <v>491</v>
      </c>
      <c r="E430" s="35" t="s">
        <v>327</v>
      </c>
      <c r="F430" s="29" t="s">
        <v>492</v>
      </c>
      <c r="G430" s="36">
        <v>27500</v>
      </c>
      <c r="H430" s="36">
        <v>275</v>
      </c>
    </row>
    <row r="431" spans="1:8">
      <c r="A431" s="62">
        <v>137546451270</v>
      </c>
      <c r="B431" t="s">
        <v>4</v>
      </c>
      <c r="C431" s="35" t="s">
        <v>327</v>
      </c>
      <c r="D431" t="s">
        <v>491</v>
      </c>
      <c r="E431" s="35" t="s">
        <v>327</v>
      </c>
      <c r="F431" s="29" t="s">
        <v>492</v>
      </c>
      <c r="G431" s="36">
        <v>13500</v>
      </c>
      <c r="H431" s="36">
        <v>135</v>
      </c>
    </row>
    <row r="432" spans="1:8">
      <c r="A432" s="62">
        <v>136913470977</v>
      </c>
      <c r="B432" t="s">
        <v>263</v>
      </c>
      <c r="C432" s="35" t="s">
        <v>327</v>
      </c>
      <c r="D432" t="s">
        <v>491</v>
      </c>
      <c r="E432" s="35" t="s">
        <v>327</v>
      </c>
      <c r="F432" s="29" t="s">
        <v>492</v>
      </c>
      <c r="G432" s="36">
        <v>9600</v>
      </c>
      <c r="H432" s="36">
        <v>96</v>
      </c>
    </row>
    <row r="433" spans="1:8">
      <c r="A433" s="62">
        <v>136914112129</v>
      </c>
      <c r="B433" t="s">
        <v>4</v>
      </c>
      <c r="C433" s="35" t="s">
        <v>327</v>
      </c>
      <c r="D433" t="s">
        <v>491</v>
      </c>
      <c r="E433" s="35" t="s">
        <v>327</v>
      </c>
      <c r="F433" s="29" t="s">
        <v>492</v>
      </c>
      <c r="G433" s="36">
        <v>4800</v>
      </c>
      <c r="H433" s="36">
        <v>48</v>
      </c>
    </row>
    <row r="434" spans="1:8">
      <c r="A434" s="62">
        <v>136914272051</v>
      </c>
      <c r="B434" t="s">
        <v>4</v>
      </c>
      <c r="C434" s="35" t="s">
        <v>327</v>
      </c>
      <c r="D434" t="s">
        <v>491</v>
      </c>
      <c r="E434" s="35" t="s">
        <v>327</v>
      </c>
      <c r="F434" s="29" t="s">
        <v>492</v>
      </c>
      <c r="G434" s="36">
        <v>12700</v>
      </c>
      <c r="H434" s="36">
        <v>127</v>
      </c>
    </row>
    <row r="435" spans="1:8">
      <c r="A435" s="62">
        <v>136914524535</v>
      </c>
      <c r="B435" t="s">
        <v>4</v>
      </c>
      <c r="C435" s="35" t="s">
        <v>327</v>
      </c>
      <c r="D435" t="s">
        <v>491</v>
      </c>
      <c r="E435" s="35" t="s">
        <v>327</v>
      </c>
      <c r="F435" s="29" t="s">
        <v>492</v>
      </c>
      <c r="G435" s="36">
        <v>4800</v>
      </c>
      <c r="H435" s="36">
        <v>48</v>
      </c>
    </row>
    <row r="436" spans="1:8">
      <c r="A436" s="62">
        <v>137547309798</v>
      </c>
      <c r="B436" t="s">
        <v>4</v>
      </c>
      <c r="C436" s="35" t="s">
        <v>327</v>
      </c>
      <c r="D436" t="s">
        <v>491</v>
      </c>
      <c r="E436" s="35" t="s">
        <v>327</v>
      </c>
      <c r="F436" s="29" t="s">
        <v>492</v>
      </c>
      <c r="G436" s="36">
        <v>9600</v>
      </c>
      <c r="H436" s="36">
        <v>96</v>
      </c>
    </row>
    <row r="437" spans="1:8">
      <c r="A437" s="62">
        <v>136915988399</v>
      </c>
      <c r="B437" t="s">
        <v>4</v>
      </c>
      <c r="C437" s="35" t="s">
        <v>327</v>
      </c>
      <c r="D437" t="s">
        <v>491</v>
      </c>
      <c r="E437" s="35" t="s">
        <v>327</v>
      </c>
      <c r="F437" s="29" t="s">
        <v>492</v>
      </c>
      <c r="G437" s="36">
        <v>26000</v>
      </c>
      <c r="H437" s="36">
        <v>260</v>
      </c>
    </row>
    <row r="438" spans="1:8">
      <c r="A438" s="62">
        <v>137549050936</v>
      </c>
      <c r="B438" t="s">
        <v>4</v>
      </c>
      <c r="C438" s="35" t="s">
        <v>327</v>
      </c>
      <c r="D438" t="s">
        <v>491</v>
      </c>
      <c r="E438" s="35" t="s">
        <v>327</v>
      </c>
      <c r="F438" s="29" t="s">
        <v>492</v>
      </c>
      <c r="G438" s="36">
        <v>76200</v>
      </c>
      <c r="H438" s="36">
        <v>762</v>
      </c>
    </row>
    <row r="439" spans="1:8">
      <c r="A439" s="62">
        <v>136916562339</v>
      </c>
      <c r="B439" t="s">
        <v>4</v>
      </c>
      <c r="C439" s="35" t="s">
        <v>327</v>
      </c>
      <c r="D439" t="s">
        <v>491</v>
      </c>
      <c r="E439" s="35" t="s">
        <v>327</v>
      </c>
      <c r="F439" s="29" t="s">
        <v>492</v>
      </c>
      <c r="G439" s="36">
        <v>11000</v>
      </c>
      <c r="H439" s="36">
        <v>110</v>
      </c>
    </row>
    <row r="440" spans="1:8">
      <c r="A440" s="62">
        <v>136916652431</v>
      </c>
      <c r="B440" t="s">
        <v>4</v>
      </c>
      <c r="C440" s="35" t="s">
        <v>327</v>
      </c>
      <c r="D440" t="s">
        <v>491</v>
      </c>
      <c r="E440" s="35" t="s">
        <v>327</v>
      </c>
      <c r="F440" s="29" t="s">
        <v>492</v>
      </c>
      <c r="G440" s="36">
        <v>4800</v>
      </c>
      <c r="H440" s="36">
        <v>48</v>
      </c>
    </row>
    <row r="441" spans="1:8">
      <c r="A441" s="62">
        <v>137549976466</v>
      </c>
      <c r="B441" t="s">
        <v>4</v>
      </c>
      <c r="C441" s="35" t="s">
        <v>327</v>
      </c>
      <c r="D441" t="s">
        <v>491</v>
      </c>
      <c r="E441" s="35" t="s">
        <v>327</v>
      </c>
      <c r="F441" s="29" t="s">
        <v>492</v>
      </c>
      <c r="G441" s="36">
        <v>42200</v>
      </c>
      <c r="H441" s="36">
        <v>422</v>
      </c>
    </row>
    <row r="442" spans="1:8">
      <c r="A442" s="62">
        <v>137550029106</v>
      </c>
      <c r="B442" t="s">
        <v>263</v>
      </c>
      <c r="C442" s="35" t="s">
        <v>327</v>
      </c>
      <c r="D442" t="s">
        <v>491</v>
      </c>
      <c r="E442" s="35" t="s">
        <v>327</v>
      </c>
      <c r="F442" s="29" t="s">
        <v>492</v>
      </c>
      <c r="G442" s="36">
        <v>37900</v>
      </c>
      <c r="H442" s="36">
        <v>379</v>
      </c>
    </row>
    <row r="443" spans="1:8">
      <c r="A443" s="62">
        <v>136916906659</v>
      </c>
      <c r="B443" t="s">
        <v>4</v>
      </c>
      <c r="C443" s="35" t="s">
        <v>327</v>
      </c>
      <c r="D443" t="s">
        <v>491</v>
      </c>
      <c r="E443" s="35" t="s">
        <v>327</v>
      </c>
      <c r="F443" s="29" t="s">
        <v>492</v>
      </c>
      <c r="G443" s="36">
        <v>11400</v>
      </c>
      <c r="H443" s="36">
        <v>114</v>
      </c>
    </row>
    <row r="444" spans="1:8">
      <c r="A444" s="62">
        <v>137649717546</v>
      </c>
      <c r="B444" t="s">
        <v>4</v>
      </c>
      <c r="C444" s="35" t="s">
        <v>327</v>
      </c>
      <c r="D444" t="s">
        <v>491</v>
      </c>
      <c r="E444" s="35" t="s">
        <v>327</v>
      </c>
      <c r="F444" s="29" t="s">
        <v>492</v>
      </c>
      <c r="G444" s="36">
        <v>9600</v>
      </c>
      <c r="H444" s="36">
        <v>96</v>
      </c>
    </row>
    <row r="445" spans="1:8">
      <c r="A445" s="62">
        <v>137035785219</v>
      </c>
      <c r="B445" t="s">
        <v>4</v>
      </c>
      <c r="C445" s="35" t="s">
        <v>327</v>
      </c>
      <c r="D445" t="s">
        <v>491</v>
      </c>
      <c r="E445" s="35" t="s">
        <v>327</v>
      </c>
      <c r="F445" s="29" t="s">
        <v>492</v>
      </c>
      <c r="G445" s="36">
        <v>26400</v>
      </c>
      <c r="H445" s="36">
        <v>264</v>
      </c>
    </row>
    <row r="446" spans="1:8">
      <c r="A446" s="62">
        <v>137671009436</v>
      </c>
      <c r="B446" t="s">
        <v>4</v>
      </c>
      <c r="C446" s="35" t="s">
        <v>327</v>
      </c>
      <c r="D446" t="s">
        <v>491</v>
      </c>
      <c r="E446" s="35" t="s">
        <v>327</v>
      </c>
      <c r="F446" s="29" t="s">
        <v>492</v>
      </c>
      <c r="G446" s="36">
        <v>20200</v>
      </c>
      <c r="H446" s="36">
        <v>202</v>
      </c>
    </row>
    <row r="447" spans="1:8">
      <c r="A447" s="62">
        <v>137676231468</v>
      </c>
      <c r="B447" t="s">
        <v>4</v>
      </c>
      <c r="C447" s="35" t="s">
        <v>327</v>
      </c>
      <c r="D447" t="s">
        <v>491</v>
      </c>
      <c r="E447" s="35" t="s">
        <v>327</v>
      </c>
      <c r="F447" s="29" t="s">
        <v>492</v>
      </c>
      <c r="G447" s="36">
        <v>4800</v>
      </c>
      <c r="H447" s="36">
        <v>48</v>
      </c>
    </row>
    <row r="448" spans="1:8">
      <c r="A448" s="62">
        <v>137677529088</v>
      </c>
      <c r="B448" t="s">
        <v>4</v>
      </c>
      <c r="C448" s="35" t="s">
        <v>327</v>
      </c>
      <c r="D448" t="s">
        <v>491</v>
      </c>
      <c r="E448" s="35" t="s">
        <v>327</v>
      </c>
      <c r="F448" s="29" t="s">
        <v>492</v>
      </c>
      <c r="G448" s="36">
        <v>9800</v>
      </c>
      <c r="H448" s="36">
        <v>98</v>
      </c>
    </row>
    <row r="449" spans="1:8">
      <c r="A449" s="62">
        <v>137044469955</v>
      </c>
      <c r="B449" t="s">
        <v>4</v>
      </c>
      <c r="C449" s="35" t="s">
        <v>327</v>
      </c>
      <c r="D449" t="s">
        <v>491</v>
      </c>
      <c r="E449" s="35" t="s">
        <v>327</v>
      </c>
      <c r="F449" s="29" t="s">
        <v>492</v>
      </c>
      <c r="G449" s="36">
        <v>94600</v>
      </c>
      <c r="H449" s="36">
        <v>946</v>
      </c>
    </row>
    <row r="450" spans="1:8">
      <c r="A450" s="62">
        <v>137680805420</v>
      </c>
      <c r="B450" t="s">
        <v>4</v>
      </c>
      <c r="C450" s="35" t="s">
        <v>327</v>
      </c>
      <c r="D450" t="s">
        <v>491</v>
      </c>
      <c r="E450" s="35" t="s">
        <v>327</v>
      </c>
      <c r="F450" s="29" t="s">
        <v>492</v>
      </c>
      <c r="G450" s="36">
        <v>14700</v>
      </c>
      <c r="H450" s="36">
        <v>147</v>
      </c>
    </row>
    <row r="451" spans="1:8">
      <c r="A451" s="62">
        <v>137682428878</v>
      </c>
      <c r="B451" t="s">
        <v>4</v>
      </c>
      <c r="C451" s="35" t="s">
        <v>327</v>
      </c>
      <c r="D451" t="s">
        <v>491</v>
      </c>
      <c r="E451" s="35" t="s">
        <v>327</v>
      </c>
      <c r="F451" s="29" t="s">
        <v>492</v>
      </c>
      <c r="G451" s="36">
        <v>55600</v>
      </c>
      <c r="H451" s="36">
        <v>556</v>
      </c>
    </row>
    <row r="452" spans="1:8">
      <c r="A452" s="62">
        <v>137684305360</v>
      </c>
      <c r="B452" t="s">
        <v>4</v>
      </c>
      <c r="C452" s="35" t="s">
        <v>327</v>
      </c>
      <c r="D452" t="s">
        <v>491</v>
      </c>
      <c r="E452" s="35" t="s">
        <v>327</v>
      </c>
      <c r="F452" s="29" t="s">
        <v>492</v>
      </c>
      <c r="G452" s="36">
        <v>35600</v>
      </c>
      <c r="H452" s="36">
        <v>356</v>
      </c>
    </row>
    <row r="453" spans="1:8">
      <c r="A453" s="62">
        <v>137051456749</v>
      </c>
      <c r="B453" t="s">
        <v>263</v>
      </c>
      <c r="C453" s="35" t="s">
        <v>327</v>
      </c>
      <c r="D453" t="s">
        <v>491</v>
      </c>
      <c r="E453" s="35" t="s">
        <v>327</v>
      </c>
      <c r="F453" s="29" t="s">
        <v>492</v>
      </c>
      <c r="G453" s="36">
        <v>31400</v>
      </c>
      <c r="H453" s="36">
        <v>314</v>
      </c>
    </row>
    <row r="454" spans="1:8">
      <c r="A454" s="62">
        <v>137051650943</v>
      </c>
      <c r="B454" t="s">
        <v>263</v>
      </c>
      <c r="C454" s="35" t="s">
        <v>327</v>
      </c>
      <c r="D454" t="s">
        <v>491</v>
      </c>
      <c r="E454" s="35" t="s">
        <v>327</v>
      </c>
      <c r="F454" s="29" t="s">
        <v>492</v>
      </c>
      <c r="G454" s="36">
        <v>37800</v>
      </c>
      <c r="H454" s="36">
        <v>378</v>
      </c>
    </row>
    <row r="455" spans="1:8">
      <c r="A455" s="62">
        <v>137685229660</v>
      </c>
      <c r="B455" t="s">
        <v>4</v>
      </c>
      <c r="C455" s="35" t="s">
        <v>327</v>
      </c>
      <c r="D455" t="s">
        <v>491</v>
      </c>
      <c r="E455" s="35" t="s">
        <v>327</v>
      </c>
      <c r="F455" s="29" t="s">
        <v>492</v>
      </c>
      <c r="G455" s="36">
        <v>19000</v>
      </c>
      <c r="H455" s="36">
        <v>190</v>
      </c>
    </row>
    <row r="456" spans="1:8">
      <c r="A456" s="62">
        <v>137052814137</v>
      </c>
      <c r="B456" t="s">
        <v>4</v>
      </c>
      <c r="C456" s="35" t="s">
        <v>327</v>
      </c>
      <c r="D456" t="s">
        <v>491</v>
      </c>
      <c r="E456" s="35" t="s">
        <v>327</v>
      </c>
      <c r="F456" s="29" t="s">
        <v>492</v>
      </c>
      <c r="G456" s="36">
        <v>20900</v>
      </c>
      <c r="H456" s="36">
        <v>209</v>
      </c>
    </row>
    <row r="457" spans="1:8">
      <c r="A457" s="62">
        <v>137053592771</v>
      </c>
      <c r="B457" t="s">
        <v>4</v>
      </c>
      <c r="C457" s="35" t="s">
        <v>327</v>
      </c>
      <c r="D457" t="s">
        <v>491</v>
      </c>
      <c r="E457" s="35" t="s">
        <v>327</v>
      </c>
      <c r="F457" s="29" t="s">
        <v>492</v>
      </c>
      <c r="G457" s="36">
        <v>18400</v>
      </c>
      <c r="H457" s="36">
        <v>184</v>
      </c>
    </row>
    <row r="458" spans="1:8">
      <c r="A458" s="62">
        <v>137688911668</v>
      </c>
      <c r="B458" t="s">
        <v>4</v>
      </c>
      <c r="C458" s="35" t="s">
        <v>327</v>
      </c>
      <c r="D458" t="s">
        <v>491</v>
      </c>
      <c r="E458" s="35" t="s">
        <v>336</v>
      </c>
      <c r="F458" s="29" t="s">
        <v>492</v>
      </c>
      <c r="G458" s="36">
        <v>4900</v>
      </c>
      <c r="H458" s="36">
        <v>49</v>
      </c>
    </row>
    <row r="459" spans="1:8">
      <c r="A459" s="62">
        <v>137055724405</v>
      </c>
      <c r="B459" t="s">
        <v>4</v>
      </c>
      <c r="C459" s="35" t="s">
        <v>327</v>
      </c>
      <c r="D459" t="s">
        <v>491</v>
      </c>
      <c r="E459" s="35" t="s">
        <v>336</v>
      </c>
      <c r="F459" s="29" t="s">
        <v>492</v>
      </c>
      <c r="G459" s="36">
        <v>33700</v>
      </c>
      <c r="H459" s="36">
        <v>337</v>
      </c>
    </row>
    <row r="460" spans="1:8">
      <c r="A460" s="62">
        <v>137689978402</v>
      </c>
      <c r="B460" t="s">
        <v>263</v>
      </c>
      <c r="C460" s="35" t="s">
        <v>327</v>
      </c>
      <c r="D460" t="s">
        <v>491</v>
      </c>
      <c r="E460" s="35" t="s">
        <v>336</v>
      </c>
      <c r="F460" s="29" t="s">
        <v>492</v>
      </c>
      <c r="G460" s="36">
        <v>50900</v>
      </c>
      <c r="H460" s="36">
        <v>509</v>
      </c>
    </row>
    <row r="461" spans="1:8">
      <c r="A461" s="62">
        <v>137056843823</v>
      </c>
      <c r="B461" t="s">
        <v>4</v>
      </c>
      <c r="C461" s="35" t="s">
        <v>327</v>
      </c>
      <c r="D461" t="s">
        <v>491</v>
      </c>
      <c r="E461" s="35" t="s">
        <v>336</v>
      </c>
      <c r="F461" s="29" t="s">
        <v>492</v>
      </c>
      <c r="G461" s="36">
        <v>41400</v>
      </c>
      <c r="H461" s="36">
        <v>414</v>
      </c>
    </row>
    <row r="462" spans="1:8">
      <c r="A462" s="62">
        <v>137670538274</v>
      </c>
      <c r="B462" t="s">
        <v>263</v>
      </c>
      <c r="C462" s="35" t="s">
        <v>327</v>
      </c>
      <c r="D462" t="s">
        <v>491</v>
      </c>
      <c r="E462" s="35" t="s">
        <v>327</v>
      </c>
      <c r="F462" s="29" t="s">
        <v>492</v>
      </c>
      <c r="G462" s="36">
        <v>4000</v>
      </c>
      <c r="H462" s="36">
        <v>40</v>
      </c>
    </row>
    <row r="463" spans="1:8">
      <c r="A463" s="62">
        <v>137057370005</v>
      </c>
      <c r="B463" t="s">
        <v>4</v>
      </c>
      <c r="C463" s="35" t="s">
        <v>327</v>
      </c>
      <c r="D463" t="s">
        <v>491</v>
      </c>
      <c r="E463" s="35" t="s">
        <v>336</v>
      </c>
      <c r="F463" s="29" t="s">
        <v>492</v>
      </c>
      <c r="G463" s="36">
        <v>42800</v>
      </c>
      <c r="H463" s="36">
        <v>428</v>
      </c>
    </row>
    <row r="464" spans="1:8">
      <c r="A464" s="62">
        <v>137057641201</v>
      </c>
      <c r="B464" t="s">
        <v>4</v>
      </c>
      <c r="C464" s="35" t="s">
        <v>327</v>
      </c>
      <c r="D464" t="s">
        <v>491</v>
      </c>
      <c r="E464" s="35" t="s">
        <v>336</v>
      </c>
      <c r="F464" s="29" t="s">
        <v>492</v>
      </c>
      <c r="G464" s="36">
        <v>35800</v>
      </c>
      <c r="H464" s="36">
        <v>358</v>
      </c>
    </row>
    <row r="465" spans="1:8">
      <c r="A465" s="62">
        <v>137057721637</v>
      </c>
      <c r="B465" t="s">
        <v>263</v>
      </c>
      <c r="C465" s="35" t="s">
        <v>327</v>
      </c>
      <c r="D465" t="s">
        <v>491</v>
      </c>
      <c r="E465" s="35" t="s">
        <v>336</v>
      </c>
      <c r="F465" s="29" t="s">
        <v>492</v>
      </c>
      <c r="G465" s="36">
        <v>43200</v>
      </c>
      <c r="H465" s="36">
        <v>432</v>
      </c>
    </row>
    <row r="466" spans="1:8">
      <c r="A466" s="62">
        <v>137691353480</v>
      </c>
      <c r="B466" t="s">
        <v>4</v>
      </c>
      <c r="C466" s="35" t="s">
        <v>327</v>
      </c>
      <c r="D466" t="s">
        <v>491</v>
      </c>
      <c r="E466" s="35" t="s">
        <v>336</v>
      </c>
      <c r="F466" s="29" t="s">
        <v>492</v>
      </c>
      <c r="G466" s="36">
        <v>20000</v>
      </c>
      <c r="H466" s="36">
        <v>200</v>
      </c>
    </row>
    <row r="467" spans="1:8">
      <c r="A467" s="62">
        <v>137058045427</v>
      </c>
      <c r="B467" t="s">
        <v>4</v>
      </c>
      <c r="C467" s="35" t="s">
        <v>327</v>
      </c>
      <c r="D467" t="s">
        <v>491</v>
      </c>
      <c r="E467" s="35" t="s">
        <v>336</v>
      </c>
      <c r="F467" s="29" t="s">
        <v>492</v>
      </c>
      <c r="G467" s="36">
        <v>49100</v>
      </c>
      <c r="H467" s="36">
        <v>491</v>
      </c>
    </row>
    <row r="468" spans="1:8">
      <c r="A468" s="62">
        <v>137691630590</v>
      </c>
      <c r="B468" t="s">
        <v>263</v>
      </c>
      <c r="C468" s="35" t="s">
        <v>327</v>
      </c>
      <c r="D468" t="s">
        <v>491</v>
      </c>
      <c r="E468" s="35" t="s">
        <v>336</v>
      </c>
      <c r="F468" s="29" t="s">
        <v>492</v>
      </c>
      <c r="G468" s="36">
        <v>4800</v>
      </c>
      <c r="H468" s="36">
        <v>48</v>
      </c>
    </row>
    <row r="469" spans="1:8">
      <c r="A469" s="62">
        <v>137058507115</v>
      </c>
      <c r="B469" t="s">
        <v>4</v>
      </c>
      <c r="C469" s="35" t="s">
        <v>327</v>
      </c>
      <c r="D469" t="s">
        <v>491</v>
      </c>
      <c r="E469" s="35" t="s">
        <v>336</v>
      </c>
      <c r="F469" s="29" t="s">
        <v>492</v>
      </c>
      <c r="G469" s="36">
        <v>24300</v>
      </c>
      <c r="H469" s="36">
        <v>243</v>
      </c>
    </row>
    <row r="470" spans="1:8">
      <c r="A470" s="62">
        <v>137058637227</v>
      </c>
      <c r="B470" t="s">
        <v>4</v>
      </c>
      <c r="C470" s="35" t="s">
        <v>327</v>
      </c>
      <c r="D470" t="s">
        <v>491</v>
      </c>
      <c r="E470" s="35" t="s">
        <v>336</v>
      </c>
      <c r="F470" s="29" t="s">
        <v>492</v>
      </c>
      <c r="G470" s="36">
        <v>43800</v>
      </c>
      <c r="H470" s="36">
        <v>438</v>
      </c>
    </row>
    <row r="471" spans="1:8">
      <c r="A471" s="62">
        <v>137058747509</v>
      </c>
      <c r="B471" t="s">
        <v>4</v>
      </c>
      <c r="C471" s="35" t="s">
        <v>327</v>
      </c>
      <c r="D471" t="s">
        <v>491</v>
      </c>
      <c r="E471" s="35" t="s">
        <v>336</v>
      </c>
      <c r="F471" s="29" t="s">
        <v>492</v>
      </c>
      <c r="G471" s="36">
        <v>58400</v>
      </c>
      <c r="H471" s="36">
        <v>584</v>
      </c>
    </row>
    <row r="472" spans="1:8">
      <c r="A472" s="62">
        <v>137060218899</v>
      </c>
      <c r="B472" t="s">
        <v>4</v>
      </c>
      <c r="C472" s="35" t="s">
        <v>336</v>
      </c>
      <c r="D472" t="s">
        <v>491</v>
      </c>
      <c r="E472" s="35" t="s">
        <v>336</v>
      </c>
      <c r="F472" s="29" t="s">
        <v>492</v>
      </c>
      <c r="G472" s="36">
        <v>16500</v>
      </c>
      <c r="H472" s="36">
        <v>165</v>
      </c>
    </row>
    <row r="473" spans="1:8">
      <c r="A473" s="62">
        <v>137040182521</v>
      </c>
      <c r="B473" t="s">
        <v>4</v>
      </c>
      <c r="C473" s="35" t="s">
        <v>327</v>
      </c>
      <c r="D473" t="s">
        <v>491</v>
      </c>
      <c r="E473" s="35" t="s">
        <v>327</v>
      </c>
      <c r="F473" s="29" t="s">
        <v>492</v>
      </c>
      <c r="G473" s="36">
        <v>9800</v>
      </c>
      <c r="H473" s="36">
        <v>98</v>
      </c>
    </row>
    <row r="474" spans="1:8">
      <c r="A474" s="62">
        <v>137673449798</v>
      </c>
      <c r="B474" t="s">
        <v>263</v>
      </c>
      <c r="C474" s="35" t="s">
        <v>327</v>
      </c>
      <c r="D474" t="s">
        <v>491</v>
      </c>
      <c r="E474" s="35" t="s">
        <v>327</v>
      </c>
      <c r="F474" s="29" t="s">
        <v>492</v>
      </c>
      <c r="G474" s="36">
        <v>9600</v>
      </c>
      <c r="H474" s="36">
        <v>96</v>
      </c>
    </row>
    <row r="475" spans="1:8">
      <c r="A475" s="62">
        <v>137694142296</v>
      </c>
      <c r="B475" t="s">
        <v>4</v>
      </c>
      <c r="C475" s="35" t="s">
        <v>336</v>
      </c>
      <c r="D475" t="s">
        <v>491</v>
      </c>
      <c r="E475" s="35" t="s">
        <v>336</v>
      </c>
      <c r="F475" s="29" t="s">
        <v>492</v>
      </c>
      <c r="G475" s="36">
        <v>82100</v>
      </c>
      <c r="H475" s="36">
        <v>821</v>
      </c>
    </row>
    <row r="476" spans="1:8">
      <c r="A476" s="62">
        <v>137694288196</v>
      </c>
      <c r="B476" t="s">
        <v>4</v>
      </c>
      <c r="C476" s="35" t="s">
        <v>336</v>
      </c>
      <c r="D476" t="s">
        <v>491</v>
      </c>
      <c r="E476" s="35" t="s">
        <v>336</v>
      </c>
      <c r="F476" s="29" t="s">
        <v>492</v>
      </c>
      <c r="G476" s="36">
        <v>4800</v>
      </c>
      <c r="H476" s="36">
        <v>48</v>
      </c>
    </row>
    <row r="477" spans="1:8">
      <c r="A477" s="62">
        <v>137694509248</v>
      </c>
      <c r="B477" t="s">
        <v>4</v>
      </c>
      <c r="C477" s="35" t="s">
        <v>336</v>
      </c>
      <c r="D477" t="s">
        <v>491</v>
      </c>
      <c r="E477" s="35" t="s">
        <v>336</v>
      </c>
      <c r="F477" s="29" t="s">
        <v>492</v>
      </c>
      <c r="G477" s="36">
        <v>51400</v>
      </c>
      <c r="H477" s="36">
        <v>514</v>
      </c>
    </row>
    <row r="478" spans="1:8">
      <c r="A478" s="62">
        <v>137694716170</v>
      </c>
      <c r="B478" t="s">
        <v>4</v>
      </c>
      <c r="C478" s="35" t="s">
        <v>336</v>
      </c>
      <c r="D478" t="s">
        <v>491</v>
      </c>
      <c r="E478" s="35" t="s">
        <v>336</v>
      </c>
      <c r="F478" s="29" t="s">
        <v>492</v>
      </c>
      <c r="G478" s="36">
        <v>14700</v>
      </c>
      <c r="H478" s="36">
        <v>147</v>
      </c>
    </row>
    <row r="479" spans="1:8">
      <c r="A479" s="62">
        <v>137695785864</v>
      </c>
      <c r="B479" t="s">
        <v>4</v>
      </c>
      <c r="C479" s="35" t="s">
        <v>336</v>
      </c>
      <c r="D479" t="s">
        <v>491</v>
      </c>
      <c r="E479" s="35" t="s">
        <v>336</v>
      </c>
      <c r="F479" s="29" t="s">
        <v>492</v>
      </c>
      <c r="G479" s="36">
        <v>4200</v>
      </c>
      <c r="H479" s="36">
        <v>42</v>
      </c>
    </row>
    <row r="480" spans="1:8">
      <c r="A480" s="62">
        <v>137042830597</v>
      </c>
      <c r="B480" t="s">
        <v>263</v>
      </c>
      <c r="C480" s="35" t="s">
        <v>327</v>
      </c>
      <c r="D480" t="s">
        <v>491</v>
      </c>
      <c r="E480" s="35" t="s">
        <v>327</v>
      </c>
      <c r="F480" s="29" t="s">
        <v>492</v>
      </c>
      <c r="G480" s="36">
        <v>5800</v>
      </c>
      <c r="H480" s="36">
        <v>58</v>
      </c>
    </row>
    <row r="481" spans="1:8">
      <c r="A481" s="62">
        <v>137063694987</v>
      </c>
      <c r="B481" t="s">
        <v>4</v>
      </c>
      <c r="C481" s="35" t="s">
        <v>336</v>
      </c>
      <c r="D481" t="s">
        <v>491</v>
      </c>
      <c r="E481" s="35" t="s">
        <v>336</v>
      </c>
      <c r="F481" s="29" t="s">
        <v>492</v>
      </c>
      <c r="G481" s="36">
        <v>31600</v>
      </c>
      <c r="H481" s="36">
        <v>316</v>
      </c>
    </row>
    <row r="482" spans="1:8">
      <c r="A482" s="62">
        <v>137063936513</v>
      </c>
      <c r="B482" t="s">
        <v>4</v>
      </c>
      <c r="C482" s="35" t="s">
        <v>336</v>
      </c>
      <c r="D482" t="s">
        <v>491</v>
      </c>
      <c r="E482" s="35" t="s">
        <v>336</v>
      </c>
      <c r="F482" s="29" t="s">
        <v>492</v>
      </c>
      <c r="G482" s="36">
        <v>7900</v>
      </c>
      <c r="H482" s="36">
        <v>79</v>
      </c>
    </row>
    <row r="483" spans="1:8">
      <c r="A483" s="62">
        <v>137697604934</v>
      </c>
      <c r="B483" t="s">
        <v>4</v>
      </c>
      <c r="C483" s="35" t="s">
        <v>336</v>
      </c>
      <c r="D483" t="s">
        <v>491</v>
      </c>
      <c r="E483" s="35" t="s">
        <v>336</v>
      </c>
      <c r="F483" s="29" t="s">
        <v>492</v>
      </c>
      <c r="G483" s="36">
        <v>9800</v>
      </c>
      <c r="H483" s="36">
        <v>98</v>
      </c>
    </row>
    <row r="484" spans="1:8">
      <c r="A484" s="62">
        <v>137064461761</v>
      </c>
      <c r="B484" t="s">
        <v>263</v>
      </c>
      <c r="C484" s="35" t="s">
        <v>336</v>
      </c>
      <c r="D484" t="s">
        <v>491</v>
      </c>
      <c r="E484" s="35" t="s">
        <v>336</v>
      </c>
      <c r="F484" s="29" t="s">
        <v>492</v>
      </c>
      <c r="G484" s="36">
        <v>19500</v>
      </c>
      <c r="H484" s="36">
        <v>195</v>
      </c>
    </row>
    <row r="485" spans="1:8">
      <c r="A485" s="62">
        <v>137698157966</v>
      </c>
      <c r="B485" t="s">
        <v>4</v>
      </c>
      <c r="C485" s="35" t="s">
        <v>336</v>
      </c>
      <c r="D485" t="s">
        <v>491</v>
      </c>
      <c r="E485" s="35" t="s">
        <v>336</v>
      </c>
      <c r="F485" s="29" t="s">
        <v>492</v>
      </c>
      <c r="G485" s="36">
        <v>12000</v>
      </c>
      <c r="H485" s="36">
        <v>120</v>
      </c>
    </row>
    <row r="486" spans="1:8">
      <c r="A486" s="62">
        <v>137044959869</v>
      </c>
      <c r="B486" t="s">
        <v>4</v>
      </c>
      <c r="C486" s="35" t="s">
        <v>327</v>
      </c>
      <c r="D486" t="s">
        <v>491</v>
      </c>
      <c r="E486" s="35" t="s">
        <v>327</v>
      </c>
      <c r="F486" s="29" t="s">
        <v>492</v>
      </c>
      <c r="G486" s="36">
        <v>63800</v>
      </c>
      <c r="H486" s="36">
        <v>638</v>
      </c>
    </row>
    <row r="487" spans="1:8">
      <c r="A487" s="62">
        <v>137678741226</v>
      </c>
      <c r="B487" t="s">
        <v>263</v>
      </c>
      <c r="C487" s="35" t="s">
        <v>327</v>
      </c>
      <c r="D487" t="s">
        <v>491</v>
      </c>
      <c r="E487" s="35" t="s">
        <v>327</v>
      </c>
      <c r="F487" s="29" t="s">
        <v>492</v>
      </c>
      <c r="G487" s="36">
        <v>8000</v>
      </c>
      <c r="H487" s="36">
        <v>80</v>
      </c>
    </row>
    <row r="488" spans="1:8">
      <c r="A488" s="62">
        <v>137680175054</v>
      </c>
      <c r="B488" t="s">
        <v>263</v>
      </c>
      <c r="C488" s="35" t="s">
        <v>327</v>
      </c>
      <c r="D488" t="s">
        <v>491</v>
      </c>
      <c r="E488" s="35" t="s">
        <v>327</v>
      </c>
      <c r="F488" s="29" t="s">
        <v>492</v>
      </c>
      <c r="G488" s="36">
        <v>4800</v>
      </c>
      <c r="H488" s="36">
        <v>48</v>
      </c>
    </row>
    <row r="489" spans="1:8">
      <c r="A489" s="62">
        <v>137681279634</v>
      </c>
      <c r="B489" t="s">
        <v>4</v>
      </c>
      <c r="C489" s="35" t="s">
        <v>327</v>
      </c>
      <c r="D489" t="s">
        <v>491</v>
      </c>
      <c r="E489" s="35" t="s">
        <v>327</v>
      </c>
      <c r="F489" s="29" t="s">
        <v>492</v>
      </c>
      <c r="G489" s="36">
        <v>82900</v>
      </c>
      <c r="H489" s="36">
        <v>829</v>
      </c>
    </row>
    <row r="490" spans="1:8">
      <c r="A490" s="62">
        <v>137048670453</v>
      </c>
      <c r="B490" t="s">
        <v>263</v>
      </c>
      <c r="C490" s="35" t="s">
        <v>327</v>
      </c>
      <c r="D490" t="s">
        <v>491</v>
      </c>
      <c r="E490" s="35" t="s">
        <v>327</v>
      </c>
      <c r="F490" s="29" t="s">
        <v>492</v>
      </c>
      <c r="G490" s="36">
        <v>31800</v>
      </c>
      <c r="H490" s="36">
        <v>318</v>
      </c>
    </row>
    <row r="491" spans="1:8">
      <c r="A491" s="62">
        <v>137683959550</v>
      </c>
      <c r="B491" t="s">
        <v>263</v>
      </c>
      <c r="C491" s="35" t="s">
        <v>327</v>
      </c>
      <c r="D491" t="s">
        <v>491</v>
      </c>
      <c r="E491" s="35" t="s">
        <v>327</v>
      </c>
      <c r="F491" s="29" t="s">
        <v>492</v>
      </c>
      <c r="G491" s="36">
        <v>4900</v>
      </c>
      <c r="H491" s="36">
        <v>49</v>
      </c>
    </row>
    <row r="492" spans="1:8">
      <c r="A492" s="62">
        <v>137052357047</v>
      </c>
      <c r="B492" t="s">
        <v>4</v>
      </c>
      <c r="C492" s="35" t="s">
        <v>327</v>
      </c>
      <c r="D492" t="s">
        <v>491</v>
      </c>
      <c r="E492" s="35" t="s">
        <v>327</v>
      </c>
      <c r="F492" s="29" t="s">
        <v>492</v>
      </c>
      <c r="G492" s="36">
        <v>14400</v>
      </c>
      <c r="H492" s="36">
        <v>144</v>
      </c>
    </row>
    <row r="493" spans="1:8">
      <c r="A493" s="62">
        <v>137685932216</v>
      </c>
      <c r="B493" t="s">
        <v>4</v>
      </c>
      <c r="C493" s="35" t="s">
        <v>327</v>
      </c>
      <c r="D493" t="s">
        <v>491</v>
      </c>
      <c r="E493" s="35" t="s">
        <v>327</v>
      </c>
      <c r="F493" s="29" t="s">
        <v>492</v>
      </c>
      <c r="G493" s="36">
        <v>25400</v>
      </c>
      <c r="H493" s="36">
        <v>254</v>
      </c>
    </row>
    <row r="494" spans="1:8">
      <c r="A494" s="62">
        <v>137053159275</v>
      </c>
      <c r="B494" t="s">
        <v>4</v>
      </c>
      <c r="C494" s="35" t="s">
        <v>327</v>
      </c>
      <c r="D494" t="s">
        <v>491</v>
      </c>
      <c r="E494" s="35" t="s">
        <v>327</v>
      </c>
      <c r="F494" s="29" t="s">
        <v>492</v>
      </c>
      <c r="G494" s="36">
        <v>51900</v>
      </c>
      <c r="H494" s="36">
        <v>519</v>
      </c>
    </row>
    <row r="495" spans="1:8">
      <c r="A495" s="62">
        <v>137053991521</v>
      </c>
      <c r="B495" t="s">
        <v>263</v>
      </c>
      <c r="C495" s="35" t="s">
        <v>327</v>
      </c>
      <c r="D495" t="s">
        <v>491</v>
      </c>
      <c r="E495" s="35" t="s">
        <v>327</v>
      </c>
      <c r="F495" s="29" t="s">
        <v>492</v>
      </c>
      <c r="G495" s="36">
        <v>45600</v>
      </c>
      <c r="H495" s="36">
        <v>456</v>
      </c>
    </row>
    <row r="496" spans="1:8">
      <c r="A496" s="62">
        <v>137054667043</v>
      </c>
      <c r="B496" t="s">
        <v>4</v>
      </c>
      <c r="C496" s="35" t="s">
        <v>327</v>
      </c>
      <c r="D496" t="s">
        <v>491</v>
      </c>
      <c r="E496" s="35" t="s">
        <v>327</v>
      </c>
      <c r="F496" s="29" t="s">
        <v>492</v>
      </c>
      <c r="G496" s="36">
        <v>46100</v>
      </c>
      <c r="H496" s="36">
        <v>461</v>
      </c>
    </row>
    <row r="497" spans="1:8">
      <c r="A497" s="62">
        <v>137688726850</v>
      </c>
      <c r="B497" t="s">
        <v>263</v>
      </c>
      <c r="C497" s="35" t="s">
        <v>327</v>
      </c>
      <c r="D497" t="s">
        <v>491</v>
      </c>
      <c r="E497" s="35" t="s">
        <v>327</v>
      </c>
      <c r="F497" s="29" t="s">
        <v>492</v>
      </c>
      <c r="G497" s="36">
        <v>36100</v>
      </c>
      <c r="H497" s="36">
        <v>361</v>
      </c>
    </row>
    <row r="498" spans="1:8">
      <c r="A498" s="62">
        <v>137057745919</v>
      </c>
      <c r="B498" t="s">
        <v>263</v>
      </c>
      <c r="C498" s="35" t="s">
        <v>327</v>
      </c>
      <c r="D498" t="s">
        <v>491</v>
      </c>
      <c r="E498" s="35" t="s">
        <v>336</v>
      </c>
      <c r="F498" s="29" t="s">
        <v>492</v>
      </c>
      <c r="G498" s="36">
        <v>29100</v>
      </c>
      <c r="H498" s="36">
        <v>291</v>
      </c>
    </row>
    <row r="499" spans="1:8">
      <c r="A499" s="62">
        <v>137057923599</v>
      </c>
      <c r="B499" t="s">
        <v>4</v>
      </c>
      <c r="C499" s="35" t="s">
        <v>327</v>
      </c>
      <c r="D499" t="s">
        <v>491</v>
      </c>
      <c r="E499" s="35" t="s">
        <v>336</v>
      </c>
      <c r="F499" s="29" t="s">
        <v>492</v>
      </c>
      <c r="G499" s="36">
        <v>41300</v>
      </c>
      <c r="H499" s="36">
        <v>413</v>
      </c>
    </row>
    <row r="500" spans="1:8">
      <c r="A500" s="62">
        <v>137691754334</v>
      </c>
      <c r="B500" t="s">
        <v>4</v>
      </c>
      <c r="C500" s="35" t="s">
        <v>327</v>
      </c>
      <c r="D500" t="s">
        <v>491</v>
      </c>
      <c r="E500" s="35" t="s">
        <v>336</v>
      </c>
      <c r="F500" s="29" t="s">
        <v>492</v>
      </c>
      <c r="G500" s="36">
        <v>16000</v>
      </c>
      <c r="H500" s="36">
        <v>160</v>
      </c>
    </row>
    <row r="501" spans="1:8">
      <c r="A501" s="62">
        <v>137692068996</v>
      </c>
      <c r="B501" t="s">
        <v>263</v>
      </c>
      <c r="C501" s="35" t="s">
        <v>327</v>
      </c>
      <c r="D501" t="s">
        <v>491</v>
      </c>
      <c r="E501" s="35" t="s">
        <v>336</v>
      </c>
      <c r="F501" s="29" t="s">
        <v>492</v>
      </c>
      <c r="G501" s="36">
        <v>222100</v>
      </c>
      <c r="H501" s="36">
        <v>2221</v>
      </c>
    </row>
    <row r="502" spans="1:8">
      <c r="A502" s="62">
        <v>137059550407</v>
      </c>
      <c r="B502" t="s">
        <v>263</v>
      </c>
      <c r="C502" s="35" t="s">
        <v>327</v>
      </c>
      <c r="D502" t="s">
        <v>491</v>
      </c>
      <c r="E502" s="35" t="s">
        <v>336</v>
      </c>
      <c r="F502" s="29" t="s">
        <v>492</v>
      </c>
      <c r="G502" s="36">
        <v>35500</v>
      </c>
      <c r="H502" s="36">
        <v>355</v>
      </c>
    </row>
    <row r="503" spans="1:8">
      <c r="A503" s="62">
        <v>137693029234</v>
      </c>
      <c r="B503" t="s">
        <v>4</v>
      </c>
      <c r="C503" s="35" t="s">
        <v>336</v>
      </c>
      <c r="D503" t="s">
        <v>491</v>
      </c>
      <c r="E503" s="35" t="s">
        <v>336</v>
      </c>
      <c r="F503" s="29" t="s">
        <v>492</v>
      </c>
      <c r="G503" s="36">
        <v>22000</v>
      </c>
      <c r="H503" s="36">
        <v>220</v>
      </c>
    </row>
    <row r="504" spans="1:8">
      <c r="A504" s="62">
        <v>137060803417</v>
      </c>
      <c r="B504" t="s">
        <v>4</v>
      </c>
      <c r="C504" s="35" t="s">
        <v>336</v>
      </c>
      <c r="D504" t="s">
        <v>491</v>
      </c>
      <c r="E504" s="35" t="s">
        <v>336</v>
      </c>
      <c r="F504" s="29" t="s">
        <v>492</v>
      </c>
      <c r="G504" s="36">
        <v>164900</v>
      </c>
      <c r="H504" s="36">
        <v>1649</v>
      </c>
    </row>
    <row r="505" spans="1:8">
      <c r="A505" s="62">
        <v>137061031397</v>
      </c>
      <c r="B505" t="s">
        <v>4</v>
      </c>
      <c r="C505" s="35" t="s">
        <v>336</v>
      </c>
      <c r="D505" t="s">
        <v>491</v>
      </c>
      <c r="E505" s="35" t="s">
        <v>336</v>
      </c>
      <c r="F505" s="29" t="s">
        <v>492</v>
      </c>
      <c r="G505" s="36">
        <v>45800</v>
      </c>
      <c r="H505" s="36">
        <v>458</v>
      </c>
    </row>
    <row r="506" spans="1:8">
      <c r="A506" s="62">
        <v>137061792333</v>
      </c>
      <c r="B506" t="s">
        <v>4</v>
      </c>
      <c r="C506" s="35" t="s">
        <v>336</v>
      </c>
      <c r="D506" t="s">
        <v>491</v>
      </c>
      <c r="E506" s="35" t="s">
        <v>336</v>
      </c>
      <c r="F506" s="29" t="s">
        <v>492</v>
      </c>
      <c r="G506" s="36">
        <v>59800</v>
      </c>
      <c r="H506" s="36">
        <v>598</v>
      </c>
    </row>
    <row r="507" spans="1:8">
      <c r="A507" s="62">
        <v>137062018711</v>
      </c>
      <c r="B507" t="s">
        <v>4</v>
      </c>
      <c r="C507" s="35" t="s">
        <v>336</v>
      </c>
      <c r="D507" t="s">
        <v>491</v>
      </c>
      <c r="E507" s="35" t="s">
        <v>336</v>
      </c>
      <c r="F507" s="29" t="s">
        <v>492</v>
      </c>
      <c r="G507" s="36">
        <v>11000</v>
      </c>
      <c r="H507" s="36">
        <v>110</v>
      </c>
    </row>
    <row r="508" spans="1:8">
      <c r="A508" s="62">
        <v>137695460966</v>
      </c>
      <c r="B508" t="s">
        <v>4</v>
      </c>
      <c r="C508" s="35" t="s">
        <v>336</v>
      </c>
      <c r="D508" t="s">
        <v>491</v>
      </c>
      <c r="E508" s="35" t="s">
        <v>336</v>
      </c>
      <c r="F508" s="29" t="s">
        <v>492</v>
      </c>
      <c r="G508" s="36">
        <v>9700</v>
      </c>
      <c r="H508" s="36">
        <v>97</v>
      </c>
    </row>
    <row r="509" spans="1:8">
      <c r="A509" s="62">
        <v>137695742258</v>
      </c>
      <c r="B509" t="s">
        <v>4</v>
      </c>
      <c r="C509" s="35" t="s">
        <v>336</v>
      </c>
      <c r="D509" t="s">
        <v>491</v>
      </c>
      <c r="E509" s="35" t="s">
        <v>336</v>
      </c>
      <c r="F509" s="29" t="s">
        <v>492</v>
      </c>
      <c r="G509" s="36">
        <v>4800</v>
      </c>
      <c r="H509" s="36">
        <v>48</v>
      </c>
    </row>
    <row r="510" spans="1:8">
      <c r="A510" s="62">
        <v>137696623912</v>
      </c>
      <c r="B510" t="s">
        <v>4</v>
      </c>
      <c r="C510" s="35" t="s">
        <v>336</v>
      </c>
      <c r="D510" t="s">
        <v>491</v>
      </c>
      <c r="E510" s="35" t="s">
        <v>336</v>
      </c>
      <c r="F510" s="29" t="s">
        <v>492</v>
      </c>
      <c r="G510" s="36">
        <v>9700</v>
      </c>
      <c r="H510" s="36">
        <v>97</v>
      </c>
    </row>
    <row r="511" spans="1:8">
      <c r="A511" s="62">
        <v>137697056830</v>
      </c>
      <c r="B511" t="s">
        <v>4</v>
      </c>
      <c r="C511" s="35" t="s">
        <v>336</v>
      </c>
      <c r="D511" t="s">
        <v>491</v>
      </c>
      <c r="E511" s="35" t="s">
        <v>336</v>
      </c>
      <c r="F511" s="29" t="s">
        <v>492</v>
      </c>
      <c r="G511" s="36">
        <v>9700</v>
      </c>
      <c r="H511" s="36">
        <v>97</v>
      </c>
    </row>
    <row r="512" spans="1:8">
      <c r="A512" s="62">
        <v>137697186668</v>
      </c>
      <c r="B512" t="s">
        <v>4</v>
      </c>
      <c r="C512" s="35" t="s">
        <v>336</v>
      </c>
      <c r="D512" t="s">
        <v>491</v>
      </c>
      <c r="E512" s="35" t="s">
        <v>336</v>
      </c>
      <c r="F512" s="29" t="s">
        <v>492</v>
      </c>
      <c r="G512" s="36">
        <v>8000</v>
      </c>
      <c r="H512" s="36">
        <v>80</v>
      </c>
    </row>
    <row r="513" spans="1:8">
      <c r="A513" s="62">
        <v>137063983389</v>
      </c>
      <c r="B513" t="s">
        <v>4</v>
      </c>
      <c r="C513" s="35" t="s">
        <v>336</v>
      </c>
      <c r="D513" t="s">
        <v>491</v>
      </c>
      <c r="E513" s="35" t="s">
        <v>336</v>
      </c>
      <c r="F513" s="29" t="s">
        <v>492</v>
      </c>
      <c r="G513" s="36">
        <v>23000</v>
      </c>
      <c r="H513" s="36">
        <v>230</v>
      </c>
    </row>
    <row r="514" spans="1:8">
      <c r="A514" s="62">
        <v>137064486565</v>
      </c>
      <c r="B514" t="s">
        <v>4</v>
      </c>
      <c r="C514" s="35" t="s">
        <v>336</v>
      </c>
      <c r="D514" t="s">
        <v>491</v>
      </c>
      <c r="E514" s="35" t="s">
        <v>336</v>
      </c>
      <c r="F514" s="29" t="s">
        <v>492</v>
      </c>
      <c r="G514" s="36">
        <v>10000</v>
      </c>
      <c r="H514" s="36">
        <v>100</v>
      </c>
    </row>
    <row r="515" spans="1:8">
      <c r="A515" s="62">
        <v>137697994520</v>
      </c>
      <c r="B515" t="s">
        <v>4</v>
      </c>
      <c r="C515" s="35" t="s">
        <v>336</v>
      </c>
      <c r="D515" t="s">
        <v>491</v>
      </c>
      <c r="E515" s="35" t="s">
        <v>336</v>
      </c>
      <c r="F515" s="29" t="s">
        <v>492</v>
      </c>
      <c r="G515" s="36">
        <v>21300</v>
      </c>
      <c r="H515" s="36">
        <v>213</v>
      </c>
    </row>
    <row r="516" spans="1:8">
      <c r="A516" s="62">
        <v>137796402012</v>
      </c>
      <c r="B516" t="s">
        <v>4</v>
      </c>
      <c r="C516" s="35" t="s">
        <v>336</v>
      </c>
      <c r="D516" t="s">
        <v>491</v>
      </c>
      <c r="E516" s="35" t="s">
        <v>336</v>
      </c>
      <c r="F516" s="29" t="s">
        <v>492</v>
      </c>
      <c r="G516" s="36">
        <v>9800</v>
      </c>
      <c r="H516" s="36">
        <v>98</v>
      </c>
    </row>
    <row r="517" spans="1:8">
      <c r="A517" s="62">
        <v>137178342215</v>
      </c>
      <c r="B517" t="s">
        <v>4</v>
      </c>
      <c r="C517" s="35" t="s">
        <v>336</v>
      </c>
      <c r="D517" t="s">
        <v>491</v>
      </c>
      <c r="E517" s="35" t="s">
        <v>336</v>
      </c>
      <c r="F517" s="29" t="s">
        <v>492</v>
      </c>
      <c r="G517" s="36">
        <v>4900</v>
      </c>
      <c r="H517" s="36">
        <v>49</v>
      </c>
    </row>
    <row r="518" spans="1:8">
      <c r="A518" s="62">
        <v>137814381636</v>
      </c>
      <c r="B518" t="s">
        <v>263</v>
      </c>
      <c r="C518" s="35" t="s">
        <v>336</v>
      </c>
      <c r="D518" t="s">
        <v>491</v>
      </c>
      <c r="E518" s="35" t="s">
        <v>336</v>
      </c>
      <c r="F518" s="29" t="s">
        <v>492</v>
      </c>
      <c r="G518" s="36">
        <v>32000</v>
      </c>
      <c r="H518" s="36">
        <v>320</v>
      </c>
    </row>
    <row r="519" spans="1:8">
      <c r="A519" s="62">
        <v>137815561874</v>
      </c>
      <c r="B519" t="s">
        <v>4</v>
      </c>
      <c r="C519" s="35" t="s">
        <v>336</v>
      </c>
      <c r="D519" t="s">
        <v>491</v>
      </c>
      <c r="E519" s="35" t="s">
        <v>336</v>
      </c>
      <c r="F519" s="29" t="s">
        <v>492</v>
      </c>
      <c r="G519" s="36">
        <v>56300</v>
      </c>
      <c r="H519" s="36">
        <v>563</v>
      </c>
    </row>
    <row r="520" spans="1:8">
      <c r="A520" s="62">
        <v>137821059358</v>
      </c>
      <c r="B520" t="s">
        <v>263</v>
      </c>
      <c r="C520" s="35" t="s">
        <v>336</v>
      </c>
      <c r="D520" t="s">
        <v>491</v>
      </c>
      <c r="E520" s="35" t="s">
        <v>336</v>
      </c>
      <c r="F520" s="29" t="s">
        <v>492</v>
      </c>
      <c r="G520" s="36">
        <v>23900</v>
      </c>
      <c r="H520" s="36">
        <v>239</v>
      </c>
    </row>
    <row r="521" spans="1:8">
      <c r="A521" s="62">
        <v>137187223345</v>
      </c>
      <c r="B521" t="s">
        <v>263</v>
      </c>
      <c r="C521" s="35" t="s">
        <v>336</v>
      </c>
      <c r="D521" t="s">
        <v>491</v>
      </c>
      <c r="E521" s="35" t="s">
        <v>336</v>
      </c>
      <c r="F521" s="29" t="s">
        <v>492</v>
      </c>
      <c r="G521" s="36">
        <v>48300</v>
      </c>
      <c r="H521" s="36">
        <v>483</v>
      </c>
    </row>
    <row r="522" spans="1:8">
      <c r="A522" s="62">
        <v>137187632023</v>
      </c>
      <c r="B522" t="s">
        <v>4</v>
      </c>
      <c r="C522" s="35" t="s">
        <v>336</v>
      </c>
      <c r="D522" t="s">
        <v>491</v>
      </c>
      <c r="E522" s="35" t="s">
        <v>336</v>
      </c>
      <c r="F522" s="29" t="s">
        <v>492</v>
      </c>
      <c r="G522" s="36">
        <v>9800</v>
      </c>
      <c r="H522" s="36">
        <v>98</v>
      </c>
    </row>
    <row r="523" spans="1:8">
      <c r="A523" s="62">
        <v>137188599895</v>
      </c>
      <c r="B523" t="s">
        <v>263</v>
      </c>
      <c r="C523" s="35" t="s">
        <v>336</v>
      </c>
      <c r="D523" t="s">
        <v>491</v>
      </c>
      <c r="E523" s="35" t="s">
        <v>345</v>
      </c>
      <c r="F523" s="29" t="s">
        <v>492</v>
      </c>
      <c r="G523" s="36">
        <v>87500</v>
      </c>
      <c r="H523" s="36">
        <v>875</v>
      </c>
    </row>
    <row r="524" spans="1:8">
      <c r="A524" s="62">
        <v>137823153712</v>
      </c>
      <c r="B524" t="s">
        <v>4</v>
      </c>
      <c r="C524" s="35" t="s">
        <v>336</v>
      </c>
      <c r="D524" t="s">
        <v>491</v>
      </c>
      <c r="E524" s="35" t="s">
        <v>345</v>
      </c>
      <c r="F524" s="29" t="s">
        <v>492</v>
      </c>
      <c r="G524" s="36">
        <v>4200</v>
      </c>
      <c r="H524" s="36">
        <v>42</v>
      </c>
    </row>
    <row r="525" spans="1:8">
      <c r="A525" s="62">
        <v>137192517701</v>
      </c>
      <c r="B525" t="s">
        <v>4</v>
      </c>
      <c r="C525" s="35" t="s">
        <v>345</v>
      </c>
      <c r="D525" t="s">
        <v>491</v>
      </c>
      <c r="E525" s="35" t="s">
        <v>345</v>
      </c>
      <c r="F525" s="29" t="s">
        <v>492</v>
      </c>
      <c r="G525" s="36">
        <v>9700</v>
      </c>
      <c r="H525" s="36">
        <v>97</v>
      </c>
    </row>
    <row r="526" spans="1:8">
      <c r="A526" s="62">
        <v>137193138653</v>
      </c>
      <c r="B526" t="s">
        <v>263</v>
      </c>
      <c r="C526" s="35" t="s">
        <v>345</v>
      </c>
      <c r="D526" t="s">
        <v>491</v>
      </c>
      <c r="E526" s="35" t="s">
        <v>345</v>
      </c>
      <c r="F526" s="29" t="s">
        <v>492</v>
      </c>
      <c r="G526" s="36">
        <v>34200</v>
      </c>
      <c r="H526" s="36">
        <v>342</v>
      </c>
    </row>
    <row r="527" spans="1:8">
      <c r="A527" s="62">
        <v>137193254909</v>
      </c>
      <c r="B527" t="s">
        <v>263</v>
      </c>
      <c r="C527" s="35" t="s">
        <v>345</v>
      </c>
      <c r="D527" t="s">
        <v>491</v>
      </c>
      <c r="E527" s="35" t="s">
        <v>345</v>
      </c>
      <c r="F527" s="29" t="s">
        <v>492</v>
      </c>
      <c r="G527" s="36">
        <v>90200</v>
      </c>
      <c r="H527" s="36">
        <v>902</v>
      </c>
    </row>
    <row r="528" spans="1:8">
      <c r="A528" s="62">
        <v>137827259984</v>
      </c>
      <c r="B528" t="s">
        <v>263</v>
      </c>
      <c r="C528" s="35" t="s">
        <v>345</v>
      </c>
      <c r="D528" t="s">
        <v>491</v>
      </c>
      <c r="E528" s="35" t="s">
        <v>345</v>
      </c>
      <c r="F528" s="29" t="s">
        <v>492</v>
      </c>
      <c r="G528" s="36">
        <v>16400</v>
      </c>
      <c r="H528" s="36">
        <v>164</v>
      </c>
    </row>
    <row r="529" spans="1:8">
      <c r="A529" s="62">
        <v>137193951755</v>
      </c>
      <c r="B529" t="s">
        <v>4</v>
      </c>
      <c r="C529" s="35" t="s">
        <v>345</v>
      </c>
      <c r="D529" t="s">
        <v>491</v>
      </c>
      <c r="E529" s="35" t="s">
        <v>345</v>
      </c>
      <c r="F529" s="29" t="s">
        <v>492</v>
      </c>
      <c r="G529" s="36">
        <v>36100</v>
      </c>
      <c r="H529" s="36">
        <v>361</v>
      </c>
    </row>
    <row r="530" spans="1:8">
      <c r="A530" s="62">
        <v>137828514220</v>
      </c>
      <c r="B530" t="s">
        <v>4</v>
      </c>
      <c r="C530" s="35" t="s">
        <v>345</v>
      </c>
      <c r="D530" t="s">
        <v>491</v>
      </c>
      <c r="E530" s="35" t="s">
        <v>345</v>
      </c>
      <c r="F530" s="29" t="s">
        <v>492</v>
      </c>
      <c r="G530" s="36">
        <v>18700</v>
      </c>
      <c r="H530" s="36">
        <v>187</v>
      </c>
    </row>
    <row r="531" spans="1:8">
      <c r="A531" s="62">
        <v>137828669992</v>
      </c>
      <c r="B531" t="s">
        <v>4</v>
      </c>
      <c r="C531" s="35" t="s">
        <v>345</v>
      </c>
      <c r="D531" t="s">
        <v>491</v>
      </c>
      <c r="E531" s="35" t="s">
        <v>345</v>
      </c>
      <c r="F531" s="29" t="s">
        <v>492</v>
      </c>
      <c r="G531" s="36">
        <v>30500</v>
      </c>
      <c r="H531" s="36">
        <v>305</v>
      </c>
    </row>
    <row r="532" spans="1:8">
      <c r="A532" s="62">
        <v>137171793459</v>
      </c>
      <c r="B532" t="s">
        <v>263</v>
      </c>
      <c r="C532" s="35" t="s">
        <v>336</v>
      </c>
      <c r="D532" t="s">
        <v>491</v>
      </c>
      <c r="E532" s="35" t="s">
        <v>336</v>
      </c>
      <c r="F532" s="29" t="s">
        <v>492</v>
      </c>
      <c r="G532" s="36">
        <v>9600</v>
      </c>
      <c r="H532" s="36">
        <v>96</v>
      </c>
    </row>
    <row r="533" spans="1:8">
      <c r="A533" s="62">
        <v>137194977689</v>
      </c>
      <c r="B533" t="s">
        <v>4</v>
      </c>
      <c r="C533" s="35" t="s">
        <v>345</v>
      </c>
      <c r="D533" t="s">
        <v>491</v>
      </c>
      <c r="E533" s="35" t="s">
        <v>345</v>
      </c>
      <c r="F533" s="29" t="s">
        <v>492</v>
      </c>
      <c r="G533" s="36">
        <v>14900</v>
      </c>
      <c r="H533" s="36">
        <v>149</v>
      </c>
    </row>
    <row r="534" spans="1:8">
      <c r="A534" s="62">
        <v>137171897863</v>
      </c>
      <c r="B534" t="s">
        <v>263</v>
      </c>
      <c r="C534" s="35" t="s">
        <v>336</v>
      </c>
      <c r="D534" t="s">
        <v>491</v>
      </c>
      <c r="E534" s="35" t="s">
        <v>336</v>
      </c>
      <c r="F534" s="29" t="s">
        <v>492</v>
      </c>
      <c r="G534" s="36">
        <v>9600</v>
      </c>
      <c r="H534" s="36">
        <v>96</v>
      </c>
    </row>
    <row r="535" spans="1:8">
      <c r="A535" s="62">
        <v>137195240283</v>
      </c>
      <c r="B535" t="s">
        <v>4</v>
      </c>
      <c r="C535" s="35" t="s">
        <v>345</v>
      </c>
      <c r="D535" t="s">
        <v>491</v>
      </c>
      <c r="E535" s="35" t="s">
        <v>345</v>
      </c>
      <c r="F535" s="29" t="s">
        <v>492</v>
      </c>
      <c r="G535" s="36">
        <v>5500</v>
      </c>
      <c r="H535" s="36">
        <v>55</v>
      </c>
    </row>
    <row r="536" spans="1:8">
      <c r="A536" s="62">
        <v>137195238631</v>
      </c>
      <c r="B536" t="s">
        <v>4</v>
      </c>
      <c r="C536" s="35" t="s">
        <v>345</v>
      </c>
      <c r="D536" t="s">
        <v>491</v>
      </c>
      <c r="E536" s="35" t="s">
        <v>345</v>
      </c>
      <c r="F536" s="29" t="s">
        <v>492</v>
      </c>
      <c r="G536" s="36">
        <v>34500</v>
      </c>
      <c r="H536" s="36">
        <v>345</v>
      </c>
    </row>
    <row r="537" spans="1:8">
      <c r="A537" s="62">
        <v>137195257543</v>
      </c>
      <c r="B537" t="s">
        <v>4</v>
      </c>
      <c r="C537" s="35" t="s">
        <v>345</v>
      </c>
      <c r="D537" t="s">
        <v>491</v>
      </c>
      <c r="E537" s="35" t="s">
        <v>345</v>
      </c>
      <c r="F537" s="29" t="s">
        <v>492</v>
      </c>
      <c r="G537" s="36">
        <v>106800</v>
      </c>
      <c r="H537" s="36">
        <v>1068</v>
      </c>
    </row>
    <row r="538" spans="1:8">
      <c r="A538" s="62">
        <v>137829359830</v>
      </c>
      <c r="B538" t="s">
        <v>4</v>
      </c>
      <c r="C538" s="35" t="s">
        <v>345</v>
      </c>
      <c r="D538" t="s">
        <v>491</v>
      </c>
      <c r="E538" s="35" t="s">
        <v>345</v>
      </c>
      <c r="F538" s="29" t="s">
        <v>492</v>
      </c>
      <c r="G538" s="36">
        <v>13400</v>
      </c>
      <c r="H538" s="36">
        <v>134</v>
      </c>
    </row>
    <row r="539" spans="1:8">
      <c r="A539" s="62">
        <v>137195473277</v>
      </c>
      <c r="B539" t="s">
        <v>4</v>
      </c>
      <c r="C539" s="35" t="s">
        <v>345</v>
      </c>
      <c r="D539" t="s">
        <v>491</v>
      </c>
      <c r="E539" s="35" t="s">
        <v>345</v>
      </c>
      <c r="F539" s="29" t="s">
        <v>492</v>
      </c>
      <c r="G539" s="36">
        <v>22300</v>
      </c>
      <c r="H539" s="36">
        <v>223</v>
      </c>
    </row>
    <row r="540" spans="1:8">
      <c r="A540" s="62">
        <v>137829747920</v>
      </c>
      <c r="B540" t="s">
        <v>4</v>
      </c>
      <c r="C540" s="35" t="s">
        <v>345</v>
      </c>
      <c r="D540" t="s">
        <v>491</v>
      </c>
      <c r="E540" s="35" t="s">
        <v>345</v>
      </c>
      <c r="F540" s="29" t="s">
        <v>492</v>
      </c>
      <c r="G540" s="36">
        <v>10600</v>
      </c>
      <c r="H540" s="36">
        <v>106</v>
      </c>
    </row>
    <row r="541" spans="1:8">
      <c r="A541" s="62">
        <v>137830863958</v>
      </c>
      <c r="B541" t="s">
        <v>4</v>
      </c>
      <c r="C541" s="35" t="s">
        <v>345</v>
      </c>
      <c r="D541" t="s">
        <v>491</v>
      </c>
      <c r="E541" s="35" t="s">
        <v>345</v>
      </c>
      <c r="F541" s="29" t="s">
        <v>492</v>
      </c>
      <c r="G541" s="36">
        <v>167800</v>
      </c>
      <c r="H541" s="36">
        <v>1678</v>
      </c>
    </row>
    <row r="542" spans="1:8">
      <c r="A542" s="62">
        <v>137831029106</v>
      </c>
      <c r="B542" t="s">
        <v>4</v>
      </c>
      <c r="C542" s="35" t="s">
        <v>345</v>
      </c>
      <c r="D542" t="s">
        <v>491</v>
      </c>
      <c r="E542" s="35" t="s">
        <v>345</v>
      </c>
      <c r="F542" s="29" t="s">
        <v>492</v>
      </c>
      <c r="G542" s="36">
        <v>8900</v>
      </c>
      <c r="H542" s="36">
        <v>89</v>
      </c>
    </row>
    <row r="543" spans="1:8">
      <c r="A543" s="62">
        <v>137197267481</v>
      </c>
      <c r="B543" t="s">
        <v>4</v>
      </c>
      <c r="C543" s="35" t="s">
        <v>345</v>
      </c>
      <c r="D543" t="s">
        <v>491</v>
      </c>
      <c r="E543" s="35" t="s">
        <v>345</v>
      </c>
      <c r="F543" s="29" t="s">
        <v>492</v>
      </c>
      <c r="G543" s="36">
        <v>15300</v>
      </c>
      <c r="H543" s="36">
        <v>153</v>
      </c>
    </row>
    <row r="544" spans="1:8">
      <c r="A544" s="62">
        <v>137831433098</v>
      </c>
      <c r="B544" t="s">
        <v>4</v>
      </c>
      <c r="C544" s="35" t="s">
        <v>345</v>
      </c>
      <c r="D544" t="s">
        <v>491</v>
      </c>
      <c r="E544" s="35" t="s">
        <v>345</v>
      </c>
      <c r="F544" s="29" t="s">
        <v>492</v>
      </c>
      <c r="G544" s="36">
        <v>14700</v>
      </c>
      <c r="H544" s="36">
        <v>147</v>
      </c>
    </row>
    <row r="545" spans="1:8">
      <c r="A545" s="62">
        <v>137177682381</v>
      </c>
      <c r="B545" t="s">
        <v>4</v>
      </c>
      <c r="C545" s="35" t="s">
        <v>336</v>
      </c>
      <c r="D545" t="s">
        <v>491</v>
      </c>
      <c r="E545" s="35" t="s">
        <v>336</v>
      </c>
      <c r="F545" s="29" t="s">
        <v>492</v>
      </c>
      <c r="G545" s="36">
        <v>33600</v>
      </c>
      <c r="H545" s="36">
        <v>336</v>
      </c>
    </row>
    <row r="546" spans="1:8">
      <c r="A546" s="62">
        <v>137812067506</v>
      </c>
      <c r="B546" t="s">
        <v>263</v>
      </c>
      <c r="C546" s="35" t="s">
        <v>336</v>
      </c>
      <c r="D546" t="s">
        <v>491</v>
      </c>
      <c r="E546" s="35" t="s">
        <v>336</v>
      </c>
      <c r="F546" s="29" t="s">
        <v>492</v>
      </c>
      <c r="G546" s="36">
        <v>42900</v>
      </c>
      <c r="H546" s="36">
        <v>429</v>
      </c>
    </row>
    <row r="547" spans="1:8">
      <c r="A547" s="62">
        <v>137813773910</v>
      </c>
      <c r="B547" t="s">
        <v>263</v>
      </c>
      <c r="C547" s="35" t="s">
        <v>336</v>
      </c>
      <c r="D547" t="s">
        <v>491</v>
      </c>
      <c r="E547" s="35" t="s">
        <v>336</v>
      </c>
      <c r="F547" s="29" t="s">
        <v>492</v>
      </c>
      <c r="G547" s="36">
        <v>45200</v>
      </c>
      <c r="H547" s="36">
        <v>452</v>
      </c>
    </row>
    <row r="548" spans="1:8">
      <c r="A548" s="62">
        <v>137815445676</v>
      </c>
      <c r="B548" t="s">
        <v>263</v>
      </c>
      <c r="C548" s="35" t="s">
        <v>336</v>
      </c>
      <c r="D548" t="s">
        <v>491</v>
      </c>
      <c r="E548" s="35" t="s">
        <v>336</v>
      </c>
      <c r="F548" s="29" t="s">
        <v>492</v>
      </c>
      <c r="G548" s="36">
        <v>4900</v>
      </c>
      <c r="H548" s="36">
        <v>49</v>
      </c>
    </row>
    <row r="549" spans="1:8">
      <c r="A549" s="62">
        <v>137815657922</v>
      </c>
      <c r="B549" t="s">
        <v>4</v>
      </c>
      <c r="C549" s="35" t="s">
        <v>336</v>
      </c>
      <c r="D549" t="s">
        <v>491</v>
      </c>
      <c r="E549" s="35" t="s">
        <v>336</v>
      </c>
      <c r="F549" s="29" t="s">
        <v>492</v>
      </c>
      <c r="G549" s="36">
        <v>4200</v>
      </c>
      <c r="H549" s="36">
        <v>42</v>
      </c>
    </row>
    <row r="550" spans="1:8">
      <c r="A550" s="62">
        <v>137816314558</v>
      </c>
      <c r="B550" t="s">
        <v>263</v>
      </c>
      <c r="C550" s="35" t="s">
        <v>336</v>
      </c>
      <c r="D550" t="s">
        <v>491</v>
      </c>
      <c r="E550" s="35" t="s">
        <v>336</v>
      </c>
      <c r="F550" s="29" t="s">
        <v>492</v>
      </c>
      <c r="G550" s="36">
        <v>29800</v>
      </c>
      <c r="H550" s="36">
        <v>298</v>
      </c>
    </row>
    <row r="551" spans="1:8">
      <c r="A551" s="62">
        <v>137817891008</v>
      </c>
      <c r="B551" t="s">
        <v>4</v>
      </c>
      <c r="C551" s="35" t="s">
        <v>336</v>
      </c>
      <c r="D551" t="s">
        <v>491</v>
      </c>
      <c r="E551" s="35" t="s">
        <v>336</v>
      </c>
      <c r="F551" s="29" t="s">
        <v>492</v>
      </c>
      <c r="G551" s="36">
        <v>18200</v>
      </c>
      <c r="H551" s="36">
        <v>182</v>
      </c>
    </row>
    <row r="552" spans="1:8">
      <c r="A552" s="62">
        <v>137818539048</v>
      </c>
      <c r="B552" t="s">
        <v>263</v>
      </c>
      <c r="C552" s="35" t="s">
        <v>336</v>
      </c>
      <c r="D552" t="s">
        <v>491</v>
      </c>
      <c r="E552" s="35" t="s">
        <v>336</v>
      </c>
      <c r="F552" s="29" t="s">
        <v>492</v>
      </c>
      <c r="G552" s="36">
        <v>44800</v>
      </c>
      <c r="H552" s="36">
        <v>448</v>
      </c>
    </row>
    <row r="553" spans="1:8">
      <c r="A553" s="62">
        <v>137184969243</v>
      </c>
      <c r="B553" t="s">
        <v>263</v>
      </c>
      <c r="C553" s="35" t="s">
        <v>336</v>
      </c>
      <c r="D553" t="s">
        <v>491</v>
      </c>
      <c r="E553" s="35" t="s">
        <v>336</v>
      </c>
      <c r="F553" s="29" t="s">
        <v>492</v>
      </c>
      <c r="G553" s="36">
        <v>48900</v>
      </c>
      <c r="H553" s="36">
        <v>489</v>
      </c>
    </row>
    <row r="554" spans="1:8">
      <c r="A554" s="62">
        <v>137819965468</v>
      </c>
      <c r="B554" t="s">
        <v>4</v>
      </c>
      <c r="C554" s="35" t="s">
        <v>336</v>
      </c>
      <c r="D554" t="s">
        <v>491</v>
      </c>
      <c r="E554" s="35" t="s">
        <v>336</v>
      </c>
      <c r="F554" s="29" t="s">
        <v>492</v>
      </c>
      <c r="G554" s="36">
        <v>8800</v>
      </c>
      <c r="H554" s="36">
        <v>88</v>
      </c>
    </row>
    <row r="555" spans="1:8">
      <c r="A555" s="62">
        <v>137187141275</v>
      </c>
      <c r="B555" t="s">
        <v>263</v>
      </c>
      <c r="C555" s="35" t="s">
        <v>336</v>
      </c>
      <c r="D555" t="s">
        <v>491</v>
      </c>
      <c r="E555" s="35" t="s">
        <v>336</v>
      </c>
      <c r="F555" s="29" t="s">
        <v>492</v>
      </c>
      <c r="G555" s="36">
        <v>17500</v>
      </c>
      <c r="H555" s="36">
        <v>175</v>
      </c>
    </row>
    <row r="556" spans="1:8">
      <c r="A556" s="62">
        <v>137188255017</v>
      </c>
      <c r="B556" t="s">
        <v>4</v>
      </c>
      <c r="C556" s="35" t="s">
        <v>336</v>
      </c>
      <c r="D556" t="s">
        <v>491</v>
      </c>
      <c r="E556" s="35" t="s">
        <v>336</v>
      </c>
      <c r="F556" s="29" t="s">
        <v>492</v>
      </c>
      <c r="G556" s="36">
        <v>31300</v>
      </c>
      <c r="H556" s="36">
        <v>313</v>
      </c>
    </row>
    <row r="557" spans="1:8">
      <c r="A557" s="62">
        <v>137188753725</v>
      </c>
      <c r="B557" t="s">
        <v>263</v>
      </c>
      <c r="C557" s="35" t="s">
        <v>336</v>
      </c>
      <c r="D557" t="s">
        <v>491</v>
      </c>
      <c r="E557" s="35" t="s">
        <v>345</v>
      </c>
      <c r="F557" s="29" t="s">
        <v>492</v>
      </c>
      <c r="G557" s="36">
        <v>36100</v>
      </c>
      <c r="H557" s="36">
        <v>361</v>
      </c>
    </row>
    <row r="558" spans="1:8">
      <c r="A558" s="62">
        <v>137188881167</v>
      </c>
      <c r="B558" t="s">
        <v>4</v>
      </c>
      <c r="C558" s="35" t="s">
        <v>336</v>
      </c>
      <c r="D558" t="s">
        <v>491</v>
      </c>
      <c r="E558" s="35" t="s">
        <v>345</v>
      </c>
      <c r="F558" s="29" t="s">
        <v>492</v>
      </c>
      <c r="G558" s="36">
        <v>9600</v>
      </c>
      <c r="H558" s="36">
        <v>96</v>
      </c>
    </row>
    <row r="559" spans="1:8">
      <c r="A559" s="62">
        <v>137823102664</v>
      </c>
      <c r="B559" t="s">
        <v>263</v>
      </c>
      <c r="C559" s="35" t="s">
        <v>336</v>
      </c>
      <c r="D559" t="s">
        <v>491</v>
      </c>
      <c r="E559" s="35" t="s">
        <v>345</v>
      </c>
      <c r="F559" s="29" t="s">
        <v>492</v>
      </c>
      <c r="G559" s="36">
        <v>20900</v>
      </c>
      <c r="H559" s="36">
        <v>209</v>
      </c>
    </row>
    <row r="560" spans="1:8">
      <c r="A560" s="62">
        <v>137825138680</v>
      </c>
      <c r="B560" t="s">
        <v>263</v>
      </c>
      <c r="C560" s="35" t="s">
        <v>336</v>
      </c>
      <c r="D560" t="s">
        <v>491</v>
      </c>
      <c r="E560" s="35" t="s">
        <v>345</v>
      </c>
      <c r="F560" s="29" t="s">
        <v>492</v>
      </c>
      <c r="G560" s="36">
        <v>34400</v>
      </c>
      <c r="H560" s="36">
        <v>344</v>
      </c>
    </row>
    <row r="561" spans="1:8">
      <c r="A561" s="62">
        <v>137825644378</v>
      </c>
      <c r="B561" t="s">
        <v>4</v>
      </c>
      <c r="C561" s="35" t="s">
        <v>336</v>
      </c>
      <c r="D561" t="s">
        <v>491</v>
      </c>
      <c r="E561" s="35" t="s">
        <v>345</v>
      </c>
      <c r="F561" s="29" t="s">
        <v>492</v>
      </c>
      <c r="G561" s="36">
        <v>32800</v>
      </c>
      <c r="H561" s="36">
        <v>328</v>
      </c>
    </row>
    <row r="562" spans="1:8">
      <c r="A562" s="62">
        <v>137828147806</v>
      </c>
      <c r="B562" t="s">
        <v>4</v>
      </c>
      <c r="C562" s="35" t="s">
        <v>345</v>
      </c>
      <c r="D562" t="s">
        <v>491</v>
      </c>
      <c r="E562" s="35" t="s">
        <v>345</v>
      </c>
      <c r="F562" s="29" t="s">
        <v>492</v>
      </c>
      <c r="G562" s="36">
        <v>53900</v>
      </c>
      <c r="H562" s="36">
        <v>539</v>
      </c>
    </row>
    <row r="563" spans="1:8">
      <c r="A563" s="62">
        <v>137194238351</v>
      </c>
      <c r="B563" t="s">
        <v>4</v>
      </c>
      <c r="C563" s="35" t="s">
        <v>345</v>
      </c>
      <c r="D563" t="s">
        <v>491</v>
      </c>
      <c r="E563" s="35" t="s">
        <v>345</v>
      </c>
      <c r="F563" s="29" t="s">
        <v>492</v>
      </c>
      <c r="G563" s="36">
        <v>53500</v>
      </c>
      <c r="H563" s="36">
        <v>535</v>
      </c>
    </row>
    <row r="564" spans="1:8">
      <c r="A564" s="62">
        <v>137829503666</v>
      </c>
      <c r="B564" t="s">
        <v>4</v>
      </c>
      <c r="C564" s="35" t="s">
        <v>345</v>
      </c>
      <c r="D564" t="s">
        <v>491</v>
      </c>
      <c r="E564" s="35" t="s">
        <v>345</v>
      </c>
      <c r="F564" s="29" t="s">
        <v>492</v>
      </c>
      <c r="G564" s="36">
        <v>21200</v>
      </c>
      <c r="H564" s="36">
        <v>212</v>
      </c>
    </row>
    <row r="565" spans="1:8">
      <c r="A565" s="62">
        <v>137196458579</v>
      </c>
      <c r="B565" t="s">
        <v>4</v>
      </c>
      <c r="C565" s="35" t="s">
        <v>345</v>
      </c>
      <c r="D565" t="s">
        <v>491</v>
      </c>
      <c r="E565" s="35" t="s">
        <v>345</v>
      </c>
      <c r="F565" s="29" t="s">
        <v>492</v>
      </c>
      <c r="G565" s="36">
        <v>51600</v>
      </c>
      <c r="H565" s="36">
        <v>516</v>
      </c>
    </row>
    <row r="566" spans="1:8">
      <c r="A566" s="62">
        <v>137831398946</v>
      </c>
      <c r="B566" t="s">
        <v>4</v>
      </c>
      <c r="C566" s="35" t="s">
        <v>345</v>
      </c>
      <c r="D566" t="s">
        <v>491</v>
      </c>
      <c r="E566" s="35" t="s">
        <v>345</v>
      </c>
      <c r="F566" s="29" t="s">
        <v>492</v>
      </c>
      <c r="G566" s="36">
        <v>22000</v>
      </c>
      <c r="H566" s="36">
        <v>220</v>
      </c>
    </row>
    <row r="567" spans="1:8">
      <c r="A567" s="62">
        <v>137272856787</v>
      </c>
      <c r="B567" t="s">
        <v>4</v>
      </c>
      <c r="C567" s="35" t="s">
        <v>345</v>
      </c>
      <c r="D567" t="s">
        <v>491</v>
      </c>
      <c r="E567" s="35" t="s">
        <v>345</v>
      </c>
      <c r="F567" s="29" t="s">
        <v>492</v>
      </c>
      <c r="G567" s="36">
        <v>26000</v>
      </c>
      <c r="H567" s="36">
        <v>260</v>
      </c>
    </row>
    <row r="568" spans="1:8">
      <c r="A568" s="62">
        <v>137274462155</v>
      </c>
      <c r="B568" t="s">
        <v>263</v>
      </c>
      <c r="C568" s="35" t="s">
        <v>345</v>
      </c>
      <c r="D568" t="s">
        <v>491</v>
      </c>
      <c r="E568" s="35" t="s">
        <v>345</v>
      </c>
      <c r="F568" s="29" t="s">
        <v>492</v>
      </c>
      <c r="G568" s="36">
        <v>59100</v>
      </c>
      <c r="H568" s="36">
        <v>591</v>
      </c>
    </row>
    <row r="569" spans="1:8">
      <c r="A569" s="62">
        <v>137917455156</v>
      </c>
      <c r="B569" t="s">
        <v>263</v>
      </c>
      <c r="C569" s="35" t="s">
        <v>345</v>
      </c>
      <c r="D569" t="s">
        <v>491</v>
      </c>
      <c r="E569" s="35" t="s">
        <v>345</v>
      </c>
      <c r="F569" s="29" t="s">
        <v>492</v>
      </c>
      <c r="G569" s="36">
        <v>19200</v>
      </c>
      <c r="H569" s="36">
        <v>192</v>
      </c>
    </row>
    <row r="570" spans="1:8">
      <c r="A570" s="62">
        <v>137918261544</v>
      </c>
      <c r="B570" t="s">
        <v>4</v>
      </c>
      <c r="C570" s="35" t="s">
        <v>345</v>
      </c>
      <c r="D570" t="s">
        <v>491</v>
      </c>
      <c r="E570" s="35" t="s">
        <v>345</v>
      </c>
      <c r="F570" s="29" t="s">
        <v>492</v>
      </c>
      <c r="G570" s="36">
        <v>49000</v>
      </c>
      <c r="H570" s="36">
        <v>490</v>
      </c>
    </row>
    <row r="571" spans="1:8">
      <c r="A571" s="62">
        <v>137284390157</v>
      </c>
      <c r="B571" t="s">
        <v>4</v>
      </c>
      <c r="C571" s="35" t="s">
        <v>345</v>
      </c>
      <c r="D571" t="s">
        <v>491</v>
      </c>
      <c r="E571" s="35" t="s">
        <v>345</v>
      </c>
      <c r="F571" s="29" t="s">
        <v>492</v>
      </c>
      <c r="G571" s="36">
        <v>17200</v>
      </c>
      <c r="H571" s="36">
        <v>172</v>
      </c>
    </row>
    <row r="572" spans="1:8">
      <c r="A572" s="62">
        <v>137919655398</v>
      </c>
      <c r="B572" t="s">
        <v>263</v>
      </c>
      <c r="C572" s="35" t="s">
        <v>345</v>
      </c>
      <c r="D572" t="s">
        <v>491</v>
      </c>
      <c r="E572" s="35" t="s">
        <v>345</v>
      </c>
      <c r="F572" s="29" t="s">
        <v>492</v>
      </c>
      <c r="G572" s="36">
        <v>4900</v>
      </c>
      <c r="H572" s="36">
        <v>49</v>
      </c>
    </row>
    <row r="573" spans="1:8">
      <c r="A573" s="62">
        <v>137919990346</v>
      </c>
      <c r="B573" t="s">
        <v>4</v>
      </c>
      <c r="C573" s="35" t="s">
        <v>345</v>
      </c>
      <c r="D573" t="s">
        <v>491</v>
      </c>
      <c r="E573" s="35" t="s">
        <v>345</v>
      </c>
      <c r="F573" s="29" t="s">
        <v>492</v>
      </c>
      <c r="G573" s="36">
        <v>4900</v>
      </c>
      <c r="H573" s="36">
        <v>49</v>
      </c>
    </row>
    <row r="574" spans="1:8">
      <c r="A574" s="62">
        <v>137920602650</v>
      </c>
      <c r="B574" t="s">
        <v>263</v>
      </c>
      <c r="C574" s="35" t="s">
        <v>345</v>
      </c>
      <c r="D574" t="s">
        <v>491</v>
      </c>
      <c r="E574" s="35" t="s">
        <v>345</v>
      </c>
      <c r="F574" s="29" t="s">
        <v>492</v>
      </c>
      <c r="G574" s="36">
        <v>78100</v>
      </c>
      <c r="H574" s="36">
        <v>781</v>
      </c>
    </row>
    <row r="575" spans="1:8">
      <c r="A575" s="62">
        <v>137287882597</v>
      </c>
      <c r="B575" t="s">
        <v>4</v>
      </c>
      <c r="C575" s="35" t="s">
        <v>345</v>
      </c>
      <c r="D575" t="s">
        <v>491</v>
      </c>
      <c r="E575" s="35" t="s">
        <v>345</v>
      </c>
      <c r="F575" s="29" t="s">
        <v>492</v>
      </c>
      <c r="G575" s="36">
        <v>108800</v>
      </c>
      <c r="H575" s="36">
        <v>1088</v>
      </c>
    </row>
    <row r="576" spans="1:8">
      <c r="A576" s="62">
        <v>137288757543</v>
      </c>
      <c r="B576" t="s">
        <v>263</v>
      </c>
      <c r="C576" s="35" t="s">
        <v>345</v>
      </c>
      <c r="D576" t="s">
        <v>491</v>
      </c>
      <c r="E576" s="35" t="s">
        <v>345</v>
      </c>
      <c r="F576" s="29" t="s">
        <v>492</v>
      </c>
      <c r="G576" s="36">
        <v>4900</v>
      </c>
      <c r="H576" s="36">
        <v>49</v>
      </c>
    </row>
    <row r="577" spans="1:8">
      <c r="A577" s="62">
        <v>137924517588</v>
      </c>
      <c r="B577" t="s">
        <v>263</v>
      </c>
      <c r="C577" s="35" t="s">
        <v>345</v>
      </c>
      <c r="D577" t="s">
        <v>491</v>
      </c>
      <c r="E577" s="35" t="s">
        <v>345</v>
      </c>
      <c r="F577" s="29" t="s">
        <v>492</v>
      </c>
      <c r="G577" s="36">
        <v>42500</v>
      </c>
      <c r="H577" s="36">
        <v>425</v>
      </c>
    </row>
    <row r="578" spans="1:8">
      <c r="A578" s="62">
        <v>137290068965</v>
      </c>
      <c r="B578" t="s">
        <v>4</v>
      </c>
      <c r="C578" s="35" t="s">
        <v>345</v>
      </c>
      <c r="D578" t="s">
        <v>491</v>
      </c>
      <c r="E578" s="35" t="s">
        <v>345</v>
      </c>
      <c r="F578" s="29" t="s">
        <v>492</v>
      </c>
      <c r="G578" s="36">
        <v>9400</v>
      </c>
      <c r="H578" s="36">
        <v>94</v>
      </c>
    </row>
    <row r="579" spans="1:8">
      <c r="A579" s="62">
        <v>137926143226</v>
      </c>
      <c r="B579" t="s">
        <v>4</v>
      </c>
      <c r="C579" s="35" t="s">
        <v>345</v>
      </c>
      <c r="D579" t="s">
        <v>491</v>
      </c>
      <c r="E579" s="35" t="s">
        <v>345</v>
      </c>
      <c r="F579" s="29" t="s">
        <v>492</v>
      </c>
      <c r="G579" s="36">
        <v>4800</v>
      </c>
      <c r="H579" s="36">
        <v>48</v>
      </c>
    </row>
    <row r="580" spans="1:8">
      <c r="A580" s="62">
        <v>137926389112</v>
      </c>
      <c r="B580" t="s">
        <v>263</v>
      </c>
      <c r="C580" s="35" t="s">
        <v>345</v>
      </c>
      <c r="D580" t="s">
        <v>491</v>
      </c>
      <c r="E580" s="35" t="s">
        <v>345</v>
      </c>
      <c r="F580" s="29" t="s">
        <v>492</v>
      </c>
      <c r="G580" s="36">
        <v>31100</v>
      </c>
      <c r="H580" s="36">
        <v>311</v>
      </c>
    </row>
    <row r="581" spans="1:8">
      <c r="A581" s="62">
        <v>137915080182</v>
      </c>
      <c r="B581" t="s">
        <v>263</v>
      </c>
      <c r="C581" s="35" t="s">
        <v>345</v>
      </c>
      <c r="D581" t="s">
        <v>491</v>
      </c>
      <c r="E581" s="35" t="s">
        <v>345</v>
      </c>
      <c r="F581" s="29" t="s">
        <v>492</v>
      </c>
      <c r="G581" s="36">
        <v>31500</v>
      </c>
      <c r="H581" s="36">
        <v>315</v>
      </c>
    </row>
    <row r="582" spans="1:8">
      <c r="A582" s="62">
        <v>137920760336</v>
      </c>
      <c r="B582" t="s">
        <v>4</v>
      </c>
      <c r="C582" s="35" t="s">
        <v>345</v>
      </c>
      <c r="D582" t="s">
        <v>491</v>
      </c>
      <c r="E582" s="35" t="s">
        <v>345</v>
      </c>
      <c r="F582" s="29" t="s">
        <v>492</v>
      </c>
      <c r="G582" s="36">
        <v>39500</v>
      </c>
      <c r="H582" s="36">
        <v>395</v>
      </c>
    </row>
    <row r="583" spans="1:8">
      <c r="A583" s="62">
        <v>137286737407</v>
      </c>
      <c r="B583" t="s">
        <v>4</v>
      </c>
      <c r="C583" s="35" t="s">
        <v>345</v>
      </c>
      <c r="D583" t="s">
        <v>491</v>
      </c>
      <c r="E583" s="35" t="s">
        <v>345</v>
      </c>
      <c r="F583" s="29" t="s">
        <v>492</v>
      </c>
      <c r="G583" s="36">
        <v>98700</v>
      </c>
      <c r="H583" s="36">
        <v>987</v>
      </c>
    </row>
    <row r="584" spans="1:8">
      <c r="A584" s="62">
        <v>137287058345</v>
      </c>
      <c r="B584" t="s">
        <v>4</v>
      </c>
      <c r="C584" s="35" t="s">
        <v>345</v>
      </c>
      <c r="D584" t="s">
        <v>491</v>
      </c>
      <c r="E584" s="35" t="s">
        <v>345</v>
      </c>
      <c r="F584" s="29" t="s">
        <v>492</v>
      </c>
      <c r="G584" s="36">
        <v>73400</v>
      </c>
      <c r="H584" s="36">
        <v>734</v>
      </c>
    </row>
    <row r="585" spans="1:8">
      <c r="A585" s="62">
        <v>137287763759</v>
      </c>
      <c r="B585" t="s">
        <v>263</v>
      </c>
      <c r="C585" s="35" t="s">
        <v>345</v>
      </c>
      <c r="D585" t="s">
        <v>491</v>
      </c>
      <c r="E585" s="35" t="s">
        <v>345</v>
      </c>
      <c r="F585" s="29" t="s">
        <v>492</v>
      </c>
      <c r="G585" s="36">
        <v>71500</v>
      </c>
      <c r="H585" s="36">
        <v>715</v>
      </c>
    </row>
    <row r="586" spans="1:8">
      <c r="A586" s="62">
        <v>137291943369</v>
      </c>
      <c r="B586" t="s">
        <v>4</v>
      </c>
      <c r="C586" s="35" t="s">
        <v>345</v>
      </c>
      <c r="D586" t="s">
        <v>491</v>
      </c>
      <c r="E586" s="35" t="s">
        <v>345</v>
      </c>
      <c r="F586" s="29" t="s">
        <v>492</v>
      </c>
      <c r="G586" s="36">
        <v>14400</v>
      </c>
      <c r="H586" s="36">
        <v>144</v>
      </c>
    </row>
    <row r="587" spans="1:8">
      <c r="A587" s="62">
        <v>137292138799</v>
      </c>
      <c r="B587" t="s">
        <v>4</v>
      </c>
      <c r="C587" s="35" t="s">
        <v>345</v>
      </c>
      <c r="D587" t="s">
        <v>491</v>
      </c>
      <c r="E587" s="35" t="s">
        <v>345</v>
      </c>
      <c r="F587" s="29" t="s">
        <v>492</v>
      </c>
      <c r="G587" s="36">
        <v>4900</v>
      </c>
      <c r="H587" s="36">
        <v>49</v>
      </c>
    </row>
    <row r="588" spans="1:8">
      <c r="A588" s="62">
        <v>137926932048</v>
      </c>
      <c r="B588" t="s">
        <v>4</v>
      </c>
      <c r="C588" s="35" t="s">
        <v>345</v>
      </c>
      <c r="D588" t="s">
        <v>491</v>
      </c>
      <c r="E588" s="35" t="s">
        <v>345</v>
      </c>
      <c r="F588" s="29" t="s">
        <v>492</v>
      </c>
      <c r="G588" s="36">
        <v>16000</v>
      </c>
      <c r="H588" s="36">
        <v>160</v>
      </c>
    </row>
    <row r="589" spans="1:8">
      <c r="A589" s="62">
        <v>137927636060</v>
      </c>
      <c r="B589" t="s">
        <v>4</v>
      </c>
      <c r="C589" s="35" t="s">
        <v>345</v>
      </c>
      <c r="D589" t="s">
        <v>491</v>
      </c>
      <c r="E589" s="35" t="s">
        <v>354</v>
      </c>
      <c r="F589" s="29" t="s">
        <v>492</v>
      </c>
      <c r="G589" s="36">
        <v>45300</v>
      </c>
      <c r="H589" s="36">
        <v>453</v>
      </c>
    </row>
    <row r="590" spans="1:8">
      <c r="A590" s="62">
        <v>137293936969</v>
      </c>
      <c r="B590" t="s">
        <v>4</v>
      </c>
      <c r="C590" s="35" t="s">
        <v>345</v>
      </c>
      <c r="D590" t="s">
        <v>491</v>
      </c>
      <c r="E590" s="35" t="s">
        <v>354</v>
      </c>
      <c r="F590" s="29" t="s">
        <v>492</v>
      </c>
      <c r="G590" s="36">
        <v>12000</v>
      </c>
      <c r="H590" s="36">
        <v>120</v>
      </c>
    </row>
    <row r="591" spans="1:8">
      <c r="A591" s="62">
        <v>137928893544</v>
      </c>
      <c r="B591" t="s">
        <v>4</v>
      </c>
      <c r="C591" s="35" t="s">
        <v>345</v>
      </c>
      <c r="D591" t="s">
        <v>491</v>
      </c>
      <c r="E591" s="35" t="s">
        <v>354</v>
      </c>
      <c r="F591" s="29" t="s">
        <v>492</v>
      </c>
      <c r="G591" s="36">
        <v>35800</v>
      </c>
      <c r="H591" s="36">
        <v>358</v>
      </c>
    </row>
    <row r="592" spans="1:8">
      <c r="A592" s="62">
        <v>137929233114</v>
      </c>
      <c r="B592" t="s">
        <v>4</v>
      </c>
      <c r="C592" s="35" t="s">
        <v>345</v>
      </c>
      <c r="D592" t="s">
        <v>491</v>
      </c>
      <c r="E592" s="35" t="s">
        <v>354</v>
      </c>
      <c r="F592" s="29" t="s">
        <v>492</v>
      </c>
      <c r="G592" s="36">
        <v>9600</v>
      </c>
      <c r="H592" s="36">
        <v>96</v>
      </c>
    </row>
    <row r="593" spans="1:8">
      <c r="A593" s="62">
        <v>137295139849</v>
      </c>
      <c r="B593" t="s">
        <v>4</v>
      </c>
      <c r="C593" s="35" t="s">
        <v>345</v>
      </c>
      <c r="D593" t="s">
        <v>491</v>
      </c>
      <c r="E593" s="35" t="s">
        <v>354</v>
      </c>
      <c r="F593" s="29" t="s">
        <v>492</v>
      </c>
      <c r="G593" s="36">
        <v>9800</v>
      </c>
      <c r="H593" s="36">
        <v>98</v>
      </c>
    </row>
    <row r="594" spans="1:8">
      <c r="A594" s="62">
        <v>137930498598</v>
      </c>
      <c r="B594" t="s">
        <v>4</v>
      </c>
      <c r="C594" s="35" t="s">
        <v>345</v>
      </c>
      <c r="D594" t="s">
        <v>491</v>
      </c>
      <c r="E594" s="35" t="s">
        <v>354</v>
      </c>
      <c r="F594" s="29" t="s">
        <v>492</v>
      </c>
      <c r="G594" s="36">
        <v>27800</v>
      </c>
      <c r="H594" s="36">
        <v>278</v>
      </c>
    </row>
    <row r="595" spans="1:8">
      <c r="A595" s="62">
        <v>137931462000</v>
      </c>
      <c r="B595" t="s">
        <v>4</v>
      </c>
      <c r="C595" s="35" t="s">
        <v>354</v>
      </c>
      <c r="D595" t="s">
        <v>491</v>
      </c>
      <c r="E595" s="35" t="s">
        <v>354</v>
      </c>
      <c r="F595" s="29" t="s">
        <v>492</v>
      </c>
      <c r="G595" s="36">
        <v>18600</v>
      </c>
      <c r="H595" s="36">
        <v>186</v>
      </c>
    </row>
    <row r="596" spans="1:8">
      <c r="A596" s="62">
        <v>137718027151</v>
      </c>
      <c r="B596" t="s">
        <v>4</v>
      </c>
      <c r="C596" s="35" t="s">
        <v>355</v>
      </c>
      <c r="D596" t="s">
        <v>491</v>
      </c>
      <c r="E596" s="35" t="s">
        <v>355</v>
      </c>
      <c r="F596" s="29" t="s">
        <v>492</v>
      </c>
      <c r="G596" s="36">
        <v>27600</v>
      </c>
      <c r="H596" s="36">
        <v>276</v>
      </c>
    </row>
    <row r="597" spans="1:8">
      <c r="A597" s="62">
        <v>138364372438</v>
      </c>
      <c r="B597" t="s">
        <v>4</v>
      </c>
      <c r="C597" s="35" t="s">
        <v>355</v>
      </c>
      <c r="D597" t="s">
        <v>491</v>
      </c>
      <c r="E597" s="35" t="s">
        <v>355</v>
      </c>
      <c r="F597" s="29" t="s">
        <v>492</v>
      </c>
      <c r="G597" s="36">
        <v>24300</v>
      </c>
      <c r="H597" s="36">
        <v>243</v>
      </c>
    </row>
    <row r="598" spans="1:8">
      <c r="A598" s="62">
        <v>137732048829</v>
      </c>
      <c r="B598" t="s">
        <v>263</v>
      </c>
      <c r="C598" s="35" t="s">
        <v>355</v>
      </c>
      <c r="D598" t="s">
        <v>491</v>
      </c>
      <c r="E598" s="35" t="s">
        <v>355</v>
      </c>
      <c r="F598" s="29" t="s">
        <v>492</v>
      </c>
      <c r="G598" s="36">
        <v>47897</v>
      </c>
      <c r="H598" s="36">
        <v>478.97</v>
      </c>
    </row>
    <row r="599" spans="1:8">
      <c r="A599" s="62">
        <v>137732395913</v>
      </c>
      <c r="B599" t="s">
        <v>4</v>
      </c>
      <c r="C599" s="35" t="s">
        <v>355</v>
      </c>
      <c r="D599" t="s">
        <v>491</v>
      </c>
      <c r="E599" s="35" t="s">
        <v>355</v>
      </c>
      <c r="F599" s="29" t="s">
        <v>492</v>
      </c>
      <c r="G599" s="36">
        <v>4800</v>
      </c>
      <c r="H599" s="36">
        <v>48</v>
      </c>
    </row>
    <row r="600" spans="1:8">
      <c r="A600" s="62">
        <v>138370811186</v>
      </c>
      <c r="B600" t="s">
        <v>4</v>
      </c>
      <c r="C600" s="35" t="s">
        <v>355</v>
      </c>
      <c r="D600" t="s">
        <v>491</v>
      </c>
      <c r="E600" s="35" t="s">
        <v>355</v>
      </c>
      <c r="F600" s="29" t="s">
        <v>492</v>
      </c>
      <c r="G600" s="36">
        <v>23998</v>
      </c>
      <c r="H600" s="36">
        <v>239.98</v>
      </c>
    </row>
    <row r="601" spans="1:8">
      <c r="A601" s="62">
        <v>137733585351</v>
      </c>
      <c r="B601" t="s">
        <v>4</v>
      </c>
      <c r="C601" s="35" t="s">
        <v>355</v>
      </c>
      <c r="D601" t="s">
        <v>491</v>
      </c>
      <c r="E601" s="35" t="s">
        <v>355</v>
      </c>
      <c r="F601" s="29" t="s">
        <v>492</v>
      </c>
      <c r="G601" s="36">
        <v>47996</v>
      </c>
      <c r="H601" s="36">
        <v>479.96</v>
      </c>
    </row>
    <row r="602" spans="1:8">
      <c r="A602" s="62">
        <v>137735636327</v>
      </c>
      <c r="B602" t="s">
        <v>4</v>
      </c>
      <c r="C602" s="35" t="s">
        <v>355</v>
      </c>
      <c r="D602" t="s">
        <v>491</v>
      </c>
      <c r="E602" s="35" t="s">
        <v>355</v>
      </c>
      <c r="F602" s="29" t="s">
        <v>492</v>
      </c>
      <c r="G602" s="36">
        <v>23998</v>
      </c>
      <c r="H602" s="36">
        <v>239.98</v>
      </c>
    </row>
    <row r="603" spans="1:8">
      <c r="A603" s="62">
        <v>137735718137</v>
      </c>
      <c r="B603" t="s">
        <v>4</v>
      </c>
      <c r="C603" s="35" t="s">
        <v>355</v>
      </c>
      <c r="D603" t="s">
        <v>491</v>
      </c>
      <c r="E603" s="35" t="s">
        <v>355</v>
      </c>
      <c r="F603" s="29" t="s">
        <v>492</v>
      </c>
      <c r="G603" s="36">
        <v>69200</v>
      </c>
      <c r="H603" s="36">
        <v>692</v>
      </c>
    </row>
    <row r="604" spans="1:8">
      <c r="A604" s="62">
        <v>138375001336</v>
      </c>
      <c r="B604" t="s">
        <v>263</v>
      </c>
      <c r="C604" s="35" t="s">
        <v>355</v>
      </c>
      <c r="D604" t="s">
        <v>491</v>
      </c>
      <c r="E604" s="35" t="s">
        <v>355</v>
      </c>
      <c r="F604" s="29" t="s">
        <v>492</v>
      </c>
      <c r="G604" s="36">
        <v>8400</v>
      </c>
      <c r="H604" s="36">
        <v>84</v>
      </c>
    </row>
    <row r="605" spans="1:8">
      <c r="A605" s="62">
        <v>137736891041</v>
      </c>
      <c r="B605" t="s">
        <v>4</v>
      </c>
      <c r="C605" s="35" t="s">
        <v>355</v>
      </c>
      <c r="D605" t="s">
        <v>491</v>
      </c>
      <c r="E605" s="35" t="s">
        <v>355</v>
      </c>
      <c r="F605" s="29" t="s">
        <v>492</v>
      </c>
      <c r="G605" s="36">
        <v>8700</v>
      </c>
      <c r="H605" s="36">
        <v>87</v>
      </c>
    </row>
    <row r="606" spans="1:8">
      <c r="A606" s="62">
        <v>137737033763</v>
      </c>
      <c r="B606" t="s">
        <v>4</v>
      </c>
      <c r="C606" s="35" t="s">
        <v>355</v>
      </c>
      <c r="D606" t="s">
        <v>491</v>
      </c>
      <c r="E606" s="35" t="s">
        <v>355</v>
      </c>
      <c r="F606" s="29" t="s">
        <v>492</v>
      </c>
      <c r="G606" s="36">
        <v>38099</v>
      </c>
      <c r="H606" s="36">
        <v>380.99</v>
      </c>
    </row>
    <row r="607" spans="1:8">
      <c r="A607" s="62">
        <v>138375441034</v>
      </c>
      <c r="B607" t="s">
        <v>4</v>
      </c>
      <c r="C607" s="35" t="s">
        <v>355</v>
      </c>
      <c r="D607" t="s">
        <v>491</v>
      </c>
      <c r="E607" s="35" t="s">
        <v>355</v>
      </c>
      <c r="F607" s="29" t="s">
        <v>492</v>
      </c>
      <c r="G607" s="36">
        <v>21300</v>
      </c>
      <c r="H607" s="36">
        <v>213</v>
      </c>
    </row>
    <row r="608" spans="1:8">
      <c r="A608" s="62">
        <v>138377865080</v>
      </c>
      <c r="B608" t="s">
        <v>4</v>
      </c>
      <c r="C608" s="35" t="s">
        <v>355</v>
      </c>
      <c r="D608" t="s">
        <v>491</v>
      </c>
      <c r="E608" s="35" t="s">
        <v>355</v>
      </c>
      <c r="F608" s="29" t="s">
        <v>492</v>
      </c>
      <c r="G608" s="36">
        <v>67000</v>
      </c>
      <c r="H608" s="36">
        <v>670</v>
      </c>
    </row>
    <row r="609" spans="1:8">
      <c r="A609" s="62">
        <v>138380103176</v>
      </c>
      <c r="B609" t="s">
        <v>4</v>
      </c>
      <c r="C609" s="35" t="s">
        <v>355</v>
      </c>
      <c r="D609" t="s">
        <v>491</v>
      </c>
      <c r="E609" s="35" t="s">
        <v>355</v>
      </c>
      <c r="F609" s="29" t="s">
        <v>492</v>
      </c>
      <c r="G609" s="36">
        <v>51200</v>
      </c>
      <c r="H609" s="36">
        <v>512</v>
      </c>
    </row>
    <row r="610" spans="1:8">
      <c r="A610" s="62">
        <v>137726653777</v>
      </c>
      <c r="B610" t="s">
        <v>4</v>
      </c>
      <c r="C610" s="35" t="s">
        <v>355</v>
      </c>
      <c r="D610" t="s">
        <v>491</v>
      </c>
      <c r="E610" s="35" t="s">
        <v>355</v>
      </c>
      <c r="F610" s="29" t="s">
        <v>492</v>
      </c>
      <c r="G610" s="36">
        <v>9500</v>
      </c>
      <c r="H610" s="36">
        <v>95</v>
      </c>
    </row>
    <row r="611" spans="1:8">
      <c r="A611" s="62">
        <v>137727368801</v>
      </c>
      <c r="B611" t="s">
        <v>4</v>
      </c>
      <c r="C611" s="35" t="s">
        <v>355</v>
      </c>
      <c r="D611" t="s">
        <v>491</v>
      </c>
      <c r="E611" s="35" t="s">
        <v>355</v>
      </c>
      <c r="F611" s="29" t="s">
        <v>492</v>
      </c>
      <c r="G611" s="36">
        <v>4900</v>
      </c>
      <c r="H611" s="36">
        <v>49</v>
      </c>
    </row>
    <row r="612" spans="1:8">
      <c r="A612" s="62">
        <v>138386617202</v>
      </c>
      <c r="B612" t="s">
        <v>4</v>
      </c>
      <c r="C612" s="35" t="s">
        <v>360</v>
      </c>
      <c r="D612" t="s">
        <v>491</v>
      </c>
      <c r="E612" s="35" t="s">
        <v>360</v>
      </c>
      <c r="F612" s="29" t="s">
        <v>492</v>
      </c>
      <c r="G612" s="36">
        <v>4000</v>
      </c>
      <c r="H612" s="36">
        <v>40</v>
      </c>
    </row>
    <row r="613" spans="1:8">
      <c r="A613" s="62">
        <v>138366452506</v>
      </c>
      <c r="B613" t="s">
        <v>4</v>
      </c>
      <c r="C613" s="35" t="s">
        <v>355</v>
      </c>
      <c r="D613" t="s">
        <v>491</v>
      </c>
      <c r="E613" s="35" t="s">
        <v>355</v>
      </c>
      <c r="F613" s="29" t="s">
        <v>492</v>
      </c>
      <c r="G613" s="36">
        <v>12900</v>
      </c>
      <c r="H613" s="36">
        <v>129</v>
      </c>
    </row>
    <row r="614" spans="1:8">
      <c r="A614" s="62">
        <v>137748725081</v>
      </c>
      <c r="B614" t="s">
        <v>4</v>
      </c>
      <c r="C614" s="35" t="s">
        <v>360</v>
      </c>
      <c r="D614" t="s">
        <v>491</v>
      </c>
      <c r="E614" s="35" t="s">
        <v>360</v>
      </c>
      <c r="F614" s="29" t="s">
        <v>492</v>
      </c>
      <c r="G614" s="36">
        <v>18800</v>
      </c>
      <c r="H614" s="36">
        <v>188</v>
      </c>
    </row>
    <row r="615" spans="1:8">
      <c r="A615" s="62">
        <v>137748780603</v>
      </c>
      <c r="B615" t="s">
        <v>263</v>
      </c>
      <c r="C615" s="35" t="s">
        <v>360</v>
      </c>
      <c r="D615" t="s">
        <v>491</v>
      </c>
      <c r="E615" s="35" t="s">
        <v>360</v>
      </c>
      <c r="F615" s="29" t="s">
        <v>492</v>
      </c>
      <c r="G615" s="36">
        <v>20399</v>
      </c>
      <c r="H615" s="36">
        <v>203.99</v>
      </c>
    </row>
    <row r="616" spans="1:8">
      <c r="A616" s="62">
        <v>138387393028</v>
      </c>
      <c r="B616" t="s">
        <v>4</v>
      </c>
      <c r="C616" s="35" t="s">
        <v>360</v>
      </c>
      <c r="D616" t="s">
        <v>491</v>
      </c>
      <c r="E616" s="35" t="s">
        <v>360</v>
      </c>
      <c r="F616" s="29" t="s">
        <v>492</v>
      </c>
      <c r="G616" s="36">
        <v>34000</v>
      </c>
      <c r="H616" s="36">
        <v>340</v>
      </c>
    </row>
    <row r="617" spans="1:8">
      <c r="A617" s="62">
        <v>137729187113</v>
      </c>
      <c r="B617" t="s">
        <v>263</v>
      </c>
      <c r="C617" s="35" t="s">
        <v>355</v>
      </c>
      <c r="D617" t="s">
        <v>491</v>
      </c>
      <c r="E617" s="35" t="s">
        <v>355</v>
      </c>
      <c r="F617" s="29" t="s">
        <v>492</v>
      </c>
      <c r="G617" s="36">
        <v>14700</v>
      </c>
      <c r="H617" s="36">
        <v>147</v>
      </c>
    </row>
    <row r="618" spans="1:8">
      <c r="A618" s="62">
        <v>138370582356</v>
      </c>
      <c r="B618" t="s">
        <v>4</v>
      </c>
      <c r="C618" s="35" t="s">
        <v>355</v>
      </c>
      <c r="D618" t="s">
        <v>491</v>
      </c>
      <c r="E618" s="35" t="s">
        <v>355</v>
      </c>
      <c r="F618" s="29" t="s">
        <v>492</v>
      </c>
      <c r="G618" s="36">
        <v>8400</v>
      </c>
      <c r="H618" s="36">
        <v>84</v>
      </c>
    </row>
    <row r="619" spans="1:8">
      <c r="A619" s="62">
        <v>138376025552</v>
      </c>
      <c r="B619" t="s">
        <v>4</v>
      </c>
      <c r="C619" s="35" t="s">
        <v>355</v>
      </c>
      <c r="D619" t="s">
        <v>491</v>
      </c>
      <c r="E619" s="35" t="s">
        <v>355</v>
      </c>
      <c r="F619" s="29" t="s">
        <v>492</v>
      </c>
      <c r="G619" s="36">
        <v>27500</v>
      </c>
      <c r="H619" s="36">
        <v>275</v>
      </c>
    </row>
    <row r="620" spans="1:8">
      <c r="A620" s="62">
        <v>137738555625</v>
      </c>
      <c r="B620" t="s">
        <v>263</v>
      </c>
      <c r="C620" s="35" t="s">
        <v>355</v>
      </c>
      <c r="D620" t="s">
        <v>491</v>
      </c>
      <c r="E620" s="35" t="s">
        <v>355</v>
      </c>
      <c r="F620" s="29" t="s">
        <v>492</v>
      </c>
      <c r="G620" s="36">
        <v>4900</v>
      </c>
      <c r="H620" s="36">
        <v>49</v>
      </c>
    </row>
    <row r="621" spans="1:8">
      <c r="A621" s="62">
        <v>137739858471</v>
      </c>
      <c r="B621" t="s">
        <v>4</v>
      </c>
      <c r="C621" s="35" t="s">
        <v>355</v>
      </c>
      <c r="D621" t="s">
        <v>491</v>
      </c>
      <c r="E621" s="35" t="s">
        <v>355</v>
      </c>
      <c r="F621" s="29" t="s">
        <v>492</v>
      </c>
      <c r="G621" s="36">
        <v>61900</v>
      </c>
      <c r="H621" s="36">
        <v>619</v>
      </c>
    </row>
    <row r="622" spans="1:8">
      <c r="A622" s="62">
        <v>138378205560</v>
      </c>
      <c r="B622" t="s">
        <v>4</v>
      </c>
      <c r="C622" s="35" t="s">
        <v>355</v>
      </c>
      <c r="D622" t="s">
        <v>491</v>
      </c>
      <c r="E622" s="35" t="s">
        <v>355</v>
      </c>
      <c r="F622" s="29" t="s">
        <v>492</v>
      </c>
      <c r="G622" s="36">
        <v>4800</v>
      </c>
      <c r="H622" s="36">
        <v>48</v>
      </c>
    </row>
    <row r="623" spans="1:8">
      <c r="A623" s="62">
        <v>138378705392</v>
      </c>
      <c r="B623" t="s">
        <v>4</v>
      </c>
      <c r="C623" s="35" t="s">
        <v>355</v>
      </c>
      <c r="D623" t="s">
        <v>491</v>
      </c>
      <c r="E623" s="35" t="s">
        <v>355</v>
      </c>
      <c r="F623" s="29" t="s">
        <v>492</v>
      </c>
      <c r="G623" s="36">
        <v>46800</v>
      </c>
      <c r="H623" s="36">
        <v>468</v>
      </c>
    </row>
    <row r="624" spans="1:8">
      <c r="A624" s="62">
        <v>138379731852</v>
      </c>
      <c r="B624" t="s">
        <v>263</v>
      </c>
      <c r="C624" s="35" t="s">
        <v>355</v>
      </c>
      <c r="D624" t="s">
        <v>491</v>
      </c>
      <c r="E624" s="35" t="s">
        <v>355</v>
      </c>
      <c r="F624" s="29" t="s">
        <v>492</v>
      </c>
      <c r="G624" s="36">
        <v>40700</v>
      </c>
      <c r="H624" s="36">
        <v>407</v>
      </c>
    </row>
    <row r="625" spans="1:8">
      <c r="A625" s="62">
        <v>138380825924</v>
      </c>
      <c r="B625" t="s">
        <v>4</v>
      </c>
      <c r="C625" s="35" t="s">
        <v>355</v>
      </c>
      <c r="D625" t="s">
        <v>491</v>
      </c>
      <c r="E625" s="35" t="s">
        <v>360</v>
      </c>
      <c r="F625" s="29" t="s">
        <v>492</v>
      </c>
      <c r="G625" s="36">
        <v>45498</v>
      </c>
      <c r="H625" s="36">
        <v>454.98</v>
      </c>
    </row>
    <row r="626" spans="1:8">
      <c r="A626" s="62">
        <v>138381183046</v>
      </c>
      <c r="B626" t="s">
        <v>4</v>
      </c>
      <c r="C626" s="35" t="s">
        <v>355</v>
      </c>
      <c r="D626" t="s">
        <v>491</v>
      </c>
      <c r="E626" s="35" t="s">
        <v>360</v>
      </c>
      <c r="F626" s="29" t="s">
        <v>492</v>
      </c>
      <c r="G626" s="36">
        <v>4900</v>
      </c>
      <c r="H626" s="36">
        <v>49</v>
      </c>
    </row>
    <row r="627" spans="1:8">
      <c r="A627" s="62">
        <v>138382866740</v>
      </c>
      <c r="B627" t="s">
        <v>4</v>
      </c>
      <c r="C627" s="35" t="s">
        <v>355</v>
      </c>
      <c r="D627" t="s">
        <v>491</v>
      </c>
      <c r="E627" s="35" t="s">
        <v>360</v>
      </c>
      <c r="F627" s="29" t="s">
        <v>492</v>
      </c>
      <c r="G627" s="36">
        <v>33698</v>
      </c>
      <c r="H627" s="36">
        <v>336.98</v>
      </c>
    </row>
    <row r="628" spans="1:8">
      <c r="A628" s="62">
        <v>138386893506</v>
      </c>
      <c r="B628" t="s">
        <v>4</v>
      </c>
      <c r="C628" s="35" t="s">
        <v>360</v>
      </c>
      <c r="D628" t="s">
        <v>491</v>
      </c>
      <c r="E628" s="35" t="s">
        <v>360</v>
      </c>
      <c r="F628" s="29" t="s">
        <v>492</v>
      </c>
      <c r="G628" s="36">
        <v>19200</v>
      </c>
      <c r="H628" s="36">
        <v>192</v>
      </c>
    </row>
    <row r="629" spans="1:8">
      <c r="A629" s="62">
        <v>137748840969</v>
      </c>
      <c r="B629" t="s">
        <v>263</v>
      </c>
      <c r="C629" s="35" t="s">
        <v>360</v>
      </c>
      <c r="D629" t="s">
        <v>491</v>
      </c>
      <c r="E629" s="35" t="s">
        <v>360</v>
      </c>
      <c r="F629" s="29" t="s">
        <v>492</v>
      </c>
      <c r="G629" s="36">
        <v>18300</v>
      </c>
      <c r="H629" s="36">
        <v>183</v>
      </c>
    </row>
    <row r="630" spans="1:8">
      <c r="A630" s="62">
        <v>137866056777</v>
      </c>
      <c r="B630" t="s">
        <v>4</v>
      </c>
      <c r="C630" s="35" t="s">
        <v>360</v>
      </c>
      <c r="D630" t="s">
        <v>491</v>
      </c>
      <c r="E630" s="35" t="s">
        <v>360</v>
      </c>
      <c r="F630" s="29" t="s">
        <v>492</v>
      </c>
      <c r="G630" s="36">
        <v>14800</v>
      </c>
      <c r="H630" s="36">
        <v>148</v>
      </c>
    </row>
    <row r="631" spans="1:8">
      <c r="A631" s="62">
        <v>138506489490</v>
      </c>
      <c r="B631" t="s">
        <v>4</v>
      </c>
      <c r="C631" s="35" t="s">
        <v>360</v>
      </c>
      <c r="D631" t="s">
        <v>491</v>
      </c>
      <c r="E631" s="35" t="s">
        <v>360</v>
      </c>
      <c r="F631" s="29" t="s">
        <v>492</v>
      </c>
      <c r="G631" s="36">
        <v>5000</v>
      </c>
      <c r="H631" s="36">
        <v>50</v>
      </c>
    </row>
    <row r="632" spans="1:8">
      <c r="A632" s="62">
        <v>137875762085</v>
      </c>
      <c r="B632" t="s">
        <v>4</v>
      </c>
      <c r="C632" s="35" t="s">
        <v>360</v>
      </c>
      <c r="D632" t="s">
        <v>491</v>
      </c>
      <c r="E632" s="35" t="s">
        <v>360</v>
      </c>
      <c r="F632" s="29" t="s">
        <v>492</v>
      </c>
      <c r="G632" s="36">
        <v>10000</v>
      </c>
      <c r="H632" s="36">
        <v>100</v>
      </c>
    </row>
    <row r="633" spans="1:8">
      <c r="A633" s="62">
        <v>138515609406</v>
      </c>
      <c r="B633" t="s">
        <v>263</v>
      </c>
      <c r="C633" s="35" t="s">
        <v>360</v>
      </c>
      <c r="D633" t="s">
        <v>491</v>
      </c>
      <c r="E633" s="35" t="s">
        <v>360</v>
      </c>
      <c r="F633" s="29" t="s">
        <v>492</v>
      </c>
      <c r="G633" s="36">
        <v>21600</v>
      </c>
      <c r="H633" s="36">
        <v>216</v>
      </c>
    </row>
    <row r="634" spans="1:8">
      <c r="A634" s="62">
        <v>137881181395</v>
      </c>
      <c r="B634" t="s">
        <v>263</v>
      </c>
      <c r="C634" s="35" t="s">
        <v>360</v>
      </c>
      <c r="D634" t="s">
        <v>491</v>
      </c>
      <c r="E634" s="35" t="s">
        <v>360</v>
      </c>
      <c r="F634" s="29" t="s">
        <v>492</v>
      </c>
      <c r="G634" s="36">
        <v>26800</v>
      </c>
      <c r="H634" s="36">
        <v>268</v>
      </c>
    </row>
    <row r="635" spans="1:8">
      <c r="A635" s="62">
        <v>137881574967</v>
      </c>
      <c r="B635" t="s">
        <v>4</v>
      </c>
      <c r="C635" s="35" t="s">
        <v>360</v>
      </c>
      <c r="D635" t="s">
        <v>491</v>
      </c>
      <c r="E635" s="35" t="s">
        <v>360</v>
      </c>
      <c r="F635" s="29" t="s">
        <v>492</v>
      </c>
      <c r="G635" s="36">
        <v>5000</v>
      </c>
      <c r="H635" s="36">
        <v>50</v>
      </c>
    </row>
    <row r="636" spans="1:8">
      <c r="A636" s="62">
        <v>138521571152</v>
      </c>
      <c r="B636" t="s">
        <v>263</v>
      </c>
      <c r="C636" s="35" t="s">
        <v>360</v>
      </c>
      <c r="D636" t="s">
        <v>491</v>
      </c>
      <c r="E636" s="35" t="s">
        <v>360</v>
      </c>
      <c r="F636" s="29" t="s">
        <v>492</v>
      </c>
      <c r="G636" s="36">
        <v>8000</v>
      </c>
      <c r="H636" s="36">
        <v>80</v>
      </c>
    </row>
    <row r="637" spans="1:8">
      <c r="A637" s="62">
        <v>137883296031</v>
      </c>
      <c r="B637" t="s">
        <v>4</v>
      </c>
      <c r="C637" s="35" t="s">
        <v>360</v>
      </c>
      <c r="D637" t="s">
        <v>491</v>
      </c>
      <c r="E637" s="35" t="s">
        <v>360</v>
      </c>
      <c r="F637" s="29" t="s">
        <v>492</v>
      </c>
      <c r="G637" s="36">
        <v>15100</v>
      </c>
      <c r="H637" s="36">
        <v>151</v>
      </c>
    </row>
    <row r="638" spans="1:8">
      <c r="A638" s="62">
        <v>138523156838</v>
      </c>
      <c r="B638" t="s">
        <v>4</v>
      </c>
      <c r="C638" s="35" t="s">
        <v>360</v>
      </c>
      <c r="D638" t="s">
        <v>491</v>
      </c>
      <c r="E638" s="35" t="s">
        <v>360</v>
      </c>
      <c r="F638" s="29" t="s">
        <v>492</v>
      </c>
      <c r="G638" s="36">
        <v>21900</v>
      </c>
      <c r="H638" s="36">
        <v>219</v>
      </c>
    </row>
    <row r="639" spans="1:8">
      <c r="A639" s="62">
        <v>138523835674</v>
      </c>
      <c r="B639" t="s">
        <v>4</v>
      </c>
      <c r="C639" s="35" t="s">
        <v>360</v>
      </c>
      <c r="D639" t="s">
        <v>491</v>
      </c>
      <c r="E639" s="35" t="s">
        <v>360</v>
      </c>
      <c r="F639" s="29" t="s">
        <v>492</v>
      </c>
      <c r="G639" s="36">
        <v>2500</v>
      </c>
      <c r="H639" s="36">
        <v>25</v>
      </c>
    </row>
    <row r="640" spans="1:8">
      <c r="A640" s="62">
        <v>137862760785</v>
      </c>
      <c r="B640" t="s">
        <v>4</v>
      </c>
      <c r="C640" s="35" t="s">
        <v>360</v>
      </c>
      <c r="D640" t="s">
        <v>491</v>
      </c>
      <c r="E640" s="35" t="s">
        <v>360</v>
      </c>
      <c r="F640" s="29" t="s">
        <v>492</v>
      </c>
      <c r="G640" s="36">
        <v>12500</v>
      </c>
      <c r="H640" s="36">
        <v>125</v>
      </c>
    </row>
    <row r="641" spans="1:8">
      <c r="A641" s="62">
        <v>137885651617</v>
      </c>
      <c r="B641" t="s">
        <v>4</v>
      </c>
      <c r="C641" s="35" t="s">
        <v>360</v>
      </c>
      <c r="D641" t="s">
        <v>491</v>
      </c>
      <c r="E641" s="35" t="s">
        <v>360</v>
      </c>
      <c r="F641" s="29" t="s">
        <v>492</v>
      </c>
      <c r="G641" s="36">
        <v>4900</v>
      </c>
      <c r="H641" s="36">
        <v>49</v>
      </c>
    </row>
    <row r="642" spans="1:8">
      <c r="A642" s="62">
        <v>138525332522</v>
      </c>
      <c r="B642" t="s">
        <v>4</v>
      </c>
      <c r="C642" s="35" t="s">
        <v>360</v>
      </c>
      <c r="D642" t="s">
        <v>491</v>
      </c>
      <c r="E642" s="35" t="s">
        <v>360</v>
      </c>
      <c r="F642" s="29" t="s">
        <v>492</v>
      </c>
      <c r="G642" s="36">
        <v>4800</v>
      </c>
      <c r="H642" s="36">
        <v>48</v>
      </c>
    </row>
    <row r="643" spans="1:8">
      <c r="A643" s="62">
        <v>138525274966</v>
      </c>
      <c r="B643" t="s">
        <v>4</v>
      </c>
      <c r="C643" s="35" t="s">
        <v>360</v>
      </c>
      <c r="D643" t="s">
        <v>491</v>
      </c>
      <c r="E643" s="35" t="s">
        <v>360</v>
      </c>
      <c r="F643" s="29" t="s">
        <v>492</v>
      </c>
      <c r="G643" s="36">
        <v>9600</v>
      </c>
      <c r="H643" s="36">
        <v>96</v>
      </c>
    </row>
    <row r="644" spans="1:8">
      <c r="A644" s="62">
        <v>138527208218</v>
      </c>
      <c r="B644" t="s">
        <v>4</v>
      </c>
      <c r="C644" s="35" t="s">
        <v>360</v>
      </c>
      <c r="D644" t="s">
        <v>491</v>
      </c>
      <c r="E644" s="35" t="s">
        <v>360</v>
      </c>
      <c r="F644" s="29" t="s">
        <v>492</v>
      </c>
      <c r="G644" s="36">
        <v>5000</v>
      </c>
      <c r="H644" s="36">
        <v>50</v>
      </c>
    </row>
    <row r="645" spans="1:8">
      <c r="A645" s="62">
        <v>137888265807</v>
      </c>
      <c r="B645" t="s">
        <v>4</v>
      </c>
      <c r="C645" s="35" t="s">
        <v>360</v>
      </c>
      <c r="D645" t="s">
        <v>491</v>
      </c>
      <c r="E645" s="35" t="s">
        <v>360</v>
      </c>
      <c r="F645" s="29" t="s">
        <v>492</v>
      </c>
      <c r="G645" s="36">
        <v>10000</v>
      </c>
      <c r="H645" s="36">
        <v>100</v>
      </c>
    </row>
    <row r="646" spans="1:8">
      <c r="A646" s="62">
        <v>138527881428</v>
      </c>
      <c r="B646" t="s">
        <v>4</v>
      </c>
      <c r="C646" s="35" t="s">
        <v>360</v>
      </c>
      <c r="D646" t="s">
        <v>491</v>
      </c>
      <c r="E646" s="35" t="s">
        <v>360</v>
      </c>
      <c r="F646" s="29" t="s">
        <v>492</v>
      </c>
      <c r="G646" s="36">
        <v>10000</v>
      </c>
      <c r="H646" s="36">
        <v>100</v>
      </c>
    </row>
    <row r="647" spans="1:8">
      <c r="A647" s="62">
        <v>138527945930</v>
      </c>
      <c r="B647" t="s">
        <v>4</v>
      </c>
      <c r="C647" s="35" t="s">
        <v>360</v>
      </c>
      <c r="D647" t="s">
        <v>491</v>
      </c>
      <c r="E647" s="35" t="s">
        <v>360</v>
      </c>
      <c r="F647" s="29" t="s">
        <v>492</v>
      </c>
      <c r="G647" s="36">
        <v>4800</v>
      </c>
      <c r="H647" s="36">
        <v>48</v>
      </c>
    </row>
    <row r="648" spans="1:8">
      <c r="A648" s="62">
        <v>138528055052</v>
      </c>
      <c r="B648" t="s">
        <v>4</v>
      </c>
      <c r="C648" s="35" t="s">
        <v>360</v>
      </c>
      <c r="D648" t="s">
        <v>491</v>
      </c>
      <c r="E648" s="35" t="s">
        <v>360</v>
      </c>
      <c r="F648" s="29" t="s">
        <v>492</v>
      </c>
      <c r="G648" s="36">
        <v>2400</v>
      </c>
      <c r="H648" s="36">
        <v>24</v>
      </c>
    </row>
    <row r="649" spans="1:8">
      <c r="A649" s="62">
        <v>138528213452</v>
      </c>
      <c r="B649" t="s">
        <v>4</v>
      </c>
      <c r="C649" s="35" t="s">
        <v>360</v>
      </c>
      <c r="D649" t="s">
        <v>491</v>
      </c>
      <c r="E649" s="35" t="s">
        <v>360</v>
      </c>
      <c r="F649" s="29" t="s">
        <v>492</v>
      </c>
      <c r="G649" s="36">
        <v>4800</v>
      </c>
      <c r="H649" s="36">
        <v>48</v>
      </c>
    </row>
    <row r="650" spans="1:8">
      <c r="A650" s="62">
        <v>138528194054</v>
      </c>
      <c r="B650" t="s">
        <v>4</v>
      </c>
      <c r="C650" s="35" t="s">
        <v>360</v>
      </c>
      <c r="D650" t="s">
        <v>491</v>
      </c>
      <c r="E650" s="35" t="s">
        <v>360</v>
      </c>
      <c r="F650" s="29" t="s">
        <v>492</v>
      </c>
      <c r="G650" s="36">
        <v>5000</v>
      </c>
      <c r="H650" s="36">
        <v>50</v>
      </c>
    </row>
    <row r="651" spans="1:8">
      <c r="A651" s="62">
        <v>138507536394</v>
      </c>
      <c r="B651" t="s">
        <v>4</v>
      </c>
      <c r="C651" s="35" t="s">
        <v>360</v>
      </c>
      <c r="D651" t="s">
        <v>491</v>
      </c>
      <c r="E651" s="35" t="s">
        <v>360</v>
      </c>
      <c r="F651" s="29" t="s">
        <v>492</v>
      </c>
      <c r="G651" s="36">
        <v>10000</v>
      </c>
      <c r="H651" s="36">
        <v>100</v>
      </c>
    </row>
    <row r="652" spans="1:8">
      <c r="A652" s="62">
        <v>137889879715</v>
      </c>
      <c r="B652" t="s">
        <v>4</v>
      </c>
      <c r="C652" s="35" t="s">
        <v>360</v>
      </c>
      <c r="D652" t="s">
        <v>491</v>
      </c>
      <c r="E652" s="35" t="s">
        <v>360</v>
      </c>
      <c r="F652" s="29" t="s">
        <v>492</v>
      </c>
      <c r="G652" s="36">
        <v>9800</v>
      </c>
      <c r="H652" s="36">
        <v>98</v>
      </c>
    </row>
    <row r="653" spans="1:8">
      <c r="A653" s="62">
        <v>137890291451</v>
      </c>
      <c r="B653" t="s">
        <v>4</v>
      </c>
      <c r="C653" s="35" t="s">
        <v>360</v>
      </c>
      <c r="D653" t="s">
        <v>491</v>
      </c>
      <c r="E653" s="35" t="s">
        <v>360</v>
      </c>
      <c r="F653" s="29" t="s">
        <v>492</v>
      </c>
      <c r="G653" s="36">
        <v>46100</v>
      </c>
      <c r="H653" s="36">
        <v>461</v>
      </c>
    </row>
    <row r="654" spans="1:8">
      <c r="A654" s="62">
        <v>138529603148</v>
      </c>
      <c r="B654" t="s">
        <v>263</v>
      </c>
      <c r="C654" s="35" t="s">
        <v>360</v>
      </c>
      <c r="D654" t="s">
        <v>491</v>
      </c>
      <c r="E654" s="35" t="s">
        <v>360</v>
      </c>
      <c r="F654" s="29" t="s">
        <v>492</v>
      </c>
      <c r="G654" s="36">
        <v>22900</v>
      </c>
      <c r="H654" s="36">
        <v>229</v>
      </c>
    </row>
    <row r="655" spans="1:8">
      <c r="A655" s="62">
        <v>138529709640</v>
      </c>
      <c r="B655" t="s">
        <v>263</v>
      </c>
      <c r="C655" s="35" t="s">
        <v>360</v>
      </c>
      <c r="D655" t="s">
        <v>491</v>
      </c>
      <c r="E655" s="35" t="s">
        <v>360</v>
      </c>
      <c r="F655" s="29" t="s">
        <v>492</v>
      </c>
      <c r="G655" s="36">
        <v>4800</v>
      </c>
      <c r="H655" s="36">
        <v>48</v>
      </c>
    </row>
    <row r="656" spans="1:8">
      <c r="A656" s="62">
        <v>138529964152</v>
      </c>
      <c r="B656" t="s">
        <v>4</v>
      </c>
      <c r="C656" s="35" t="s">
        <v>360</v>
      </c>
      <c r="D656" t="s">
        <v>491</v>
      </c>
      <c r="E656" s="35" t="s">
        <v>360</v>
      </c>
      <c r="F656" s="29" t="s">
        <v>492</v>
      </c>
      <c r="G656" s="36">
        <v>10000</v>
      </c>
      <c r="H656" s="36">
        <v>100</v>
      </c>
    </row>
    <row r="657" spans="1:8">
      <c r="A657" s="62">
        <v>137891309225</v>
      </c>
      <c r="B657" t="s">
        <v>4</v>
      </c>
      <c r="C657" s="35" t="s">
        <v>360</v>
      </c>
      <c r="D657" t="s">
        <v>491</v>
      </c>
      <c r="E657" s="35" t="s">
        <v>360</v>
      </c>
      <c r="F657" s="29" t="s">
        <v>492</v>
      </c>
      <c r="G657" s="36">
        <v>36600</v>
      </c>
      <c r="H657" s="36">
        <v>366</v>
      </c>
    </row>
    <row r="658" spans="1:8">
      <c r="A658" s="62">
        <v>137891544975</v>
      </c>
      <c r="B658" t="s">
        <v>4</v>
      </c>
      <c r="C658" s="35" t="s">
        <v>360</v>
      </c>
      <c r="D658" t="s">
        <v>491</v>
      </c>
      <c r="E658" s="35" t="s">
        <v>360</v>
      </c>
      <c r="F658" s="29" t="s">
        <v>492</v>
      </c>
      <c r="G658" s="36">
        <v>4800</v>
      </c>
      <c r="H658" s="36">
        <v>48</v>
      </c>
    </row>
    <row r="659" spans="1:8">
      <c r="A659" s="62">
        <v>137891966741</v>
      </c>
      <c r="B659" t="s">
        <v>4</v>
      </c>
      <c r="C659" s="35" t="s">
        <v>360</v>
      </c>
      <c r="D659" t="s">
        <v>491</v>
      </c>
      <c r="E659" s="35" t="s">
        <v>360</v>
      </c>
      <c r="F659" s="29" t="s">
        <v>492</v>
      </c>
      <c r="G659" s="36">
        <v>5000</v>
      </c>
      <c r="H659" s="36">
        <v>50</v>
      </c>
    </row>
    <row r="660" spans="1:8">
      <c r="A660" s="62">
        <v>138531301154</v>
      </c>
      <c r="B660" t="s">
        <v>4</v>
      </c>
      <c r="C660" s="35" t="s">
        <v>360</v>
      </c>
      <c r="D660" t="s">
        <v>491</v>
      </c>
      <c r="E660" s="35" t="s">
        <v>360</v>
      </c>
      <c r="F660" s="29" t="s">
        <v>492</v>
      </c>
      <c r="G660" s="36">
        <v>33000</v>
      </c>
      <c r="H660" s="36">
        <v>330</v>
      </c>
    </row>
    <row r="661" spans="1:8">
      <c r="A661" s="62">
        <v>138531468148</v>
      </c>
      <c r="B661" t="s">
        <v>4</v>
      </c>
      <c r="C661" s="35" t="s">
        <v>360</v>
      </c>
      <c r="D661" t="s">
        <v>491</v>
      </c>
      <c r="E661" s="35" t="s">
        <v>360</v>
      </c>
      <c r="F661" s="29" t="s">
        <v>492</v>
      </c>
      <c r="G661" s="36">
        <v>10300</v>
      </c>
      <c r="H661" s="36">
        <v>103</v>
      </c>
    </row>
    <row r="662" spans="1:8">
      <c r="A662" s="62">
        <v>138531411036</v>
      </c>
      <c r="B662" t="s">
        <v>4</v>
      </c>
      <c r="C662" s="35" t="s">
        <v>360</v>
      </c>
      <c r="D662" t="s">
        <v>491</v>
      </c>
      <c r="E662" s="35" t="s">
        <v>360</v>
      </c>
      <c r="F662" s="29" t="s">
        <v>492</v>
      </c>
      <c r="G662" s="36">
        <v>35950</v>
      </c>
      <c r="H662" s="36">
        <v>359.5</v>
      </c>
    </row>
    <row r="663" spans="1:8">
      <c r="A663" s="62">
        <v>137892927031</v>
      </c>
      <c r="B663" t="s">
        <v>4</v>
      </c>
      <c r="C663" s="35" t="s">
        <v>360</v>
      </c>
      <c r="D663" t="s">
        <v>491</v>
      </c>
      <c r="E663" s="35" t="s">
        <v>360</v>
      </c>
      <c r="F663" s="29" t="s">
        <v>492</v>
      </c>
      <c r="G663" s="36">
        <v>5000</v>
      </c>
      <c r="H663" s="36">
        <v>50</v>
      </c>
    </row>
    <row r="664" spans="1:8">
      <c r="A664" s="62">
        <v>138532396696</v>
      </c>
      <c r="B664" t="s">
        <v>4</v>
      </c>
      <c r="C664" s="35" t="s">
        <v>360</v>
      </c>
      <c r="D664" t="s">
        <v>491</v>
      </c>
      <c r="E664" s="35" t="s">
        <v>360</v>
      </c>
      <c r="F664" s="29" t="s">
        <v>492</v>
      </c>
      <c r="G664" s="36">
        <v>5000</v>
      </c>
      <c r="H664" s="36">
        <v>50</v>
      </c>
    </row>
    <row r="665" spans="1:8">
      <c r="A665" s="62">
        <v>138532436086</v>
      </c>
      <c r="B665" t="s">
        <v>263</v>
      </c>
      <c r="C665" s="35" t="s">
        <v>360</v>
      </c>
      <c r="D665" t="s">
        <v>491</v>
      </c>
      <c r="E665" s="35" t="s">
        <v>360</v>
      </c>
      <c r="F665" s="29" t="s">
        <v>492</v>
      </c>
      <c r="G665" s="36">
        <v>20200</v>
      </c>
      <c r="H665" s="36">
        <v>202</v>
      </c>
    </row>
    <row r="666" spans="1:8">
      <c r="A666" s="62">
        <v>138533495288</v>
      </c>
      <c r="B666" t="s">
        <v>4</v>
      </c>
      <c r="C666" s="35" t="s">
        <v>360</v>
      </c>
      <c r="D666" t="s">
        <v>491</v>
      </c>
      <c r="E666" s="35" t="s">
        <v>360</v>
      </c>
      <c r="F666" s="29" t="s">
        <v>492</v>
      </c>
      <c r="G666" s="36">
        <v>4800</v>
      </c>
      <c r="H666" s="36">
        <v>48</v>
      </c>
    </row>
    <row r="667" spans="1:8">
      <c r="A667" s="62">
        <v>137894549499</v>
      </c>
      <c r="B667" t="s">
        <v>4</v>
      </c>
      <c r="C667" s="35" t="s">
        <v>360</v>
      </c>
      <c r="D667" t="s">
        <v>491</v>
      </c>
      <c r="E667" s="35" t="s">
        <v>360</v>
      </c>
      <c r="F667" s="29" t="s">
        <v>492</v>
      </c>
      <c r="G667" s="36">
        <v>5000</v>
      </c>
      <c r="H667" s="36">
        <v>50</v>
      </c>
    </row>
    <row r="668" spans="1:8">
      <c r="A668" s="62">
        <v>137894672723</v>
      </c>
      <c r="B668" t="s">
        <v>4</v>
      </c>
      <c r="C668" s="35" t="s">
        <v>360</v>
      </c>
      <c r="D668" t="s">
        <v>491</v>
      </c>
      <c r="E668" s="35" t="s">
        <v>360</v>
      </c>
      <c r="F668" s="29" t="s">
        <v>492</v>
      </c>
      <c r="G668" s="36">
        <v>15000</v>
      </c>
      <c r="H668" s="36">
        <v>150</v>
      </c>
    </row>
    <row r="669" spans="1:8">
      <c r="A669" s="62">
        <v>138533953280</v>
      </c>
      <c r="B669" t="s">
        <v>4</v>
      </c>
      <c r="C669" s="35" t="s">
        <v>360</v>
      </c>
      <c r="D669" t="s">
        <v>491</v>
      </c>
      <c r="E669" s="35" t="s">
        <v>360</v>
      </c>
      <c r="F669" s="29" t="s">
        <v>492</v>
      </c>
      <c r="G669" s="36">
        <v>25000</v>
      </c>
      <c r="H669" s="36">
        <v>250</v>
      </c>
    </row>
    <row r="670" spans="1:8">
      <c r="A670" s="62">
        <v>137894899763</v>
      </c>
      <c r="B670" t="s">
        <v>4</v>
      </c>
      <c r="C670" s="35" t="s">
        <v>360</v>
      </c>
      <c r="D670" t="s">
        <v>491</v>
      </c>
      <c r="E670" s="35" t="s">
        <v>360</v>
      </c>
      <c r="F670" s="29" t="s">
        <v>492</v>
      </c>
      <c r="G670" s="36">
        <v>5000</v>
      </c>
      <c r="H670" s="36">
        <v>50</v>
      </c>
    </row>
    <row r="671" spans="1:8">
      <c r="A671" s="62">
        <v>138534165884</v>
      </c>
      <c r="B671" t="s">
        <v>4</v>
      </c>
      <c r="C671" s="35" t="s">
        <v>360</v>
      </c>
      <c r="D671" t="s">
        <v>491</v>
      </c>
      <c r="E671" s="35" t="s">
        <v>360</v>
      </c>
      <c r="F671" s="29" t="s">
        <v>492</v>
      </c>
      <c r="G671" s="36">
        <v>4800</v>
      </c>
      <c r="H671" s="36">
        <v>48</v>
      </c>
    </row>
    <row r="672" spans="1:8">
      <c r="A672" s="62">
        <v>138534343360</v>
      </c>
      <c r="B672" t="s">
        <v>4</v>
      </c>
      <c r="C672" s="35" t="s">
        <v>360</v>
      </c>
      <c r="D672" t="s">
        <v>491</v>
      </c>
      <c r="E672" s="35" t="s">
        <v>360</v>
      </c>
      <c r="F672" s="29" t="s">
        <v>492</v>
      </c>
      <c r="G672" s="36">
        <v>4800</v>
      </c>
      <c r="H672" s="36">
        <v>48</v>
      </c>
    </row>
    <row r="673" spans="1:8">
      <c r="A673" s="62">
        <v>138534337942</v>
      </c>
      <c r="B673" t="s">
        <v>4</v>
      </c>
      <c r="C673" s="35" t="s">
        <v>360</v>
      </c>
      <c r="D673" t="s">
        <v>491</v>
      </c>
      <c r="E673" s="35" t="s">
        <v>360</v>
      </c>
      <c r="F673" s="29" t="s">
        <v>492</v>
      </c>
      <c r="G673" s="36">
        <v>7500</v>
      </c>
      <c r="H673" s="36">
        <v>75</v>
      </c>
    </row>
    <row r="674" spans="1:8">
      <c r="A674" s="62">
        <v>138534793054</v>
      </c>
      <c r="B674" t="s">
        <v>4</v>
      </c>
      <c r="C674" s="35" t="s">
        <v>360</v>
      </c>
      <c r="D674" t="s">
        <v>491</v>
      </c>
      <c r="E674" s="35" t="s">
        <v>360</v>
      </c>
      <c r="F674" s="29" t="s">
        <v>492</v>
      </c>
      <c r="G674" s="36">
        <v>11000</v>
      </c>
      <c r="H674" s="36">
        <v>110</v>
      </c>
    </row>
    <row r="675" spans="1:8">
      <c r="A675" s="62">
        <v>137895836485</v>
      </c>
      <c r="B675" t="s">
        <v>4</v>
      </c>
      <c r="C675" s="35" t="s">
        <v>360</v>
      </c>
      <c r="D675" t="s">
        <v>491</v>
      </c>
      <c r="E675" s="35" t="s">
        <v>360</v>
      </c>
      <c r="F675" s="29" t="s">
        <v>492</v>
      </c>
      <c r="G675" s="36">
        <v>5000</v>
      </c>
      <c r="H675" s="36">
        <v>50</v>
      </c>
    </row>
    <row r="676" spans="1:8">
      <c r="A676" s="62">
        <v>138534996160</v>
      </c>
      <c r="B676" t="s">
        <v>4</v>
      </c>
      <c r="C676" s="35" t="s">
        <v>360</v>
      </c>
      <c r="D676" t="s">
        <v>491</v>
      </c>
      <c r="E676" s="35" t="s">
        <v>360</v>
      </c>
      <c r="F676" s="29" t="s">
        <v>492</v>
      </c>
      <c r="G676" s="36">
        <v>5000</v>
      </c>
      <c r="H676" s="36">
        <v>50</v>
      </c>
    </row>
    <row r="677" spans="1:8">
      <c r="A677" s="62">
        <v>138535116146</v>
      </c>
      <c r="B677" t="s">
        <v>4</v>
      </c>
      <c r="C677" s="35" t="s">
        <v>360</v>
      </c>
      <c r="D677" t="s">
        <v>491</v>
      </c>
      <c r="E677" s="35" t="s">
        <v>360</v>
      </c>
      <c r="F677" s="29" t="s">
        <v>492</v>
      </c>
      <c r="G677" s="36">
        <v>5000</v>
      </c>
      <c r="H677" s="36">
        <v>50</v>
      </c>
    </row>
    <row r="678" spans="1:8">
      <c r="A678" s="62">
        <v>138535089536</v>
      </c>
      <c r="B678" t="s">
        <v>4</v>
      </c>
      <c r="C678" s="35" t="s">
        <v>360</v>
      </c>
      <c r="D678" t="s">
        <v>491</v>
      </c>
      <c r="E678" s="35" t="s">
        <v>360</v>
      </c>
      <c r="F678" s="29" t="s">
        <v>492</v>
      </c>
      <c r="G678" s="36">
        <v>15900</v>
      </c>
      <c r="H678" s="36">
        <v>159</v>
      </c>
    </row>
    <row r="679" spans="1:8">
      <c r="A679" s="62">
        <v>137896094497</v>
      </c>
      <c r="B679" t="s">
        <v>4</v>
      </c>
      <c r="C679" s="35" t="s">
        <v>360</v>
      </c>
      <c r="D679" t="s">
        <v>491</v>
      </c>
      <c r="E679" s="35" t="s">
        <v>360</v>
      </c>
      <c r="F679" s="29" t="s">
        <v>492</v>
      </c>
      <c r="G679" s="36">
        <v>10000</v>
      </c>
      <c r="H679" s="36">
        <v>100</v>
      </c>
    </row>
    <row r="680" spans="1:8">
      <c r="A680" s="62">
        <v>138535507900</v>
      </c>
      <c r="B680" t="s">
        <v>4</v>
      </c>
      <c r="C680" s="35" t="s">
        <v>360</v>
      </c>
      <c r="D680" t="s">
        <v>491</v>
      </c>
      <c r="E680" s="35" t="s">
        <v>367</v>
      </c>
      <c r="F680" s="29" t="s">
        <v>492</v>
      </c>
      <c r="G680" s="36">
        <v>5000</v>
      </c>
      <c r="H680" s="36">
        <v>50</v>
      </c>
    </row>
    <row r="681" spans="1:8">
      <c r="A681" s="62">
        <v>138535920782</v>
      </c>
      <c r="B681" t="s">
        <v>4</v>
      </c>
      <c r="C681" s="35" t="s">
        <v>360</v>
      </c>
      <c r="D681" t="s">
        <v>491</v>
      </c>
      <c r="E681" s="35" t="s">
        <v>367</v>
      </c>
      <c r="F681" s="29" t="s">
        <v>492</v>
      </c>
      <c r="G681" s="36">
        <v>15000</v>
      </c>
      <c r="H681" s="36">
        <v>150</v>
      </c>
    </row>
    <row r="682" spans="1:8">
      <c r="A682" s="62">
        <v>137896807477</v>
      </c>
      <c r="B682" t="s">
        <v>263</v>
      </c>
      <c r="C682" s="35" t="s">
        <v>360</v>
      </c>
      <c r="D682" t="s">
        <v>491</v>
      </c>
      <c r="E682" s="35" t="s">
        <v>367</v>
      </c>
      <c r="F682" s="29" t="s">
        <v>492</v>
      </c>
      <c r="G682" s="36">
        <v>9600</v>
      </c>
      <c r="H682" s="36">
        <v>96</v>
      </c>
    </row>
    <row r="683" spans="1:8">
      <c r="A683" s="62">
        <v>137896861447</v>
      </c>
      <c r="B683" t="s">
        <v>4</v>
      </c>
      <c r="C683" s="35" t="s">
        <v>360</v>
      </c>
      <c r="D683" t="s">
        <v>491</v>
      </c>
      <c r="E683" s="35" t="s">
        <v>367</v>
      </c>
      <c r="F683" s="29" t="s">
        <v>492</v>
      </c>
      <c r="G683" s="36">
        <v>4900</v>
      </c>
      <c r="H683" s="36">
        <v>49</v>
      </c>
    </row>
    <row r="684" spans="1:8">
      <c r="A684" s="62">
        <v>137896955087</v>
      </c>
      <c r="B684" t="s">
        <v>4</v>
      </c>
      <c r="C684" s="35" t="s">
        <v>360</v>
      </c>
      <c r="D684" t="s">
        <v>491</v>
      </c>
      <c r="E684" s="35" t="s">
        <v>367</v>
      </c>
      <c r="F684" s="29" t="s">
        <v>492</v>
      </c>
      <c r="G684" s="36">
        <v>44000</v>
      </c>
      <c r="H684" s="36">
        <v>440</v>
      </c>
    </row>
    <row r="685" spans="1:8">
      <c r="A685" s="62">
        <v>138536070026</v>
      </c>
      <c r="B685" t="s">
        <v>4</v>
      </c>
      <c r="C685" s="35" t="s">
        <v>360</v>
      </c>
      <c r="D685" t="s">
        <v>491</v>
      </c>
      <c r="E685" s="35" t="s">
        <v>367</v>
      </c>
      <c r="F685" s="29" t="s">
        <v>492</v>
      </c>
      <c r="G685" s="36">
        <v>29400</v>
      </c>
      <c r="H685" s="36">
        <v>294</v>
      </c>
    </row>
    <row r="686" spans="1:8">
      <c r="A686" s="62">
        <v>138536451722</v>
      </c>
      <c r="B686" t="s">
        <v>4</v>
      </c>
      <c r="C686" s="35" t="s">
        <v>360</v>
      </c>
      <c r="D686" t="s">
        <v>491</v>
      </c>
      <c r="E686" s="35" t="s">
        <v>367</v>
      </c>
      <c r="F686" s="29" t="s">
        <v>492</v>
      </c>
      <c r="G686" s="36">
        <v>5000</v>
      </c>
      <c r="H686" s="36">
        <v>50</v>
      </c>
    </row>
    <row r="687" spans="1:8">
      <c r="A687" s="62">
        <v>138536523088</v>
      </c>
      <c r="B687" t="s">
        <v>4</v>
      </c>
      <c r="C687" s="35" t="s">
        <v>360</v>
      </c>
      <c r="D687" t="s">
        <v>491</v>
      </c>
      <c r="E687" s="35" t="s">
        <v>367</v>
      </c>
      <c r="F687" s="29" t="s">
        <v>492</v>
      </c>
      <c r="G687" s="36">
        <v>78900</v>
      </c>
      <c r="H687" s="36">
        <v>789</v>
      </c>
    </row>
    <row r="688" spans="1:8">
      <c r="A688" s="62">
        <v>138536523820</v>
      </c>
      <c r="B688" t="s">
        <v>4</v>
      </c>
      <c r="C688" s="35" t="s">
        <v>360</v>
      </c>
      <c r="D688" t="s">
        <v>491</v>
      </c>
      <c r="E688" s="35" t="s">
        <v>367</v>
      </c>
      <c r="F688" s="29" t="s">
        <v>492</v>
      </c>
      <c r="G688" s="36">
        <v>77800</v>
      </c>
      <c r="H688" s="36">
        <v>778</v>
      </c>
    </row>
    <row r="689" spans="1:8">
      <c r="A689" s="62">
        <v>138536945536</v>
      </c>
      <c r="B689" t="s">
        <v>4</v>
      </c>
      <c r="C689" s="35" t="s">
        <v>360</v>
      </c>
      <c r="D689" t="s">
        <v>491</v>
      </c>
      <c r="E689" s="35" t="s">
        <v>367</v>
      </c>
      <c r="F689" s="29" t="s">
        <v>492</v>
      </c>
      <c r="G689" s="36">
        <v>4800</v>
      </c>
      <c r="H689" s="36">
        <v>48</v>
      </c>
    </row>
    <row r="690" spans="1:8">
      <c r="A690" s="62">
        <v>138537038742</v>
      </c>
      <c r="B690" t="s">
        <v>4</v>
      </c>
      <c r="C690" s="35" t="s">
        <v>360</v>
      </c>
      <c r="D690" t="s">
        <v>491</v>
      </c>
      <c r="E690" s="35" t="s">
        <v>367</v>
      </c>
      <c r="F690" s="29" t="s">
        <v>492</v>
      </c>
      <c r="G690" s="36">
        <v>4900</v>
      </c>
      <c r="H690" s="36">
        <v>49</v>
      </c>
    </row>
    <row r="691" spans="1:8">
      <c r="A691" s="62">
        <v>137897957069</v>
      </c>
      <c r="B691" t="s">
        <v>4</v>
      </c>
      <c r="C691" s="35" t="s">
        <v>360</v>
      </c>
      <c r="D691" t="s">
        <v>491</v>
      </c>
      <c r="E691" s="35" t="s">
        <v>367</v>
      </c>
      <c r="F691" s="29" t="s">
        <v>492</v>
      </c>
      <c r="G691" s="36">
        <v>4800</v>
      </c>
      <c r="H691" s="36">
        <v>48</v>
      </c>
    </row>
    <row r="692" spans="1:8">
      <c r="A692" s="62">
        <v>138537157486</v>
      </c>
      <c r="B692" t="s">
        <v>4</v>
      </c>
      <c r="C692" s="35" t="s">
        <v>360</v>
      </c>
      <c r="D692" t="s">
        <v>491</v>
      </c>
      <c r="E692" s="35" t="s">
        <v>367</v>
      </c>
      <c r="F692" s="29" t="s">
        <v>492</v>
      </c>
      <c r="G692" s="36">
        <v>4800</v>
      </c>
      <c r="H692" s="36">
        <v>48</v>
      </c>
    </row>
    <row r="693" spans="1:8">
      <c r="A693" s="62">
        <v>137898141923</v>
      </c>
      <c r="B693" t="s">
        <v>4</v>
      </c>
      <c r="C693" s="35" t="s">
        <v>360</v>
      </c>
      <c r="D693" t="s">
        <v>491</v>
      </c>
      <c r="E693" s="35" t="s">
        <v>367</v>
      </c>
      <c r="F693" s="29" t="s">
        <v>492</v>
      </c>
      <c r="G693" s="36">
        <v>4800</v>
      </c>
      <c r="H693" s="36">
        <v>48</v>
      </c>
    </row>
    <row r="694" spans="1:8">
      <c r="A694" s="62">
        <v>138537549358</v>
      </c>
      <c r="B694" t="s">
        <v>4</v>
      </c>
      <c r="C694" s="35" t="s">
        <v>360</v>
      </c>
      <c r="D694" t="s">
        <v>491</v>
      </c>
      <c r="E694" s="35" t="s">
        <v>367</v>
      </c>
      <c r="F694" s="29" t="s">
        <v>492</v>
      </c>
      <c r="G694" s="36">
        <v>5000</v>
      </c>
      <c r="H694" s="36">
        <v>50</v>
      </c>
    </row>
    <row r="695" spans="1:8">
      <c r="A695" s="62">
        <v>137898470195</v>
      </c>
      <c r="B695" t="s">
        <v>4</v>
      </c>
      <c r="C695" s="35" t="s">
        <v>360</v>
      </c>
      <c r="D695" t="s">
        <v>491</v>
      </c>
      <c r="E695" s="35" t="s">
        <v>367</v>
      </c>
      <c r="F695" s="29" t="s">
        <v>492</v>
      </c>
      <c r="G695" s="36">
        <v>10000</v>
      </c>
      <c r="H695" s="36">
        <v>100</v>
      </c>
    </row>
    <row r="696" spans="1:8">
      <c r="A696" s="62">
        <v>138538294534</v>
      </c>
      <c r="B696" t="s">
        <v>4</v>
      </c>
      <c r="C696" s="35" t="s">
        <v>360</v>
      </c>
      <c r="D696" t="s">
        <v>491</v>
      </c>
      <c r="E696" s="35" t="s">
        <v>367</v>
      </c>
      <c r="F696" s="29" t="s">
        <v>492</v>
      </c>
      <c r="G696" s="36">
        <v>10000</v>
      </c>
      <c r="H696" s="36">
        <v>100</v>
      </c>
    </row>
    <row r="697" spans="1:8">
      <c r="A697" s="62">
        <v>138538371730</v>
      </c>
      <c r="B697" t="s">
        <v>4</v>
      </c>
      <c r="C697" s="35" t="s">
        <v>360</v>
      </c>
      <c r="D697" t="s">
        <v>491</v>
      </c>
      <c r="E697" s="35" t="s">
        <v>367</v>
      </c>
      <c r="F697" s="29" t="s">
        <v>492</v>
      </c>
      <c r="G697" s="36">
        <v>10000</v>
      </c>
      <c r="H697" s="36">
        <v>100</v>
      </c>
    </row>
    <row r="698" spans="1:8">
      <c r="A698" s="62">
        <v>138538409638</v>
      </c>
      <c r="B698" t="s">
        <v>263</v>
      </c>
      <c r="C698" s="35" t="s">
        <v>360</v>
      </c>
      <c r="D698" t="s">
        <v>491</v>
      </c>
      <c r="E698" s="35" t="s">
        <v>367</v>
      </c>
      <c r="F698" s="29" t="s">
        <v>492</v>
      </c>
      <c r="G698" s="36">
        <v>75700</v>
      </c>
      <c r="H698" s="36">
        <v>757</v>
      </c>
    </row>
    <row r="699" spans="1:8">
      <c r="A699" s="62">
        <v>138538764448</v>
      </c>
      <c r="B699" t="s">
        <v>4</v>
      </c>
      <c r="C699" s="35" t="s">
        <v>360</v>
      </c>
      <c r="D699" t="s">
        <v>491</v>
      </c>
      <c r="E699" s="35" t="s">
        <v>367</v>
      </c>
      <c r="F699" s="29" t="s">
        <v>492</v>
      </c>
      <c r="G699" s="36">
        <v>21700</v>
      </c>
      <c r="H699" s="36">
        <v>217</v>
      </c>
    </row>
    <row r="700" spans="1:8">
      <c r="A700" s="62">
        <v>138538877614</v>
      </c>
      <c r="B700" t="s">
        <v>4</v>
      </c>
      <c r="C700" s="35" t="s">
        <v>360</v>
      </c>
      <c r="D700" t="s">
        <v>491</v>
      </c>
      <c r="E700" s="35" t="s">
        <v>367</v>
      </c>
      <c r="F700" s="29" t="s">
        <v>492</v>
      </c>
      <c r="G700" s="36">
        <v>9700</v>
      </c>
      <c r="H700" s="36">
        <v>97</v>
      </c>
    </row>
    <row r="701" spans="1:8">
      <c r="A701" s="62">
        <v>137878494033</v>
      </c>
      <c r="B701" t="s">
        <v>4</v>
      </c>
      <c r="C701" s="35" t="s">
        <v>360</v>
      </c>
      <c r="D701" t="s">
        <v>491</v>
      </c>
      <c r="E701" s="35" t="s">
        <v>360</v>
      </c>
      <c r="F701" s="29" t="s">
        <v>492</v>
      </c>
      <c r="G701" s="36">
        <v>5500</v>
      </c>
      <c r="H701" s="36">
        <v>55</v>
      </c>
    </row>
    <row r="702" spans="1:8">
      <c r="A702" s="62">
        <v>137900124225</v>
      </c>
      <c r="B702" t="s">
        <v>4</v>
      </c>
      <c r="C702" s="35" t="s">
        <v>360</v>
      </c>
      <c r="D702" t="s">
        <v>491</v>
      </c>
      <c r="E702" s="35" t="s">
        <v>367</v>
      </c>
      <c r="F702" s="29" t="s">
        <v>492</v>
      </c>
      <c r="G702" s="36">
        <v>4800</v>
      </c>
      <c r="H702" s="36">
        <v>48</v>
      </c>
    </row>
    <row r="703" spans="1:8">
      <c r="A703" s="62">
        <v>137899983959</v>
      </c>
      <c r="B703" t="s">
        <v>4</v>
      </c>
      <c r="C703" s="35" t="s">
        <v>360</v>
      </c>
      <c r="D703" t="s">
        <v>491</v>
      </c>
      <c r="E703" s="35" t="s">
        <v>367</v>
      </c>
      <c r="F703" s="29" t="s">
        <v>492</v>
      </c>
      <c r="G703" s="36">
        <v>67700</v>
      </c>
      <c r="H703" s="36">
        <v>677</v>
      </c>
    </row>
    <row r="704" spans="1:8">
      <c r="A704" s="62">
        <v>137900051953</v>
      </c>
      <c r="B704" t="s">
        <v>4</v>
      </c>
      <c r="C704" s="35" t="s">
        <v>360</v>
      </c>
      <c r="D704" t="s">
        <v>491</v>
      </c>
      <c r="E704" s="35" t="s">
        <v>367</v>
      </c>
      <c r="F704" s="29" t="s">
        <v>492</v>
      </c>
      <c r="G704" s="36">
        <v>5000</v>
      </c>
      <c r="H704" s="36">
        <v>50</v>
      </c>
    </row>
    <row r="705" spans="1:8">
      <c r="A705" s="62">
        <v>138539450730</v>
      </c>
      <c r="B705" t="s">
        <v>4</v>
      </c>
      <c r="C705" s="35" t="s">
        <v>360</v>
      </c>
      <c r="D705" t="s">
        <v>491</v>
      </c>
      <c r="E705" s="35" t="s">
        <v>367</v>
      </c>
      <c r="F705" s="29" t="s">
        <v>492</v>
      </c>
      <c r="G705" s="36">
        <v>11000</v>
      </c>
      <c r="H705" s="36">
        <v>110</v>
      </c>
    </row>
    <row r="706" spans="1:8">
      <c r="A706" s="62">
        <v>137900480563</v>
      </c>
      <c r="B706" t="s">
        <v>4</v>
      </c>
      <c r="C706" s="35" t="s">
        <v>367</v>
      </c>
      <c r="D706" t="s">
        <v>491</v>
      </c>
      <c r="E706" s="35" t="s">
        <v>367</v>
      </c>
      <c r="F706" s="29" t="s">
        <v>492</v>
      </c>
      <c r="G706" s="36">
        <v>2400</v>
      </c>
      <c r="H706" s="36">
        <v>24</v>
      </c>
    </row>
    <row r="707" spans="1:8">
      <c r="A707" s="62">
        <v>138539540062</v>
      </c>
      <c r="B707" t="s">
        <v>4</v>
      </c>
      <c r="C707" s="35" t="s">
        <v>367</v>
      </c>
      <c r="D707" t="s">
        <v>491</v>
      </c>
      <c r="E707" s="35" t="s">
        <v>367</v>
      </c>
      <c r="F707" s="29" t="s">
        <v>492</v>
      </c>
      <c r="G707" s="36">
        <v>4900</v>
      </c>
      <c r="H707" s="36">
        <v>49</v>
      </c>
    </row>
    <row r="708" spans="1:8">
      <c r="A708" s="62">
        <v>138539639336</v>
      </c>
      <c r="B708" t="s">
        <v>4</v>
      </c>
      <c r="C708" s="35" t="s">
        <v>367</v>
      </c>
      <c r="D708" t="s">
        <v>491</v>
      </c>
      <c r="E708" s="35" t="s">
        <v>367</v>
      </c>
      <c r="F708" s="29" t="s">
        <v>492</v>
      </c>
      <c r="G708" s="36">
        <v>89200</v>
      </c>
      <c r="H708" s="36">
        <v>892</v>
      </c>
    </row>
    <row r="709" spans="1:8">
      <c r="A709" s="62">
        <v>137900568985</v>
      </c>
      <c r="B709" t="s">
        <v>4</v>
      </c>
      <c r="C709" s="35" t="s">
        <v>367</v>
      </c>
      <c r="D709" t="s">
        <v>491</v>
      </c>
      <c r="E709" s="35" t="s">
        <v>367</v>
      </c>
      <c r="F709" s="29" t="s">
        <v>492</v>
      </c>
      <c r="G709" s="36">
        <v>14900</v>
      </c>
      <c r="H709" s="36">
        <v>149</v>
      </c>
    </row>
    <row r="710" spans="1:8">
      <c r="A710" s="62">
        <v>138539685694</v>
      </c>
      <c r="B710" t="s">
        <v>4</v>
      </c>
      <c r="C710" s="35" t="s">
        <v>367</v>
      </c>
      <c r="D710" t="s">
        <v>491</v>
      </c>
      <c r="E710" s="35" t="s">
        <v>367</v>
      </c>
      <c r="F710" s="29" t="s">
        <v>492</v>
      </c>
      <c r="G710" s="36">
        <v>4900</v>
      </c>
      <c r="H710" s="36">
        <v>49</v>
      </c>
    </row>
    <row r="711" spans="1:8">
      <c r="A711" s="62">
        <v>137879551043</v>
      </c>
      <c r="B711" t="s">
        <v>263</v>
      </c>
      <c r="C711" s="35" t="s">
        <v>360</v>
      </c>
      <c r="D711" t="s">
        <v>491</v>
      </c>
      <c r="E711" s="35" t="s">
        <v>360</v>
      </c>
      <c r="F711" s="29" t="s">
        <v>492</v>
      </c>
      <c r="G711" s="36">
        <v>5000</v>
      </c>
      <c r="H711" s="36">
        <v>50</v>
      </c>
    </row>
    <row r="712" spans="1:8">
      <c r="A712" s="62">
        <v>137900842553</v>
      </c>
      <c r="B712" t="s">
        <v>4</v>
      </c>
      <c r="C712" s="35" t="s">
        <v>367</v>
      </c>
      <c r="D712" t="s">
        <v>491</v>
      </c>
      <c r="E712" s="35" t="s">
        <v>367</v>
      </c>
      <c r="F712" s="29" t="s">
        <v>492</v>
      </c>
      <c r="G712" s="36">
        <v>11900</v>
      </c>
      <c r="H712" s="36">
        <v>119</v>
      </c>
    </row>
    <row r="713" spans="1:8">
      <c r="A713" s="62">
        <v>137901100913</v>
      </c>
      <c r="B713" t="s">
        <v>4</v>
      </c>
      <c r="C713" s="35" t="s">
        <v>367</v>
      </c>
      <c r="D713" t="s">
        <v>491</v>
      </c>
      <c r="E713" s="35" t="s">
        <v>367</v>
      </c>
      <c r="F713" s="29" t="s">
        <v>492</v>
      </c>
      <c r="G713" s="36">
        <v>4800</v>
      </c>
      <c r="H713" s="36">
        <v>48</v>
      </c>
    </row>
    <row r="714" spans="1:8">
      <c r="A714" s="62">
        <v>138540271020</v>
      </c>
      <c r="B714" t="s">
        <v>4</v>
      </c>
      <c r="C714" s="35" t="s">
        <v>367</v>
      </c>
      <c r="D714" t="s">
        <v>491</v>
      </c>
      <c r="E714" s="35" t="s">
        <v>367</v>
      </c>
      <c r="F714" s="29" t="s">
        <v>492</v>
      </c>
      <c r="G714" s="36">
        <v>19700</v>
      </c>
      <c r="H714" s="36">
        <v>197</v>
      </c>
    </row>
    <row r="715" spans="1:8">
      <c r="A715" s="62">
        <v>138540490748</v>
      </c>
      <c r="B715" t="s">
        <v>263</v>
      </c>
      <c r="C715" s="35" t="s">
        <v>367</v>
      </c>
      <c r="D715" t="s">
        <v>491</v>
      </c>
      <c r="E715" s="35" t="s">
        <v>367</v>
      </c>
      <c r="F715" s="29" t="s">
        <v>492</v>
      </c>
      <c r="G715" s="36">
        <v>2500</v>
      </c>
      <c r="H715" s="36">
        <v>25</v>
      </c>
    </row>
    <row r="716" spans="1:8">
      <c r="A716" s="62">
        <v>138540544612</v>
      </c>
      <c r="B716" t="s">
        <v>4</v>
      </c>
      <c r="C716" s="35" t="s">
        <v>367</v>
      </c>
      <c r="D716" t="s">
        <v>491</v>
      </c>
      <c r="E716" s="35" t="s">
        <v>367</v>
      </c>
      <c r="F716" s="29" t="s">
        <v>492</v>
      </c>
      <c r="G716" s="36">
        <v>20000</v>
      </c>
      <c r="H716" s="36">
        <v>200</v>
      </c>
    </row>
    <row r="717" spans="1:8">
      <c r="A717" s="62">
        <v>138540460020</v>
      </c>
      <c r="B717" t="s">
        <v>4</v>
      </c>
      <c r="C717" s="35" t="s">
        <v>367</v>
      </c>
      <c r="D717" t="s">
        <v>491</v>
      </c>
      <c r="E717" s="35" t="s">
        <v>367</v>
      </c>
      <c r="F717" s="29" t="s">
        <v>492</v>
      </c>
      <c r="G717" s="36">
        <v>5000</v>
      </c>
      <c r="H717" s="36">
        <v>50</v>
      </c>
    </row>
    <row r="718" spans="1:8">
      <c r="A718" s="62">
        <v>137901496673</v>
      </c>
      <c r="B718" t="s">
        <v>4</v>
      </c>
      <c r="C718" s="35" t="s">
        <v>367</v>
      </c>
      <c r="D718" t="s">
        <v>491</v>
      </c>
      <c r="E718" s="35" t="s">
        <v>367</v>
      </c>
      <c r="F718" s="29" t="s">
        <v>492</v>
      </c>
      <c r="G718" s="36">
        <v>24600</v>
      </c>
      <c r="H718" s="36">
        <v>246</v>
      </c>
    </row>
    <row r="719" spans="1:8">
      <c r="A719" s="62">
        <v>138540748380</v>
      </c>
      <c r="B719" t="s">
        <v>4</v>
      </c>
      <c r="C719" s="35" t="s">
        <v>367</v>
      </c>
      <c r="D719" t="s">
        <v>491</v>
      </c>
      <c r="E719" s="35" t="s">
        <v>367</v>
      </c>
      <c r="F719" s="29" t="s">
        <v>492</v>
      </c>
      <c r="G719" s="36">
        <v>4900</v>
      </c>
      <c r="H719" s="36">
        <v>49</v>
      </c>
    </row>
    <row r="720" spans="1:8">
      <c r="A720" s="62">
        <v>137901732771</v>
      </c>
      <c r="B720" t="s">
        <v>4</v>
      </c>
      <c r="C720" s="35" t="s">
        <v>367</v>
      </c>
      <c r="D720" t="s">
        <v>491</v>
      </c>
      <c r="E720" s="35" t="s">
        <v>367</v>
      </c>
      <c r="F720" s="29" t="s">
        <v>492</v>
      </c>
      <c r="G720" s="36">
        <v>5000</v>
      </c>
      <c r="H720" s="36">
        <v>50</v>
      </c>
    </row>
    <row r="721" spans="1:8">
      <c r="A721" s="62">
        <v>137901777597</v>
      </c>
      <c r="B721" t="s">
        <v>4</v>
      </c>
      <c r="C721" s="35" t="s">
        <v>367</v>
      </c>
      <c r="D721" t="s">
        <v>491</v>
      </c>
      <c r="E721" s="35" t="s">
        <v>367</v>
      </c>
      <c r="F721" s="29" t="s">
        <v>492</v>
      </c>
      <c r="G721" s="36">
        <v>15800</v>
      </c>
      <c r="H721" s="36">
        <v>158</v>
      </c>
    </row>
    <row r="722" spans="1:8">
      <c r="A722" s="62">
        <v>137881102495</v>
      </c>
      <c r="B722" t="s">
        <v>4</v>
      </c>
      <c r="C722" s="35" t="s">
        <v>360</v>
      </c>
      <c r="D722" t="s">
        <v>491</v>
      </c>
      <c r="E722" s="35" t="s">
        <v>360</v>
      </c>
      <c r="F722" s="29" t="s">
        <v>492</v>
      </c>
      <c r="G722" s="36">
        <v>4900</v>
      </c>
      <c r="H722" s="36">
        <v>49</v>
      </c>
    </row>
    <row r="723" spans="1:8">
      <c r="A723" s="62">
        <v>138541087572</v>
      </c>
      <c r="B723" t="s">
        <v>4</v>
      </c>
      <c r="C723" s="35" t="s">
        <v>367</v>
      </c>
      <c r="D723" t="s">
        <v>491</v>
      </c>
      <c r="E723" s="35" t="s">
        <v>367</v>
      </c>
      <c r="F723" s="29" t="s">
        <v>492</v>
      </c>
      <c r="G723" s="36">
        <v>13000</v>
      </c>
      <c r="H723" s="36">
        <v>130</v>
      </c>
    </row>
    <row r="724" spans="1:8">
      <c r="A724" s="62">
        <v>138541267178</v>
      </c>
      <c r="B724" t="s">
        <v>4</v>
      </c>
      <c r="C724" s="35" t="s">
        <v>367</v>
      </c>
      <c r="D724" t="s">
        <v>491</v>
      </c>
      <c r="E724" s="35" t="s">
        <v>367</v>
      </c>
      <c r="F724" s="29" t="s">
        <v>492</v>
      </c>
      <c r="G724" s="36">
        <v>4800</v>
      </c>
      <c r="H724" s="36">
        <v>48</v>
      </c>
    </row>
    <row r="725" spans="1:8">
      <c r="A725" s="62">
        <v>137902485901</v>
      </c>
      <c r="B725" t="s">
        <v>4</v>
      </c>
      <c r="C725" s="35" t="s">
        <v>367</v>
      </c>
      <c r="D725" t="s">
        <v>491</v>
      </c>
      <c r="E725" s="35" t="s">
        <v>367</v>
      </c>
      <c r="F725" s="29" t="s">
        <v>492</v>
      </c>
      <c r="G725" s="36">
        <v>10000</v>
      </c>
      <c r="H725" s="36">
        <v>100</v>
      </c>
    </row>
    <row r="726" spans="1:8">
      <c r="A726" s="62">
        <v>137881925783</v>
      </c>
      <c r="B726" t="s">
        <v>263</v>
      </c>
      <c r="C726" s="35" t="s">
        <v>360</v>
      </c>
      <c r="D726" t="s">
        <v>491</v>
      </c>
      <c r="E726" s="35" t="s">
        <v>360</v>
      </c>
      <c r="F726" s="29" t="s">
        <v>492</v>
      </c>
      <c r="G726" s="36">
        <v>4900</v>
      </c>
      <c r="H726" s="36">
        <v>49</v>
      </c>
    </row>
    <row r="727" spans="1:8">
      <c r="A727" s="62">
        <v>137882122931</v>
      </c>
      <c r="B727" t="s">
        <v>263</v>
      </c>
      <c r="C727" s="35" t="s">
        <v>360</v>
      </c>
      <c r="D727" t="s">
        <v>491</v>
      </c>
      <c r="E727" s="35" t="s">
        <v>360</v>
      </c>
      <c r="F727" s="29" t="s">
        <v>492</v>
      </c>
      <c r="G727" s="36">
        <v>4900</v>
      </c>
      <c r="H727" s="36">
        <v>49</v>
      </c>
    </row>
    <row r="728" spans="1:8">
      <c r="A728" s="62">
        <v>138542085322</v>
      </c>
      <c r="B728" t="s">
        <v>4</v>
      </c>
      <c r="C728" s="35" t="s">
        <v>367</v>
      </c>
      <c r="D728" t="s">
        <v>491</v>
      </c>
      <c r="E728" s="35" t="s">
        <v>367</v>
      </c>
      <c r="F728" s="29" t="s">
        <v>492</v>
      </c>
      <c r="G728" s="36">
        <v>15000</v>
      </c>
      <c r="H728" s="36">
        <v>150</v>
      </c>
    </row>
    <row r="729" spans="1:8">
      <c r="A729" s="62">
        <v>137903168103</v>
      </c>
      <c r="B729" t="s">
        <v>263</v>
      </c>
      <c r="C729" s="35" t="s">
        <v>367</v>
      </c>
      <c r="D729" t="s">
        <v>491</v>
      </c>
      <c r="E729" s="35" t="s">
        <v>367</v>
      </c>
      <c r="F729" s="29" t="s">
        <v>492</v>
      </c>
      <c r="G729" s="36">
        <v>4800</v>
      </c>
      <c r="H729" s="36">
        <v>48</v>
      </c>
    </row>
    <row r="730" spans="1:8">
      <c r="A730" s="62">
        <v>137903253005</v>
      </c>
      <c r="B730" t="s">
        <v>4</v>
      </c>
      <c r="C730" s="35" t="s">
        <v>367</v>
      </c>
      <c r="D730" t="s">
        <v>491</v>
      </c>
      <c r="E730" s="35" t="s">
        <v>367</v>
      </c>
      <c r="F730" s="29" t="s">
        <v>492</v>
      </c>
      <c r="G730" s="36">
        <v>10000</v>
      </c>
      <c r="H730" s="36">
        <v>100</v>
      </c>
    </row>
    <row r="731" spans="1:8">
      <c r="A731" s="62">
        <v>137903325729</v>
      </c>
      <c r="B731" t="s">
        <v>4</v>
      </c>
      <c r="C731" s="35" t="s">
        <v>367</v>
      </c>
      <c r="D731" t="s">
        <v>491</v>
      </c>
      <c r="E731" s="35" t="s">
        <v>367</v>
      </c>
      <c r="F731" s="29" t="s">
        <v>492</v>
      </c>
      <c r="G731" s="36">
        <v>51800</v>
      </c>
      <c r="H731" s="36">
        <v>518</v>
      </c>
    </row>
    <row r="732" spans="1:8">
      <c r="A732" s="62">
        <v>138542676996</v>
      </c>
      <c r="B732" t="s">
        <v>4</v>
      </c>
      <c r="C732" s="35" t="s">
        <v>367</v>
      </c>
      <c r="D732" t="s">
        <v>491</v>
      </c>
      <c r="E732" s="35" t="s">
        <v>367</v>
      </c>
      <c r="F732" s="29" t="s">
        <v>492</v>
      </c>
      <c r="G732" s="36">
        <v>11000</v>
      </c>
      <c r="H732" s="36">
        <v>110</v>
      </c>
    </row>
    <row r="733" spans="1:8">
      <c r="A733" s="62">
        <v>137903782181</v>
      </c>
      <c r="B733" t="s">
        <v>4</v>
      </c>
      <c r="C733" s="35" t="s">
        <v>367</v>
      </c>
      <c r="D733" t="s">
        <v>491</v>
      </c>
      <c r="E733" s="35" t="s">
        <v>367</v>
      </c>
      <c r="F733" s="29" t="s">
        <v>492</v>
      </c>
      <c r="G733" s="36">
        <v>9800</v>
      </c>
      <c r="H733" s="36">
        <v>98</v>
      </c>
    </row>
    <row r="734" spans="1:8">
      <c r="A734" s="62">
        <v>137903699165</v>
      </c>
      <c r="B734" t="s">
        <v>4</v>
      </c>
      <c r="C734" s="35" t="s">
        <v>367</v>
      </c>
      <c r="D734" t="s">
        <v>491</v>
      </c>
      <c r="E734" s="35" t="s">
        <v>367</v>
      </c>
      <c r="F734" s="29" t="s">
        <v>492</v>
      </c>
      <c r="G734" s="36">
        <v>5000</v>
      </c>
      <c r="H734" s="36">
        <v>50</v>
      </c>
    </row>
    <row r="735" spans="1:8">
      <c r="A735" s="62">
        <v>138543115054</v>
      </c>
      <c r="B735" t="s">
        <v>4</v>
      </c>
      <c r="C735" s="35" t="s">
        <v>367</v>
      </c>
      <c r="D735" t="s">
        <v>491</v>
      </c>
      <c r="E735" s="35" t="s">
        <v>367</v>
      </c>
      <c r="F735" s="29" t="s">
        <v>492</v>
      </c>
      <c r="G735" s="36">
        <v>4800</v>
      </c>
      <c r="H735" s="36">
        <v>48</v>
      </c>
    </row>
    <row r="736" spans="1:8">
      <c r="A736" s="62">
        <v>138543218206</v>
      </c>
      <c r="B736" t="s">
        <v>4</v>
      </c>
      <c r="C736" s="35" t="s">
        <v>367</v>
      </c>
      <c r="D736" t="s">
        <v>491</v>
      </c>
      <c r="E736" s="35" t="s">
        <v>367</v>
      </c>
      <c r="F736" s="29" t="s">
        <v>492</v>
      </c>
      <c r="G736" s="36">
        <v>15000</v>
      </c>
      <c r="H736" s="36">
        <v>150</v>
      </c>
    </row>
    <row r="737" spans="1:8">
      <c r="A737" s="62">
        <v>138522879906</v>
      </c>
      <c r="B737" t="s">
        <v>4</v>
      </c>
      <c r="C737" s="35" t="s">
        <v>360</v>
      </c>
      <c r="D737" t="s">
        <v>491</v>
      </c>
      <c r="E737" s="35" t="s">
        <v>360</v>
      </c>
      <c r="F737" s="29" t="s">
        <v>492</v>
      </c>
      <c r="G737" s="36">
        <v>7500</v>
      </c>
      <c r="H737" s="36">
        <v>75</v>
      </c>
    </row>
    <row r="738" spans="1:8">
      <c r="A738" s="62">
        <v>138543129840</v>
      </c>
      <c r="B738" t="s">
        <v>4</v>
      </c>
      <c r="C738" s="35" t="s">
        <v>367</v>
      </c>
      <c r="D738" t="s">
        <v>491</v>
      </c>
      <c r="E738" s="35" t="s">
        <v>367</v>
      </c>
      <c r="F738" s="29" t="s">
        <v>492</v>
      </c>
      <c r="G738" s="36">
        <v>11000</v>
      </c>
      <c r="H738" s="36">
        <v>110</v>
      </c>
    </row>
    <row r="739" spans="1:8">
      <c r="A739" s="62">
        <v>138523183892</v>
      </c>
      <c r="B739" t="s">
        <v>4</v>
      </c>
      <c r="C739" s="35" t="s">
        <v>360</v>
      </c>
      <c r="D739" t="s">
        <v>491</v>
      </c>
      <c r="E739" s="35" t="s">
        <v>360</v>
      </c>
      <c r="F739" s="29" t="s">
        <v>492</v>
      </c>
      <c r="G739" s="36">
        <v>4900</v>
      </c>
      <c r="H739" s="36">
        <v>49</v>
      </c>
    </row>
    <row r="740" spans="1:8">
      <c r="A740" s="62">
        <v>138543548466</v>
      </c>
      <c r="B740" t="s">
        <v>4</v>
      </c>
      <c r="C740" s="35" t="s">
        <v>367</v>
      </c>
      <c r="D740" t="s">
        <v>491</v>
      </c>
      <c r="E740" s="35" t="s">
        <v>367</v>
      </c>
      <c r="F740" s="29" t="s">
        <v>492</v>
      </c>
      <c r="G740" s="36">
        <v>2400</v>
      </c>
      <c r="H740" s="36">
        <v>24</v>
      </c>
    </row>
    <row r="741" spans="1:8">
      <c r="A741" s="62">
        <v>138523355880</v>
      </c>
      <c r="B741" t="s">
        <v>4</v>
      </c>
      <c r="C741" s="35" t="s">
        <v>360</v>
      </c>
      <c r="D741" t="s">
        <v>491</v>
      </c>
      <c r="E741" s="35" t="s">
        <v>360</v>
      </c>
      <c r="F741" s="29" t="s">
        <v>492</v>
      </c>
      <c r="G741" s="36">
        <v>4900</v>
      </c>
      <c r="H741" s="36">
        <v>49</v>
      </c>
    </row>
    <row r="742" spans="1:8">
      <c r="A742" s="62">
        <v>138523750984</v>
      </c>
      <c r="B742" t="s">
        <v>4</v>
      </c>
      <c r="C742" s="35" t="s">
        <v>360</v>
      </c>
      <c r="D742" t="s">
        <v>491</v>
      </c>
      <c r="E742" s="35" t="s">
        <v>360</v>
      </c>
      <c r="F742" s="29" t="s">
        <v>492</v>
      </c>
      <c r="G742" s="36">
        <v>11000</v>
      </c>
      <c r="H742" s="36">
        <v>110</v>
      </c>
    </row>
    <row r="743" spans="1:8">
      <c r="A743" s="62">
        <v>137904833777</v>
      </c>
      <c r="B743" t="s">
        <v>4</v>
      </c>
      <c r="C743" s="35" t="s">
        <v>367</v>
      </c>
      <c r="D743" t="s">
        <v>491</v>
      </c>
      <c r="E743" s="35" t="s">
        <v>367</v>
      </c>
      <c r="F743" s="29" t="s">
        <v>492</v>
      </c>
      <c r="G743" s="36">
        <v>10000</v>
      </c>
      <c r="H743" s="36">
        <v>100</v>
      </c>
    </row>
    <row r="744" spans="1:8">
      <c r="A744" s="62">
        <v>138544075084</v>
      </c>
      <c r="B744" t="s">
        <v>4</v>
      </c>
      <c r="C744" s="35" t="s">
        <v>367</v>
      </c>
      <c r="D744" t="s">
        <v>491</v>
      </c>
      <c r="E744" s="35" t="s">
        <v>367</v>
      </c>
      <c r="F744" s="29" t="s">
        <v>492</v>
      </c>
      <c r="G744" s="36">
        <v>5000</v>
      </c>
      <c r="H744" s="36">
        <v>50</v>
      </c>
    </row>
    <row r="745" spans="1:8">
      <c r="A745" s="62">
        <v>138544457004</v>
      </c>
      <c r="B745" t="s">
        <v>4</v>
      </c>
      <c r="C745" s="35" t="s">
        <v>367</v>
      </c>
      <c r="D745" t="s">
        <v>491</v>
      </c>
      <c r="E745" s="35" t="s">
        <v>367</v>
      </c>
      <c r="F745" s="29" t="s">
        <v>492</v>
      </c>
      <c r="G745" s="36">
        <v>5500</v>
      </c>
      <c r="H745" s="36">
        <v>55</v>
      </c>
    </row>
    <row r="746" spans="1:8">
      <c r="A746" s="62">
        <v>138544549666</v>
      </c>
      <c r="B746" t="s">
        <v>4</v>
      </c>
      <c r="C746" s="35" t="s">
        <v>367</v>
      </c>
      <c r="D746" t="s">
        <v>491</v>
      </c>
      <c r="E746" s="35" t="s">
        <v>367</v>
      </c>
      <c r="F746" s="29" t="s">
        <v>492</v>
      </c>
      <c r="G746" s="36">
        <v>5000</v>
      </c>
      <c r="H746" s="36">
        <v>50</v>
      </c>
    </row>
    <row r="747" spans="1:8">
      <c r="A747" s="62">
        <v>137886337273</v>
      </c>
      <c r="B747" t="s">
        <v>4</v>
      </c>
      <c r="C747" s="35" t="s">
        <v>360</v>
      </c>
      <c r="D747" t="s">
        <v>491</v>
      </c>
      <c r="E747" s="35" t="s">
        <v>360</v>
      </c>
      <c r="F747" s="29" t="s">
        <v>492</v>
      </c>
      <c r="G747" s="36">
        <v>5000</v>
      </c>
      <c r="H747" s="36">
        <v>50</v>
      </c>
    </row>
    <row r="748" spans="1:8">
      <c r="A748" s="62">
        <v>138545094492</v>
      </c>
      <c r="B748" t="s">
        <v>4</v>
      </c>
      <c r="C748" s="35" t="s">
        <v>367</v>
      </c>
      <c r="D748" t="s">
        <v>491</v>
      </c>
      <c r="E748" s="35" t="s">
        <v>367</v>
      </c>
      <c r="F748" s="29" t="s">
        <v>492</v>
      </c>
      <c r="G748" s="36">
        <v>5000</v>
      </c>
      <c r="H748" s="36">
        <v>50</v>
      </c>
    </row>
    <row r="749" spans="1:8">
      <c r="A749" s="62">
        <v>137905815953</v>
      </c>
      <c r="B749" t="s">
        <v>4</v>
      </c>
      <c r="C749" s="35" t="s">
        <v>367</v>
      </c>
      <c r="D749" t="s">
        <v>491</v>
      </c>
      <c r="E749" s="35" t="s">
        <v>367</v>
      </c>
      <c r="F749" s="29" t="s">
        <v>492</v>
      </c>
      <c r="G749" s="36">
        <v>8000</v>
      </c>
      <c r="H749" s="36">
        <v>80</v>
      </c>
    </row>
    <row r="750" spans="1:8">
      <c r="A750" s="62">
        <v>137906505763</v>
      </c>
      <c r="B750" t="s">
        <v>4</v>
      </c>
      <c r="C750" s="35" t="s">
        <v>367</v>
      </c>
      <c r="D750" t="s">
        <v>491</v>
      </c>
      <c r="E750" s="35" t="s">
        <v>367</v>
      </c>
      <c r="F750" s="29" t="s">
        <v>492</v>
      </c>
      <c r="G750" s="36">
        <v>9800</v>
      </c>
      <c r="H750" s="36">
        <v>98</v>
      </c>
    </row>
    <row r="751" spans="1:8">
      <c r="A751" s="62">
        <v>137888300955</v>
      </c>
      <c r="B751" t="s">
        <v>4</v>
      </c>
      <c r="C751" s="35" t="s">
        <v>360</v>
      </c>
      <c r="D751" t="s">
        <v>491</v>
      </c>
      <c r="E751" s="35" t="s">
        <v>360</v>
      </c>
      <c r="F751" s="29" t="s">
        <v>492</v>
      </c>
      <c r="G751" s="36">
        <v>4900</v>
      </c>
      <c r="H751" s="36">
        <v>49</v>
      </c>
    </row>
    <row r="752" spans="1:8">
      <c r="A752" s="62">
        <v>137888580429</v>
      </c>
      <c r="B752" t="s">
        <v>263</v>
      </c>
      <c r="C752" s="35" t="s">
        <v>360</v>
      </c>
      <c r="D752" t="s">
        <v>491</v>
      </c>
      <c r="E752" s="35" t="s">
        <v>360</v>
      </c>
      <c r="F752" s="29" t="s">
        <v>492</v>
      </c>
      <c r="G752" s="36">
        <v>43200</v>
      </c>
      <c r="H752" s="36">
        <v>432</v>
      </c>
    </row>
    <row r="753" spans="1:8">
      <c r="A753" s="62">
        <v>137888937331</v>
      </c>
      <c r="B753" t="s">
        <v>4</v>
      </c>
      <c r="C753" s="35" t="s">
        <v>360</v>
      </c>
      <c r="D753" t="s">
        <v>491</v>
      </c>
      <c r="E753" s="35" t="s">
        <v>360</v>
      </c>
      <c r="F753" s="29" t="s">
        <v>492</v>
      </c>
      <c r="G753" s="36">
        <v>46800</v>
      </c>
      <c r="H753" s="36">
        <v>468</v>
      </c>
    </row>
    <row r="754" spans="1:8">
      <c r="A754" s="62">
        <v>138528129514</v>
      </c>
      <c r="B754" t="s">
        <v>4</v>
      </c>
      <c r="C754" s="35" t="s">
        <v>360</v>
      </c>
      <c r="D754" t="s">
        <v>491</v>
      </c>
      <c r="E754" s="35" t="s">
        <v>360</v>
      </c>
      <c r="F754" s="29" t="s">
        <v>492</v>
      </c>
      <c r="G754" s="36">
        <v>5000</v>
      </c>
      <c r="H754" s="36">
        <v>50</v>
      </c>
    </row>
    <row r="755" spans="1:8">
      <c r="A755" s="62">
        <v>138528391464</v>
      </c>
      <c r="B755" t="s">
        <v>4</v>
      </c>
      <c r="C755" s="35" t="s">
        <v>360</v>
      </c>
      <c r="D755" t="s">
        <v>491</v>
      </c>
      <c r="E755" s="35" t="s">
        <v>360</v>
      </c>
      <c r="F755" s="29" t="s">
        <v>492</v>
      </c>
      <c r="G755" s="36">
        <v>5500</v>
      </c>
      <c r="H755" s="36">
        <v>55</v>
      </c>
    </row>
    <row r="756" spans="1:8">
      <c r="A756" s="62">
        <v>137889297597</v>
      </c>
      <c r="B756" t="s">
        <v>4</v>
      </c>
      <c r="C756" s="35" t="s">
        <v>360</v>
      </c>
      <c r="D756" t="s">
        <v>491</v>
      </c>
      <c r="E756" s="35" t="s">
        <v>360</v>
      </c>
      <c r="F756" s="29" t="s">
        <v>492</v>
      </c>
      <c r="G756" s="36">
        <v>4900</v>
      </c>
      <c r="H756" s="36">
        <v>49</v>
      </c>
    </row>
    <row r="757" spans="1:8">
      <c r="A757" s="62">
        <v>138529185350</v>
      </c>
      <c r="B757" t="s">
        <v>4</v>
      </c>
      <c r="C757" s="35" t="s">
        <v>360</v>
      </c>
      <c r="D757" t="s">
        <v>491</v>
      </c>
      <c r="E757" s="35" t="s">
        <v>360</v>
      </c>
      <c r="F757" s="29" t="s">
        <v>492</v>
      </c>
      <c r="G757" s="36">
        <v>15000</v>
      </c>
      <c r="H757" s="36">
        <v>150</v>
      </c>
    </row>
    <row r="758" spans="1:8">
      <c r="A758" s="62">
        <v>137890414465</v>
      </c>
      <c r="B758" t="s">
        <v>4</v>
      </c>
      <c r="C758" s="35" t="s">
        <v>360</v>
      </c>
      <c r="D758" t="s">
        <v>491</v>
      </c>
      <c r="E758" s="35" t="s">
        <v>360</v>
      </c>
      <c r="F758" s="29" t="s">
        <v>492</v>
      </c>
      <c r="G758" s="36">
        <v>11000</v>
      </c>
      <c r="H758" s="36">
        <v>110</v>
      </c>
    </row>
    <row r="759" spans="1:8">
      <c r="A759" s="62">
        <v>137890542783</v>
      </c>
      <c r="B759" t="s">
        <v>4</v>
      </c>
      <c r="C759" s="35" t="s">
        <v>360</v>
      </c>
      <c r="D759" t="s">
        <v>491</v>
      </c>
      <c r="E759" s="35" t="s">
        <v>360</v>
      </c>
      <c r="F759" s="29" t="s">
        <v>492</v>
      </c>
      <c r="G759" s="36">
        <v>5000</v>
      </c>
      <c r="H759" s="36">
        <v>50</v>
      </c>
    </row>
    <row r="760" spans="1:8">
      <c r="A760" s="62">
        <v>138530250704</v>
      </c>
      <c r="B760" t="s">
        <v>263</v>
      </c>
      <c r="C760" s="35" t="s">
        <v>360</v>
      </c>
      <c r="D760" t="s">
        <v>491</v>
      </c>
      <c r="E760" s="35" t="s">
        <v>360</v>
      </c>
      <c r="F760" s="29" t="s">
        <v>492</v>
      </c>
      <c r="G760" s="36">
        <v>57600</v>
      </c>
      <c r="H760" s="36">
        <v>576</v>
      </c>
    </row>
    <row r="761" spans="1:8">
      <c r="A761" s="62">
        <v>138530623524</v>
      </c>
      <c r="B761" t="s">
        <v>4</v>
      </c>
      <c r="C761" s="35" t="s">
        <v>360</v>
      </c>
      <c r="D761" t="s">
        <v>491</v>
      </c>
      <c r="E761" s="35" t="s">
        <v>360</v>
      </c>
      <c r="F761" s="29" t="s">
        <v>492</v>
      </c>
      <c r="G761" s="36">
        <v>2500</v>
      </c>
      <c r="H761" s="36">
        <v>25</v>
      </c>
    </row>
    <row r="762" spans="1:8">
      <c r="A762" s="62">
        <v>137891888729</v>
      </c>
      <c r="B762" t="s">
        <v>4</v>
      </c>
      <c r="C762" s="35" t="s">
        <v>360</v>
      </c>
      <c r="D762" t="s">
        <v>491</v>
      </c>
      <c r="E762" s="35" t="s">
        <v>360</v>
      </c>
      <c r="F762" s="29" t="s">
        <v>492</v>
      </c>
      <c r="G762" s="36">
        <v>11000</v>
      </c>
      <c r="H762" s="36">
        <v>110</v>
      </c>
    </row>
    <row r="763" spans="1:8">
      <c r="A763" s="62">
        <v>137891994961</v>
      </c>
      <c r="B763" t="s">
        <v>4</v>
      </c>
      <c r="C763" s="35" t="s">
        <v>360</v>
      </c>
      <c r="D763" t="s">
        <v>491</v>
      </c>
      <c r="E763" s="35" t="s">
        <v>360</v>
      </c>
      <c r="F763" s="29" t="s">
        <v>492</v>
      </c>
      <c r="G763" s="36">
        <v>15000</v>
      </c>
      <c r="H763" s="36">
        <v>150</v>
      </c>
    </row>
    <row r="764" spans="1:8">
      <c r="A764" s="62">
        <v>138531133564</v>
      </c>
      <c r="B764" t="s">
        <v>4</v>
      </c>
      <c r="C764" s="35" t="s">
        <v>360</v>
      </c>
      <c r="D764" t="s">
        <v>491</v>
      </c>
      <c r="E764" s="35" t="s">
        <v>360</v>
      </c>
      <c r="F764" s="29" t="s">
        <v>492</v>
      </c>
      <c r="G764" s="36">
        <v>18200</v>
      </c>
      <c r="H764" s="36">
        <v>182</v>
      </c>
    </row>
    <row r="765" spans="1:8">
      <c r="A765" s="62">
        <v>138531264710</v>
      </c>
      <c r="B765" t="s">
        <v>4</v>
      </c>
      <c r="C765" s="35" t="s">
        <v>360</v>
      </c>
      <c r="D765" t="s">
        <v>491</v>
      </c>
      <c r="E765" s="35" t="s">
        <v>360</v>
      </c>
      <c r="F765" s="29" t="s">
        <v>492</v>
      </c>
      <c r="G765" s="36">
        <v>13500</v>
      </c>
      <c r="H765" s="36">
        <v>135</v>
      </c>
    </row>
    <row r="766" spans="1:8">
      <c r="A766" s="62">
        <v>137892466823</v>
      </c>
      <c r="B766" t="s">
        <v>4</v>
      </c>
      <c r="C766" s="35" t="s">
        <v>360</v>
      </c>
      <c r="D766" t="s">
        <v>491</v>
      </c>
      <c r="E766" s="35" t="s">
        <v>360</v>
      </c>
      <c r="F766" s="29" t="s">
        <v>492</v>
      </c>
      <c r="G766" s="36">
        <v>20700</v>
      </c>
      <c r="H766" s="36">
        <v>207</v>
      </c>
    </row>
    <row r="767" spans="1:8">
      <c r="A767" s="62">
        <v>137892552965</v>
      </c>
      <c r="B767" t="s">
        <v>4</v>
      </c>
      <c r="C767" s="35" t="s">
        <v>360</v>
      </c>
      <c r="D767" t="s">
        <v>491</v>
      </c>
      <c r="E767" s="35" t="s">
        <v>360</v>
      </c>
      <c r="F767" s="29" t="s">
        <v>492</v>
      </c>
      <c r="G767" s="36">
        <v>5500</v>
      </c>
      <c r="H767" s="36">
        <v>55</v>
      </c>
    </row>
    <row r="768" spans="1:8">
      <c r="A768" s="62">
        <v>138532020272</v>
      </c>
      <c r="B768" t="s">
        <v>263</v>
      </c>
      <c r="C768" s="35" t="s">
        <v>360</v>
      </c>
      <c r="D768" t="s">
        <v>491</v>
      </c>
      <c r="E768" s="35" t="s">
        <v>360</v>
      </c>
      <c r="F768" s="29" t="s">
        <v>492</v>
      </c>
      <c r="G768" s="36">
        <v>7900</v>
      </c>
      <c r="H768" s="36">
        <v>79</v>
      </c>
    </row>
    <row r="769" spans="1:8">
      <c r="A769" s="62">
        <v>137892926953</v>
      </c>
      <c r="B769" t="s">
        <v>4</v>
      </c>
      <c r="C769" s="35" t="s">
        <v>360</v>
      </c>
      <c r="D769" t="s">
        <v>491</v>
      </c>
      <c r="E769" s="35" t="s">
        <v>360</v>
      </c>
      <c r="F769" s="29" t="s">
        <v>492</v>
      </c>
      <c r="G769" s="36">
        <v>15000</v>
      </c>
      <c r="H769" s="36">
        <v>150</v>
      </c>
    </row>
    <row r="770" spans="1:8">
      <c r="A770" s="62">
        <v>137893308257</v>
      </c>
      <c r="B770" t="s">
        <v>4</v>
      </c>
      <c r="C770" s="35" t="s">
        <v>360</v>
      </c>
      <c r="D770" t="s">
        <v>491</v>
      </c>
      <c r="E770" s="35" t="s">
        <v>360</v>
      </c>
      <c r="F770" s="29" t="s">
        <v>492</v>
      </c>
      <c r="G770" s="36">
        <v>4900</v>
      </c>
      <c r="H770" s="36">
        <v>49</v>
      </c>
    </row>
    <row r="771" spans="1:8">
      <c r="A771" s="62">
        <v>137893744373</v>
      </c>
      <c r="B771" t="s">
        <v>4</v>
      </c>
      <c r="C771" s="35" t="s">
        <v>360</v>
      </c>
      <c r="D771" t="s">
        <v>491</v>
      </c>
      <c r="E771" s="35" t="s">
        <v>360</v>
      </c>
      <c r="F771" s="29" t="s">
        <v>492</v>
      </c>
      <c r="G771" s="36">
        <v>7200</v>
      </c>
      <c r="H771" s="36">
        <v>72</v>
      </c>
    </row>
    <row r="772" spans="1:8">
      <c r="A772" s="62">
        <v>138533100352</v>
      </c>
      <c r="B772" t="s">
        <v>4</v>
      </c>
      <c r="C772" s="35" t="s">
        <v>360</v>
      </c>
      <c r="D772" t="s">
        <v>491</v>
      </c>
      <c r="E772" s="35" t="s">
        <v>360</v>
      </c>
      <c r="F772" s="29" t="s">
        <v>492</v>
      </c>
      <c r="G772" s="36">
        <v>10000</v>
      </c>
      <c r="H772" s="36">
        <v>100</v>
      </c>
    </row>
    <row r="773" spans="1:8">
      <c r="A773" s="62">
        <v>137893863741</v>
      </c>
      <c r="B773" t="s">
        <v>4</v>
      </c>
      <c r="C773" s="35" t="s">
        <v>360</v>
      </c>
      <c r="D773" t="s">
        <v>491</v>
      </c>
      <c r="E773" s="35" t="s">
        <v>360</v>
      </c>
      <c r="F773" s="29" t="s">
        <v>492</v>
      </c>
      <c r="G773" s="36">
        <v>31200</v>
      </c>
      <c r="H773" s="36">
        <v>312</v>
      </c>
    </row>
    <row r="774" spans="1:8">
      <c r="A774" s="62">
        <v>137893950695</v>
      </c>
      <c r="B774" t="s">
        <v>4</v>
      </c>
      <c r="C774" s="35" t="s">
        <v>360</v>
      </c>
      <c r="D774" t="s">
        <v>491</v>
      </c>
      <c r="E774" s="35" t="s">
        <v>360</v>
      </c>
      <c r="F774" s="29" t="s">
        <v>492</v>
      </c>
      <c r="G774" s="36">
        <v>10000</v>
      </c>
      <c r="H774" s="36">
        <v>100</v>
      </c>
    </row>
    <row r="775" spans="1:8">
      <c r="A775" s="62">
        <v>137894038283</v>
      </c>
      <c r="B775" t="s">
        <v>4</v>
      </c>
      <c r="C775" s="35" t="s">
        <v>360</v>
      </c>
      <c r="D775" t="s">
        <v>491</v>
      </c>
      <c r="E775" s="35" t="s">
        <v>360</v>
      </c>
      <c r="F775" s="29" t="s">
        <v>492</v>
      </c>
      <c r="G775" s="36">
        <v>4800</v>
      </c>
      <c r="H775" s="36">
        <v>48</v>
      </c>
    </row>
    <row r="776" spans="1:8">
      <c r="A776" s="62">
        <v>137893963885</v>
      </c>
      <c r="B776" t="s">
        <v>4</v>
      </c>
      <c r="C776" s="35" t="s">
        <v>360</v>
      </c>
      <c r="D776" t="s">
        <v>491</v>
      </c>
      <c r="E776" s="35" t="s">
        <v>360</v>
      </c>
      <c r="F776" s="29" t="s">
        <v>492</v>
      </c>
      <c r="G776" s="36">
        <v>5000</v>
      </c>
      <c r="H776" s="36">
        <v>50</v>
      </c>
    </row>
    <row r="777" spans="1:8">
      <c r="A777" s="62">
        <v>138533430762</v>
      </c>
      <c r="B777" t="s">
        <v>4</v>
      </c>
      <c r="C777" s="35" t="s">
        <v>360</v>
      </c>
      <c r="D777" t="s">
        <v>491</v>
      </c>
      <c r="E777" s="35" t="s">
        <v>360</v>
      </c>
      <c r="F777" s="29" t="s">
        <v>492</v>
      </c>
      <c r="G777" s="36">
        <v>52900</v>
      </c>
      <c r="H777" s="36">
        <v>529</v>
      </c>
    </row>
    <row r="778" spans="1:8">
      <c r="A778" s="62">
        <v>137894380257</v>
      </c>
      <c r="B778" t="s">
        <v>4</v>
      </c>
      <c r="C778" s="35" t="s">
        <v>360</v>
      </c>
      <c r="D778" t="s">
        <v>491</v>
      </c>
      <c r="E778" s="35" t="s">
        <v>360</v>
      </c>
      <c r="F778" s="29" t="s">
        <v>492</v>
      </c>
      <c r="G778" s="36">
        <v>4800</v>
      </c>
      <c r="H778" s="36">
        <v>48</v>
      </c>
    </row>
    <row r="779" spans="1:8">
      <c r="A779" s="62">
        <v>137894534529</v>
      </c>
      <c r="B779" t="s">
        <v>4</v>
      </c>
      <c r="C779" s="35" t="s">
        <v>360</v>
      </c>
      <c r="D779" t="s">
        <v>491</v>
      </c>
      <c r="E779" s="35" t="s">
        <v>360</v>
      </c>
      <c r="F779" s="29" t="s">
        <v>492</v>
      </c>
      <c r="G779" s="36">
        <v>131600</v>
      </c>
      <c r="H779" s="36">
        <v>1316</v>
      </c>
    </row>
    <row r="780" spans="1:8">
      <c r="A780" s="62">
        <v>137894766465</v>
      </c>
      <c r="B780" t="s">
        <v>4</v>
      </c>
      <c r="C780" s="35" t="s">
        <v>360</v>
      </c>
      <c r="D780" t="s">
        <v>491</v>
      </c>
      <c r="E780" s="35" t="s">
        <v>360</v>
      </c>
      <c r="F780" s="29" t="s">
        <v>492</v>
      </c>
      <c r="G780" s="36">
        <v>52300</v>
      </c>
      <c r="H780" s="36">
        <v>523</v>
      </c>
    </row>
    <row r="781" spans="1:8">
      <c r="A781" s="62">
        <v>137895364073</v>
      </c>
      <c r="B781" t="s">
        <v>263</v>
      </c>
      <c r="C781" s="35" t="s">
        <v>360</v>
      </c>
      <c r="D781" t="s">
        <v>491</v>
      </c>
      <c r="E781" s="35" t="s">
        <v>360</v>
      </c>
      <c r="F781" s="29" t="s">
        <v>492</v>
      </c>
      <c r="G781" s="36">
        <v>4800</v>
      </c>
      <c r="H781" s="36">
        <v>48</v>
      </c>
    </row>
    <row r="782" spans="1:8">
      <c r="A782" s="62">
        <v>138534631434</v>
      </c>
      <c r="B782" t="s">
        <v>4</v>
      </c>
      <c r="C782" s="35" t="s">
        <v>360</v>
      </c>
      <c r="D782" t="s">
        <v>491</v>
      </c>
      <c r="E782" s="35" t="s">
        <v>360</v>
      </c>
      <c r="F782" s="29" t="s">
        <v>492</v>
      </c>
      <c r="G782" s="36">
        <v>7500</v>
      </c>
      <c r="H782" s="36">
        <v>75</v>
      </c>
    </row>
    <row r="783" spans="1:8">
      <c r="A783" s="62">
        <v>138534978934</v>
      </c>
      <c r="B783" t="s">
        <v>4</v>
      </c>
      <c r="C783" s="35" t="s">
        <v>360</v>
      </c>
      <c r="D783" t="s">
        <v>491</v>
      </c>
      <c r="E783" s="35" t="s">
        <v>360</v>
      </c>
      <c r="F783" s="29" t="s">
        <v>492</v>
      </c>
      <c r="G783" s="36">
        <v>5000</v>
      </c>
      <c r="H783" s="36">
        <v>50</v>
      </c>
    </row>
    <row r="784" spans="1:8">
      <c r="A784" s="62">
        <v>137895887285</v>
      </c>
      <c r="B784" t="s">
        <v>4</v>
      </c>
      <c r="C784" s="35" t="s">
        <v>360</v>
      </c>
      <c r="D784" t="s">
        <v>491</v>
      </c>
      <c r="E784" s="35" t="s">
        <v>360</v>
      </c>
      <c r="F784" s="29" t="s">
        <v>492</v>
      </c>
      <c r="G784" s="36">
        <v>10000</v>
      </c>
      <c r="H784" s="36">
        <v>100</v>
      </c>
    </row>
    <row r="785" spans="1:8">
      <c r="A785" s="62">
        <v>138535053938</v>
      </c>
      <c r="B785" t="s">
        <v>4</v>
      </c>
      <c r="C785" s="35" t="s">
        <v>360</v>
      </c>
      <c r="D785" t="s">
        <v>491</v>
      </c>
      <c r="E785" s="35" t="s">
        <v>360</v>
      </c>
      <c r="F785" s="29" t="s">
        <v>492</v>
      </c>
      <c r="G785" s="36">
        <v>4800</v>
      </c>
      <c r="H785" s="36">
        <v>48</v>
      </c>
    </row>
    <row r="786" spans="1:8">
      <c r="A786" s="62">
        <v>137896413189</v>
      </c>
      <c r="B786" t="s">
        <v>4</v>
      </c>
      <c r="C786" s="35" t="s">
        <v>360</v>
      </c>
      <c r="D786" t="s">
        <v>491</v>
      </c>
      <c r="E786" s="35" t="s">
        <v>367</v>
      </c>
      <c r="F786" s="29" t="s">
        <v>492</v>
      </c>
      <c r="G786" s="36">
        <v>9600</v>
      </c>
      <c r="H786" s="36">
        <v>96</v>
      </c>
    </row>
    <row r="787" spans="1:8">
      <c r="A787" s="62">
        <v>137896500919</v>
      </c>
      <c r="B787" t="s">
        <v>4</v>
      </c>
      <c r="C787" s="35" t="s">
        <v>360</v>
      </c>
      <c r="D787" t="s">
        <v>491</v>
      </c>
      <c r="E787" s="35" t="s">
        <v>367</v>
      </c>
      <c r="F787" s="29" t="s">
        <v>492</v>
      </c>
      <c r="G787" s="36">
        <v>5000</v>
      </c>
      <c r="H787" s="36">
        <v>50</v>
      </c>
    </row>
    <row r="788" spans="1:8">
      <c r="A788" s="62">
        <v>138535706824</v>
      </c>
      <c r="B788" t="s">
        <v>4</v>
      </c>
      <c r="C788" s="35" t="s">
        <v>360</v>
      </c>
      <c r="D788" t="s">
        <v>491</v>
      </c>
      <c r="E788" s="35" t="s">
        <v>367</v>
      </c>
      <c r="F788" s="29" t="s">
        <v>492</v>
      </c>
      <c r="G788" s="36">
        <v>5000</v>
      </c>
      <c r="H788" s="36">
        <v>50</v>
      </c>
    </row>
    <row r="789" spans="1:8">
      <c r="A789" s="62">
        <v>137896651907</v>
      </c>
      <c r="B789" t="s">
        <v>4</v>
      </c>
      <c r="C789" s="35" t="s">
        <v>360</v>
      </c>
      <c r="D789" t="s">
        <v>491</v>
      </c>
      <c r="E789" s="35" t="s">
        <v>367</v>
      </c>
      <c r="F789" s="29" t="s">
        <v>492</v>
      </c>
      <c r="G789" s="36">
        <v>12500</v>
      </c>
      <c r="H789" s="36">
        <v>125</v>
      </c>
    </row>
    <row r="790" spans="1:8">
      <c r="A790" s="62">
        <v>137896837169</v>
      </c>
      <c r="B790" t="s">
        <v>4</v>
      </c>
      <c r="C790" s="35" t="s">
        <v>360</v>
      </c>
      <c r="D790" t="s">
        <v>491</v>
      </c>
      <c r="E790" s="35" t="s">
        <v>367</v>
      </c>
      <c r="F790" s="29" t="s">
        <v>492</v>
      </c>
      <c r="G790" s="36">
        <v>5000</v>
      </c>
      <c r="H790" s="36">
        <v>50</v>
      </c>
    </row>
    <row r="791" spans="1:8">
      <c r="A791" s="62">
        <v>137896976563</v>
      </c>
      <c r="B791" t="s">
        <v>4</v>
      </c>
      <c r="C791" s="35" t="s">
        <v>360</v>
      </c>
      <c r="D791" t="s">
        <v>491</v>
      </c>
      <c r="E791" s="35" t="s">
        <v>367</v>
      </c>
      <c r="F791" s="29" t="s">
        <v>492</v>
      </c>
      <c r="G791" s="36">
        <v>4800</v>
      </c>
      <c r="H791" s="36">
        <v>48</v>
      </c>
    </row>
    <row r="792" spans="1:8">
      <c r="A792" s="62">
        <v>137897183137</v>
      </c>
      <c r="B792" t="s">
        <v>263</v>
      </c>
      <c r="C792" s="35" t="s">
        <v>360</v>
      </c>
      <c r="D792" t="s">
        <v>491</v>
      </c>
      <c r="E792" s="35" t="s">
        <v>367</v>
      </c>
      <c r="F792" s="29" t="s">
        <v>492</v>
      </c>
      <c r="G792" s="36">
        <v>72200</v>
      </c>
      <c r="H792" s="36">
        <v>722</v>
      </c>
    </row>
    <row r="793" spans="1:8">
      <c r="A793" s="62">
        <v>137897499495</v>
      </c>
      <c r="B793" t="s">
        <v>4</v>
      </c>
      <c r="C793" s="35" t="s">
        <v>360</v>
      </c>
      <c r="D793" t="s">
        <v>491</v>
      </c>
      <c r="E793" s="35" t="s">
        <v>367</v>
      </c>
      <c r="F793" s="29" t="s">
        <v>492</v>
      </c>
      <c r="G793" s="36">
        <v>4800</v>
      </c>
      <c r="H793" s="36">
        <v>48</v>
      </c>
    </row>
    <row r="794" spans="1:8">
      <c r="A794" s="62">
        <v>138536621798</v>
      </c>
      <c r="B794" t="s">
        <v>4</v>
      </c>
      <c r="C794" s="35" t="s">
        <v>360</v>
      </c>
      <c r="D794" t="s">
        <v>491</v>
      </c>
      <c r="E794" s="35" t="s">
        <v>367</v>
      </c>
      <c r="F794" s="29" t="s">
        <v>492</v>
      </c>
      <c r="G794" s="36">
        <v>5000</v>
      </c>
      <c r="H794" s="36">
        <v>50</v>
      </c>
    </row>
    <row r="795" spans="1:8">
      <c r="A795" s="62">
        <v>138536694508</v>
      </c>
      <c r="B795" t="s">
        <v>4</v>
      </c>
      <c r="C795" s="35" t="s">
        <v>360</v>
      </c>
      <c r="D795" t="s">
        <v>491</v>
      </c>
      <c r="E795" s="35" t="s">
        <v>367</v>
      </c>
      <c r="F795" s="29" t="s">
        <v>492</v>
      </c>
      <c r="G795" s="36">
        <v>10000</v>
      </c>
      <c r="H795" s="36">
        <v>100</v>
      </c>
    </row>
    <row r="796" spans="1:8">
      <c r="A796" s="62">
        <v>138536804822</v>
      </c>
      <c r="B796" t="s">
        <v>4</v>
      </c>
      <c r="C796" s="35" t="s">
        <v>360</v>
      </c>
      <c r="D796" t="s">
        <v>491</v>
      </c>
      <c r="E796" s="35" t="s">
        <v>367</v>
      </c>
      <c r="F796" s="29" t="s">
        <v>492</v>
      </c>
      <c r="G796" s="36">
        <v>4900</v>
      </c>
      <c r="H796" s="36">
        <v>49</v>
      </c>
    </row>
    <row r="797" spans="1:8">
      <c r="A797" s="62">
        <v>137897818889</v>
      </c>
      <c r="B797" t="s">
        <v>4</v>
      </c>
      <c r="C797" s="35" t="s">
        <v>360</v>
      </c>
      <c r="D797" t="s">
        <v>491</v>
      </c>
      <c r="E797" s="35" t="s">
        <v>367</v>
      </c>
      <c r="F797" s="29" t="s">
        <v>492</v>
      </c>
      <c r="G797" s="36">
        <v>7400</v>
      </c>
      <c r="H797" s="36">
        <v>74</v>
      </c>
    </row>
    <row r="798" spans="1:8">
      <c r="A798" s="62">
        <v>137897873121</v>
      </c>
      <c r="B798" t="s">
        <v>4</v>
      </c>
      <c r="C798" s="35" t="s">
        <v>360</v>
      </c>
      <c r="D798" t="s">
        <v>491</v>
      </c>
      <c r="E798" s="35" t="s">
        <v>367</v>
      </c>
      <c r="F798" s="29" t="s">
        <v>492</v>
      </c>
      <c r="G798" s="36">
        <v>5000</v>
      </c>
      <c r="H798" s="36">
        <v>50</v>
      </c>
    </row>
    <row r="799" spans="1:8">
      <c r="A799" s="62">
        <v>137898000905</v>
      </c>
      <c r="B799" t="s">
        <v>4</v>
      </c>
      <c r="C799" s="35" t="s">
        <v>360</v>
      </c>
      <c r="D799" t="s">
        <v>491</v>
      </c>
      <c r="E799" s="35" t="s">
        <v>367</v>
      </c>
      <c r="F799" s="29" t="s">
        <v>492</v>
      </c>
      <c r="G799" s="36">
        <v>4800</v>
      </c>
      <c r="H799" s="36">
        <v>48</v>
      </c>
    </row>
    <row r="800" spans="1:8">
      <c r="A800" s="62">
        <v>137898074457</v>
      </c>
      <c r="B800" t="s">
        <v>4</v>
      </c>
      <c r="C800" s="35" t="s">
        <v>360</v>
      </c>
      <c r="D800" t="s">
        <v>491</v>
      </c>
      <c r="E800" s="35" t="s">
        <v>367</v>
      </c>
      <c r="F800" s="29" t="s">
        <v>492</v>
      </c>
      <c r="G800" s="36">
        <v>4800</v>
      </c>
      <c r="H800" s="36">
        <v>48</v>
      </c>
    </row>
    <row r="801" spans="1:8">
      <c r="A801" s="62">
        <v>138537226196</v>
      </c>
      <c r="B801" t="s">
        <v>4</v>
      </c>
      <c r="C801" s="35" t="s">
        <v>360</v>
      </c>
      <c r="D801" t="s">
        <v>491</v>
      </c>
      <c r="E801" s="35" t="s">
        <v>367</v>
      </c>
      <c r="F801" s="29" t="s">
        <v>492</v>
      </c>
      <c r="G801" s="36">
        <v>5000</v>
      </c>
      <c r="H801" s="36">
        <v>50</v>
      </c>
    </row>
    <row r="802" spans="1:8">
      <c r="A802" s="62">
        <v>137898095891</v>
      </c>
      <c r="B802" t="s">
        <v>4</v>
      </c>
      <c r="C802" s="35" t="s">
        <v>360</v>
      </c>
      <c r="D802" t="s">
        <v>491</v>
      </c>
      <c r="E802" s="35" t="s">
        <v>367</v>
      </c>
      <c r="F802" s="29" t="s">
        <v>492</v>
      </c>
      <c r="G802" s="36">
        <v>7500</v>
      </c>
      <c r="H802" s="36">
        <v>75</v>
      </c>
    </row>
    <row r="803" spans="1:8">
      <c r="A803" s="62">
        <v>138537259896</v>
      </c>
      <c r="B803" t="s">
        <v>4</v>
      </c>
      <c r="C803" s="35" t="s">
        <v>360</v>
      </c>
      <c r="D803" t="s">
        <v>491</v>
      </c>
      <c r="E803" s="35" t="s">
        <v>367</v>
      </c>
      <c r="F803" s="29" t="s">
        <v>492</v>
      </c>
      <c r="G803" s="36">
        <v>2400</v>
      </c>
      <c r="H803" s="36">
        <v>24</v>
      </c>
    </row>
    <row r="804" spans="1:8">
      <c r="A804" s="62">
        <v>138537415846</v>
      </c>
      <c r="B804" t="s">
        <v>4</v>
      </c>
      <c r="C804" s="35" t="s">
        <v>360</v>
      </c>
      <c r="D804" t="s">
        <v>491</v>
      </c>
      <c r="E804" s="35" t="s">
        <v>367</v>
      </c>
      <c r="F804" s="29" t="s">
        <v>492</v>
      </c>
      <c r="G804" s="36">
        <v>4900</v>
      </c>
      <c r="H804" s="36">
        <v>49</v>
      </c>
    </row>
    <row r="805" spans="1:8">
      <c r="A805" s="62">
        <v>137898434267</v>
      </c>
      <c r="B805" t="s">
        <v>4</v>
      </c>
      <c r="C805" s="35" t="s">
        <v>360</v>
      </c>
      <c r="D805" t="s">
        <v>491</v>
      </c>
      <c r="E805" s="35" t="s">
        <v>367</v>
      </c>
      <c r="F805" s="29" t="s">
        <v>492</v>
      </c>
      <c r="G805" s="36">
        <v>5000</v>
      </c>
      <c r="H805" s="36">
        <v>50</v>
      </c>
    </row>
    <row r="806" spans="1:8">
      <c r="A806" s="62">
        <v>137898593083</v>
      </c>
      <c r="B806" t="s">
        <v>263</v>
      </c>
      <c r="C806" s="35" t="s">
        <v>360</v>
      </c>
      <c r="D806" t="s">
        <v>491</v>
      </c>
      <c r="E806" s="35" t="s">
        <v>367</v>
      </c>
      <c r="F806" s="29" t="s">
        <v>492</v>
      </c>
      <c r="G806" s="36">
        <v>7900</v>
      </c>
      <c r="H806" s="36">
        <v>79</v>
      </c>
    </row>
    <row r="807" spans="1:8">
      <c r="A807" s="62">
        <v>138537858578</v>
      </c>
      <c r="B807" t="s">
        <v>4</v>
      </c>
      <c r="C807" s="35" t="s">
        <v>360</v>
      </c>
      <c r="D807" t="s">
        <v>491</v>
      </c>
      <c r="E807" s="35" t="s">
        <v>367</v>
      </c>
      <c r="F807" s="29" t="s">
        <v>492</v>
      </c>
      <c r="G807" s="36">
        <v>5000</v>
      </c>
      <c r="H807" s="36">
        <v>50</v>
      </c>
    </row>
    <row r="808" spans="1:8">
      <c r="A808" s="62">
        <v>138537959300</v>
      </c>
      <c r="B808" t="s">
        <v>4</v>
      </c>
      <c r="C808" s="35" t="s">
        <v>360</v>
      </c>
      <c r="D808" t="s">
        <v>491</v>
      </c>
      <c r="E808" s="35" t="s">
        <v>367</v>
      </c>
      <c r="F808" s="29" t="s">
        <v>492</v>
      </c>
      <c r="G808" s="36">
        <v>15000</v>
      </c>
      <c r="H808" s="36">
        <v>150</v>
      </c>
    </row>
    <row r="809" spans="1:8">
      <c r="A809" s="62">
        <v>138538192316</v>
      </c>
      <c r="B809" t="s">
        <v>4</v>
      </c>
      <c r="C809" s="35" t="s">
        <v>360</v>
      </c>
      <c r="D809" t="s">
        <v>491</v>
      </c>
      <c r="E809" s="35" t="s">
        <v>367</v>
      </c>
      <c r="F809" s="29" t="s">
        <v>492</v>
      </c>
      <c r="G809" s="36">
        <v>26900</v>
      </c>
      <c r="H809" s="36">
        <v>269</v>
      </c>
    </row>
    <row r="810" spans="1:8">
      <c r="A810" s="62">
        <v>137899248237</v>
      </c>
      <c r="B810" t="s">
        <v>4</v>
      </c>
      <c r="C810" s="35" t="s">
        <v>360</v>
      </c>
      <c r="D810" t="s">
        <v>491</v>
      </c>
      <c r="E810" s="35" t="s">
        <v>367</v>
      </c>
      <c r="F810" s="29" t="s">
        <v>492</v>
      </c>
      <c r="G810" s="36">
        <v>5000</v>
      </c>
      <c r="H810" s="36">
        <v>50</v>
      </c>
    </row>
    <row r="811" spans="1:8">
      <c r="A811" s="62">
        <v>138538526420</v>
      </c>
      <c r="B811" t="s">
        <v>4</v>
      </c>
      <c r="C811" s="35" t="s">
        <v>360</v>
      </c>
      <c r="D811" t="s">
        <v>491</v>
      </c>
      <c r="E811" s="35" t="s">
        <v>367</v>
      </c>
      <c r="F811" s="29" t="s">
        <v>492</v>
      </c>
      <c r="G811" s="36">
        <v>5000</v>
      </c>
      <c r="H811" s="36">
        <v>50</v>
      </c>
    </row>
    <row r="812" spans="1:8">
      <c r="A812" s="62">
        <v>137899463333</v>
      </c>
      <c r="B812" t="s">
        <v>4</v>
      </c>
      <c r="C812" s="35" t="s">
        <v>360</v>
      </c>
      <c r="D812" t="s">
        <v>491</v>
      </c>
      <c r="E812" s="35" t="s">
        <v>367</v>
      </c>
      <c r="F812" s="29" t="s">
        <v>492</v>
      </c>
      <c r="G812" s="36">
        <v>5500</v>
      </c>
      <c r="H812" s="36">
        <v>55</v>
      </c>
    </row>
    <row r="813" spans="1:8">
      <c r="A813" s="62">
        <v>137899567743</v>
      </c>
      <c r="B813" t="s">
        <v>4</v>
      </c>
      <c r="C813" s="35" t="s">
        <v>360</v>
      </c>
      <c r="D813" t="s">
        <v>491</v>
      </c>
      <c r="E813" s="35" t="s">
        <v>367</v>
      </c>
      <c r="F813" s="29" t="s">
        <v>492</v>
      </c>
      <c r="G813" s="36">
        <v>48200</v>
      </c>
      <c r="H813" s="36">
        <v>482</v>
      </c>
    </row>
    <row r="814" spans="1:8">
      <c r="A814" s="62">
        <v>138538774982</v>
      </c>
      <c r="B814" t="s">
        <v>4</v>
      </c>
      <c r="C814" s="35" t="s">
        <v>360</v>
      </c>
      <c r="D814" t="s">
        <v>491</v>
      </c>
      <c r="E814" s="35" t="s">
        <v>367</v>
      </c>
      <c r="F814" s="29" t="s">
        <v>492</v>
      </c>
      <c r="G814" s="36">
        <v>10000</v>
      </c>
      <c r="H814" s="36">
        <v>100</v>
      </c>
    </row>
    <row r="815" spans="1:8">
      <c r="A815" s="62">
        <v>138538968416</v>
      </c>
      <c r="B815" t="s">
        <v>4</v>
      </c>
      <c r="C815" s="35" t="s">
        <v>360</v>
      </c>
      <c r="D815" t="s">
        <v>491</v>
      </c>
      <c r="E815" s="35" t="s">
        <v>367</v>
      </c>
      <c r="F815" s="29" t="s">
        <v>492</v>
      </c>
      <c r="G815" s="36">
        <v>5500</v>
      </c>
      <c r="H815" s="36">
        <v>55</v>
      </c>
    </row>
    <row r="816" spans="1:8">
      <c r="A816" s="62">
        <v>137900357205</v>
      </c>
      <c r="B816" t="s">
        <v>4</v>
      </c>
      <c r="C816" s="35" t="s">
        <v>360</v>
      </c>
      <c r="D816" t="s">
        <v>491</v>
      </c>
      <c r="E816" s="35" t="s">
        <v>367</v>
      </c>
      <c r="F816" s="29" t="s">
        <v>492</v>
      </c>
      <c r="G816" s="36">
        <v>9600</v>
      </c>
      <c r="H816" s="36">
        <v>96</v>
      </c>
    </row>
    <row r="817" spans="1:8">
      <c r="A817" s="62">
        <v>137900583251</v>
      </c>
      <c r="B817" t="s">
        <v>4</v>
      </c>
      <c r="C817" s="35" t="s">
        <v>367</v>
      </c>
      <c r="D817" t="s">
        <v>491</v>
      </c>
      <c r="E817" s="35" t="s">
        <v>367</v>
      </c>
      <c r="F817" s="29" t="s">
        <v>492</v>
      </c>
      <c r="G817" s="36">
        <v>5000</v>
      </c>
      <c r="H817" s="36">
        <v>50</v>
      </c>
    </row>
    <row r="818" spans="1:8">
      <c r="A818" s="62">
        <v>137900724285</v>
      </c>
      <c r="B818" t="s">
        <v>4</v>
      </c>
      <c r="C818" s="35" t="s">
        <v>367</v>
      </c>
      <c r="D818" t="s">
        <v>491</v>
      </c>
      <c r="E818" s="35" t="s">
        <v>367</v>
      </c>
      <c r="F818" s="29" t="s">
        <v>492</v>
      </c>
      <c r="G818" s="36">
        <v>4900</v>
      </c>
      <c r="H818" s="36">
        <v>49</v>
      </c>
    </row>
    <row r="819" spans="1:8">
      <c r="A819" s="62">
        <v>138539991186</v>
      </c>
      <c r="B819" t="s">
        <v>4</v>
      </c>
      <c r="C819" s="35" t="s">
        <v>367</v>
      </c>
      <c r="D819" t="s">
        <v>491</v>
      </c>
      <c r="E819" s="35" t="s">
        <v>367</v>
      </c>
      <c r="F819" s="29" t="s">
        <v>492</v>
      </c>
      <c r="G819" s="36">
        <v>4800</v>
      </c>
      <c r="H819" s="36">
        <v>48</v>
      </c>
    </row>
    <row r="820" spans="1:8">
      <c r="A820" s="62">
        <v>138540017574</v>
      </c>
      <c r="B820" t="s">
        <v>4</v>
      </c>
      <c r="C820" s="35" t="s">
        <v>367</v>
      </c>
      <c r="D820" t="s">
        <v>491</v>
      </c>
      <c r="E820" s="35" t="s">
        <v>367</v>
      </c>
      <c r="F820" s="29" t="s">
        <v>492</v>
      </c>
      <c r="G820" s="36">
        <v>15900</v>
      </c>
      <c r="H820" s="36">
        <v>159</v>
      </c>
    </row>
    <row r="821" spans="1:8">
      <c r="A821" s="62">
        <v>138540272932</v>
      </c>
      <c r="B821" t="s">
        <v>4</v>
      </c>
      <c r="C821" s="35" t="s">
        <v>367</v>
      </c>
      <c r="D821" t="s">
        <v>491</v>
      </c>
      <c r="E821" s="35" t="s">
        <v>367</v>
      </c>
      <c r="F821" s="29" t="s">
        <v>492</v>
      </c>
      <c r="G821" s="36">
        <v>10000</v>
      </c>
      <c r="H821" s="36">
        <v>100</v>
      </c>
    </row>
    <row r="822" spans="1:8">
      <c r="A822" s="62">
        <v>138540355548</v>
      </c>
      <c r="B822" t="s">
        <v>4</v>
      </c>
      <c r="C822" s="35" t="s">
        <v>367</v>
      </c>
      <c r="D822" t="s">
        <v>491</v>
      </c>
      <c r="E822" s="35" t="s">
        <v>367</v>
      </c>
      <c r="F822" s="29" t="s">
        <v>492</v>
      </c>
      <c r="G822" s="36">
        <v>5000</v>
      </c>
      <c r="H822" s="36">
        <v>50</v>
      </c>
    </row>
    <row r="823" spans="1:8">
      <c r="A823" s="62">
        <v>138540518482</v>
      </c>
      <c r="B823" t="s">
        <v>4</v>
      </c>
      <c r="C823" s="35" t="s">
        <v>367</v>
      </c>
      <c r="D823" t="s">
        <v>491</v>
      </c>
      <c r="E823" s="35" t="s">
        <v>367</v>
      </c>
      <c r="F823" s="29" t="s">
        <v>492</v>
      </c>
      <c r="G823" s="36">
        <v>9800</v>
      </c>
      <c r="H823" s="36">
        <v>98</v>
      </c>
    </row>
    <row r="824" spans="1:8">
      <c r="A824" s="62">
        <v>138540533782</v>
      </c>
      <c r="B824" t="s">
        <v>4</v>
      </c>
      <c r="C824" s="35" t="s">
        <v>367</v>
      </c>
      <c r="D824" t="s">
        <v>491</v>
      </c>
      <c r="E824" s="35" t="s">
        <v>367</v>
      </c>
      <c r="F824" s="29" t="s">
        <v>492</v>
      </c>
      <c r="G824" s="36">
        <v>4800</v>
      </c>
      <c r="H824" s="36">
        <v>48</v>
      </c>
    </row>
    <row r="825" spans="1:8">
      <c r="A825" s="62">
        <v>137901634467</v>
      </c>
      <c r="B825" t="s">
        <v>4</v>
      </c>
      <c r="C825" s="35" t="s">
        <v>367</v>
      </c>
      <c r="D825" t="s">
        <v>491</v>
      </c>
      <c r="E825" s="35" t="s">
        <v>367</v>
      </c>
      <c r="F825" s="29" t="s">
        <v>492</v>
      </c>
      <c r="G825" s="36">
        <v>12900</v>
      </c>
      <c r="H825" s="36">
        <v>129</v>
      </c>
    </row>
    <row r="826" spans="1:8">
      <c r="A826" s="62">
        <v>138541611002</v>
      </c>
      <c r="B826" t="s">
        <v>263</v>
      </c>
      <c r="C826" s="35" t="s">
        <v>367</v>
      </c>
      <c r="D826" t="s">
        <v>491</v>
      </c>
      <c r="E826" s="35" t="s">
        <v>367</v>
      </c>
      <c r="F826" s="29" t="s">
        <v>492</v>
      </c>
      <c r="G826" s="36">
        <v>9800</v>
      </c>
      <c r="H826" s="36">
        <v>98</v>
      </c>
    </row>
    <row r="827" spans="1:8">
      <c r="A827" s="62">
        <v>137902691017</v>
      </c>
      <c r="B827" t="s">
        <v>4</v>
      </c>
      <c r="C827" s="35" t="s">
        <v>367</v>
      </c>
      <c r="D827" t="s">
        <v>491</v>
      </c>
      <c r="E827" s="35" t="s">
        <v>367</v>
      </c>
      <c r="F827" s="29" t="s">
        <v>492</v>
      </c>
      <c r="G827" s="36">
        <v>10300</v>
      </c>
      <c r="H827" s="36">
        <v>103</v>
      </c>
    </row>
    <row r="828" spans="1:8">
      <c r="A828" s="62">
        <v>137902854741</v>
      </c>
      <c r="B828" t="s">
        <v>4</v>
      </c>
      <c r="C828" s="35" t="s">
        <v>367</v>
      </c>
      <c r="D828" t="s">
        <v>491</v>
      </c>
      <c r="E828" s="35" t="s">
        <v>367</v>
      </c>
      <c r="F828" s="29" t="s">
        <v>492</v>
      </c>
      <c r="G828" s="36">
        <v>12500</v>
      </c>
      <c r="H828" s="36">
        <v>125</v>
      </c>
    </row>
    <row r="829" spans="1:8">
      <c r="A829" s="62">
        <v>138542183900</v>
      </c>
      <c r="B829" t="s">
        <v>4</v>
      </c>
      <c r="C829" s="35" t="s">
        <v>367</v>
      </c>
      <c r="D829" t="s">
        <v>491</v>
      </c>
      <c r="E829" s="35" t="s">
        <v>367</v>
      </c>
      <c r="F829" s="29" t="s">
        <v>492</v>
      </c>
      <c r="G829" s="36">
        <v>9600</v>
      </c>
      <c r="H829" s="36">
        <v>96</v>
      </c>
    </row>
    <row r="830" spans="1:8">
      <c r="A830" s="62">
        <v>138542590960</v>
      </c>
      <c r="B830" t="s">
        <v>263</v>
      </c>
      <c r="C830" s="35" t="s">
        <v>367</v>
      </c>
      <c r="D830" t="s">
        <v>491</v>
      </c>
      <c r="E830" s="35" t="s">
        <v>367</v>
      </c>
      <c r="F830" s="29" t="s">
        <v>492</v>
      </c>
      <c r="G830" s="36">
        <v>46700</v>
      </c>
      <c r="H830" s="36">
        <v>467</v>
      </c>
    </row>
    <row r="831" spans="1:8">
      <c r="A831" s="62">
        <v>137903674013</v>
      </c>
      <c r="B831" t="s">
        <v>4</v>
      </c>
      <c r="C831" s="35" t="s">
        <v>367</v>
      </c>
      <c r="D831" t="s">
        <v>491</v>
      </c>
      <c r="E831" s="35" t="s">
        <v>367</v>
      </c>
      <c r="F831" s="29" t="s">
        <v>492</v>
      </c>
      <c r="G831" s="36">
        <v>5000</v>
      </c>
      <c r="H831" s="36">
        <v>50</v>
      </c>
    </row>
    <row r="832" spans="1:8">
      <c r="A832" s="62">
        <v>137903890489</v>
      </c>
      <c r="B832" t="s">
        <v>4</v>
      </c>
      <c r="C832" s="35" t="s">
        <v>367</v>
      </c>
      <c r="D832" t="s">
        <v>491</v>
      </c>
      <c r="E832" s="35" t="s">
        <v>367</v>
      </c>
      <c r="F832" s="29" t="s">
        <v>492</v>
      </c>
      <c r="G832" s="36">
        <v>11000</v>
      </c>
      <c r="H832" s="36">
        <v>110</v>
      </c>
    </row>
    <row r="833" spans="1:8">
      <c r="A833" s="62">
        <v>137904241645</v>
      </c>
      <c r="B833" t="s">
        <v>4</v>
      </c>
      <c r="C833" s="35" t="s">
        <v>367</v>
      </c>
      <c r="D833" t="s">
        <v>491</v>
      </c>
      <c r="E833" s="35" t="s">
        <v>367</v>
      </c>
      <c r="F833" s="29" t="s">
        <v>492</v>
      </c>
      <c r="G833" s="36">
        <v>5000</v>
      </c>
      <c r="H833" s="36">
        <v>50</v>
      </c>
    </row>
    <row r="834" spans="1:8">
      <c r="A834" s="62">
        <v>138543772980</v>
      </c>
      <c r="B834" t="s">
        <v>4</v>
      </c>
      <c r="C834" s="35" t="s">
        <v>367</v>
      </c>
      <c r="D834" t="s">
        <v>491</v>
      </c>
      <c r="E834" s="35" t="s">
        <v>367</v>
      </c>
      <c r="F834" s="29" t="s">
        <v>492</v>
      </c>
      <c r="G834" s="36">
        <v>5000</v>
      </c>
      <c r="H834" s="36">
        <v>50</v>
      </c>
    </row>
    <row r="835" spans="1:8">
      <c r="A835" s="62">
        <v>137904711931</v>
      </c>
      <c r="B835" t="s">
        <v>4</v>
      </c>
      <c r="C835" s="35" t="s">
        <v>367</v>
      </c>
      <c r="D835" t="s">
        <v>491</v>
      </c>
      <c r="E835" s="35" t="s">
        <v>367</v>
      </c>
      <c r="F835" s="29" t="s">
        <v>492</v>
      </c>
      <c r="G835" s="36">
        <v>5000</v>
      </c>
      <c r="H835" s="36">
        <v>50</v>
      </c>
    </row>
    <row r="836" spans="1:8">
      <c r="A836" s="62">
        <v>137904878419</v>
      </c>
      <c r="B836" t="s">
        <v>4</v>
      </c>
      <c r="C836" s="35" t="s">
        <v>367</v>
      </c>
      <c r="D836" t="s">
        <v>491</v>
      </c>
      <c r="E836" s="35" t="s">
        <v>367</v>
      </c>
      <c r="F836" s="29" t="s">
        <v>492</v>
      </c>
      <c r="G836" s="36">
        <v>5000</v>
      </c>
      <c r="H836" s="36">
        <v>50</v>
      </c>
    </row>
    <row r="837" spans="1:8">
      <c r="A837" s="62">
        <v>138544060956</v>
      </c>
      <c r="B837" t="s">
        <v>4</v>
      </c>
      <c r="C837" s="35" t="s">
        <v>367</v>
      </c>
      <c r="D837" t="s">
        <v>491</v>
      </c>
      <c r="E837" s="35" t="s">
        <v>367</v>
      </c>
      <c r="F837" s="29" t="s">
        <v>492</v>
      </c>
      <c r="G837" s="36">
        <v>5000</v>
      </c>
      <c r="H837" s="36">
        <v>50</v>
      </c>
    </row>
    <row r="838" spans="1:8">
      <c r="A838" s="62">
        <v>138544134616</v>
      </c>
      <c r="B838" t="s">
        <v>263</v>
      </c>
      <c r="C838" s="35" t="s">
        <v>367</v>
      </c>
      <c r="D838" t="s">
        <v>491</v>
      </c>
      <c r="E838" s="35" t="s">
        <v>367</v>
      </c>
      <c r="F838" s="29" t="s">
        <v>492</v>
      </c>
      <c r="G838" s="36">
        <v>80200</v>
      </c>
      <c r="H838" s="36">
        <v>802</v>
      </c>
    </row>
    <row r="839" spans="1:8">
      <c r="A839" s="62">
        <v>137905264613</v>
      </c>
      <c r="B839" t="s">
        <v>263</v>
      </c>
      <c r="C839" s="35" t="s">
        <v>367</v>
      </c>
      <c r="D839" t="s">
        <v>491</v>
      </c>
      <c r="E839" s="35" t="s">
        <v>367</v>
      </c>
      <c r="F839" s="29" t="s">
        <v>492</v>
      </c>
      <c r="G839" s="36">
        <v>43500</v>
      </c>
      <c r="H839" s="36">
        <v>435</v>
      </c>
    </row>
    <row r="840" spans="1:8">
      <c r="A840" s="62">
        <v>138544276084</v>
      </c>
      <c r="B840" t="s">
        <v>4</v>
      </c>
      <c r="C840" s="35" t="s">
        <v>367</v>
      </c>
      <c r="D840" t="s">
        <v>491</v>
      </c>
      <c r="E840" s="35" t="s">
        <v>367</v>
      </c>
      <c r="F840" s="29" t="s">
        <v>492</v>
      </c>
      <c r="G840" s="36">
        <v>5000</v>
      </c>
      <c r="H840" s="36">
        <v>50</v>
      </c>
    </row>
    <row r="841" spans="1:8">
      <c r="A841" s="62">
        <v>137905494935</v>
      </c>
      <c r="B841" t="s">
        <v>4</v>
      </c>
      <c r="C841" s="35" t="s">
        <v>367</v>
      </c>
      <c r="D841" t="s">
        <v>491</v>
      </c>
      <c r="E841" s="35" t="s">
        <v>367</v>
      </c>
      <c r="F841" s="29" t="s">
        <v>492</v>
      </c>
      <c r="G841" s="36">
        <v>11000</v>
      </c>
      <c r="H841" s="36">
        <v>110</v>
      </c>
    </row>
    <row r="842" spans="1:8">
      <c r="A842" s="62">
        <v>138544583838</v>
      </c>
      <c r="B842" t="s">
        <v>4</v>
      </c>
      <c r="C842" s="35" t="s">
        <v>367</v>
      </c>
      <c r="D842" t="s">
        <v>491</v>
      </c>
      <c r="E842" s="35" t="s">
        <v>367</v>
      </c>
      <c r="F842" s="29" t="s">
        <v>492</v>
      </c>
      <c r="G842" s="36">
        <v>4400</v>
      </c>
      <c r="H842" s="36">
        <v>44</v>
      </c>
    </row>
    <row r="843" spans="1:8">
      <c r="A843" s="62">
        <v>138544846336</v>
      </c>
      <c r="B843" t="s">
        <v>4</v>
      </c>
      <c r="C843" s="35" t="s">
        <v>367</v>
      </c>
      <c r="D843" t="s">
        <v>491</v>
      </c>
      <c r="E843" s="35" t="s">
        <v>367</v>
      </c>
      <c r="F843" s="29" t="s">
        <v>492</v>
      </c>
      <c r="G843" s="36">
        <v>4900</v>
      </c>
      <c r="H843" s="36">
        <v>49</v>
      </c>
    </row>
    <row r="844" spans="1:8">
      <c r="A844" s="62">
        <v>137906026971</v>
      </c>
      <c r="B844" t="s">
        <v>4</v>
      </c>
      <c r="C844" s="35" t="s">
        <v>367</v>
      </c>
      <c r="D844" t="s">
        <v>491</v>
      </c>
      <c r="E844" s="35" t="s">
        <v>367</v>
      </c>
      <c r="F844" s="29" t="s">
        <v>492</v>
      </c>
      <c r="G844" s="36">
        <v>12800</v>
      </c>
      <c r="H844" s="36">
        <v>128</v>
      </c>
    </row>
    <row r="845" spans="1:8">
      <c r="A845" s="62">
        <v>138545509656</v>
      </c>
      <c r="B845" t="s">
        <v>4</v>
      </c>
      <c r="C845" s="35" t="s">
        <v>367</v>
      </c>
      <c r="D845" t="s">
        <v>491</v>
      </c>
      <c r="E845" s="35" t="s">
        <v>367</v>
      </c>
      <c r="F845" s="29" t="s">
        <v>492</v>
      </c>
      <c r="G845" s="36">
        <v>17500</v>
      </c>
      <c r="H845" s="36">
        <v>175</v>
      </c>
    </row>
    <row r="846" spans="1:8">
      <c r="A846" s="62">
        <v>138545532014</v>
      </c>
      <c r="B846" t="s">
        <v>4</v>
      </c>
      <c r="C846" s="35" t="s">
        <v>367</v>
      </c>
      <c r="D846" t="s">
        <v>491</v>
      </c>
      <c r="E846" s="35" t="s">
        <v>367</v>
      </c>
      <c r="F846" s="29" t="s">
        <v>492</v>
      </c>
      <c r="G846" s="36">
        <v>13500</v>
      </c>
      <c r="H846" s="36">
        <v>135</v>
      </c>
    </row>
    <row r="847" spans="1:8">
      <c r="A847" s="62">
        <v>137906502057</v>
      </c>
      <c r="B847" t="s">
        <v>4</v>
      </c>
      <c r="C847" s="35" t="s">
        <v>367</v>
      </c>
      <c r="D847" t="s">
        <v>491</v>
      </c>
      <c r="E847" s="35" t="s">
        <v>367</v>
      </c>
      <c r="F847" s="29" t="s">
        <v>492</v>
      </c>
      <c r="G847" s="36">
        <v>10500</v>
      </c>
      <c r="H847" s="36">
        <v>105</v>
      </c>
    </row>
    <row r="848" spans="1:8">
      <c r="A848" s="62">
        <v>138034620679</v>
      </c>
      <c r="B848" t="s">
        <v>263</v>
      </c>
      <c r="C848" s="35" t="s">
        <v>367</v>
      </c>
      <c r="D848" t="s">
        <v>491</v>
      </c>
      <c r="E848" s="35" t="s">
        <v>367</v>
      </c>
      <c r="F848" s="29" t="s">
        <v>492</v>
      </c>
      <c r="G848" s="36">
        <v>19200</v>
      </c>
      <c r="H848" s="36">
        <v>192</v>
      </c>
    </row>
    <row r="849" spans="1:8">
      <c r="A849" s="62">
        <v>138034929089</v>
      </c>
      <c r="B849" t="s">
        <v>263</v>
      </c>
      <c r="C849" s="35" t="s">
        <v>367</v>
      </c>
      <c r="D849" t="s">
        <v>491</v>
      </c>
      <c r="E849" s="35" t="s">
        <v>367</v>
      </c>
      <c r="F849" s="29" t="s">
        <v>492</v>
      </c>
      <c r="G849" s="36">
        <v>100</v>
      </c>
      <c r="H849" s="36">
        <v>1</v>
      </c>
    </row>
    <row r="850" spans="1:8">
      <c r="A850" s="62">
        <v>138039811091</v>
      </c>
      <c r="B850" t="s">
        <v>263</v>
      </c>
      <c r="C850" s="35" t="s">
        <v>367</v>
      </c>
      <c r="D850" t="s">
        <v>491</v>
      </c>
      <c r="E850" s="35" t="s">
        <v>367</v>
      </c>
      <c r="F850" s="29" t="s">
        <v>492</v>
      </c>
      <c r="G850" s="36">
        <v>4800</v>
      </c>
      <c r="H850" s="36">
        <v>48</v>
      </c>
    </row>
    <row r="851" spans="1:8">
      <c r="A851" s="62">
        <v>138685012854</v>
      </c>
      <c r="B851" t="s">
        <v>4</v>
      </c>
      <c r="C851" s="35" t="s">
        <v>367</v>
      </c>
      <c r="D851" t="s">
        <v>491</v>
      </c>
      <c r="E851" s="35" t="s">
        <v>367</v>
      </c>
      <c r="F851" s="29" t="s">
        <v>492</v>
      </c>
      <c r="G851" s="36">
        <v>15000</v>
      </c>
      <c r="H851" s="36">
        <v>150</v>
      </c>
    </row>
    <row r="852" spans="1:8">
      <c r="A852" s="62">
        <v>138045999405</v>
      </c>
      <c r="B852" t="s">
        <v>263</v>
      </c>
      <c r="C852" s="35" t="s">
        <v>367</v>
      </c>
      <c r="D852" t="s">
        <v>491</v>
      </c>
      <c r="E852" s="35" t="s">
        <v>367</v>
      </c>
      <c r="F852" s="29" t="s">
        <v>492</v>
      </c>
      <c r="G852" s="36">
        <v>109900</v>
      </c>
      <c r="H852" s="36">
        <v>1099</v>
      </c>
    </row>
    <row r="853" spans="1:8">
      <c r="A853" s="62">
        <v>138047673181</v>
      </c>
      <c r="B853" t="s">
        <v>263</v>
      </c>
      <c r="C853" s="35" t="s">
        <v>367</v>
      </c>
      <c r="D853" t="s">
        <v>491</v>
      </c>
      <c r="E853" s="35" t="s">
        <v>367</v>
      </c>
      <c r="F853" s="29" t="s">
        <v>492</v>
      </c>
      <c r="G853" s="36">
        <v>32000</v>
      </c>
      <c r="H853" s="36">
        <v>320</v>
      </c>
    </row>
    <row r="854" spans="1:8">
      <c r="A854" s="62">
        <v>138052500883</v>
      </c>
      <c r="B854" t="s">
        <v>263</v>
      </c>
      <c r="C854" s="35" t="s">
        <v>367</v>
      </c>
      <c r="D854" t="s">
        <v>491</v>
      </c>
      <c r="E854" s="35" t="s">
        <v>367</v>
      </c>
      <c r="F854" s="29" t="s">
        <v>492</v>
      </c>
      <c r="G854" s="36">
        <v>5000</v>
      </c>
      <c r="H854" s="36">
        <v>50</v>
      </c>
    </row>
    <row r="855" spans="1:8">
      <c r="A855" s="62">
        <v>138692382652</v>
      </c>
      <c r="B855" t="s">
        <v>263</v>
      </c>
      <c r="C855" s="35" t="s">
        <v>367</v>
      </c>
      <c r="D855" t="s">
        <v>491</v>
      </c>
      <c r="E855" s="35" t="s">
        <v>367</v>
      </c>
      <c r="F855" s="29" t="s">
        <v>492</v>
      </c>
      <c r="G855" s="36">
        <v>10500</v>
      </c>
      <c r="H855" s="36">
        <v>105</v>
      </c>
    </row>
    <row r="856" spans="1:8">
      <c r="A856" s="62">
        <v>138053974887</v>
      </c>
      <c r="B856" t="s">
        <v>4</v>
      </c>
      <c r="C856" s="35" t="s">
        <v>367</v>
      </c>
      <c r="D856" t="s">
        <v>491</v>
      </c>
      <c r="E856" s="35" t="s">
        <v>367</v>
      </c>
      <c r="F856" s="29" t="s">
        <v>492</v>
      </c>
      <c r="G856" s="36">
        <v>40600</v>
      </c>
      <c r="H856" s="36">
        <v>406</v>
      </c>
    </row>
    <row r="857" spans="1:8">
      <c r="A857" s="62">
        <v>138055864673</v>
      </c>
      <c r="B857" t="s">
        <v>263</v>
      </c>
      <c r="C857" s="35" t="s">
        <v>367</v>
      </c>
      <c r="D857" t="s">
        <v>491</v>
      </c>
      <c r="E857" s="35" t="s">
        <v>367</v>
      </c>
      <c r="F857" s="29" t="s">
        <v>492</v>
      </c>
      <c r="G857" s="36">
        <v>177000</v>
      </c>
      <c r="H857" s="36">
        <v>1770</v>
      </c>
    </row>
    <row r="858" spans="1:8">
      <c r="A858" s="62">
        <v>138695928646</v>
      </c>
      <c r="B858" t="s">
        <v>263</v>
      </c>
      <c r="C858" s="35" t="s">
        <v>367</v>
      </c>
      <c r="D858" t="s">
        <v>491</v>
      </c>
      <c r="E858" s="35" t="s">
        <v>367</v>
      </c>
      <c r="F858" s="29" t="s">
        <v>492</v>
      </c>
      <c r="G858" s="36">
        <v>33900</v>
      </c>
      <c r="H858" s="36">
        <v>339</v>
      </c>
    </row>
    <row r="859" spans="1:8">
      <c r="A859" s="62">
        <v>138696344716</v>
      </c>
      <c r="B859" t="s">
        <v>4</v>
      </c>
      <c r="C859" s="35" t="s">
        <v>367</v>
      </c>
      <c r="D859" t="s">
        <v>491</v>
      </c>
      <c r="E859" s="35" t="s">
        <v>367</v>
      </c>
      <c r="F859" s="29" t="s">
        <v>492</v>
      </c>
      <c r="G859" s="36">
        <v>52700</v>
      </c>
      <c r="H859" s="36">
        <v>527</v>
      </c>
    </row>
    <row r="860" spans="1:8">
      <c r="A860" s="62">
        <v>138034620679</v>
      </c>
      <c r="B860" t="s">
        <v>263</v>
      </c>
      <c r="C860" s="35" t="s">
        <v>367</v>
      </c>
      <c r="D860" t="s">
        <v>287</v>
      </c>
      <c r="E860" s="35" t="s">
        <v>367</v>
      </c>
      <c r="F860" s="29" t="s">
        <v>492</v>
      </c>
      <c r="G860" s="36">
        <v>-19200</v>
      </c>
      <c r="H860" s="36">
        <v>-192</v>
      </c>
    </row>
    <row r="861" spans="1:8">
      <c r="A861" s="62">
        <v>138674677786</v>
      </c>
      <c r="B861" t="s">
        <v>263</v>
      </c>
      <c r="C861" s="35" t="s">
        <v>367</v>
      </c>
      <c r="D861" t="s">
        <v>491</v>
      </c>
      <c r="E861" s="35" t="s">
        <v>367</v>
      </c>
      <c r="F861" s="29" t="s">
        <v>492</v>
      </c>
      <c r="G861" s="36">
        <v>19200</v>
      </c>
      <c r="H861" s="36">
        <v>192</v>
      </c>
    </row>
    <row r="862" spans="1:8">
      <c r="A862" s="62">
        <v>138034929089</v>
      </c>
      <c r="B862" t="s">
        <v>263</v>
      </c>
      <c r="C862" s="35" t="s">
        <v>367</v>
      </c>
      <c r="D862" t="s">
        <v>287</v>
      </c>
      <c r="E862" s="35" t="s">
        <v>367</v>
      </c>
      <c r="F862" s="29" t="s">
        <v>492</v>
      </c>
      <c r="G862" s="36">
        <v>-100</v>
      </c>
      <c r="H862" s="36">
        <v>-1</v>
      </c>
    </row>
    <row r="863" spans="1:8">
      <c r="A863" s="62">
        <v>138699426344</v>
      </c>
      <c r="B863" t="s">
        <v>4</v>
      </c>
      <c r="C863" s="35" t="s">
        <v>367</v>
      </c>
      <c r="D863" t="s">
        <v>491</v>
      </c>
      <c r="E863" s="35" t="s">
        <v>367</v>
      </c>
      <c r="F863" s="29" t="s">
        <v>492</v>
      </c>
      <c r="G863" s="36">
        <v>31500</v>
      </c>
      <c r="H863" s="36">
        <v>315</v>
      </c>
    </row>
    <row r="864" spans="1:8">
      <c r="A864" s="62">
        <v>138060572491</v>
      </c>
      <c r="B864" t="s">
        <v>4</v>
      </c>
      <c r="C864" s="35" t="s">
        <v>367</v>
      </c>
      <c r="D864" t="s">
        <v>491</v>
      </c>
      <c r="E864" s="35" t="s">
        <v>367</v>
      </c>
      <c r="F864" s="29" t="s">
        <v>492</v>
      </c>
      <c r="G864" s="36">
        <v>16000</v>
      </c>
      <c r="H864" s="36">
        <v>160</v>
      </c>
    </row>
    <row r="865" spans="1:8">
      <c r="A865" s="62">
        <v>138061721195</v>
      </c>
      <c r="B865" t="s">
        <v>263</v>
      </c>
      <c r="C865" s="35" t="s">
        <v>367</v>
      </c>
      <c r="D865" t="s">
        <v>491</v>
      </c>
      <c r="E865" s="35" t="s">
        <v>367</v>
      </c>
      <c r="F865" s="29" t="s">
        <v>492</v>
      </c>
      <c r="G865" s="36">
        <v>76300</v>
      </c>
      <c r="H865" s="36">
        <v>763</v>
      </c>
    </row>
    <row r="866" spans="1:8">
      <c r="A866" s="62">
        <v>138061896843</v>
      </c>
      <c r="B866" t="s">
        <v>263</v>
      </c>
      <c r="C866" s="35" t="s">
        <v>367</v>
      </c>
      <c r="D866" t="s">
        <v>491</v>
      </c>
      <c r="E866" s="35" t="s">
        <v>367</v>
      </c>
      <c r="F866" s="29" t="s">
        <v>492</v>
      </c>
      <c r="G866" s="36">
        <v>36400</v>
      </c>
      <c r="H866" s="36">
        <v>364</v>
      </c>
    </row>
    <row r="867" spans="1:8">
      <c r="A867" s="62">
        <v>138703142834</v>
      </c>
      <c r="B867" t="s">
        <v>4</v>
      </c>
      <c r="C867" s="35" t="s">
        <v>367</v>
      </c>
      <c r="D867" t="s">
        <v>491</v>
      </c>
      <c r="E867" s="35" t="s">
        <v>367</v>
      </c>
      <c r="F867" s="29" t="s">
        <v>492</v>
      </c>
      <c r="G867" s="36">
        <v>4800</v>
      </c>
      <c r="H867" s="36">
        <v>48</v>
      </c>
    </row>
    <row r="868" spans="1:8">
      <c r="A868" s="62">
        <v>138041526863</v>
      </c>
      <c r="B868" t="s">
        <v>4</v>
      </c>
      <c r="C868" s="35" t="s">
        <v>367</v>
      </c>
      <c r="D868" t="s">
        <v>491</v>
      </c>
      <c r="E868" s="35" t="s">
        <v>367</v>
      </c>
      <c r="F868" s="29" t="s">
        <v>492</v>
      </c>
      <c r="G868" s="36">
        <v>16700</v>
      </c>
      <c r="H868" s="36">
        <v>167</v>
      </c>
    </row>
    <row r="869" spans="1:8">
      <c r="A869" s="62">
        <v>138703994676</v>
      </c>
      <c r="B869" t="s">
        <v>4</v>
      </c>
      <c r="C869" s="35" t="s">
        <v>367</v>
      </c>
      <c r="D869" t="s">
        <v>491</v>
      </c>
      <c r="E869" s="35" t="s">
        <v>379</v>
      </c>
      <c r="F869" s="29" t="s">
        <v>492</v>
      </c>
      <c r="G869" s="36">
        <v>50700</v>
      </c>
      <c r="H869" s="36">
        <v>507</v>
      </c>
    </row>
    <row r="870" spans="1:8">
      <c r="A870" s="62">
        <v>138704550514</v>
      </c>
      <c r="B870" t="s">
        <v>4</v>
      </c>
      <c r="C870" s="35" t="s">
        <v>367</v>
      </c>
      <c r="D870" t="s">
        <v>491</v>
      </c>
      <c r="E870" s="35" t="s">
        <v>379</v>
      </c>
      <c r="F870" s="29" t="s">
        <v>492</v>
      </c>
      <c r="G870" s="36">
        <v>65900</v>
      </c>
      <c r="H870" s="36">
        <v>659</v>
      </c>
    </row>
    <row r="871" spans="1:8">
      <c r="A871" s="62">
        <v>138705039232</v>
      </c>
      <c r="B871" t="s">
        <v>4</v>
      </c>
      <c r="C871" s="35" t="s">
        <v>367</v>
      </c>
      <c r="D871" t="s">
        <v>491</v>
      </c>
      <c r="E871" s="35" t="s">
        <v>379</v>
      </c>
      <c r="F871" s="29" t="s">
        <v>492</v>
      </c>
      <c r="G871" s="36">
        <v>5000</v>
      </c>
      <c r="H871" s="36">
        <v>50</v>
      </c>
    </row>
    <row r="872" spans="1:8">
      <c r="A872" s="62">
        <v>138043978781</v>
      </c>
      <c r="B872" t="s">
        <v>4</v>
      </c>
      <c r="C872" s="35" t="s">
        <v>367</v>
      </c>
      <c r="D872" t="s">
        <v>491</v>
      </c>
      <c r="E872" s="35" t="s">
        <v>367</v>
      </c>
      <c r="F872" s="29" t="s">
        <v>492</v>
      </c>
      <c r="G872" s="36">
        <v>5500</v>
      </c>
      <c r="H872" s="36">
        <v>55</v>
      </c>
    </row>
    <row r="873" spans="1:8">
      <c r="A873" s="62">
        <v>138708147740</v>
      </c>
      <c r="B873" t="s">
        <v>4</v>
      </c>
      <c r="C873" s="35" t="s">
        <v>367</v>
      </c>
      <c r="D873" t="s">
        <v>491</v>
      </c>
      <c r="E873" s="35" t="s">
        <v>379</v>
      </c>
      <c r="F873" s="29" t="s">
        <v>492</v>
      </c>
      <c r="G873" s="36">
        <v>42800</v>
      </c>
      <c r="H873" s="36">
        <v>428</v>
      </c>
    </row>
    <row r="874" spans="1:8">
      <c r="A874" s="62">
        <v>138685196796</v>
      </c>
      <c r="B874" t="s">
        <v>263</v>
      </c>
      <c r="C874" s="35" t="s">
        <v>367</v>
      </c>
      <c r="D874" t="s">
        <v>491</v>
      </c>
      <c r="E874" s="35" t="s">
        <v>367</v>
      </c>
      <c r="F874" s="29" t="s">
        <v>492</v>
      </c>
      <c r="G874" s="36">
        <v>10000</v>
      </c>
      <c r="H874" s="36">
        <v>100</v>
      </c>
    </row>
    <row r="875" spans="1:8">
      <c r="A875" s="62">
        <v>138709041032</v>
      </c>
      <c r="B875" t="s">
        <v>4</v>
      </c>
      <c r="C875" s="35" t="s">
        <v>379</v>
      </c>
      <c r="D875" t="s">
        <v>491</v>
      </c>
      <c r="E875" s="35" t="s">
        <v>379</v>
      </c>
      <c r="F875" s="29" t="s">
        <v>492</v>
      </c>
      <c r="G875" s="36">
        <v>67500</v>
      </c>
      <c r="H875" s="36">
        <v>675</v>
      </c>
    </row>
    <row r="876" spans="1:8">
      <c r="A876" s="62">
        <v>138710023050</v>
      </c>
      <c r="B876" t="s">
        <v>263</v>
      </c>
      <c r="C876" s="35" t="s">
        <v>379</v>
      </c>
      <c r="D876" t="s">
        <v>491</v>
      </c>
      <c r="E876" s="35" t="s">
        <v>379</v>
      </c>
      <c r="F876" s="29" t="s">
        <v>492</v>
      </c>
      <c r="G876" s="36">
        <v>5000</v>
      </c>
      <c r="H876" s="36">
        <v>50</v>
      </c>
    </row>
    <row r="877" spans="1:8">
      <c r="A877" s="62">
        <v>138069999425</v>
      </c>
      <c r="B877" t="s">
        <v>263</v>
      </c>
      <c r="C877" s="35" t="s">
        <v>379</v>
      </c>
      <c r="D877" t="s">
        <v>491</v>
      </c>
      <c r="E877" s="35" t="s">
        <v>379</v>
      </c>
      <c r="F877" s="29" t="s">
        <v>492</v>
      </c>
      <c r="G877" s="36">
        <v>4800</v>
      </c>
      <c r="H877" s="36">
        <v>48</v>
      </c>
    </row>
    <row r="878" spans="1:8">
      <c r="A878" s="62">
        <v>138687056118</v>
      </c>
      <c r="B878" t="s">
        <v>4</v>
      </c>
      <c r="C878" s="35" t="s">
        <v>367</v>
      </c>
      <c r="D878" t="s">
        <v>491</v>
      </c>
      <c r="E878" s="35" t="s">
        <v>367</v>
      </c>
      <c r="F878" s="29" t="s">
        <v>492</v>
      </c>
      <c r="G878" s="36">
        <v>11000</v>
      </c>
      <c r="H878" s="36">
        <v>110</v>
      </c>
    </row>
    <row r="879" spans="1:8">
      <c r="A879" s="62">
        <v>138710725930</v>
      </c>
      <c r="B879" t="s">
        <v>4</v>
      </c>
      <c r="C879" s="35" t="s">
        <v>379</v>
      </c>
      <c r="D879" t="s">
        <v>491</v>
      </c>
      <c r="E879" s="35" t="s">
        <v>379</v>
      </c>
      <c r="F879" s="29" t="s">
        <v>492</v>
      </c>
      <c r="G879" s="36">
        <v>5500</v>
      </c>
      <c r="H879" s="36">
        <v>55</v>
      </c>
    </row>
    <row r="880" spans="1:8">
      <c r="A880" s="62">
        <v>138711660284</v>
      </c>
      <c r="B880" t="s">
        <v>4</v>
      </c>
      <c r="C880" s="35" t="s">
        <v>379</v>
      </c>
      <c r="D880" t="s">
        <v>491</v>
      </c>
      <c r="E880" s="35" t="s">
        <v>379</v>
      </c>
      <c r="F880" s="29" t="s">
        <v>492</v>
      </c>
      <c r="G880" s="36">
        <v>20000</v>
      </c>
      <c r="H880" s="36">
        <v>200</v>
      </c>
    </row>
    <row r="881" spans="1:8">
      <c r="A881" s="62">
        <v>138071717769</v>
      </c>
      <c r="B881" t="s">
        <v>4</v>
      </c>
      <c r="C881" s="35" t="s">
        <v>379</v>
      </c>
      <c r="D881" t="s">
        <v>491</v>
      </c>
      <c r="E881" s="35" t="s">
        <v>379</v>
      </c>
      <c r="F881" s="29" t="s">
        <v>492</v>
      </c>
      <c r="G881" s="36">
        <v>26300</v>
      </c>
      <c r="H881" s="36">
        <v>263</v>
      </c>
    </row>
    <row r="882" spans="1:8">
      <c r="A882" s="62">
        <v>138072709179</v>
      </c>
      <c r="B882" t="s">
        <v>263</v>
      </c>
      <c r="C882" s="35" t="s">
        <v>379</v>
      </c>
      <c r="D882" t="s">
        <v>491</v>
      </c>
      <c r="E882" s="35" t="s">
        <v>379</v>
      </c>
      <c r="F882" s="29" t="s">
        <v>492</v>
      </c>
      <c r="G882" s="36">
        <v>30200</v>
      </c>
      <c r="H882" s="36">
        <v>302</v>
      </c>
    </row>
    <row r="883" spans="1:8">
      <c r="A883" s="62">
        <v>138049357257</v>
      </c>
      <c r="B883" t="s">
        <v>4</v>
      </c>
      <c r="C883" s="35" t="s">
        <v>367</v>
      </c>
      <c r="D883" t="s">
        <v>491</v>
      </c>
      <c r="E883" s="35" t="s">
        <v>367</v>
      </c>
      <c r="F883" s="29" t="s">
        <v>492</v>
      </c>
      <c r="G883" s="36">
        <v>10500</v>
      </c>
      <c r="H883" s="36">
        <v>105</v>
      </c>
    </row>
    <row r="884" spans="1:8">
      <c r="A884" s="62">
        <v>138713132944</v>
      </c>
      <c r="B884" t="s">
        <v>4</v>
      </c>
      <c r="C884" s="35" t="s">
        <v>379</v>
      </c>
      <c r="D884" t="s">
        <v>491</v>
      </c>
      <c r="E884" s="35" t="s">
        <v>379</v>
      </c>
      <c r="F884" s="29" t="s">
        <v>492</v>
      </c>
      <c r="G884" s="36">
        <v>35500</v>
      </c>
      <c r="H884" s="36">
        <v>355</v>
      </c>
    </row>
    <row r="885" spans="1:8">
      <c r="A885" s="62">
        <v>138713390948</v>
      </c>
      <c r="B885" t="s">
        <v>263</v>
      </c>
      <c r="C885" s="35" t="s">
        <v>379</v>
      </c>
      <c r="D885" t="s">
        <v>491</v>
      </c>
      <c r="E885" s="35" t="s">
        <v>379</v>
      </c>
      <c r="F885" s="29" t="s">
        <v>492</v>
      </c>
      <c r="G885" s="36">
        <v>25400</v>
      </c>
      <c r="H885" s="36">
        <v>254</v>
      </c>
    </row>
    <row r="886" spans="1:8">
      <c r="A886" s="62">
        <v>138713517800</v>
      </c>
      <c r="B886" t="s">
        <v>263</v>
      </c>
      <c r="C886" s="35" t="s">
        <v>379</v>
      </c>
      <c r="D886" t="s">
        <v>491</v>
      </c>
      <c r="E886" s="35" t="s">
        <v>379</v>
      </c>
      <c r="F886" s="29" t="s">
        <v>492</v>
      </c>
      <c r="G886" s="36">
        <v>50500</v>
      </c>
      <c r="H886" s="36">
        <v>505</v>
      </c>
    </row>
    <row r="887" spans="1:8">
      <c r="A887" s="62">
        <v>138691649412</v>
      </c>
      <c r="B887" t="s">
        <v>4</v>
      </c>
      <c r="C887" s="35" t="s">
        <v>367</v>
      </c>
      <c r="D887" t="s">
        <v>491</v>
      </c>
      <c r="E887" s="35" t="s">
        <v>367</v>
      </c>
      <c r="F887" s="29" t="s">
        <v>492</v>
      </c>
      <c r="G887" s="36">
        <v>15000</v>
      </c>
      <c r="H887" s="36">
        <v>150</v>
      </c>
    </row>
    <row r="888" spans="1:8">
      <c r="A888" s="62">
        <v>138052305423</v>
      </c>
      <c r="B888" t="s">
        <v>263</v>
      </c>
      <c r="C888" s="35" t="s">
        <v>367</v>
      </c>
      <c r="D888" t="s">
        <v>491</v>
      </c>
      <c r="E888" s="35" t="s">
        <v>367</v>
      </c>
      <c r="F888" s="29" t="s">
        <v>492</v>
      </c>
      <c r="G888" s="36">
        <v>12500</v>
      </c>
      <c r="H888" s="36">
        <v>125</v>
      </c>
    </row>
    <row r="889" spans="1:8">
      <c r="A889" s="62">
        <v>138053465951</v>
      </c>
      <c r="B889" t="s">
        <v>4</v>
      </c>
      <c r="C889" s="35" t="s">
        <v>367</v>
      </c>
      <c r="D889" t="s">
        <v>491</v>
      </c>
      <c r="E889" s="35" t="s">
        <v>367</v>
      </c>
      <c r="F889" s="29" t="s">
        <v>492</v>
      </c>
      <c r="G889" s="36">
        <v>10500</v>
      </c>
      <c r="H889" s="36">
        <v>105</v>
      </c>
    </row>
    <row r="890" spans="1:8">
      <c r="A890" s="62">
        <v>138055103481</v>
      </c>
      <c r="B890" t="s">
        <v>263</v>
      </c>
      <c r="C890" s="35" t="s">
        <v>367</v>
      </c>
      <c r="D890" t="s">
        <v>491</v>
      </c>
      <c r="E890" s="35" t="s">
        <v>367</v>
      </c>
      <c r="F890" s="29" t="s">
        <v>492</v>
      </c>
      <c r="G890" s="36">
        <v>59800</v>
      </c>
      <c r="H890" s="36">
        <v>598</v>
      </c>
    </row>
    <row r="891" spans="1:8">
      <c r="A891" s="62">
        <v>138056660625</v>
      </c>
      <c r="B891" t="s">
        <v>263</v>
      </c>
      <c r="C891" s="35" t="s">
        <v>367</v>
      </c>
      <c r="D891" t="s">
        <v>491</v>
      </c>
      <c r="E891" s="35" t="s">
        <v>367</v>
      </c>
      <c r="F891" s="29" t="s">
        <v>492</v>
      </c>
      <c r="G891" s="36">
        <v>30500</v>
      </c>
      <c r="H891" s="36">
        <v>305</v>
      </c>
    </row>
    <row r="892" spans="1:8">
      <c r="A892" s="62">
        <v>138697904534</v>
      </c>
      <c r="B892" t="s">
        <v>4</v>
      </c>
      <c r="C892" s="35" t="s">
        <v>367</v>
      </c>
      <c r="D892" t="s">
        <v>491</v>
      </c>
      <c r="E892" s="35" t="s">
        <v>367</v>
      </c>
      <c r="F892" s="29" t="s">
        <v>492</v>
      </c>
      <c r="G892" s="36">
        <v>59700</v>
      </c>
      <c r="H892" s="36">
        <v>597</v>
      </c>
    </row>
    <row r="893" spans="1:8">
      <c r="A893" s="62">
        <v>138058107457</v>
      </c>
      <c r="B893" t="s">
        <v>4</v>
      </c>
      <c r="C893" s="35" t="s">
        <v>367</v>
      </c>
      <c r="D893" t="s">
        <v>491</v>
      </c>
      <c r="E893" s="35" t="s">
        <v>367</v>
      </c>
      <c r="F893" s="29" t="s">
        <v>492</v>
      </c>
      <c r="G893" s="36">
        <v>51600</v>
      </c>
      <c r="H893" s="36">
        <v>516</v>
      </c>
    </row>
    <row r="894" spans="1:8">
      <c r="A894" s="62">
        <v>138060170477</v>
      </c>
      <c r="B894" t="s">
        <v>4</v>
      </c>
      <c r="C894" s="35" t="s">
        <v>367</v>
      </c>
      <c r="D894" t="s">
        <v>491</v>
      </c>
      <c r="E894" s="35" t="s">
        <v>367</v>
      </c>
      <c r="F894" s="29" t="s">
        <v>492</v>
      </c>
      <c r="G894" s="36">
        <v>29300</v>
      </c>
      <c r="H894" s="36">
        <v>293</v>
      </c>
    </row>
    <row r="895" spans="1:8">
      <c r="A895" s="62">
        <v>138701890684</v>
      </c>
      <c r="B895" t="s">
        <v>263</v>
      </c>
      <c r="C895" s="35" t="s">
        <v>367</v>
      </c>
      <c r="D895" t="s">
        <v>491</v>
      </c>
      <c r="E895" s="35" t="s">
        <v>367</v>
      </c>
      <c r="F895" s="29" t="s">
        <v>492</v>
      </c>
      <c r="G895" s="36">
        <v>113900</v>
      </c>
      <c r="H895" s="36">
        <v>1139</v>
      </c>
    </row>
    <row r="896" spans="1:8">
      <c r="A896" s="62">
        <v>138062703771</v>
      </c>
      <c r="B896" t="s">
        <v>263</v>
      </c>
      <c r="C896" s="35" t="s">
        <v>367</v>
      </c>
      <c r="D896" t="s">
        <v>491</v>
      </c>
      <c r="E896" s="35" t="s">
        <v>367</v>
      </c>
      <c r="F896" s="29" t="s">
        <v>492</v>
      </c>
      <c r="G896" s="36">
        <v>59600</v>
      </c>
      <c r="H896" s="36">
        <v>596</v>
      </c>
    </row>
    <row r="897" spans="1:8">
      <c r="A897" s="62">
        <v>138702659938</v>
      </c>
      <c r="B897" t="s">
        <v>4</v>
      </c>
      <c r="C897" s="35" t="s">
        <v>367</v>
      </c>
      <c r="D897" t="s">
        <v>491</v>
      </c>
      <c r="E897" s="35" t="s">
        <v>367</v>
      </c>
      <c r="F897" s="29" t="s">
        <v>492</v>
      </c>
      <c r="G897" s="36">
        <v>104400</v>
      </c>
      <c r="H897" s="36">
        <v>1044</v>
      </c>
    </row>
    <row r="898" spans="1:8">
      <c r="A898" s="62">
        <v>138702853772</v>
      </c>
      <c r="B898" t="s">
        <v>263</v>
      </c>
      <c r="C898" s="35" t="s">
        <v>367</v>
      </c>
      <c r="D898" t="s">
        <v>491</v>
      </c>
      <c r="E898" s="35" t="s">
        <v>367</v>
      </c>
      <c r="F898" s="29" t="s">
        <v>492</v>
      </c>
      <c r="G898" s="36">
        <v>4800</v>
      </c>
      <c r="H898" s="36">
        <v>48</v>
      </c>
    </row>
    <row r="899" spans="1:8">
      <c r="A899" s="62">
        <v>138706049188</v>
      </c>
      <c r="B899" t="s">
        <v>263</v>
      </c>
      <c r="C899" s="35" t="s">
        <v>367</v>
      </c>
      <c r="D899" t="s">
        <v>491</v>
      </c>
      <c r="E899" s="35" t="s">
        <v>379</v>
      </c>
      <c r="F899" s="29" t="s">
        <v>492</v>
      </c>
      <c r="G899" s="36">
        <v>45000</v>
      </c>
      <c r="H899" s="36">
        <v>450</v>
      </c>
    </row>
    <row r="900" spans="1:8">
      <c r="A900" s="62">
        <v>138066372851</v>
      </c>
      <c r="B900" t="s">
        <v>263</v>
      </c>
      <c r="C900" s="35" t="s">
        <v>367</v>
      </c>
      <c r="D900" t="s">
        <v>491</v>
      </c>
      <c r="E900" s="35" t="s">
        <v>379</v>
      </c>
      <c r="F900" s="29" t="s">
        <v>492</v>
      </c>
      <c r="G900" s="36">
        <v>4800</v>
      </c>
      <c r="H900" s="36">
        <v>48</v>
      </c>
    </row>
    <row r="901" spans="1:8">
      <c r="A901" s="62">
        <v>138706937248</v>
      </c>
      <c r="B901" t="s">
        <v>263</v>
      </c>
      <c r="C901" s="35" t="s">
        <v>367</v>
      </c>
      <c r="D901" t="s">
        <v>491</v>
      </c>
      <c r="E901" s="35" t="s">
        <v>379</v>
      </c>
      <c r="F901" s="29" t="s">
        <v>492</v>
      </c>
      <c r="G901" s="36">
        <v>55700</v>
      </c>
      <c r="H901" s="36">
        <v>557</v>
      </c>
    </row>
    <row r="902" spans="1:8">
      <c r="A902" s="62">
        <v>138707444206</v>
      </c>
      <c r="B902" t="s">
        <v>263</v>
      </c>
      <c r="C902" s="35" t="s">
        <v>367</v>
      </c>
      <c r="D902" t="s">
        <v>491</v>
      </c>
      <c r="E902" s="35" t="s">
        <v>379</v>
      </c>
      <c r="F902" s="29" t="s">
        <v>492</v>
      </c>
      <c r="G902" s="36">
        <v>91200</v>
      </c>
      <c r="H902" s="36">
        <v>912</v>
      </c>
    </row>
    <row r="903" spans="1:8">
      <c r="A903" s="62">
        <v>138067716027</v>
      </c>
      <c r="B903" t="s">
        <v>4</v>
      </c>
      <c r="C903" s="35" t="s">
        <v>367</v>
      </c>
      <c r="D903" t="s">
        <v>491</v>
      </c>
      <c r="E903" s="35" t="s">
        <v>379</v>
      </c>
      <c r="F903" s="29" t="s">
        <v>492</v>
      </c>
      <c r="G903" s="36">
        <v>44300</v>
      </c>
      <c r="H903" s="36">
        <v>443</v>
      </c>
    </row>
    <row r="904" spans="1:8">
      <c r="A904" s="62">
        <v>138068490929</v>
      </c>
      <c r="B904" t="s">
        <v>4</v>
      </c>
      <c r="C904" s="35" t="s">
        <v>379</v>
      </c>
      <c r="D904" t="s">
        <v>491</v>
      </c>
      <c r="E904" s="35" t="s">
        <v>379</v>
      </c>
      <c r="F904" s="29" t="s">
        <v>492</v>
      </c>
      <c r="G904" s="36">
        <v>34500</v>
      </c>
      <c r="H904" s="36">
        <v>345</v>
      </c>
    </row>
    <row r="905" spans="1:8">
      <c r="A905" s="62">
        <v>138068724249</v>
      </c>
      <c r="B905" t="s">
        <v>4</v>
      </c>
      <c r="C905" s="35" t="s">
        <v>379</v>
      </c>
      <c r="D905" t="s">
        <v>491</v>
      </c>
      <c r="E905" s="35" t="s">
        <v>379</v>
      </c>
      <c r="F905" s="29" t="s">
        <v>492</v>
      </c>
      <c r="G905" s="36">
        <v>47500</v>
      </c>
      <c r="H905" s="36">
        <v>475</v>
      </c>
    </row>
    <row r="906" spans="1:8">
      <c r="A906" s="62">
        <v>138709043828</v>
      </c>
      <c r="B906" t="s">
        <v>4</v>
      </c>
      <c r="C906" s="35" t="s">
        <v>379</v>
      </c>
      <c r="D906" t="s">
        <v>491</v>
      </c>
      <c r="E906" s="35" t="s">
        <v>379</v>
      </c>
      <c r="F906" s="29" t="s">
        <v>492</v>
      </c>
      <c r="G906" s="36">
        <v>47200</v>
      </c>
      <c r="H906" s="36">
        <v>472</v>
      </c>
    </row>
    <row r="907" spans="1:8">
      <c r="A907" s="62">
        <v>138709514288</v>
      </c>
      <c r="B907" t="s">
        <v>4</v>
      </c>
      <c r="C907" s="35" t="s">
        <v>379</v>
      </c>
      <c r="D907" t="s">
        <v>491</v>
      </c>
      <c r="E907" s="35" t="s">
        <v>379</v>
      </c>
      <c r="F907" s="29" t="s">
        <v>492</v>
      </c>
      <c r="G907" s="36">
        <v>20700</v>
      </c>
      <c r="H907" s="36">
        <v>207</v>
      </c>
    </row>
    <row r="908" spans="1:8">
      <c r="A908" s="62">
        <v>138710020218</v>
      </c>
      <c r="B908" t="s">
        <v>4</v>
      </c>
      <c r="C908" s="35" t="s">
        <v>379</v>
      </c>
      <c r="D908" t="s">
        <v>491</v>
      </c>
      <c r="E908" s="35" t="s">
        <v>379</v>
      </c>
      <c r="F908" s="29" t="s">
        <v>492</v>
      </c>
      <c r="G908" s="36">
        <v>37600</v>
      </c>
      <c r="H908" s="36">
        <v>376</v>
      </c>
    </row>
    <row r="909" spans="1:8">
      <c r="A909" s="62">
        <v>138070771505</v>
      </c>
      <c r="B909" t="s">
        <v>4</v>
      </c>
      <c r="C909" s="35" t="s">
        <v>379</v>
      </c>
      <c r="D909" t="s">
        <v>491</v>
      </c>
      <c r="E909" s="35" t="s">
        <v>379</v>
      </c>
      <c r="F909" s="29" t="s">
        <v>492</v>
      </c>
      <c r="G909" s="36">
        <v>5500</v>
      </c>
      <c r="H909" s="36">
        <v>55</v>
      </c>
    </row>
    <row r="910" spans="1:8">
      <c r="A910" s="62">
        <v>138071304667</v>
      </c>
      <c r="B910" t="s">
        <v>4</v>
      </c>
      <c r="C910" s="35" t="s">
        <v>379</v>
      </c>
      <c r="D910" t="s">
        <v>491</v>
      </c>
      <c r="E910" s="35" t="s">
        <v>379</v>
      </c>
      <c r="F910" s="29" t="s">
        <v>492</v>
      </c>
      <c r="G910" s="36">
        <v>26500</v>
      </c>
      <c r="H910" s="36">
        <v>265</v>
      </c>
    </row>
    <row r="911" spans="1:8">
      <c r="A911" s="62">
        <v>138712596668</v>
      </c>
      <c r="B911" t="s">
        <v>263</v>
      </c>
      <c r="C911" s="35" t="s">
        <v>379</v>
      </c>
      <c r="D911" t="s">
        <v>491</v>
      </c>
      <c r="E911" s="35" t="s">
        <v>379</v>
      </c>
      <c r="F911" s="29" t="s">
        <v>492</v>
      </c>
      <c r="G911" s="36">
        <v>27900</v>
      </c>
      <c r="H911" s="36">
        <v>279</v>
      </c>
    </row>
    <row r="912" spans="1:8">
      <c r="A912" s="62">
        <v>138072727715</v>
      </c>
      <c r="B912" t="s">
        <v>4</v>
      </c>
      <c r="C912" s="35" t="s">
        <v>379</v>
      </c>
      <c r="D912" t="s">
        <v>491</v>
      </c>
      <c r="E912" s="35" t="s">
        <v>379</v>
      </c>
      <c r="F912" s="29" t="s">
        <v>492</v>
      </c>
      <c r="G912" s="36">
        <v>27500</v>
      </c>
      <c r="H912" s="36">
        <v>275</v>
      </c>
    </row>
    <row r="913" spans="1:8">
      <c r="A913" s="62">
        <v>138712746706</v>
      </c>
      <c r="B913" t="s">
        <v>4</v>
      </c>
      <c r="C913" s="35" t="s">
        <v>379</v>
      </c>
      <c r="D913" t="s">
        <v>491</v>
      </c>
      <c r="E913" s="35" t="s">
        <v>379</v>
      </c>
      <c r="F913" s="29" t="s">
        <v>492</v>
      </c>
      <c r="G913" s="36">
        <v>10500</v>
      </c>
      <c r="H913" s="36">
        <v>105</v>
      </c>
    </row>
    <row r="914" spans="1:8">
      <c r="A914" s="62">
        <v>138072784035</v>
      </c>
      <c r="B914" t="s">
        <v>4</v>
      </c>
      <c r="C914" s="35" t="s">
        <v>379</v>
      </c>
      <c r="D914" t="s">
        <v>491</v>
      </c>
      <c r="E914" s="35" t="s">
        <v>379</v>
      </c>
      <c r="F914" s="29" t="s">
        <v>492</v>
      </c>
      <c r="G914" s="36">
        <v>58800</v>
      </c>
      <c r="H914" s="36">
        <v>588</v>
      </c>
    </row>
    <row r="915" spans="1:8">
      <c r="A915" s="62">
        <v>138073452173</v>
      </c>
      <c r="B915" t="s">
        <v>4</v>
      </c>
      <c r="C915" s="35" t="s">
        <v>379</v>
      </c>
      <c r="D915" t="s">
        <v>491</v>
      </c>
      <c r="E915" s="35" t="s">
        <v>379</v>
      </c>
      <c r="F915" s="29" t="s">
        <v>492</v>
      </c>
      <c r="G915" s="36">
        <v>20000</v>
      </c>
      <c r="H915" s="36">
        <v>200</v>
      </c>
    </row>
    <row r="916" spans="1:8">
      <c r="A916" s="62">
        <v>138180185879</v>
      </c>
      <c r="B916" t="s">
        <v>4</v>
      </c>
      <c r="C916" s="35" t="s">
        <v>379</v>
      </c>
      <c r="D916" t="s">
        <v>491</v>
      </c>
      <c r="E916" s="35" t="s">
        <v>379</v>
      </c>
      <c r="F916" s="29" t="s">
        <v>492</v>
      </c>
      <c r="G916" s="36">
        <v>10000</v>
      </c>
      <c r="H916" s="36">
        <v>100</v>
      </c>
    </row>
    <row r="917" spans="1:8">
      <c r="A917" s="62">
        <v>138830273878</v>
      </c>
      <c r="B917" t="s">
        <v>263</v>
      </c>
      <c r="C917" s="35" t="s">
        <v>379</v>
      </c>
      <c r="D917" t="s">
        <v>491</v>
      </c>
      <c r="E917" s="35" t="s">
        <v>379</v>
      </c>
      <c r="F917" s="29" t="s">
        <v>492</v>
      </c>
      <c r="G917" s="36">
        <v>6000</v>
      </c>
      <c r="H917" s="36">
        <v>60</v>
      </c>
    </row>
    <row r="918" spans="1:8">
      <c r="A918" s="62">
        <v>138831169662</v>
      </c>
      <c r="B918" t="s">
        <v>4</v>
      </c>
      <c r="C918" s="35" t="s">
        <v>379</v>
      </c>
      <c r="D918" t="s">
        <v>491</v>
      </c>
      <c r="E918" s="35" t="s">
        <v>379</v>
      </c>
      <c r="F918" s="29" t="s">
        <v>492</v>
      </c>
      <c r="G918" s="36">
        <v>5500</v>
      </c>
      <c r="H918" s="36">
        <v>55</v>
      </c>
    </row>
    <row r="919" spans="1:8">
      <c r="A919" s="62">
        <v>138834531356</v>
      </c>
      <c r="B919" t="s">
        <v>4</v>
      </c>
      <c r="C919" s="35" t="s">
        <v>379</v>
      </c>
      <c r="D919" t="s">
        <v>491</v>
      </c>
      <c r="E919" s="35" t="s">
        <v>379</v>
      </c>
      <c r="F919" s="29" t="s">
        <v>492</v>
      </c>
      <c r="G919" s="36">
        <v>12900</v>
      </c>
      <c r="H919" s="36">
        <v>129</v>
      </c>
    </row>
    <row r="920" spans="1:8">
      <c r="A920" s="62">
        <v>138201467989</v>
      </c>
      <c r="B920" t="s">
        <v>4</v>
      </c>
      <c r="C920" s="35" t="s">
        <v>379</v>
      </c>
      <c r="D920" t="s">
        <v>491</v>
      </c>
      <c r="E920" s="35" t="s">
        <v>379</v>
      </c>
      <c r="F920" s="29" t="s">
        <v>492</v>
      </c>
      <c r="G920" s="36">
        <v>27300</v>
      </c>
      <c r="H920" s="36">
        <v>273</v>
      </c>
    </row>
    <row r="921" spans="1:8">
      <c r="A921" s="62">
        <v>138820146078</v>
      </c>
      <c r="B921" t="s">
        <v>4</v>
      </c>
      <c r="C921" s="35" t="s">
        <v>379</v>
      </c>
      <c r="D921" t="s">
        <v>491</v>
      </c>
      <c r="E921" s="35" t="s">
        <v>379</v>
      </c>
      <c r="F921" s="29" t="s">
        <v>492</v>
      </c>
      <c r="G921" s="36">
        <v>10000</v>
      </c>
      <c r="H921" s="36">
        <v>100</v>
      </c>
    </row>
    <row r="922" spans="1:8">
      <c r="A922" s="62">
        <v>138206888477</v>
      </c>
      <c r="B922" t="s">
        <v>263</v>
      </c>
      <c r="C922" s="35" t="s">
        <v>379</v>
      </c>
      <c r="D922" t="s">
        <v>491</v>
      </c>
      <c r="E922" s="35" t="s">
        <v>379</v>
      </c>
      <c r="F922" s="29" t="s">
        <v>492</v>
      </c>
      <c r="G922" s="36">
        <v>58500</v>
      </c>
      <c r="H922" s="36">
        <v>585</v>
      </c>
    </row>
    <row r="923" spans="1:8">
      <c r="A923" s="62">
        <v>138847468360</v>
      </c>
      <c r="B923" t="s">
        <v>263</v>
      </c>
      <c r="C923" s="35" t="s">
        <v>379</v>
      </c>
      <c r="D923" t="s">
        <v>491</v>
      </c>
      <c r="E923" s="35" t="s">
        <v>379</v>
      </c>
      <c r="F923" s="29" t="s">
        <v>492</v>
      </c>
      <c r="G923" s="36">
        <v>16500</v>
      </c>
      <c r="H923" s="36">
        <v>165</v>
      </c>
    </row>
    <row r="924" spans="1:8">
      <c r="A924" s="62">
        <v>138207560423</v>
      </c>
      <c r="B924" t="s">
        <v>4</v>
      </c>
      <c r="C924" s="35" t="s">
        <v>379</v>
      </c>
      <c r="D924" t="s">
        <v>491</v>
      </c>
      <c r="E924" s="35" t="s">
        <v>379</v>
      </c>
      <c r="F924" s="29" t="s">
        <v>492</v>
      </c>
      <c r="G924" s="36">
        <v>81500</v>
      </c>
      <c r="H924" s="36">
        <v>815</v>
      </c>
    </row>
    <row r="925" spans="1:8">
      <c r="A925" s="62">
        <v>138849036742</v>
      </c>
      <c r="B925" t="s">
        <v>4</v>
      </c>
      <c r="C925" s="35" t="s">
        <v>379</v>
      </c>
      <c r="D925" t="s">
        <v>491</v>
      </c>
      <c r="E925" s="35" t="s">
        <v>387</v>
      </c>
      <c r="F925" s="29" t="s">
        <v>492</v>
      </c>
      <c r="G925" s="36">
        <v>3000</v>
      </c>
      <c r="H925" s="36">
        <v>30</v>
      </c>
    </row>
    <row r="926" spans="1:8">
      <c r="A926" s="62">
        <v>138849484320</v>
      </c>
      <c r="B926" t="s">
        <v>263</v>
      </c>
      <c r="C926" s="35" t="s">
        <v>379</v>
      </c>
      <c r="D926" t="s">
        <v>491</v>
      </c>
      <c r="E926" s="35" t="s">
        <v>387</v>
      </c>
      <c r="F926" s="29" t="s">
        <v>492</v>
      </c>
      <c r="G926" s="36">
        <v>10000</v>
      </c>
      <c r="H926" s="36">
        <v>100</v>
      </c>
    </row>
    <row r="927" spans="1:8">
      <c r="A927" s="62">
        <v>138210648291</v>
      </c>
      <c r="B927" t="s">
        <v>4</v>
      </c>
      <c r="C927" s="35" t="s">
        <v>379</v>
      </c>
      <c r="D927" t="s">
        <v>491</v>
      </c>
      <c r="E927" s="35" t="s">
        <v>387</v>
      </c>
      <c r="F927" s="29" t="s">
        <v>492</v>
      </c>
      <c r="G927" s="36">
        <v>10300</v>
      </c>
      <c r="H927" s="36">
        <v>103</v>
      </c>
    </row>
    <row r="928" spans="1:8">
      <c r="A928" s="62">
        <v>138851061664</v>
      </c>
      <c r="B928" t="s">
        <v>263</v>
      </c>
      <c r="C928" s="35" t="s">
        <v>379</v>
      </c>
      <c r="D928" t="s">
        <v>491</v>
      </c>
      <c r="E928" s="35" t="s">
        <v>387</v>
      </c>
      <c r="F928" s="29" t="s">
        <v>492</v>
      </c>
      <c r="G928" s="36">
        <v>29700</v>
      </c>
      <c r="H928" s="36">
        <v>297</v>
      </c>
    </row>
    <row r="929" spans="1:8">
      <c r="A929" s="62">
        <v>138825658218</v>
      </c>
      <c r="B929" t="s">
        <v>263</v>
      </c>
      <c r="C929" s="35" t="s">
        <v>379</v>
      </c>
      <c r="D929" t="s">
        <v>491</v>
      </c>
      <c r="E929" s="35" t="s">
        <v>379</v>
      </c>
      <c r="F929" s="29" t="s">
        <v>492</v>
      </c>
      <c r="G929" s="36">
        <v>10000</v>
      </c>
      <c r="H929" s="36">
        <v>100</v>
      </c>
    </row>
    <row r="930" spans="1:8">
      <c r="A930" s="62">
        <v>138211297097</v>
      </c>
      <c r="B930" t="s">
        <v>4</v>
      </c>
      <c r="C930" s="35" t="s">
        <v>379</v>
      </c>
      <c r="D930" t="s">
        <v>491</v>
      </c>
      <c r="E930" s="35" t="s">
        <v>387</v>
      </c>
      <c r="F930" s="29" t="s">
        <v>492</v>
      </c>
      <c r="G930" s="36">
        <v>14500</v>
      </c>
      <c r="H930" s="36">
        <v>145</v>
      </c>
    </row>
    <row r="931" spans="1:8">
      <c r="A931" s="62">
        <v>138211671171</v>
      </c>
      <c r="B931" t="s">
        <v>4</v>
      </c>
      <c r="C931" s="35" t="s">
        <v>379</v>
      </c>
      <c r="D931" t="s">
        <v>491</v>
      </c>
      <c r="E931" s="35" t="s">
        <v>387</v>
      </c>
      <c r="F931" s="29" t="s">
        <v>492</v>
      </c>
      <c r="G931" s="36">
        <v>11000</v>
      </c>
      <c r="H931" s="36">
        <v>110</v>
      </c>
    </row>
    <row r="932" spans="1:8">
      <c r="A932" s="62">
        <v>138852403078</v>
      </c>
      <c r="B932" t="s">
        <v>4</v>
      </c>
      <c r="C932" s="35" t="s">
        <v>379</v>
      </c>
      <c r="D932" t="s">
        <v>491</v>
      </c>
      <c r="E932" s="35" t="s">
        <v>387</v>
      </c>
      <c r="F932" s="29" t="s">
        <v>492</v>
      </c>
      <c r="G932" s="36">
        <v>9600</v>
      </c>
      <c r="H932" s="36">
        <v>96</v>
      </c>
    </row>
    <row r="933" spans="1:8">
      <c r="A933" s="62">
        <v>138853192420</v>
      </c>
      <c r="B933" t="s">
        <v>4</v>
      </c>
      <c r="C933" s="35" t="s">
        <v>387</v>
      </c>
      <c r="D933" t="s">
        <v>491</v>
      </c>
      <c r="E933" s="35" t="s">
        <v>387</v>
      </c>
      <c r="F933" s="29" t="s">
        <v>492</v>
      </c>
      <c r="G933" s="36">
        <v>25800</v>
      </c>
      <c r="H933" s="36">
        <v>258</v>
      </c>
    </row>
    <row r="934" spans="1:8">
      <c r="A934" s="62">
        <v>138212818677</v>
      </c>
      <c r="B934" t="s">
        <v>4</v>
      </c>
      <c r="C934" s="35" t="s">
        <v>387</v>
      </c>
      <c r="D934" t="s">
        <v>491</v>
      </c>
      <c r="E934" s="35" t="s">
        <v>387</v>
      </c>
      <c r="F934" s="29" t="s">
        <v>492</v>
      </c>
      <c r="G934" s="36">
        <v>77300</v>
      </c>
      <c r="H934" s="36">
        <v>773</v>
      </c>
    </row>
    <row r="935" spans="1:8">
      <c r="A935" s="62">
        <v>138853192420</v>
      </c>
      <c r="B935" t="s">
        <v>4</v>
      </c>
      <c r="C935" s="35" t="s">
        <v>387</v>
      </c>
      <c r="D935" t="s">
        <v>287</v>
      </c>
      <c r="E935" s="35" t="s">
        <v>387</v>
      </c>
      <c r="F935" s="29" t="s">
        <v>492</v>
      </c>
      <c r="G935" s="36">
        <v>-25800</v>
      </c>
      <c r="H935" s="36">
        <v>-258</v>
      </c>
    </row>
    <row r="936" spans="1:8">
      <c r="A936" s="62">
        <v>138213756749</v>
      </c>
      <c r="B936" t="s">
        <v>4</v>
      </c>
      <c r="C936" s="35" t="s">
        <v>387</v>
      </c>
      <c r="D936" t="s">
        <v>491</v>
      </c>
      <c r="E936" s="35" t="s">
        <v>387</v>
      </c>
      <c r="F936" s="29" t="s">
        <v>492</v>
      </c>
      <c r="G936" s="36">
        <v>27400</v>
      </c>
      <c r="H936" s="36">
        <v>274</v>
      </c>
    </row>
    <row r="937" spans="1:8">
      <c r="A937" s="62">
        <v>138854698280</v>
      </c>
      <c r="B937" t="s">
        <v>4</v>
      </c>
      <c r="C937" s="35" t="s">
        <v>387</v>
      </c>
      <c r="D937" t="s">
        <v>491</v>
      </c>
      <c r="E937" s="35" t="s">
        <v>387</v>
      </c>
      <c r="F937" s="29" t="s">
        <v>492</v>
      </c>
      <c r="G937" s="36">
        <v>16500</v>
      </c>
      <c r="H937" s="36">
        <v>165</v>
      </c>
    </row>
    <row r="938" spans="1:8">
      <c r="A938" s="62">
        <v>138214397525</v>
      </c>
      <c r="B938" t="s">
        <v>4</v>
      </c>
      <c r="C938" s="35" t="s">
        <v>387</v>
      </c>
      <c r="D938" t="s">
        <v>491</v>
      </c>
      <c r="E938" s="35" t="s">
        <v>387</v>
      </c>
      <c r="F938" s="29" t="s">
        <v>492</v>
      </c>
      <c r="G938" s="36">
        <v>9800</v>
      </c>
      <c r="H938" s="36">
        <v>98</v>
      </c>
    </row>
    <row r="939" spans="1:8">
      <c r="A939" s="62">
        <v>138854924608</v>
      </c>
      <c r="B939" t="s">
        <v>4</v>
      </c>
      <c r="C939" s="35" t="s">
        <v>387</v>
      </c>
      <c r="D939" t="s">
        <v>491</v>
      </c>
      <c r="E939" s="35" t="s">
        <v>387</v>
      </c>
      <c r="F939" s="29" t="s">
        <v>492</v>
      </c>
      <c r="G939" s="36">
        <v>5000</v>
      </c>
      <c r="H939" s="36">
        <v>50</v>
      </c>
    </row>
    <row r="940" spans="1:8">
      <c r="A940" s="62">
        <v>138214651007</v>
      </c>
      <c r="B940" t="s">
        <v>4</v>
      </c>
      <c r="C940" s="35" t="s">
        <v>387</v>
      </c>
      <c r="D940" t="s">
        <v>491</v>
      </c>
      <c r="E940" s="35" t="s">
        <v>387</v>
      </c>
      <c r="F940" s="29" t="s">
        <v>492</v>
      </c>
      <c r="G940" s="36">
        <v>142100</v>
      </c>
      <c r="H940" s="36">
        <v>1421</v>
      </c>
    </row>
    <row r="941" spans="1:8">
      <c r="A941" s="62">
        <v>138855188874</v>
      </c>
      <c r="B941" t="s">
        <v>4</v>
      </c>
      <c r="C941" s="35" t="s">
        <v>387</v>
      </c>
      <c r="D941" t="s">
        <v>491</v>
      </c>
      <c r="E941" s="35" t="s">
        <v>387</v>
      </c>
      <c r="F941" s="29" t="s">
        <v>492</v>
      </c>
      <c r="G941" s="36">
        <v>9800</v>
      </c>
      <c r="H941" s="36">
        <v>98</v>
      </c>
    </row>
    <row r="942" spans="1:8">
      <c r="A942" s="62">
        <v>138214932755</v>
      </c>
      <c r="B942" t="s">
        <v>263</v>
      </c>
      <c r="C942" s="35" t="s">
        <v>387</v>
      </c>
      <c r="D942" t="s">
        <v>491</v>
      </c>
      <c r="E942" s="35" t="s">
        <v>387</v>
      </c>
      <c r="F942" s="29" t="s">
        <v>492</v>
      </c>
      <c r="G942" s="36">
        <v>40400</v>
      </c>
      <c r="H942" s="36">
        <v>404</v>
      </c>
    </row>
    <row r="943" spans="1:8">
      <c r="A943" s="62">
        <v>138215041405</v>
      </c>
      <c r="B943" t="s">
        <v>4</v>
      </c>
      <c r="C943" s="35" t="s">
        <v>387</v>
      </c>
      <c r="D943" t="s">
        <v>491</v>
      </c>
      <c r="E943" s="35" t="s">
        <v>387</v>
      </c>
      <c r="F943" s="29" t="s">
        <v>492</v>
      </c>
      <c r="G943" s="36">
        <v>14400</v>
      </c>
      <c r="H943" s="36">
        <v>144</v>
      </c>
    </row>
    <row r="944" spans="1:8">
      <c r="A944" s="62">
        <v>138215334949</v>
      </c>
      <c r="B944" t="s">
        <v>4</v>
      </c>
      <c r="C944" s="35" t="s">
        <v>387</v>
      </c>
      <c r="D944" t="s">
        <v>491</v>
      </c>
      <c r="E944" s="35" t="s">
        <v>387</v>
      </c>
      <c r="F944" s="29" t="s">
        <v>492</v>
      </c>
      <c r="G944" s="36">
        <v>18900</v>
      </c>
      <c r="H944" s="36">
        <v>189</v>
      </c>
    </row>
    <row r="945" spans="1:8">
      <c r="A945" s="62">
        <v>138856026646</v>
      </c>
      <c r="B945" t="s">
        <v>263</v>
      </c>
      <c r="C945" s="35" t="s">
        <v>387</v>
      </c>
      <c r="D945" t="s">
        <v>491</v>
      </c>
      <c r="E945" s="35" t="s">
        <v>387</v>
      </c>
      <c r="F945" s="29" t="s">
        <v>492</v>
      </c>
      <c r="G945" s="36">
        <v>47400</v>
      </c>
      <c r="H945" s="36">
        <v>474</v>
      </c>
    </row>
    <row r="946" spans="1:8">
      <c r="A946" s="62">
        <v>138216488259</v>
      </c>
      <c r="B946" t="s">
        <v>4</v>
      </c>
      <c r="C946" s="35" t="s">
        <v>387</v>
      </c>
      <c r="D946" t="s">
        <v>491</v>
      </c>
      <c r="E946" s="35" t="s">
        <v>387</v>
      </c>
      <c r="F946" s="29" t="s">
        <v>492</v>
      </c>
      <c r="G946" s="36">
        <v>16400</v>
      </c>
      <c r="H946" s="36">
        <v>164</v>
      </c>
    </row>
    <row r="947" spans="1:8">
      <c r="A947" s="62">
        <v>138856950028</v>
      </c>
      <c r="B947" t="s">
        <v>263</v>
      </c>
      <c r="C947" s="35" t="s">
        <v>387</v>
      </c>
      <c r="D947" t="s">
        <v>491</v>
      </c>
      <c r="E947" s="35" t="s">
        <v>387</v>
      </c>
      <c r="F947" s="29" t="s">
        <v>492</v>
      </c>
      <c r="G947" s="36">
        <v>32500</v>
      </c>
      <c r="H947" s="36">
        <v>325</v>
      </c>
    </row>
    <row r="948" spans="1:8">
      <c r="A948" s="62">
        <v>138857415050</v>
      </c>
      <c r="B948" t="s">
        <v>263</v>
      </c>
      <c r="C948" s="35" t="s">
        <v>387</v>
      </c>
      <c r="D948" t="s">
        <v>491</v>
      </c>
      <c r="E948" s="35" t="s">
        <v>387</v>
      </c>
      <c r="F948" s="29" t="s">
        <v>492</v>
      </c>
      <c r="G948" s="36">
        <v>11000</v>
      </c>
      <c r="H948" s="36">
        <v>110</v>
      </c>
    </row>
    <row r="949" spans="1:8">
      <c r="A949" s="62">
        <v>138857784600</v>
      </c>
      <c r="B949" t="s">
        <v>4</v>
      </c>
      <c r="C949" s="35" t="s">
        <v>387</v>
      </c>
      <c r="D949" t="s">
        <v>491</v>
      </c>
      <c r="E949" s="35" t="s">
        <v>387</v>
      </c>
      <c r="F949" s="29" t="s">
        <v>492</v>
      </c>
      <c r="G949" s="36">
        <v>15100</v>
      </c>
      <c r="H949" s="36">
        <v>151</v>
      </c>
    </row>
    <row r="950" spans="1:8">
      <c r="A950" s="62">
        <v>138217572119</v>
      </c>
      <c r="B950" t="s">
        <v>4</v>
      </c>
      <c r="C950" s="35" t="s">
        <v>387</v>
      </c>
      <c r="D950" t="s">
        <v>491</v>
      </c>
      <c r="E950" s="35" t="s">
        <v>387</v>
      </c>
      <c r="F950" s="29" t="s">
        <v>492</v>
      </c>
      <c r="G950" s="36">
        <v>10300</v>
      </c>
      <c r="H950" s="36">
        <v>103</v>
      </c>
    </row>
    <row r="951" spans="1:8">
      <c r="A951" s="62">
        <v>138217640499</v>
      </c>
      <c r="B951" t="s">
        <v>4</v>
      </c>
      <c r="C951" s="35" t="s">
        <v>387</v>
      </c>
      <c r="D951" t="s">
        <v>491</v>
      </c>
      <c r="E951" s="35" t="s">
        <v>387</v>
      </c>
      <c r="F951" s="29" t="s">
        <v>492</v>
      </c>
      <c r="G951" s="36">
        <v>19600</v>
      </c>
      <c r="H951" s="36">
        <v>196</v>
      </c>
    </row>
    <row r="952" spans="1:8">
      <c r="A952" s="62">
        <v>138857992860</v>
      </c>
      <c r="B952" t="s">
        <v>4</v>
      </c>
      <c r="C952" s="35" t="s">
        <v>387</v>
      </c>
      <c r="D952" t="s">
        <v>491</v>
      </c>
      <c r="E952" s="35" t="s">
        <v>387</v>
      </c>
      <c r="F952" s="29" t="s">
        <v>492</v>
      </c>
      <c r="G952" s="36">
        <v>63800</v>
      </c>
      <c r="H952" s="36">
        <v>638</v>
      </c>
    </row>
    <row r="953" spans="1:8">
      <c r="A953" s="62">
        <v>138217702891</v>
      </c>
      <c r="B953" t="s">
        <v>4</v>
      </c>
      <c r="C953" s="35" t="s">
        <v>387</v>
      </c>
      <c r="D953" t="s">
        <v>491</v>
      </c>
      <c r="E953" s="35" t="s">
        <v>387</v>
      </c>
      <c r="F953" s="29" t="s">
        <v>492</v>
      </c>
      <c r="G953" s="36">
        <v>101400</v>
      </c>
      <c r="H953" s="36">
        <v>1014</v>
      </c>
    </row>
    <row r="954" spans="1:8">
      <c r="A954" s="62">
        <v>138217710071</v>
      </c>
      <c r="B954" t="s">
        <v>4</v>
      </c>
      <c r="C954" s="35" t="s">
        <v>387</v>
      </c>
      <c r="D954" t="s">
        <v>491</v>
      </c>
      <c r="E954" s="35" t="s">
        <v>387</v>
      </c>
      <c r="F954" s="29" t="s">
        <v>492</v>
      </c>
      <c r="G954" s="36">
        <v>15100</v>
      </c>
      <c r="H954" s="36">
        <v>151</v>
      </c>
    </row>
    <row r="955" spans="1:8">
      <c r="A955" s="62">
        <v>138194400553</v>
      </c>
      <c r="B955" t="s">
        <v>263</v>
      </c>
      <c r="C955" s="35" t="s">
        <v>379</v>
      </c>
      <c r="D955" t="s">
        <v>491</v>
      </c>
      <c r="E955" s="35" t="s">
        <v>379</v>
      </c>
      <c r="F955" s="29" t="s">
        <v>492</v>
      </c>
      <c r="G955" s="36">
        <v>10750</v>
      </c>
      <c r="H955" s="36">
        <v>107.5</v>
      </c>
    </row>
    <row r="956" spans="1:8">
      <c r="A956" s="62">
        <v>138837938928</v>
      </c>
      <c r="B956" t="s">
        <v>4</v>
      </c>
      <c r="C956" s="35" t="s">
        <v>379</v>
      </c>
      <c r="D956" t="s">
        <v>491</v>
      </c>
      <c r="E956" s="35" t="s">
        <v>379</v>
      </c>
      <c r="F956" s="29" t="s">
        <v>492</v>
      </c>
      <c r="G956" s="36">
        <v>15000</v>
      </c>
      <c r="H956" s="36">
        <v>150</v>
      </c>
    </row>
    <row r="957" spans="1:8">
      <c r="A957" s="62">
        <v>138198187679</v>
      </c>
      <c r="B957" t="s">
        <v>4</v>
      </c>
      <c r="C957" s="35" t="s">
        <v>379</v>
      </c>
      <c r="D957" t="s">
        <v>491</v>
      </c>
      <c r="E957" s="35" t="s">
        <v>379</v>
      </c>
      <c r="F957" s="29" t="s">
        <v>492</v>
      </c>
      <c r="G957" s="36">
        <v>20000</v>
      </c>
      <c r="H957" s="36">
        <v>200</v>
      </c>
    </row>
    <row r="958" spans="1:8">
      <c r="A958" s="62">
        <v>138198737449</v>
      </c>
      <c r="B958" t="s">
        <v>263</v>
      </c>
      <c r="C958" s="35" t="s">
        <v>379</v>
      </c>
      <c r="D958" t="s">
        <v>491</v>
      </c>
      <c r="E958" s="35" t="s">
        <v>379</v>
      </c>
      <c r="F958" s="29" t="s">
        <v>492</v>
      </c>
      <c r="G958" s="36">
        <v>44400</v>
      </c>
      <c r="H958" s="36">
        <v>444</v>
      </c>
    </row>
    <row r="959" spans="1:8">
      <c r="A959" s="62">
        <v>138840860684</v>
      </c>
      <c r="B959" t="s">
        <v>263</v>
      </c>
      <c r="C959" s="35" t="s">
        <v>379</v>
      </c>
      <c r="D959" t="s">
        <v>491</v>
      </c>
      <c r="E959" s="35" t="s">
        <v>379</v>
      </c>
      <c r="F959" s="29" t="s">
        <v>492</v>
      </c>
      <c r="G959" s="36">
        <v>16500</v>
      </c>
      <c r="H959" s="36">
        <v>165</v>
      </c>
    </row>
    <row r="960" spans="1:8">
      <c r="A960" s="62">
        <v>138201157087</v>
      </c>
      <c r="B960" t="s">
        <v>263</v>
      </c>
      <c r="C960" s="35" t="s">
        <v>379</v>
      </c>
      <c r="D960" t="s">
        <v>491</v>
      </c>
      <c r="E960" s="35" t="s">
        <v>379</v>
      </c>
      <c r="F960" s="29" t="s">
        <v>492</v>
      </c>
      <c r="G960" s="36">
        <v>37300</v>
      </c>
      <c r="H960" s="36">
        <v>373</v>
      </c>
    </row>
    <row r="961" spans="1:8">
      <c r="A961" s="62">
        <v>138201252687</v>
      </c>
      <c r="B961" t="s">
        <v>4</v>
      </c>
      <c r="C961" s="35" t="s">
        <v>379</v>
      </c>
      <c r="D961" t="s">
        <v>491</v>
      </c>
      <c r="E961" s="35" t="s">
        <v>379</v>
      </c>
      <c r="F961" s="29" t="s">
        <v>492</v>
      </c>
      <c r="G961" s="36">
        <v>34000</v>
      </c>
      <c r="H961" s="36">
        <v>340</v>
      </c>
    </row>
    <row r="962" spans="1:8">
      <c r="A962" s="62">
        <v>138841653890</v>
      </c>
      <c r="B962" t="s">
        <v>263</v>
      </c>
      <c r="C962" s="35" t="s">
        <v>379</v>
      </c>
      <c r="D962" t="s">
        <v>491</v>
      </c>
      <c r="E962" s="35" t="s">
        <v>379</v>
      </c>
      <c r="F962" s="29" t="s">
        <v>492</v>
      </c>
      <c r="G962" s="36">
        <v>37100</v>
      </c>
      <c r="H962" s="36">
        <v>371</v>
      </c>
    </row>
    <row r="963" spans="1:8">
      <c r="A963" s="62">
        <v>138843315510</v>
      </c>
      <c r="B963" t="s">
        <v>263</v>
      </c>
      <c r="C963" s="35" t="s">
        <v>379</v>
      </c>
      <c r="D963" t="s">
        <v>491</v>
      </c>
      <c r="E963" s="35" t="s">
        <v>379</v>
      </c>
      <c r="F963" s="29" t="s">
        <v>492</v>
      </c>
      <c r="G963" s="36">
        <v>22000</v>
      </c>
      <c r="H963" s="36">
        <v>220</v>
      </c>
    </row>
    <row r="964" spans="1:8">
      <c r="A964" s="62">
        <v>138204114191</v>
      </c>
      <c r="B964" t="s">
        <v>4</v>
      </c>
      <c r="C964" s="35" t="s">
        <v>379</v>
      </c>
      <c r="D964" t="s">
        <v>491</v>
      </c>
      <c r="E964" s="35" t="s">
        <v>379</v>
      </c>
      <c r="F964" s="29" t="s">
        <v>492</v>
      </c>
      <c r="G964" s="36">
        <v>5000</v>
      </c>
      <c r="H964" s="36">
        <v>50</v>
      </c>
    </row>
    <row r="965" spans="1:8">
      <c r="A965" s="62">
        <v>138205303057</v>
      </c>
      <c r="B965" t="s">
        <v>4</v>
      </c>
      <c r="C965" s="35" t="s">
        <v>379</v>
      </c>
      <c r="D965" t="s">
        <v>491</v>
      </c>
      <c r="E965" s="35" t="s">
        <v>379</v>
      </c>
      <c r="F965" s="29" t="s">
        <v>492</v>
      </c>
      <c r="G965" s="36">
        <v>24700</v>
      </c>
      <c r="H965" s="36">
        <v>247</v>
      </c>
    </row>
    <row r="966" spans="1:8">
      <c r="A966" s="62">
        <v>138846074058</v>
      </c>
      <c r="B966" t="s">
        <v>4</v>
      </c>
      <c r="C966" s="35" t="s">
        <v>379</v>
      </c>
      <c r="D966" t="s">
        <v>491</v>
      </c>
      <c r="E966" s="35" t="s">
        <v>379</v>
      </c>
      <c r="F966" s="29" t="s">
        <v>492</v>
      </c>
      <c r="G966" s="36">
        <v>44300</v>
      </c>
      <c r="H966" s="36">
        <v>443</v>
      </c>
    </row>
    <row r="967" spans="1:8">
      <c r="A967" s="62">
        <v>138207547971</v>
      </c>
      <c r="B967" t="s">
        <v>4</v>
      </c>
      <c r="C967" s="35" t="s">
        <v>379</v>
      </c>
      <c r="D967" t="s">
        <v>491</v>
      </c>
      <c r="E967" s="35" t="s">
        <v>379</v>
      </c>
      <c r="F967" s="29" t="s">
        <v>492</v>
      </c>
      <c r="G967" s="36">
        <v>5000</v>
      </c>
      <c r="H967" s="36">
        <v>50</v>
      </c>
    </row>
    <row r="968" spans="1:8">
      <c r="A968" s="62">
        <v>138848404496</v>
      </c>
      <c r="B968" t="s">
        <v>4</v>
      </c>
      <c r="C968" s="35" t="s">
        <v>379</v>
      </c>
      <c r="D968" t="s">
        <v>491</v>
      </c>
      <c r="E968" s="35" t="s">
        <v>379</v>
      </c>
      <c r="F968" s="29" t="s">
        <v>492</v>
      </c>
      <c r="G968" s="36">
        <v>19800</v>
      </c>
      <c r="H968" s="36">
        <v>198</v>
      </c>
    </row>
    <row r="969" spans="1:8">
      <c r="A969" s="62">
        <v>138848967406</v>
      </c>
      <c r="B969" t="s">
        <v>4</v>
      </c>
      <c r="C969" s="35" t="s">
        <v>379</v>
      </c>
      <c r="D969" t="s">
        <v>491</v>
      </c>
      <c r="E969" s="35" t="s">
        <v>387</v>
      </c>
      <c r="F969" s="29" t="s">
        <v>492</v>
      </c>
      <c r="G969" s="36">
        <v>14500</v>
      </c>
      <c r="H969" s="36">
        <v>145</v>
      </c>
    </row>
    <row r="970" spans="1:8">
      <c r="A970" s="62">
        <v>138849101350</v>
      </c>
      <c r="B970" t="s">
        <v>263</v>
      </c>
      <c r="C970" s="35" t="s">
        <v>379</v>
      </c>
      <c r="D970" t="s">
        <v>491</v>
      </c>
      <c r="E970" s="35" t="s">
        <v>387</v>
      </c>
      <c r="F970" s="29" t="s">
        <v>492</v>
      </c>
      <c r="G970" s="36">
        <v>42400</v>
      </c>
      <c r="H970" s="36">
        <v>424</v>
      </c>
    </row>
    <row r="971" spans="1:8">
      <c r="A971" s="62">
        <v>138849267594</v>
      </c>
      <c r="B971" t="s">
        <v>263</v>
      </c>
      <c r="C971" s="35" t="s">
        <v>379</v>
      </c>
      <c r="D971" t="s">
        <v>491</v>
      </c>
      <c r="E971" s="35" t="s">
        <v>387</v>
      </c>
      <c r="F971" s="29" t="s">
        <v>492</v>
      </c>
      <c r="G971" s="36">
        <v>47000</v>
      </c>
      <c r="H971" s="36">
        <v>470</v>
      </c>
    </row>
    <row r="972" spans="1:8">
      <c r="A972" s="62">
        <v>138849998288</v>
      </c>
      <c r="B972" t="s">
        <v>4</v>
      </c>
      <c r="C972" s="35" t="s">
        <v>379</v>
      </c>
      <c r="D972" t="s">
        <v>491</v>
      </c>
      <c r="E972" s="35" t="s">
        <v>387</v>
      </c>
      <c r="F972" s="29" t="s">
        <v>492</v>
      </c>
      <c r="G972" s="36">
        <v>72600</v>
      </c>
      <c r="H972" s="36">
        <v>726</v>
      </c>
    </row>
    <row r="973" spans="1:8">
      <c r="A973" s="62">
        <v>138850633872</v>
      </c>
      <c r="B973" t="s">
        <v>4</v>
      </c>
      <c r="C973" s="35" t="s">
        <v>379</v>
      </c>
      <c r="D973" t="s">
        <v>491</v>
      </c>
      <c r="E973" s="35" t="s">
        <v>387</v>
      </c>
      <c r="F973" s="29" t="s">
        <v>492</v>
      </c>
      <c r="G973" s="36">
        <v>10500</v>
      </c>
      <c r="H973" s="36">
        <v>105</v>
      </c>
    </row>
    <row r="974" spans="1:8">
      <c r="A974" s="62">
        <v>138210363935</v>
      </c>
      <c r="B974" t="s">
        <v>263</v>
      </c>
      <c r="C974" s="35" t="s">
        <v>379</v>
      </c>
      <c r="D974" t="s">
        <v>491</v>
      </c>
      <c r="E974" s="35" t="s">
        <v>387</v>
      </c>
      <c r="F974" s="29" t="s">
        <v>492</v>
      </c>
      <c r="G974" s="36">
        <v>35900</v>
      </c>
      <c r="H974" s="36">
        <v>359</v>
      </c>
    </row>
    <row r="975" spans="1:8">
      <c r="A975" s="62">
        <v>138211329819</v>
      </c>
      <c r="B975" t="s">
        <v>4</v>
      </c>
      <c r="C975" s="35" t="s">
        <v>379</v>
      </c>
      <c r="D975" t="s">
        <v>491</v>
      </c>
      <c r="E975" s="35" t="s">
        <v>387</v>
      </c>
      <c r="F975" s="29" t="s">
        <v>492</v>
      </c>
      <c r="G975" s="36">
        <v>26000</v>
      </c>
      <c r="H975" s="36">
        <v>260</v>
      </c>
    </row>
    <row r="976" spans="1:8">
      <c r="A976" s="62">
        <v>138851977854</v>
      </c>
      <c r="B976" t="s">
        <v>4</v>
      </c>
      <c r="C976" s="35" t="s">
        <v>379</v>
      </c>
      <c r="D976" t="s">
        <v>491</v>
      </c>
      <c r="E976" s="35" t="s">
        <v>387</v>
      </c>
      <c r="F976" s="29" t="s">
        <v>492</v>
      </c>
      <c r="G976" s="36">
        <v>43700</v>
      </c>
      <c r="H976" s="36">
        <v>437</v>
      </c>
    </row>
    <row r="977" spans="1:8">
      <c r="A977" s="62">
        <v>138211779431</v>
      </c>
      <c r="B977" t="s">
        <v>4</v>
      </c>
      <c r="C977" s="35" t="s">
        <v>379</v>
      </c>
      <c r="D977" t="s">
        <v>491</v>
      </c>
      <c r="E977" s="35" t="s">
        <v>387</v>
      </c>
      <c r="F977" s="29" t="s">
        <v>492</v>
      </c>
      <c r="G977" s="36">
        <v>65100</v>
      </c>
      <c r="H977" s="36">
        <v>651</v>
      </c>
    </row>
    <row r="978" spans="1:8">
      <c r="A978" s="62">
        <v>138852498598</v>
      </c>
      <c r="B978" t="s">
        <v>4</v>
      </c>
      <c r="C978" s="35" t="s">
        <v>379</v>
      </c>
      <c r="D978" t="s">
        <v>491</v>
      </c>
      <c r="E978" s="35" t="s">
        <v>387</v>
      </c>
      <c r="F978" s="29" t="s">
        <v>492</v>
      </c>
      <c r="G978" s="36">
        <v>9800</v>
      </c>
      <c r="H978" s="36">
        <v>98</v>
      </c>
    </row>
    <row r="979" spans="1:8">
      <c r="A979" s="62">
        <v>138852696652</v>
      </c>
      <c r="B979" t="s">
        <v>4</v>
      </c>
      <c r="C979" s="35" t="s">
        <v>379</v>
      </c>
      <c r="D979" t="s">
        <v>491</v>
      </c>
      <c r="E979" s="35" t="s">
        <v>387</v>
      </c>
      <c r="F979" s="29" t="s">
        <v>492</v>
      </c>
      <c r="G979" s="36">
        <v>11000</v>
      </c>
      <c r="H979" s="36">
        <v>110</v>
      </c>
    </row>
    <row r="980" spans="1:8">
      <c r="A980" s="62">
        <v>138212356555</v>
      </c>
      <c r="B980" t="s">
        <v>4</v>
      </c>
      <c r="C980" s="35" t="s">
        <v>379</v>
      </c>
      <c r="D980" t="s">
        <v>491</v>
      </c>
      <c r="E980" s="35" t="s">
        <v>387</v>
      </c>
      <c r="F980" s="29" t="s">
        <v>492</v>
      </c>
      <c r="G980" s="36">
        <v>10000</v>
      </c>
      <c r="H980" s="36">
        <v>100</v>
      </c>
    </row>
    <row r="981" spans="1:8">
      <c r="A981" s="62">
        <v>138853202756</v>
      </c>
      <c r="B981" t="s">
        <v>263</v>
      </c>
      <c r="C981" s="35" t="s">
        <v>387</v>
      </c>
      <c r="D981" t="s">
        <v>491</v>
      </c>
      <c r="E981" s="35" t="s">
        <v>387</v>
      </c>
      <c r="F981" s="29" t="s">
        <v>492</v>
      </c>
      <c r="G981" s="36">
        <v>97000</v>
      </c>
      <c r="H981" s="36">
        <v>970</v>
      </c>
    </row>
    <row r="982" spans="1:8">
      <c r="A982" s="62">
        <v>138853313116</v>
      </c>
      <c r="B982" t="s">
        <v>4</v>
      </c>
      <c r="C982" s="35" t="s">
        <v>387</v>
      </c>
      <c r="D982" t="s">
        <v>491</v>
      </c>
      <c r="E982" s="35" t="s">
        <v>387</v>
      </c>
      <c r="F982" s="29" t="s">
        <v>492</v>
      </c>
      <c r="G982" s="36">
        <v>21000</v>
      </c>
      <c r="H982" s="36">
        <v>210</v>
      </c>
    </row>
    <row r="983" spans="1:8">
      <c r="A983" s="62">
        <v>138853442612</v>
      </c>
      <c r="B983" t="s">
        <v>4</v>
      </c>
      <c r="C983" s="35" t="s">
        <v>387</v>
      </c>
      <c r="D983" t="s">
        <v>491</v>
      </c>
      <c r="E983" s="35" t="s">
        <v>387</v>
      </c>
      <c r="F983" s="29" t="s">
        <v>492</v>
      </c>
      <c r="G983" s="36">
        <v>10300</v>
      </c>
      <c r="H983" s="36">
        <v>103</v>
      </c>
    </row>
    <row r="984" spans="1:8">
      <c r="A984" s="62">
        <v>138213130077</v>
      </c>
      <c r="B984" t="s">
        <v>4</v>
      </c>
      <c r="C984" s="35" t="s">
        <v>387</v>
      </c>
      <c r="D984" t="s">
        <v>491</v>
      </c>
      <c r="E984" s="35" t="s">
        <v>387</v>
      </c>
      <c r="F984" s="29" t="s">
        <v>492</v>
      </c>
      <c r="G984" s="36">
        <v>20000</v>
      </c>
      <c r="H984" s="36">
        <v>200</v>
      </c>
    </row>
    <row r="985" spans="1:8">
      <c r="A985" s="62">
        <v>138853958868</v>
      </c>
      <c r="B985" t="s">
        <v>263</v>
      </c>
      <c r="C985" s="35" t="s">
        <v>387</v>
      </c>
      <c r="D985" t="s">
        <v>491</v>
      </c>
      <c r="E985" s="35" t="s">
        <v>387</v>
      </c>
      <c r="F985" s="29" t="s">
        <v>492</v>
      </c>
      <c r="G985" s="36">
        <v>15800</v>
      </c>
      <c r="H985" s="36">
        <v>158</v>
      </c>
    </row>
    <row r="986" spans="1:8">
      <c r="A986" s="62">
        <v>138213612905</v>
      </c>
      <c r="B986" t="s">
        <v>4</v>
      </c>
      <c r="C986" s="35" t="s">
        <v>387</v>
      </c>
      <c r="D986" t="s">
        <v>491</v>
      </c>
      <c r="E986" s="35" t="s">
        <v>387</v>
      </c>
      <c r="F986" s="29" t="s">
        <v>492</v>
      </c>
      <c r="G986" s="36">
        <v>10500</v>
      </c>
      <c r="H986" s="36">
        <v>105</v>
      </c>
    </row>
    <row r="987" spans="1:8">
      <c r="A987" s="62">
        <v>138854466710</v>
      </c>
      <c r="B987" t="s">
        <v>263</v>
      </c>
      <c r="C987" s="35" t="s">
        <v>387</v>
      </c>
      <c r="D987" t="s">
        <v>491</v>
      </c>
      <c r="E987" s="35" t="s">
        <v>387</v>
      </c>
      <c r="F987" s="29" t="s">
        <v>492</v>
      </c>
      <c r="G987" s="36">
        <v>31200</v>
      </c>
      <c r="H987" s="36">
        <v>312</v>
      </c>
    </row>
    <row r="988" spans="1:8">
      <c r="A988" s="62">
        <v>138854732718</v>
      </c>
      <c r="B988" t="s">
        <v>4</v>
      </c>
      <c r="C988" s="35" t="s">
        <v>387</v>
      </c>
      <c r="D988" t="s">
        <v>491</v>
      </c>
      <c r="E988" s="35" t="s">
        <v>387</v>
      </c>
      <c r="F988" s="29" t="s">
        <v>492</v>
      </c>
      <c r="G988" s="36">
        <v>4800</v>
      </c>
      <c r="H988" s="36">
        <v>48</v>
      </c>
    </row>
    <row r="989" spans="1:8">
      <c r="A989" s="62">
        <v>138855285094</v>
      </c>
      <c r="B989" t="s">
        <v>4</v>
      </c>
      <c r="C989" s="35" t="s">
        <v>387</v>
      </c>
      <c r="D989" t="s">
        <v>491</v>
      </c>
      <c r="E989" s="35" t="s">
        <v>387</v>
      </c>
      <c r="F989" s="29" t="s">
        <v>492</v>
      </c>
      <c r="G989" s="36">
        <v>128500</v>
      </c>
      <c r="H989" s="36">
        <v>1285</v>
      </c>
    </row>
    <row r="990" spans="1:8">
      <c r="A990" s="62">
        <v>138215082017</v>
      </c>
      <c r="B990" t="s">
        <v>4</v>
      </c>
      <c r="C990" s="35" t="s">
        <v>387</v>
      </c>
      <c r="D990" t="s">
        <v>491</v>
      </c>
      <c r="E990" s="35" t="s">
        <v>387</v>
      </c>
      <c r="F990" s="29" t="s">
        <v>492</v>
      </c>
      <c r="G990" s="36">
        <v>11000</v>
      </c>
      <c r="H990" s="36">
        <v>110</v>
      </c>
    </row>
    <row r="991" spans="1:8">
      <c r="A991" s="62">
        <v>138215130073</v>
      </c>
      <c r="B991" t="s">
        <v>263</v>
      </c>
      <c r="C991" s="35" t="s">
        <v>387</v>
      </c>
      <c r="D991" t="s">
        <v>491</v>
      </c>
      <c r="E991" s="35" t="s">
        <v>387</v>
      </c>
      <c r="F991" s="29" t="s">
        <v>492</v>
      </c>
      <c r="G991" s="36">
        <v>9800</v>
      </c>
      <c r="H991" s="36">
        <v>98</v>
      </c>
    </row>
    <row r="992" spans="1:8">
      <c r="A992" s="62">
        <v>138855980124</v>
      </c>
      <c r="B992" t="s">
        <v>4</v>
      </c>
      <c r="C992" s="35" t="s">
        <v>387</v>
      </c>
      <c r="D992" t="s">
        <v>491</v>
      </c>
      <c r="E992" s="35" t="s">
        <v>387</v>
      </c>
      <c r="F992" s="29" t="s">
        <v>492</v>
      </c>
      <c r="G992" s="36">
        <v>19800</v>
      </c>
      <c r="H992" s="36">
        <v>198</v>
      </c>
    </row>
    <row r="993" spans="1:8">
      <c r="A993" s="62">
        <v>138855967168</v>
      </c>
      <c r="B993" t="s">
        <v>4</v>
      </c>
      <c r="C993" s="35" t="s">
        <v>387</v>
      </c>
      <c r="D993" t="s">
        <v>491</v>
      </c>
      <c r="E993" s="35" t="s">
        <v>387</v>
      </c>
      <c r="F993" s="29" t="s">
        <v>492</v>
      </c>
      <c r="G993" s="36">
        <v>10500</v>
      </c>
      <c r="H993" s="36">
        <v>105</v>
      </c>
    </row>
    <row r="994" spans="1:8">
      <c r="A994" s="62">
        <v>138856057240</v>
      </c>
      <c r="B994" t="s">
        <v>4</v>
      </c>
      <c r="C994" s="35" t="s">
        <v>387</v>
      </c>
      <c r="D994" t="s">
        <v>491</v>
      </c>
      <c r="E994" s="35" t="s">
        <v>387</v>
      </c>
      <c r="F994" s="29" t="s">
        <v>492</v>
      </c>
      <c r="G994" s="36">
        <v>50300</v>
      </c>
      <c r="H994" s="36">
        <v>503</v>
      </c>
    </row>
    <row r="995" spans="1:8">
      <c r="A995" s="62">
        <v>138216467745</v>
      </c>
      <c r="B995" t="s">
        <v>263</v>
      </c>
      <c r="C995" s="35" t="s">
        <v>387</v>
      </c>
      <c r="D995" t="s">
        <v>491</v>
      </c>
      <c r="E995" s="35" t="s">
        <v>387</v>
      </c>
      <c r="F995" s="29" t="s">
        <v>492</v>
      </c>
      <c r="G995" s="36">
        <v>116400</v>
      </c>
      <c r="H995" s="36">
        <v>1164</v>
      </c>
    </row>
    <row r="996" spans="1:8">
      <c r="A996" s="62">
        <v>138217368551</v>
      </c>
      <c r="B996" t="s">
        <v>4</v>
      </c>
      <c r="C996" s="35" t="s">
        <v>387</v>
      </c>
      <c r="D996" t="s">
        <v>491</v>
      </c>
      <c r="E996" s="35" t="s">
        <v>387</v>
      </c>
      <c r="F996" s="29" t="s">
        <v>492</v>
      </c>
      <c r="G996" s="36">
        <v>50300</v>
      </c>
      <c r="H996" s="36">
        <v>503</v>
      </c>
    </row>
    <row r="997" spans="1:8">
      <c r="A997" s="62">
        <v>138217537137</v>
      </c>
      <c r="B997" t="s">
        <v>4</v>
      </c>
      <c r="C997" s="35" t="s">
        <v>387</v>
      </c>
      <c r="D997" t="s">
        <v>491</v>
      </c>
      <c r="E997" s="35" t="s">
        <v>387</v>
      </c>
      <c r="F997" s="29" t="s">
        <v>492</v>
      </c>
      <c r="G997" s="36">
        <v>11000</v>
      </c>
      <c r="H997" s="36">
        <v>110</v>
      </c>
    </row>
    <row r="998" spans="1:8">
      <c r="A998" s="62">
        <v>138217707315</v>
      </c>
      <c r="B998" t="s">
        <v>4</v>
      </c>
      <c r="C998" s="35" t="s">
        <v>387</v>
      </c>
      <c r="D998" t="s">
        <v>491</v>
      </c>
      <c r="E998" s="35" t="s">
        <v>387</v>
      </c>
      <c r="F998" s="29" t="s">
        <v>492</v>
      </c>
      <c r="G998" s="36">
        <v>27000</v>
      </c>
      <c r="H998" s="36">
        <v>270</v>
      </c>
    </row>
    <row r="999" spans="1:8">
      <c r="A999" s="62">
        <v>138931151502</v>
      </c>
      <c r="B999" t="s">
        <v>4</v>
      </c>
      <c r="C999" s="35" t="s">
        <v>387</v>
      </c>
      <c r="D999" t="s">
        <v>491</v>
      </c>
      <c r="E999" s="35" t="s">
        <v>387</v>
      </c>
      <c r="F999" s="29" t="s">
        <v>492</v>
      </c>
      <c r="G999" s="36">
        <v>5500</v>
      </c>
      <c r="H999" s="36">
        <v>55</v>
      </c>
    </row>
    <row r="1000" spans="1:8">
      <c r="A1000" s="62">
        <v>138298749187</v>
      </c>
      <c r="B1000" t="s">
        <v>263</v>
      </c>
      <c r="C1000" s="35" t="s">
        <v>387</v>
      </c>
      <c r="D1000" t="s">
        <v>491</v>
      </c>
      <c r="E1000" s="35" t="s">
        <v>387</v>
      </c>
      <c r="F1000" s="29" t="s">
        <v>492</v>
      </c>
      <c r="G1000" s="36">
        <v>13600</v>
      </c>
      <c r="H1000" s="36">
        <v>136</v>
      </c>
    </row>
    <row r="1001" spans="1:8">
      <c r="A1001" s="62">
        <v>138306469365</v>
      </c>
      <c r="B1001" t="s">
        <v>4</v>
      </c>
      <c r="C1001" s="35" t="s">
        <v>387</v>
      </c>
      <c r="D1001" t="s">
        <v>491</v>
      </c>
      <c r="E1001" s="35" t="s">
        <v>387</v>
      </c>
      <c r="F1001" s="29" t="s">
        <v>492</v>
      </c>
      <c r="G1001" s="36">
        <v>24700</v>
      </c>
      <c r="H1001" s="36">
        <v>247</v>
      </c>
    </row>
    <row r="1002" spans="1:8">
      <c r="A1002" s="62">
        <v>138307273445</v>
      </c>
      <c r="B1002" t="s">
        <v>4</v>
      </c>
      <c r="C1002" s="35" t="s">
        <v>387</v>
      </c>
      <c r="D1002" t="s">
        <v>491</v>
      </c>
      <c r="E1002" s="35" t="s">
        <v>387</v>
      </c>
      <c r="F1002" s="29" t="s">
        <v>492</v>
      </c>
      <c r="G1002" s="36">
        <v>24500</v>
      </c>
      <c r="H1002" s="36">
        <v>245</v>
      </c>
    </row>
    <row r="1003" spans="1:8">
      <c r="A1003" s="62">
        <v>138307491501</v>
      </c>
      <c r="B1003" t="s">
        <v>263</v>
      </c>
      <c r="C1003" s="35" t="s">
        <v>387</v>
      </c>
      <c r="D1003" t="s">
        <v>491</v>
      </c>
      <c r="E1003" s="35" t="s">
        <v>387</v>
      </c>
      <c r="F1003" s="29" t="s">
        <v>492</v>
      </c>
      <c r="G1003" s="36">
        <v>11000</v>
      </c>
      <c r="H1003" s="36">
        <v>110</v>
      </c>
    </row>
    <row r="1004" spans="1:8">
      <c r="A1004" s="62">
        <v>138950747256</v>
      </c>
      <c r="B1004" t="s">
        <v>263</v>
      </c>
      <c r="C1004" s="35" t="s">
        <v>387</v>
      </c>
      <c r="D1004" t="s">
        <v>491</v>
      </c>
      <c r="E1004" s="35" t="s">
        <v>387</v>
      </c>
      <c r="F1004" s="29" t="s">
        <v>492</v>
      </c>
      <c r="G1004" s="36">
        <v>26100</v>
      </c>
      <c r="H1004" s="36">
        <v>261</v>
      </c>
    </row>
    <row r="1005" spans="1:8">
      <c r="A1005" s="62">
        <v>138310086197</v>
      </c>
      <c r="B1005" t="s">
        <v>4</v>
      </c>
      <c r="C1005" s="35" t="s">
        <v>387</v>
      </c>
      <c r="D1005" t="s">
        <v>491</v>
      </c>
      <c r="E1005" s="35" t="s">
        <v>387</v>
      </c>
      <c r="F1005" s="29" t="s">
        <v>492</v>
      </c>
      <c r="G1005" s="36">
        <v>31300</v>
      </c>
      <c r="H1005" s="36">
        <v>313</v>
      </c>
    </row>
    <row r="1006" spans="1:8">
      <c r="A1006" s="62">
        <v>138313756607</v>
      </c>
      <c r="B1006" t="s">
        <v>4</v>
      </c>
      <c r="C1006" s="35" t="s">
        <v>387</v>
      </c>
      <c r="D1006" t="s">
        <v>491</v>
      </c>
      <c r="E1006" s="35" t="s">
        <v>387</v>
      </c>
      <c r="F1006" s="29" t="s">
        <v>492</v>
      </c>
      <c r="G1006" s="36">
        <v>68700</v>
      </c>
      <c r="H1006" s="36">
        <v>687</v>
      </c>
    </row>
    <row r="1007" spans="1:8">
      <c r="A1007" s="62">
        <v>138316534489</v>
      </c>
      <c r="B1007" t="s">
        <v>4</v>
      </c>
      <c r="C1007" s="35" t="s">
        <v>387</v>
      </c>
      <c r="D1007" t="s">
        <v>491</v>
      </c>
      <c r="E1007" s="35" t="s">
        <v>387</v>
      </c>
      <c r="F1007" s="29" t="s">
        <v>492</v>
      </c>
      <c r="G1007" s="36">
        <v>11000</v>
      </c>
      <c r="H1007" s="36">
        <v>110</v>
      </c>
    </row>
    <row r="1008" spans="1:8">
      <c r="A1008" s="62">
        <v>138316909509</v>
      </c>
      <c r="B1008" t="s">
        <v>4</v>
      </c>
      <c r="C1008" s="35" t="s">
        <v>387</v>
      </c>
      <c r="D1008" t="s">
        <v>491</v>
      </c>
      <c r="E1008" s="35" t="s">
        <v>387</v>
      </c>
      <c r="F1008" s="29" t="s">
        <v>492</v>
      </c>
      <c r="G1008" s="36">
        <v>31900</v>
      </c>
      <c r="H1008" s="36">
        <v>319</v>
      </c>
    </row>
    <row r="1009" spans="1:8">
      <c r="A1009" s="62">
        <v>138317483911</v>
      </c>
      <c r="B1009" t="s">
        <v>4</v>
      </c>
      <c r="C1009" s="35" t="s">
        <v>387</v>
      </c>
      <c r="D1009" t="s">
        <v>491</v>
      </c>
      <c r="E1009" s="35" t="s">
        <v>387</v>
      </c>
      <c r="F1009" s="29" t="s">
        <v>492</v>
      </c>
      <c r="G1009" s="36">
        <v>28700</v>
      </c>
      <c r="H1009" s="36">
        <v>287</v>
      </c>
    </row>
    <row r="1010" spans="1:8">
      <c r="A1010" s="62">
        <v>138958608370</v>
      </c>
      <c r="B1010" t="s">
        <v>4</v>
      </c>
      <c r="C1010" s="35" t="s">
        <v>387</v>
      </c>
      <c r="D1010" t="s">
        <v>491</v>
      </c>
      <c r="E1010" s="35" t="s">
        <v>387</v>
      </c>
      <c r="F1010" s="29" t="s">
        <v>492</v>
      </c>
      <c r="G1010" s="36">
        <v>20000</v>
      </c>
      <c r="H1010" s="36">
        <v>200</v>
      </c>
    </row>
    <row r="1011" spans="1:8">
      <c r="A1011" s="62">
        <v>138317694879</v>
      </c>
      <c r="B1011" t="s">
        <v>263</v>
      </c>
      <c r="C1011" s="35" t="s">
        <v>387</v>
      </c>
      <c r="D1011" t="s">
        <v>491</v>
      </c>
      <c r="E1011" s="35" t="s">
        <v>387</v>
      </c>
      <c r="F1011" s="29" t="s">
        <v>492</v>
      </c>
      <c r="G1011" s="36">
        <v>41200</v>
      </c>
      <c r="H1011" s="36">
        <v>412</v>
      </c>
    </row>
    <row r="1012" spans="1:8">
      <c r="A1012" s="62">
        <v>138958894822</v>
      </c>
      <c r="B1012" t="s">
        <v>4</v>
      </c>
      <c r="C1012" s="35" t="s">
        <v>387</v>
      </c>
      <c r="D1012" t="s">
        <v>491</v>
      </c>
      <c r="E1012" s="35" t="s">
        <v>387</v>
      </c>
      <c r="F1012" s="29" t="s">
        <v>492</v>
      </c>
      <c r="G1012" s="36">
        <v>18500</v>
      </c>
      <c r="H1012" s="36">
        <v>185</v>
      </c>
    </row>
    <row r="1013" spans="1:8">
      <c r="A1013" s="62">
        <v>138318135687</v>
      </c>
      <c r="B1013" t="s">
        <v>263</v>
      </c>
      <c r="C1013" s="35" t="s">
        <v>387</v>
      </c>
      <c r="D1013" t="s">
        <v>491</v>
      </c>
      <c r="E1013" s="35" t="s">
        <v>387</v>
      </c>
      <c r="F1013" s="29" t="s">
        <v>492</v>
      </c>
      <c r="G1013" s="36">
        <v>20000</v>
      </c>
      <c r="H1013" s="36">
        <v>200</v>
      </c>
    </row>
    <row r="1014" spans="1:8">
      <c r="A1014" s="62">
        <v>138960529926</v>
      </c>
      <c r="B1014" t="s">
        <v>4</v>
      </c>
      <c r="C1014" s="35" t="s">
        <v>387</v>
      </c>
      <c r="D1014" t="s">
        <v>491</v>
      </c>
      <c r="E1014" s="35" t="s">
        <v>387</v>
      </c>
      <c r="F1014" s="29" t="s">
        <v>492</v>
      </c>
      <c r="G1014" s="36">
        <v>68700</v>
      </c>
      <c r="H1014" s="36">
        <v>687</v>
      </c>
    </row>
    <row r="1015" spans="1:8">
      <c r="A1015" s="62">
        <v>138960552954</v>
      </c>
      <c r="B1015" t="s">
        <v>4</v>
      </c>
      <c r="C1015" s="35" t="s">
        <v>387</v>
      </c>
      <c r="D1015" t="s">
        <v>491</v>
      </c>
      <c r="E1015" s="35" t="s">
        <v>387</v>
      </c>
      <c r="F1015" s="29" t="s">
        <v>492</v>
      </c>
      <c r="G1015" s="36">
        <v>74800</v>
      </c>
      <c r="H1015" s="36">
        <v>748</v>
      </c>
    </row>
    <row r="1016" spans="1:8">
      <c r="A1016" s="62">
        <v>138961200208</v>
      </c>
      <c r="B1016" t="s">
        <v>263</v>
      </c>
      <c r="C1016" s="35" t="s">
        <v>387</v>
      </c>
      <c r="D1016" t="s">
        <v>491</v>
      </c>
      <c r="E1016" s="35" t="s">
        <v>387</v>
      </c>
      <c r="F1016" s="29" t="s">
        <v>492</v>
      </c>
      <c r="G1016" s="36">
        <v>52900</v>
      </c>
      <c r="H1016" s="36">
        <v>529</v>
      </c>
    </row>
    <row r="1017" spans="1:8">
      <c r="A1017" s="62">
        <v>138961724050</v>
      </c>
      <c r="B1017" t="s">
        <v>4</v>
      </c>
      <c r="C1017" s="35" t="s">
        <v>387</v>
      </c>
      <c r="D1017" t="s">
        <v>491</v>
      </c>
      <c r="E1017" s="35" t="s">
        <v>400</v>
      </c>
      <c r="F1017" s="29" t="s">
        <v>492</v>
      </c>
      <c r="G1017" s="36">
        <v>11000</v>
      </c>
      <c r="H1017" s="36">
        <v>110</v>
      </c>
    </row>
    <row r="1018" spans="1:8">
      <c r="A1018" s="62">
        <v>138321453321</v>
      </c>
      <c r="B1018" t="s">
        <v>4</v>
      </c>
      <c r="C1018" s="35" t="s">
        <v>387</v>
      </c>
      <c r="D1018" t="s">
        <v>491</v>
      </c>
      <c r="E1018" s="35" t="s">
        <v>400</v>
      </c>
      <c r="F1018" s="29" t="s">
        <v>492</v>
      </c>
      <c r="G1018" s="36">
        <v>122700</v>
      </c>
      <c r="H1018" s="36">
        <v>1227</v>
      </c>
    </row>
    <row r="1019" spans="1:8">
      <c r="A1019" s="62">
        <v>138962720678</v>
      </c>
      <c r="B1019" t="s">
        <v>4</v>
      </c>
      <c r="C1019" s="35" t="s">
        <v>387</v>
      </c>
      <c r="D1019" t="s">
        <v>491</v>
      </c>
      <c r="E1019" s="35" t="s">
        <v>400</v>
      </c>
      <c r="F1019" s="29" t="s">
        <v>492</v>
      </c>
      <c r="G1019" s="36">
        <v>43500</v>
      </c>
      <c r="H1019" s="36">
        <v>435</v>
      </c>
    </row>
    <row r="1020" spans="1:8">
      <c r="A1020" s="62">
        <v>138321908051</v>
      </c>
      <c r="B1020" t="s">
        <v>263</v>
      </c>
      <c r="C1020" s="35" t="s">
        <v>387</v>
      </c>
      <c r="D1020" t="s">
        <v>491</v>
      </c>
      <c r="E1020" s="35" t="s">
        <v>400</v>
      </c>
      <c r="F1020" s="29" t="s">
        <v>492</v>
      </c>
      <c r="G1020" s="36">
        <v>78100</v>
      </c>
      <c r="H1020" s="36">
        <v>781</v>
      </c>
    </row>
    <row r="1021" spans="1:8">
      <c r="A1021" s="62">
        <v>138963097522</v>
      </c>
      <c r="B1021" t="s">
        <v>263</v>
      </c>
      <c r="C1021" s="35" t="s">
        <v>387</v>
      </c>
      <c r="D1021" t="s">
        <v>491</v>
      </c>
      <c r="E1021" s="35" t="s">
        <v>400</v>
      </c>
      <c r="F1021" s="29" t="s">
        <v>492</v>
      </c>
      <c r="G1021" s="36">
        <v>42800</v>
      </c>
      <c r="H1021" s="36">
        <v>428</v>
      </c>
    </row>
    <row r="1022" spans="1:8">
      <c r="A1022" s="62">
        <v>138963123706</v>
      </c>
      <c r="B1022" t="s">
        <v>263</v>
      </c>
      <c r="C1022" s="35" t="s">
        <v>387</v>
      </c>
      <c r="D1022" t="s">
        <v>491</v>
      </c>
      <c r="E1022" s="35" t="s">
        <v>400</v>
      </c>
      <c r="F1022" s="29" t="s">
        <v>492</v>
      </c>
      <c r="G1022" s="36">
        <v>34000</v>
      </c>
      <c r="H1022" s="36">
        <v>340</v>
      </c>
    </row>
    <row r="1023" spans="1:8">
      <c r="A1023" s="62">
        <v>138964996976</v>
      </c>
      <c r="B1023" t="s">
        <v>4</v>
      </c>
      <c r="C1023" s="35" t="s">
        <v>400</v>
      </c>
      <c r="D1023" t="s">
        <v>491</v>
      </c>
      <c r="E1023" s="35" t="s">
        <v>400</v>
      </c>
      <c r="F1023" s="29" t="s">
        <v>492</v>
      </c>
      <c r="G1023" s="36">
        <v>74600</v>
      </c>
      <c r="H1023" s="36">
        <v>746</v>
      </c>
    </row>
    <row r="1024" spans="1:8">
      <c r="A1024" s="62">
        <v>138305568797</v>
      </c>
      <c r="B1024" t="s">
        <v>4</v>
      </c>
      <c r="C1024" s="35" t="s">
        <v>387</v>
      </c>
      <c r="D1024" t="s">
        <v>491</v>
      </c>
      <c r="E1024" s="35" t="s">
        <v>387</v>
      </c>
      <c r="F1024" s="29" t="s">
        <v>492</v>
      </c>
      <c r="G1024" s="36">
        <v>18550</v>
      </c>
      <c r="H1024" s="36">
        <v>185.5</v>
      </c>
    </row>
    <row r="1025" spans="1:8">
      <c r="A1025" s="62">
        <v>138305709893</v>
      </c>
      <c r="B1025" t="s">
        <v>4</v>
      </c>
      <c r="C1025" s="35" t="s">
        <v>387</v>
      </c>
      <c r="D1025" t="s">
        <v>491</v>
      </c>
      <c r="E1025" s="35" t="s">
        <v>387</v>
      </c>
      <c r="F1025" s="29" t="s">
        <v>492</v>
      </c>
      <c r="G1025" s="36">
        <v>50000</v>
      </c>
      <c r="H1025" s="36">
        <v>500</v>
      </c>
    </row>
    <row r="1026" spans="1:8">
      <c r="A1026" s="62">
        <v>138946864896</v>
      </c>
      <c r="B1026" t="s">
        <v>263</v>
      </c>
      <c r="C1026" s="35" t="s">
        <v>387</v>
      </c>
      <c r="D1026" t="s">
        <v>491</v>
      </c>
      <c r="E1026" s="35" t="s">
        <v>387</v>
      </c>
      <c r="F1026" s="29" t="s">
        <v>492</v>
      </c>
      <c r="G1026" s="36">
        <v>4900</v>
      </c>
      <c r="H1026" s="36">
        <v>49</v>
      </c>
    </row>
    <row r="1027" spans="1:8">
      <c r="A1027" s="62">
        <v>138307234725</v>
      </c>
      <c r="B1027" t="s">
        <v>263</v>
      </c>
      <c r="C1027" s="35" t="s">
        <v>387</v>
      </c>
      <c r="D1027" t="s">
        <v>491</v>
      </c>
      <c r="E1027" s="35" t="s">
        <v>387</v>
      </c>
      <c r="F1027" s="29" t="s">
        <v>492</v>
      </c>
      <c r="G1027" s="36">
        <v>29800</v>
      </c>
      <c r="H1027" s="36">
        <v>298</v>
      </c>
    </row>
    <row r="1028" spans="1:8">
      <c r="A1028" s="62">
        <v>138307429819</v>
      </c>
      <c r="B1028" t="s">
        <v>4</v>
      </c>
      <c r="C1028" s="35" t="s">
        <v>387</v>
      </c>
      <c r="D1028" t="s">
        <v>491</v>
      </c>
      <c r="E1028" s="35" t="s">
        <v>387</v>
      </c>
      <c r="F1028" s="29" t="s">
        <v>492</v>
      </c>
      <c r="G1028" s="36">
        <v>5000</v>
      </c>
      <c r="H1028" s="36">
        <v>50</v>
      </c>
    </row>
    <row r="1029" spans="1:8">
      <c r="A1029" s="62">
        <v>138951541508</v>
      </c>
      <c r="B1029" t="s">
        <v>263</v>
      </c>
      <c r="C1029" s="35" t="s">
        <v>387</v>
      </c>
      <c r="D1029" t="s">
        <v>491</v>
      </c>
      <c r="E1029" s="35" t="s">
        <v>387</v>
      </c>
      <c r="F1029" s="29" t="s">
        <v>492</v>
      </c>
      <c r="G1029" s="36">
        <v>64000</v>
      </c>
      <c r="H1029" s="36">
        <v>640</v>
      </c>
    </row>
    <row r="1030" spans="1:8">
      <c r="A1030" s="62">
        <v>138311072677</v>
      </c>
      <c r="B1030" t="s">
        <v>4</v>
      </c>
      <c r="C1030" s="35" t="s">
        <v>387</v>
      </c>
      <c r="D1030" t="s">
        <v>491</v>
      </c>
      <c r="E1030" s="35" t="s">
        <v>387</v>
      </c>
      <c r="F1030" s="29" t="s">
        <v>492</v>
      </c>
      <c r="G1030" s="36">
        <v>47100</v>
      </c>
      <c r="H1030" s="36">
        <v>471</v>
      </c>
    </row>
    <row r="1031" spans="1:8">
      <c r="A1031" s="62">
        <v>138312353835</v>
      </c>
      <c r="B1031" t="s">
        <v>4</v>
      </c>
      <c r="C1031" s="35" t="s">
        <v>387</v>
      </c>
      <c r="D1031" t="s">
        <v>491</v>
      </c>
      <c r="E1031" s="35" t="s">
        <v>387</v>
      </c>
      <c r="F1031" s="29" t="s">
        <v>492</v>
      </c>
      <c r="G1031" s="36">
        <v>11300</v>
      </c>
      <c r="H1031" s="36">
        <v>113</v>
      </c>
    </row>
    <row r="1032" spans="1:8">
      <c r="A1032" s="62">
        <v>138312563103</v>
      </c>
      <c r="B1032" t="s">
        <v>4</v>
      </c>
      <c r="C1032" s="35" t="s">
        <v>387</v>
      </c>
      <c r="D1032" t="s">
        <v>491</v>
      </c>
      <c r="E1032" s="35" t="s">
        <v>387</v>
      </c>
      <c r="F1032" s="29" t="s">
        <v>492</v>
      </c>
      <c r="G1032" s="36">
        <v>9600</v>
      </c>
      <c r="H1032" s="36">
        <v>96</v>
      </c>
    </row>
    <row r="1033" spans="1:8">
      <c r="A1033" s="62">
        <v>138313163771</v>
      </c>
      <c r="B1033" t="s">
        <v>4</v>
      </c>
      <c r="C1033" s="35" t="s">
        <v>387</v>
      </c>
      <c r="D1033" t="s">
        <v>491</v>
      </c>
      <c r="E1033" s="35" t="s">
        <v>387</v>
      </c>
      <c r="F1033" s="29" t="s">
        <v>492</v>
      </c>
      <c r="G1033" s="36">
        <v>20100</v>
      </c>
      <c r="H1033" s="36">
        <v>201</v>
      </c>
    </row>
    <row r="1034" spans="1:8">
      <c r="A1034" s="62">
        <v>138955332676</v>
      </c>
      <c r="B1034" t="s">
        <v>4</v>
      </c>
      <c r="C1034" s="35" t="s">
        <v>387</v>
      </c>
      <c r="D1034" t="s">
        <v>491</v>
      </c>
      <c r="E1034" s="35" t="s">
        <v>387</v>
      </c>
      <c r="F1034" s="29" t="s">
        <v>492</v>
      </c>
      <c r="G1034" s="36">
        <v>23650</v>
      </c>
      <c r="H1034" s="36">
        <v>236.5</v>
      </c>
    </row>
    <row r="1035" spans="1:8">
      <c r="A1035" s="62">
        <v>138955737872</v>
      </c>
      <c r="B1035" t="s">
        <v>4</v>
      </c>
      <c r="C1035" s="35" t="s">
        <v>387</v>
      </c>
      <c r="D1035" t="s">
        <v>491</v>
      </c>
      <c r="E1035" s="35" t="s">
        <v>387</v>
      </c>
      <c r="F1035" s="29" t="s">
        <v>492</v>
      </c>
      <c r="G1035" s="36">
        <v>20600</v>
      </c>
      <c r="H1035" s="36">
        <v>206</v>
      </c>
    </row>
    <row r="1036" spans="1:8">
      <c r="A1036" s="62">
        <v>138956547972</v>
      </c>
      <c r="B1036" t="s">
        <v>4</v>
      </c>
      <c r="C1036" s="35" t="s">
        <v>387</v>
      </c>
      <c r="D1036" t="s">
        <v>491</v>
      </c>
      <c r="E1036" s="35" t="s">
        <v>387</v>
      </c>
      <c r="F1036" s="29" t="s">
        <v>492</v>
      </c>
      <c r="G1036" s="36">
        <v>88600</v>
      </c>
      <c r="H1036" s="36">
        <v>886</v>
      </c>
    </row>
    <row r="1037" spans="1:8">
      <c r="A1037" s="62">
        <v>138316277365</v>
      </c>
      <c r="B1037" t="s">
        <v>263</v>
      </c>
      <c r="C1037" s="35" t="s">
        <v>387</v>
      </c>
      <c r="D1037" t="s">
        <v>491</v>
      </c>
      <c r="E1037" s="35" t="s">
        <v>387</v>
      </c>
      <c r="F1037" s="29" t="s">
        <v>492</v>
      </c>
      <c r="G1037" s="36">
        <v>112600</v>
      </c>
      <c r="H1037" s="36">
        <v>1126</v>
      </c>
    </row>
    <row r="1038" spans="1:8">
      <c r="A1038" s="62">
        <v>138316537299</v>
      </c>
      <c r="B1038" t="s">
        <v>4</v>
      </c>
      <c r="C1038" s="35" t="s">
        <v>387</v>
      </c>
      <c r="D1038" t="s">
        <v>491</v>
      </c>
      <c r="E1038" s="35" t="s">
        <v>387</v>
      </c>
      <c r="F1038" s="29" t="s">
        <v>492</v>
      </c>
      <c r="G1038" s="36">
        <v>55900</v>
      </c>
      <c r="H1038" s="36">
        <v>559</v>
      </c>
    </row>
    <row r="1039" spans="1:8">
      <c r="A1039" s="62">
        <v>138957550940</v>
      </c>
      <c r="B1039" t="s">
        <v>4</v>
      </c>
      <c r="C1039" s="35" t="s">
        <v>387</v>
      </c>
      <c r="D1039" t="s">
        <v>491</v>
      </c>
      <c r="E1039" s="35" t="s">
        <v>387</v>
      </c>
      <c r="F1039" s="29" t="s">
        <v>492</v>
      </c>
      <c r="G1039" s="36">
        <v>43100</v>
      </c>
      <c r="H1039" s="36">
        <v>431</v>
      </c>
    </row>
    <row r="1040" spans="1:8">
      <c r="A1040" s="62">
        <v>138958597390</v>
      </c>
      <c r="B1040" t="s">
        <v>4</v>
      </c>
      <c r="C1040" s="35" t="s">
        <v>387</v>
      </c>
      <c r="D1040" t="s">
        <v>491</v>
      </c>
      <c r="E1040" s="35" t="s">
        <v>387</v>
      </c>
      <c r="F1040" s="29" t="s">
        <v>492</v>
      </c>
      <c r="G1040" s="36">
        <v>36800</v>
      </c>
      <c r="H1040" s="36">
        <v>368</v>
      </c>
    </row>
    <row r="1041" spans="1:8">
      <c r="A1041" s="62">
        <v>138317772859</v>
      </c>
      <c r="B1041" t="s">
        <v>263</v>
      </c>
      <c r="C1041" s="35" t="s">
        <v>387</v>
      </c>
      <c r="D1041" t="s">
        <v>491</v>
      </c>
      <c r="E1041" s="35" t="s">
        <v>387</v>
      </c>
      <c r="F1041" s="29" t="s">
        <v>492</v>
      </c>
      <c r="G1041" s="36">
        <v>35800</v>
      </c>
      <c r="H1041" s="36">
        <v>358</v>
      </c>
    </row>
    <row r="1042" spans="1:8">
      <c r="A1042" s="62">
        <v>138958895424</v>
      </c>
      <c r="B1042" t="s">
        <v>263</v>
      </c>
      <c r="C1042" s="35" t="s">
        <v>387</v>
      </c>
      <c r="D1042" t="s">
        <v>491</v>
      </c>
      <c r="E1042" s="35" t="s">
        <v>387</v>
      </c>
      <c r="F1042" s="29" t="s">
        <v>492</v>
      </c>
      <c r="G1042" s="36">
        <v>75800</v>
      </c>
      <c r="H1042" s="36">
        <v>758</v>
      </c>
    </row>
    <row r="1043" spans="1:8">
      <c r="A1043" s="62">
        <v>138318627905</v>
      </c>
      <c r="B1043" t="s">
        <v>263</v>
      </c>
      <c r="C1043" s="35" t="s">
        <v>387</v>
      </c>
      <c r="D1043" t="s">
        <v>491</v>
      </c>
      <c r="E1043" s="35" t="s">
        <v>387</v>
      </c>
      <c r="F1043" s="29" t="s">
        <v>492</v>
      </c>
      <c r="G1043" s="36">
        <v>42100</v>
      </c>
      <c r="H1043" s="36">
        <v>421</v>
      </c>
    </row>
    <row r="1044" spans="1:8">
      <c r="A1044" s="62">
        <v>138320030417</v>
      </c>
      <c r="B1044" t="s">
        <v>4</v>
      </c>
      <c r="C1044" s="35" t="s">
        <v>387</v>
      </c>
      <c r="D1044" t="s">
        <v>491</v>
      </c>
      <c r="E1044" s="35" t="s">
        <v>387</v>
      </c>
      <c r="F1044" s="29" t="s">
        <v>492</v>
      </c>
      <c r="G1044" s="36">
        <v>9600</v>
      </c>
      <c r="H1044" s="36">
        <v>96</v>
      </c>
    </row>
    <row r="1045" spans="1:8">
      <c r="A1045" s="62">
        <v>138962445080</v>
      </c>
      <c r="B1045" t="s">
        <v>4</v>
      </c>
      <c r="C1045" s="35" t="s">
        <v>387</v>
      </c>
      <c r="D1045" t="s">
        <v>491</v>
      </c>
      <c r="E1045" s="35" t="s">
        <v>400</v>
      </c>
      <c r="F1045" s="29" t="s">
        <v>492</v>
      </c>
      <c r="G1045" s="36">
        <v>153500</v>
      </c>
      <c r="H1045" s="36">
        <v>1535</v>
      </c>
    </row>
    <row r="1046" spans="1:8">
      <c r="A1046" s="62">
        <v>138962805222</v>
      </c>
      <c r="B1046" t="s">
        <v>4</v>
      </c>
      <c r="C1046" s="35" t="s">
        <v>387</v>
      </c>
      <c r="D1046" t="s">
        <v>491</v>
      </c>
      <c r="E1046" s="35" t="s">
        <v>400</v>
      </c>
      <c r="F1046" s="29" t="s">
        <v>492</v>
      </c>
      <c r="G1046" s="36">
        <v>5000</v>
      </c>
      <c r="H1046" s="36">
        <v>50</v>
      </c>
    </row>
    <row r="1047" spans="1:8">
      <c r="A1047" s="62">
        <v>138962996942</v>
      </c>
      <c r="B1047" t="s">
        <v>4</v>
      </c>
      <c r="C1047" s="35" t="s">
        <v>387</v>
      </c>
      <c r="D1047" t="s">
        <v>491</v>
      </c>
      <c r="E1047" s="35" t="s">
        <v>400</v>
      </c>
      <c r="F1047" s="29" t="s">
        <v>492</v>
      </c>
      <c r="G1047" s="36">
        <v>71200</v>
      </c>
      <c r="H1047" s="36">
        <v>712</v>
      </c>
    </row>
    <row r="1048" spans="1:8">
      <c r="A1048" s="62">
        <v>138963015400</v>
      </c>
      <c r="B1048" t="s">
        <v>263</v>
      </c>
      <c r="C1048" s="35" t="s">
        <v>387</v>
      </c>
      <c r="D1048" t="s">
        <v>491</v>
      </c>
      <c r="E1048" s="35" t="s">
        <v>400</v>
      </c>
      <c r="F1048" s="29" t="s">
        <v>492</v>
      </c>
      <c r="G1048" s="36">
        <v>58200</v>
      </c>
      <c r="H1048" s="36">
        <v>582</v>
      </c>
    </row>
    <row r="1049" spans="1:8">
      <c r="A1049" s="62">
        <v>138322192323</v>
      </c>
      <c r="B1049" t="s">
        <v>263</v>
      </c>
      <c r="C1049" s="35" t="s">
        <v>387</v>
      </c>
      <c r="D1049" t="s">
        <v>491</v>
      </c>
      <c r="E1049" s="35" t="s">
        <v>400</v>
      </c>
      <c r="F1049" s="29" t="s">
        <v>492</v>
      </c>
      <c r="G1049" s="36">
        <v>20900</v>
      </c>
      <c r="H1049" s="36">
        <v>209</v>
      </c>
    </row>
    <row r="1050" spans="1:8">
      <c r="A1050" s="62">
        <v>138963448102</v>
      </c>
      <c r="B1050" t="s">
        <v>4</v>
      </c>
      <c r="C1050" s="35" t="s">
        <v>387</v>
      </c>
      <c r="D1050" t="s">
        <v>491</v>
      </c>
      <c r="E1050" s="35" t="s">
        <v>400</v>
      </c>
      <c r="F1050" s="29" t="s">
        <v>492</v>
      </c>
      <c r="G1050" s="36">
        <v>36000</v>
      </c>
      <c r="H1050" s="36">
        <v>360</v>
      </c>
    </row>
    <row r="1051" spans="1:8">
      <c r="A1051" s="62">
        <v>138964643346</v>
      </c>
      <c r="B1051" t="s">
        <v>4</v>
      </c>
      <c r="C1051" s="35" t="s">
        <v>387</v>
      </c>
      <c r="D1051" t="s">
        <v>491</v>
      </c>
      <c r="E1051" s="35" t="s">
        <v>400</v>
      </c>
      <c r="F1051" s="29" t="s">
        <v>492</v>
      </c>
      <c r="G1051" s="36">
        <v>136700</v>
      </c>
      <c r="H1051" s="36">
        <v>1367</v>
      </c>
    </row>
    <row r="1052" spans="1:8">
      <c r="A1052" s="62">
        <v>138964725768</v>
      </c>
      <c r="B1052" t="s">
        <v>4</v>
      </c>
      <c r="C1052" s="35" t="s">
        <v>400</v>
      </c>
      <c r="D1052" t="s">
        <v>491</v>
      </c>
      <c r="E1052" s="35" t="s">
        <v>400</v>
      </c>
      <c r="F1052" s="29" t="s">
        <v>492</v>
      </c>
      <c r="G1052" s="36">
        <v>16500</v>
      </c>
      <c r="H1052" s="36">
        <v>165</v>
      </c>
    </row>
    <row r="1053" spans="1:8">
      <c r="A1053" s="62">
        <v>138964781728</v>
      </c>
      <c r="B1053" t="s">
        <v>4</v>
      </c>
      <c r="C1053" s="35" t="s">
        <v>400</v>
      </c>
      <c r="D1053" t="s">
        <v>491</v>
      </c>
      <c r="E1053" s="35" t="s">
        <v>400</v>
      </c>
      <c r="F1053" s="29" t="s">
        <v>492</v>
      </c>
      <c r="G1053" s="36">
        <v>20000</v>
      </c>
      <c r="H1053" s="36">
        <v>200</v>
      </c>
    </row>
    <row r="1054" spans="1:8">
      <c r="A1054" s="62">
        <v>138966323446</v>
      </c>
      <c r="B1054" t="s">
        <v>4</v>
      </c>
      <c r="C1054" s="35" t="s">
        <v>400</v>
      </c>
      <c r="D1054" t="s">
        <v>491</v>
      </c>
      <c r="E1054" s="35" t="s">
        <v>400</v>
      </c>
      <c r="F1054" s="29" t="s">
        <v>492</v>
      </c>
      <c r="G1054" s="36">
        <v>10000</v>
      </c>
      <c r="H1054" s="36">
        <v>100</v>
      </c>
    </row>
    <row r="1055" spans="1:8">
      <c r="A1055" s="62">
        <v>138966619264</v>
      </c>
      <c r="B1055" t="s">
        <v>4</v>
      </c>
      <c r="C1055" s="35" t="s">
        <v>400</v>
      </c>
      <c r="D1055" t="s">
        <v>491</v>
      </c>
      <c r="E1055" s="35" t="s">
        <v>400</v>
      </c>
      <c r="F1055" s="29" t="s">
        <v>492</v>
      </c>
      <c r="G1055" s="36">
        <v>62500</v>
      </c>
      <c r="H1055" s="36">
        <v>625</v>
      </c>
    </row>
    <row r="1056" spans="1:8">
      <c r="A1056" s="62">
        <v>138615245287</v>
      </c>
      <c r="B1056" t="s">
        <v>4</v>
      </c>
      <c r="C1056" s="35" t="s">
        <v>407</v>
      </c>
      <c r="D1056" t="s">
        <v>491</v>
      </c>
      <c r="E1056" s="35" t="s">
        <v>407</v>
      </c>
      <c r="F1056" s="29" t="s">
        <v>492</v>
      </c>
      <c r="G1056" s="36">
        <v>10000</v>
      </c>
      <c r="H1056" s="36">
        <v>100</v>
      </c>
    </row>
    <row r="1057" spans="1:8">
      <c r="A1057" s="62">
        <v>139263142212</v>
      </c>
      <c r="B1057" t="s">
        <v>4</v>
      </c>
      <c r="C1057" s="35" t="s">
        <v>407</v>
      </c>
      <c r="D1057" t="s">
        <v>491</v>
      </c>
      <c r="E1057" s="35" t="s">
        <v>407</v>
      </c>
      <c r="F1057" s="29" t="s">
        <v>492</v>
      </c>
      <c r="G1057" s="36">
        <v>12000</v>
      </c>
      <c r="H1057" s="36">
        <v>120</v>
      </c>
    </row>
    <row r="1058" spans="1:8">
      <c r="A1058" s="62">
        <v>139263155880</v>
      </c>
      <c r="B1058" t="s">
        <v>263</v>
      </c>
      <c r="C1058" s="35" t="s">
        <v>407</v>
      </c>
      <c r="D1058" t="s">
        <v>491</v>
      </c>
      <c r="E1058" s="35" t="s">
        <v>407</v>
      </c>
      <c r="F1058" s="29" t="s">
        <v>492</v>
      </c>
      <c r="G1058" s="36">
        <v>10000</v>
      </c>
      <c r="H1058" s="36">
        <v>100</v>
      </c>
    </row>
    <row r="1059" spans="1:8">
      <c r="A1059" s="62">
        <v>138620385257</v>
      </c>
      <c r="B1059" t="s">
        <v>263</v>
      </c>
      <c r="C1059" s="35" t="s">
        <v>407</v>
      </c>
      <c r="D1059" t="s">
        <v>491</v>
      </c>
      <c r="E1059" s="35" t="s">
        <v>407</v>
      </c>
      <c r="F1059" s="29" t="s">
        <v>492</v>
      </c>
      <c r="G1059" s="36">
        <v>24100</v>
      </c>
      <c r="H1059" s="36">
        <v>241</v>
      </c>
    </row>
    <row r="1060" spans="1:8">
      <c r="A1060" s="62">
        <v>139270327646</v>
      </c>
      <c r="B1060" t="s">
        <v>4</v>
      </c>
      <c r="C1060" s="35" t="s">
        <v>407</v>
      </c>
      <c r="D1060" t="s">
        <v>491</v>
      </c>
      <c r="E1060" s="35" t="s">
        <v>407</v>
      </c>
      <c r="F1060" s="29" t="s">
        <v>492</v>
      </c>
      <c r="G1060" s="36">
        <v>10000</v>
      </c>
      <c r="H1060" s="36">
        <v>100</v>
      </c>
    </row>
    <row r="1061" spans="1:8">
      <c r="A1061" s="62">
        <v>139271087224</v>
      </c>
      <c r="B1061" t="s">
        <v>4</v>
      </c>
      <c r="C1061" s="35" t="s">
        <v>407</v>
      </c>
      <c r="D1061" t="s">
        <v>491</v>
      </c>
      <c r="E1061" s="35" t="s">
        <v>407</v>
      </c>
      <c r="F1061" s="29" t="s">
        <v>492</v>
      </c>
      <c r="G1061" s="36">
        <v>29300</v>
      </c>
      <c r="H1061" s="36">
        <v>293</v>
      </c>
    </row>
    <row r="1062" spans="1:8">
      <c r="A1062" s="62">
        <v>139272015484</v>
      </c>
      <c r="B1062" t="s">
        <v>4</v>
      </c>
      <c r="C1062" s="35" t="s">
        <v>407</v>
      </c>
      <c r="D1062" t="s">
        <v>491</v>
      </c>
      <c r="E1062" s="35" t="s">
        <v>407</v>
      </c>
      <c r="F1062" s="29" t="s">
        <v>492</v>
      </c>
      <c r="G1062" s="36">
        <v>19000</v>
      </c>
      <c r="H1062" s="36">
        <v>190</v>
      </c>
    </row>
    <row r="1063" spans="1:8">
      <c r="A1063" s="62">
        <v>139273670082</v>
      </c>
      <c r="B1063" t="s">
        <v>263</v>
      </c>
      <c r="C1063" s="35" t="s">
        <v>407</v>
      </c>
      <c r="D1063" t="s">
        <v>491</v>
      </c>
      <c r="E1063" s="35" t="s">
        <v>407</v>
      </c>
      <c r="F1063" s="29" t="s">
        <v>492</v>
      </c>
      <c r="G1063" s="36">
        <v>39200</v>
      </c>
      <c r="H1063" s="36">
        <v>392</v>
      </c>
    </row>
    <row r="1064" spans="1:8">
      <c r="A1064" s="62">
        <v>139273670082</v>
      </c>
      <c r="B1064" t="s">
        <v>263</v>
      </c>
      <c r="C1064" s="35" t="s">
        <v>407</v>
      </c>
      <c r="D1064" t="s">
        <v>287</v>
      </c>
      <c r="E1064" s="35" t="s">
        <v>407</v>
      </c>
      <c r="F1064" s="29" t="s">
        <v>492</v>
      </c>
      <c r="G1064" s="36">
        <v>-39200</v>
      </c>
      <c r="H1064" s="36">
        <v>-392</v>
      </c>
    </row>
    <row r="1065" spans="1:8">
      <c r="A1065" s="62">
        <v>139274280902</v>
      </c>
      <c r="B1065" t="s">
        <v>4</v>
      </c>
      <c r="C1065" s="35" t="s">
        <v>407</v>
      </c>
      <c r="D1065" t="s">
        <v>491</v>
      </c>
      <c r="E1065" s="35" t="s">
        <v>407</v>
      </c>
      <c r="F1065" s="29" t="s">
        <v>492</v>
      </c>
      <c r="G1065" s="36">
        <v>5000</v>
      </c>
      <c r="H1065" s="36">
        <v>50</v>
      </c>
    </row>
    <row r="1066" spans="1:8">
      <c r="A1066" s="62">
        <v>139275323288</v>
      </c>
      <c r="B1066" t="s">
        <v>4</v>
      </c>
      <c r="C1066" s="35" t="s">
        <v>407</v>
      </c>
      <c r="D1066" t="s">
        <v>491</v>
      </c>
      <c r="E1066" s="35" t="s">
        <v>407</v>
      </c>
      <c r="F1066" s="29" t="s">
        <v>492</v>
      </c>
      <c r="G1066" s="36">
        <v>17500</v>
      </c>
      <c r="H1066" s="36">
        <v>175</v>
      </c>
    </row>
    <row r="1067" spans="1:8">
      <c r="A1067" s="62">
        <v>138633140959</v>
      </c>
      <c r="B1067" t="s">
        <v>263</v>
      </c>
      <c r="C1067" s="35" t="s">
        <v>407</v>
      </c>
      <c r="D1067" t="s">
        <v>491</v>
      </c>
      <c r="E1067" s="35" t="s">
        <v>407</v>
      </c>
      <c r="F1067" s="29" t="s">
        <v>492</v>
      </c>
      <c r="G1067" s="36">
        <v>13000</v>
      </c>
      <c r="H1067" s="36">
        <v>130</v>
      </c>
    </row>
    <row r="1068" spans="1:8">
      <c r="A1068" s="62">
        <v>139256588728</v>
      </c>
      <c r="B1068" t="s">
        <v>4</v>
      </c>
      <c r="C1068" s="35" t="s">
        <v>407</v>
      </c>
      <c r="D1068" t="s">
        <v>491</v>
      </c>
      <c r="E1068" s="35" t="s">
        <v>407</v>
      </c>
      <c r="F1068" s="29" t="s">
        <v>492</v>
      </c>
      <c r="G1068" s="36">
        <v>9600</v>
      </c>
      <c r="H1068" s="36">
        <v>96</v>
      </c>
    </row>
    <row r="1069" spans="1:8">
      <c r="A1069" s="62">
        <v>138633489427</v>
      </c>
      <c r="B1069" t="s">
        <v>4</v>
      </c>
      <c r="C1069" s="35" t="s">
        <v>407</v>
      </c>
      <c r="D1069" t="s">
        <v>491</v>
      </c>
      <c r="E1069" s="35" t="s">
        <v>407</v>
      </c>
      <c r="F1069" s="29" t="s">
        <v>492</v>
      </c>
      <c r="G1069" s="36">
        <v>5000</v>
      </c>
      <c r="H1069" s="36">
        <v>50</v>
      </c>
    </row>
    <row r="1070" spans="1:8">
      <c r="A1070" s="62">
        <v>138633605923</v>
      </c>
      <c r="B1070" t="s">
        <v>263</v>
      </c>
      <c r="C1070" s="35" t="s">
        <v>407</v>
      </c>
      <c r="D1070" t="s">
        <v>491</v>
      </c>
      <c r="E1070" s="35" t="s">
        <v>407</v>
      </c>
      <c r="F1070" s="29" t="s">
        <v>492</v>
      </c>
      <c r="G1070" s="36">
        <v>87300</v>
      </c>
      <c r="H1070" s="36">
        <v>873</v>
      </c>
    </row>
    <row r="1071" spans="1:8">
      <c r="A1071" s="62">
        <v>138635021889</v>
      </c>
      <c r="B1071" t="s">
        <v>4</v>
      </c>
      <c r="C1071" s="35" t="s">
        <v>407</v>
      </c>
      <c r="D1071" t="s">
        <v>491</v>
      </c>
      <c r="E1071" s="35" t="s">
        <v>407</v>
      </c>
      <c r="F1071" s="29" t="s">
        <v>492</v>
      </c>
      <c r="G1071" s="36">
        <v>35800</v>
      </c>
      <c r="H1071" s="36">
        <v>358</v>
      </c>
    </row>
    <row r="1072" spans="1:8">
      <c r="A1072" s="62">
        <v>139280438028</v>
      </c>
      <c r="B1072" t="s">
        <v>4</v>
      </c>
      <c r="C1072" s="35" t="s">
        <v>407</v>
      </c>
      <c r="D1072" t="s">
        <v>491</v>
      </c>
      <c r="E1072" s="35" t="s">
        <v>407</v>
      </c>
      <c r="F1072" s="29" t="s">
        <v>492</v>
      </c>
      <c r="G1072" s="36">
        <v>45300</v>
      </c>
      <c r="H1072" s="36">
        <v>453</v>
      </c>
    </row>
    <row r="1073" spans="1:8">
      <c r="A1073" s="62">
        <v>139280754312</v>
      </c>
      <c r="B1073" t="s">
        <v>4</v>
      </c>
      <c r="C1073" s="35" t="s">
        <v>407</v>
      </c>
      <c r="D1073" t="s">
        <v>491</v>
      </c>
      <c r="E1073" s="35" t="s">
        <v>407</v>
      </c>
      <c r="F1073" s="29" t="s">
        <v>492</v>
      </c>
      <c r="G1073" s="36">
        <v>13700</v>
      </c>
      <c r="H1073" s="36">
        <v>137</v>
      </c>
    </row>
    <row r="1074" spans="1:8">
      <c r="A1074" s="62">
        <v>139281632816</v>
      </c>
      <c r="B1074" t="s">
        <v>263</v>
      </c>
      <c r="C1074" s="35" t="s">
        <v>407</v>
      </c>
      <c r="D1074" t="s">
        <v>491</v>
      </c>
      <c r="E1074" s="35" t="s">
        <v>407</v>
      </c>
      <c r="F1074" s="29" t="s">
        <v>492</v>
      </c>
      <c r="G1074" s="36">
        <v>2400</v>
      </c>
      <c r="H1074" s="36">
        <v>24</v>
      </c>
    </row>
    <row r="1075" spans="1:8">
      <c r="A1075" s="62">
        <v>139281926234</v>
      </c>
      <c r="B1075" t="s">
        <v>4</v>
      </c>
      <c r="C1075" s="35" t="s">
        <v>407</v>
      </c>
      <c r="D1075" t="s">
        <v>491</v>
      </c>
      <c r="E1075" s="35" t="s">
        <v>407</v>
      </c>
      <c r="F1075" s="29" t="s">
        <v>492</v>
      </c>
      <c r="G1075" s="36">
        <v>2500</v>
      </c>
      <c r="H1075" s="36">
        <v>25</v>
      </c>
    </row>
    <row r="1076" spans="1:8">
      <c r="A1076" s="62">
        <v>139281911322</v>
      </c>
      <c r="B1076" t="s">
        <v>4</v>
      </c>
      <c r="C1076" s="35" t="s">
        <v>407</v>
      </c>
      <c r="D1076" t="s">
        <v>491</v>
      </c>
      <c r="E1076" s="35" t="s">
        <v>407</v>
      </c>
      <c r="F1076" s="29" t="s">
        <v>492</v>
      </c>
      <c r="G1076" s="36">
        <v>31800</v>
      </c>
      <c r="H1076" s="36">
        <v>318</v>
      </c>
    </row>
    <row r="1077" spans="1:8">
      <c r="A1077" s="62">
        <v>138637654465</v>
      </c>
      <c r="B1077" t="s">
        <v>4</v>
      </c>
      <c r="C1077" s="35" t="s">
        <v>407</v>
      </c>
      <c r="D1077" t="s">
        <v>491</v>
      </c>
      <c r="E1077" s="35" t="s">
        <v>407</v>
      </c>
      <c r="F1077" s="29" t="s">
        <v>492</v>
      </c>
      <c r="G1077" s="36">
        <v>30200</v>
      </c>
      <c r="H1077" s="36">
        <v>302</v>
      </c>
    </row>
    <row r="1078" spans="1:8">
      <c r="A1078" s="62">
        <v>138637623891</v>
      </c>
      <c r="B1078" t="s">
        <v>263</v>
      </c>
      <c r="C1078" s="35" t="s">
        <v>407</v>
      </c>
      <c r="D1078" t="s">
        <v>491</v>
      </c>
      <c r="E1078" s="35" t="s">
        <v>407</v>
      </c>
      <c r="F1078" s="29" t="s">
        <v>492</v>
      </c>
      <c r="G1078" s="36">
        <v>5000</v>
      </c>
      <c r="H1078" s="36">
        <v>50</v>
      </c>
    </row>
    <row r="1079" spans="1:8">
      <c r="A1079" s="62">
        <v>138638356415</v>
      </c>
      <c r="B1079" t="s">
        <v>263</v>
      </c>
      <c r="C1079" s="35" t="s">
        <v>407</v>
      </c>
      <c r="D1079" t="s">
        <v>491</v>
      </c>
      <c r="E1079" s="35" t="s">
        <v>411</v>
      </c>
      <c r="F1079" s="29" t="s">
        <v>492</v>
      </c>
      <c r="G1079" s="36">
        <v>51800</v>
      </c>
      <c r="H1079" s="36">
        <v>518</v>
      </c>
    </row>
    <row r="1080" spans="1:8">
      <c r="A1080" s="62">
        <v>138639735813</v>
      </c>
      <c r="B1080" t="s">
        <v>263</v>
      </c>
      <c r="C1080" s="35" t="s">
        <v>407</v>
      </c>
      <c r="D1080" t="s">
        <v>491</v>
      </c>
      <c r="E1080" s="35" t="s">
        <v>411</v>
      </c>
      <c r="F1080" s="29" t="s">
        <v>492</v>
      </c>
      <c r="G1080" s="36">
        <v>71100</v>
      </c>
      <c r="H1080" s="36">
        <v>711</v>
      </c>
    </row>
    <row r="1081" spans="1:8">
      <c r="A1081" s="62">
        <v>139285356220</v>
      </c>
      <c r="B1081" t="s">
        <v>4</v>
      </c>
      <c r="C1081" s="35" t="s">
        <v>407</v>
      </c>
      <c r="D1081" t="s">
        <v>491</v>
      </c>
      <c r="E1081" s="35" t="s">
        <v>411</v>
      </c>
      <c r="F1081" s="29" t="s">
        <v>492</v>
      </c>
      <c r="G1081" s="36">
        <v>5000</v>
      </c>
      <c r="H1081" s="36">
        <v>50</v>
      </c>
    </row>
    <row r="1082" spans="1:8">
      <c r="A1082" s="62">
        <v>138640123705</v>
      </c>
      <c r="B1082" t="s">
        <v>4</v>
      </c>
      <c r="C1082" s="35" t="s">
        <v>407</v>
      </c>
      <c r="D1082" t="s">
        <v>491</v>
      </c>
      <c r="E1082" s="35" t="s">
        <v>411</v>
      </c>
      <c r="F1082" s="29" t="s">
        <v>492</v>
      </c>
      <c r="G1082" s="36">
        <v>5000</v>
      </c>
      <c r="H1082" s="36">
        <v>50</v>
      </c>
    </row>
    <row r="1083" spans="1:8">
      <c r="A1083" s="62">
        <v>139285806502</v>
      </c>
      <c r="B1083" t="s">
        <v>4</v>
      </c>
      <c r="C1083" s="35" t="s">
        <v>407</v>
      </c>
      <c r="D1083" t="s">
        <v>491</v>
      </c>
      <c r="E1083" s="35" t="s">
        <v>411</v>
      </c>
      <c r="F1083" s="29" t="s">
        <v>492</v>
      </c>
      <c r="G1083" s="36">
        <v>55100</v>
      </c>
      <c r="H1083" s="36">
        <v>551</v>
      </c>
    </row>
    <row r="1084" spans="1:8">
      <c r="A1084" s="62">
        <v>138640656927</v>
      </c>
      <c r="B1084" t="s">
        <v>263</v>
      </c>
      <c r="C1084" s="35" t="s">
        <v>407</v>
      </c>
      <c r="D1084" t="s">
        <v>491</v>
      </c>
      <c r="E1084" s="35" t="s">
        <v>411</v>
      </c>
      <c r="F1084" s="29" t="s">
        <v>492</v>
      </c>
      <c r="G1084" s="36">
        <v>55000</v>
      </c>
      <c r="H1084" s="36">
        <v>550</v>
      </c>
    </row>
    <row r="1085" spans="1:8">
      <c r="A1085" s="62">
        <v>139286071896</v>
      </c>
      <c r="B1085" t="s">
        <v>4</v>
      </c>
      <c r="C1085" s="35" t="s">
        <v>407</v>
      </c>
      <c r="D1085" t="s">
        <v>491</v>
      </c>
      <c r="E1085" s="35" t="s">
        <v>411</v>
      </c>
      <c r="F1085" s="29" t="s">
        <v>492</v>
      </c>
      <c r="G1085" s="36">
        <v>4800</v>
      </c>
      <c r="H1085" s="36">
        <v>48</v>
      </c>
    </row>
    <row r="1086" spans="1:8">
      <c r="A1086" s="62">
        <v>139286935926</v>
      </c>
      <c r="B1086" t="s">
        <v>4</v>
      </c>
      <c r="C1086" s="35" t="s">
        <v>411</v>
      </c>
      <c r="D1086" t="s">
        <v>491</v>
      </c>
      <c r="E1086" s="35" t="s">
        <v>411</v>
      </c>
      <c r="F1086" s="29" t="s">
        <v>492</v>
      </c>
      <c r="G1086" s="36">
        <v>10500</v>
      </c>
      <c r="H1086" s="36">
        <v>105</v>
      </c>
    </row>
    <row r="1087" spans="1:8">
      <c r="A1087" s="62">
        <v>139287660210</v>
      </c>
      <c r="B1087" t="s">
        <v>263</v>
      </c>
      <c r="C1087" s="35" t="s">
        <v>411</v>
      </c>
      <c r="D1087" t="s">
        <v>491</v>
      </c>
      <c r="E1087" s="35" t="s">
        <v>411</v>
      </c>
      <c r="F1087" s="29" t="s">
        <v>492</v>
      </c>
      <c r="G1087" s="36">
        <v>5000</v>
      </c>
      <c r="H1087" s="36">
        <v>50</v>
      </c>
    </row>
    <row r="1088" spans="1:8">
      <c r="A1088" s="62">
        <v>139287633758</v>
      </c>
      <c r="B1088" t="s">
        <v>263</v>
      </c>
      <c r="C1088" s="35" t="s">
        <v>411</v>
      </c>
      <c r="D1088" t="s">
        <v>491</v>
      </c>
      <c r="E1088" s="35" t="s">
        <v>411</v>
      </c>
      <c r="F1088" s="29" t="s">
        <v>492</v>
      </c>
      <c r="G1088" s="36">
        <v>41750</v>
      </c>
      <c r="H1088" s="36">
        <v>417.5</v>
      </c>
    </row>
    <row r="1089" spans="1:8">
      <c r="A1089" s="62">
        <v>139288035188</v>
      </c>
      <c r="B1089" t="s">
        <v>4</v>
      </c>
      <c r="C1089" s="35" t="s">
        <v>411</v>
      </c>
      <c r="D1089" t="s">
        <v>491</v>
      </c>
      <c r="E1089" s="35" t="s">
        <v>411</v>
      </c>
      <c r="F1089" s="29" t="s">
        <v>492</v>
      </c>
      <c r="G1089" s="36">
        <v>5150</v>
      </c>
      <c r="H1089" s="36">
        <v>51.5</v>
      </c>
    </row>
    <row r="1090" spans="1:8">
      <c r="A1090" s="62">
        <v>138620961365</v>
      </c>
      <c r="B1090" t="s">
        <v>4</v>
      </c>
      <c r="C1090" s="35" t="s">
        <v>407</v>
      </c>
      <c r="D1090" t="s">
        <v>491</v>
      </c>
      <c r="E1090" s="35" t="s">
        <v>407</v>
      </c>
      <c r="F1090" s="29" t="s">
        <v>492</v>
      </c>
      <c r="G1090" s="36">
        <v>6000</v>
      </c>
      <c r="H1090" s="36">
        <v>60</v>
      </c>
    </row>
    <row r="1091" spans="1:8">
      <c r="A1091" s="62">
        <v>138643137433</v>
      </c>
      <c r="B1091" t="s">
        <v>4</v>
      </c>
      <c r="C1091" s="35" t="s">
        <v>411</v>
      </c>
      <c r="D1091" t="s">
        <v>491</v>
      </c>
      <c r="E1091" s="35" t="s">
        <v>411</v>
      </c>
      <c r="F1091" s="29" t="s">
        <v>492</v>
      </c>
      <c r="G1091" s="36">
        <v>5000</v>
      </c>
      <c r="H1091" s="36">
        <v>50</v>
      </c>
    </row>
    <row r="1092" spans="1:8">
      <c r="A1092" s="62">
        <v>138643534943</v>
      </c>
      <c r="B1092" t="s">
        <v>263</v>
      </c>
      <c r="C1092" s="35" t="s">
        <v>411</v>
      </c>
      <c r="D1092" t="s">
        <v>491</v>
      </c>
      <c r="E1092" s="35" t="s">
        <v>411</v>
      </c>
      <c r="F1092" s="29" t="s">
        <v>492</v>
      </c>
      <c r="G1092" s="36">
        <v>41800</v>
      </c>
      <c r="H1092" s="36">
        <v>418</v>
      </c>
    </row>
    <row r="1093" spans="1:8">
      <c r="A1093" s="62">
        <v>138644107181</v>
      </c>
      <c r="B1093" t="s">
        <v>4</v>
      </c>
      <c r="C1093" s="35" t="s">
        <v>411</v>
      </c>
      <c r="D1093" t="s">
        <v>491</v>
      </c>
      <c r="E1093" s="35" t="s">
        <v>411</v>
      </c>
      <c r="F1093" s="29" t="s">
        <v>492</v>
      </c>
      <c r="G1093" s="36">
        <v>4800</v>
      </c>
      <c r="H1093" s="36">
        <v>48</v>
      </c>
    </row>
    <row r="1094" spans="1:8">
      <c r="A1094" s="62">
        <v>139268810486</v>
      </c>
      <c r="B1094" t="s">
        <v>263</v>
      </c>
      <c r="C1094" s="35" t="s">
        <v>407</v>
      </c>
      <c r="D1094" t="s">
        <v>491</v>
      </c>
      <c r="E1094" s="35" t="s">
        <v>407</v>
      </c>
      <c r="F1094" s="29" t="s">
        <v>492</v>
      </c>
      <c r="G1094" s="36">
        <v>22000</v>
      </c>
      <c r="H1094" s="36">
        <v>220</v>
      </c>
    </row>
    <row r="1095" spans="1:8">
      <c r="A1095" s="62">
        <v>138624066329</v>
      </c>
      <c r="B1095" t="s">
        <v>4</v>
      </c>
      <c r="C1095" s="35" t="s">
        <v>407</v>
      </c>
      <c r="D1095" t="s">
        <v>491</v>
      </c>
      <c r="E1095" s="35" t="s">
        <v>407</v>
      </c>
      <c r="F1095" s="29" t="s">
        <v>492</v>
      </c>
      <c r="G1095" s="36">
        <v>22400</v>
      </c>
      <c r="H1095" s="36">
        <v>224</v>
      </c>
    </row>
    <row r="1096" spans="1:8">
      <c r="A1096" s="62">
        <v>138626144163</v>
      </c>
      <c r="B1096" t="s">
        <v>4</v>
      </c>
      <c r="C1096" s="35" t="s">
        <v>407</v>
      </c>
      <c r="D1096" t="s">
        <v>491</v>
      </c>
      <c r="E1096" s="35" t="s">
        <v>407</v>
      </c>
      <c r="F1096" s="29" t="s">
        <v>492</v>
      </c>
      <c r="G1096" s="36">
        <v>4800</v>
      </c>
      <c r="H1096" s="36">
        <v>48</v>
      </c>
    </row>
    <row r="1097" spans="1:8">
      <c r="A1097" s="62">
        <v>139271724608</v>
      </c>
      <c r="B1097" t="s">
        <v>4</v>
      </c>
      <c r="C1097" s="35" t="s">
        <v>407</v>
      </c>
      <c r="D1097" t="s">
        <v>491</v>
      </c>
      <c r="E1097" s="35" t="s">
        <v>407</v>
      </c>
      <c r="F1097" s="29" t="s">
        <v>492</v>
      </c>
      <c r="G1097" s="36">
        <v>4800</v>
      </c>
      <c r="H1097" s="36">
        <v>48</v>
      </c>
    </row>
    <row r="1098" spans="1:8">
      <c r="A1098" s="62">
        <v>139272408922</v>
      </c>
      <c r="B1098" t="s">
        <v>4</v>
      </c>
      <c r="C1098" s="35" t="s">
        <v>407</v>
      </c>
      <c r="D1098" t="s">
        <v>491</v>
      </c>
      <c r="E1098" s="35" t="s">
        <v>407</v>
      </c>
      <c r="F1098" s="29" t="s">
        <v>492</v>
      </c>
      <c r="G1098" s="36">
        <v>38500</v>
      </c>
      <c r="H1098" s="36">
        <v>385</v>
      </c>
    </row>
    <row r="1099" spans="1:8">
      <c r="A1099" s="62">
        <v>138628677131</v>
      </c>
      <c r="B1099" t="s">
        <v>263</v>
      </c>
      <c r="C1099" s="35" t="s">
        <v>407</v>
      </c>
      <c r="D1099" t="s">
        <v>491</v>
      </c>
      <c r="E1099" s="35" t="s">
        <v>407</v>
      </c>
      <c r="F1099" s="29" t="s">
        <v>492</v>
      </c>
      <c r="G1099" s="36">
        <v>33700</v>
      </c>
      <c r="H1099" s="36">
        <v>337</v>
      </c>
    </row>
    <row r="1100" spans="1:8">
      <c r="A1100" s="62">
        <v>139275103290</v>
      </c>
      <c r="B1100" t="s">
        <v>4</v>
      </c>
      <c r="C1100" s="35" t="s">
        <v>407</v>
      </c>
      <c r="D1100" t="s">
        <v>491</v>
      </c>
      <c r="E1100" s="35" t="s">
        <v>407</v>
      </c>
      <c r="F1100" s="29" t="s">
        <v>492</v>
      </c>
      <c r="G1100" s="36">
        <v>5000</v>
      </c>
      <c r="H1100" s="36">
        <v>50</v>
      </c>
    </row>
    <row r="1101" spans="1:8">
      <c r="A1101" s="62">
        <v>139276302934</v>
      </c>
      <c r="B1101" t="s">
        <v>4</v>
      </c>
      <c r="C1101" s="35" t="s">
        <v>407</v>
      </c>
      <c r="D1101" t="s">
        <v>491</v>
      </c>
      <c r="E1101" s="35" t="s">
        <v>407</v>
      </c>
      <c r="F1101" s="29" t="s">
        <v>492</v>
      </c>
      <c r="G1101" s="36">
        <v>22400</v>
      </c>
      <c r="H1101" s="36">
        <v>224</v>
      </c>
    </row>
    <row r="1102" spans="1:8">
      <c r="A1102" s="62">
        <v>138631353807</v>
      </c>
      <c r="B1102" t="s">
        <v>263</v>
      </c>
      <c r="C1102" s="35" t="s">
        <v>407</v>
      </c>
      <c r="D1102" t="s">
        <v>491</v>
      </c>
      <c r="E1102" s="35" t="s">
        <v>407</v>
      </c>
      <c r="F1102" s="29" t="s">
        <v>492</v>
      </c>
      <c r="G1102" s="36">
        <v>4900</v>
      </c>
      <c r="H1102" s="36">
        <v>49</v>
      </c>
    </row>
    <row r="1103" spans="1:8">
      <c r="A1103" s="62">
        <v>138633302091</v>
      </c>
      <c r="B1103" t="s">
        <v>4</v>
      </c>
      <c r="C1103" s="35" t="s">
        <v>407</v>
      </c>
      <c r="D1103" t="s">
        <v>491</v>
      </c>
      <c r="E1103" s="35" t="s">
        <v>407</v>
      </c>
      <c r="F1103" s="29" t="s">
        <v>492</v>
      </c>
      <c r="G1103" s="36">
        <v>4800</v>
      </c>
      <c r="H1103" s="36">
        <v>48</v>
      </c>
    </row>
    <row r="1104" spans="1:8">
      <c r="A1104" s="62">
        <v>138633435065</v>
      </c>
      <c r="B1104" t="s">
        <v>4</v>
      </c>
      <c r="C1104" s="35" t="s">
        <v>407</v>
      </c>
      <c r="D1104" t="s">
        <v>491</v>
      </c>
      <c r="E1104" s="35" t="s">
        <v>407</v>
      </c>
      <c r="F1104" s="29" t="s">
        <v>492</v>
      </c>
      <c r="G1104" s="36">
        <v>9800</v>
      </c>
      <c r="H1104" s="36">
        <v>98</v>
      </c>
    </row>
    <row r="1105" spans="1:8">
      <c r="A1105" s="62">
        <v>139279213150</v>
      </c>
      <c r="B1105" t="s">
        <v>4</v>
      </c>
      <c r="C1105" s="35" t="s">
        <v>407</v>
      </c>
      <c r="D1105" t="s">
        <v>491</v>
      </c>
      <c r="E1105" s="35" t="s">
        <v>407</v>
      </c>
      <c r="F1105" s="29" t="s">
        <v>492</v>
      </c>
      <c r="G1105" s="36">
        <v>10000</v>
      </c>
      <c r="H1105" s="36">
        <v>100</v>
      </c>
    </row>
    <row r="1106" spans="1:8">
      <c r="A1106" s="62">
        <v>138634295411</v>
      </c>
      <c r="B1106" t="s">
        <v>4</v>
      </c>
      <c r="C1106" s="35" t="s">
        <v>407</v>
      </c>
      <c r="D1106" t="s">
        <v>491</v>
      </c>
      <c r="E1106" s="35" t="s">
        <v>407</v>
      </c>
      <c r="F1106" s="29" t="s">
        <v>492</v>
      </c>
      <c r="G1106" s="36">
        <v>2500</v>
      </c>
      <c r="H1106" s="36">
        <v>25</v>
      </c>
    </row>
    <row r="1107" spans="1:8">
      <c r="A1107" s="62">
        <v>138636328031</v>
      </c>
      <c r="B1107" t="s">
        <v>263</v>
      </c>
      <c r="C1107" s="35" t="s">
        <v>407</v>
      </c>
      <c r="D1107" t="s">
        <v>491</v>
      </c>
      <c r="E1107" s="35" t="s">
        <v>407</v>
      </c>
      <c r="F1107" s="29" t="s">
        <v>492</v>
      </c>
      <c r="G1107" s="36">
        <v>10500</v>
      </c>
      <c r="H1107" s="36">
        <v>105</v>
      </c>
    </row>
    <row r="1108" spans="1:8">
      <c r="A1108" s="62">
        <v>138636840479</v>
      </c>
      <c r="B1108" t="s">
        <v>263</v>
      </c>
      <c r="C1108" s="35" t="s">
        <v>407</v>
      </c>
      <c r="D1108" t="s">
        <v>491</v>
      </c>
      <c r="E1108" s="35" t="s">
        <v>407</v>
      </c>
      <c r="F1108" s="29" t="s">
        <v>492</v>
      </c>
      <c r="G1108" s="36">
        <v>98200</v>
      </c>
      <c r="H1108" s="36">
        <v>982</v>
      </c>
    </row>
    <row r="1109" spans="1:8">
      <c r="A1109" s="62">
        <v>139283314144</v>
      </c>
      <c r="B1109" t="s">
        <v>4</v>
      </c>
      <c r="C1109" s="35" t="s">
        <v>407</v>
      </c>
      <c r="D1109" t="s">
        <v>491</v>
      </c>
      <c r="E1109" s="35" t="s">
        <v>411</v>
      </c>
      <c r="F1109" s="29" t="s">
        <v>492</v>
      </c>
      <c r="G1109" s="36">
        <v>84900</v>
      </c>
      <c r="H1109" s="36">
        <v>849</v>
      </c>
    </row>
    <row r="1110" spans="1:8">
      <c r="A1110" s="62">
        <v>138638180357</v>
      </c>
      <c r="B1110" t="s">
        <v>4</v>
      </c>
      <c r="C1110" s="35" t="s">
        <v>407</v>
      </c>
      <c r="D1110" t="s">
        <v>491</v>
      </c>
      <c r="E1110" s="35" t="s">
        <v>411</v>
      </c>
      <c r="F1110" s="29" t="s">
        <v>492</v>
      </c>
      <c r="G1110" s="36">
        <v>18150</v>
      </c>
      <c r="H1110" s="36">
        <v>181.5</v>
      </c>
    </row>
    <row r="1111" spans="1:8">
      <c r="A1111" s="62">
        <v>139283485552</v>
      </c>
      <c r="B1111" t="s">
        <v>263</v>
      </c>
      <c r="C1111" s="35" t="s">
        <v>407</v>
      </c>
      <c r="D1111" t="s">
        <v>491</v>
      </c>
      <c r="E1111" s="35" t="s">
        <v>411</v>
      </c>
      <c r="F1111" s="29" t="s">
        <v>492</v>
      </c>
      <c r="G1111" s="36">
        <v>5000</v>
      </c>
      <c r="H1111" s="36">
        <v>50</v>
      </c>
    </row>
    <row r="1112" spans="1:8">
      <c r="A1112" s="62">
        <v>139283523776</v>
      </c>
      <c r="B1112" t="s">
        <v>4</v>
      </c>
      <c r="C1112" s="35" t="s">
        <v>407</v>
      </c>
      <c r="D1112" t="s">
        <v>491</v>
      </c>
      <c r="E1112" s="35" t="s">
        <v>411</v>
      </c>
      <c r="F1112" s="29" t="s">
        <v>492</v>
      </c>
      <c r="G1112" s="36">
        <v>26300</v>
      </c>
      <c r="H1112" s="36">
        <v>263</v>
      </c>
    </row>
    <row r="1113" spans="1:8">
      <c r="A1113" s="62">
        <v>139283726956</v>
      </c>
      <c r="B1113" t="s">
        <v>4</v>
      </c>
      <c r="C1113" s="35" t="s">
        <v>407</v>
      </c>
      <c r="D1113" t="s">
        <v>491</v>
      </c>
      <c r="E1113" s="35" t="s">
        <v>411</v>
      </c>
      <c r="F1113" s="29" t="s">
        <v>492</v>
      </c>
      <c r="G1113" s="36">
        <v>4900</v>
      </c>
      <c r="H1113" s="36">
        <v>49</v>
      </c>
    </row>
    <row r="1114" spans="1:8">
      <c r="A1114" s="62">
        <v>138638643557</v>
      </c>
      <c r="B1114" t="s">
        <v>4</v>
      </c>
      <c r="C1114" s="35" t="s">
        <v>407</v>
      </c>
      <c r="D1114" t="s">
        <v>491</v>
      </c>
      <c r="E1114" s="35" t="s">
        <v>411</v>
      </c>
      <c r="F1114" s="29" t="s">
        <v>492</v>
      </c>
      <c r="G1114" s="36">
        <v>5000</v>
      </c>
      <c r="H1114" s="36">
        <v>50</v>
      </c>
    </row>
    <row r="1115" spans="1:8">
      <c r="A1115" s="62">
        <v>139284640396</v>
      </c>
      <c r="B1115" t="s">
        <v>4</v>
      </c>
      <c r="C1115" s="35" t="s">
        <v>407</v>
      </c>
      <c r="D1115" t="s">
        <v>491</v>
      </c>
      <c r="E1115" s="35" t="s">
        <v>411</v>
      </c>
      <c r="F1115" s="29" t="s">
        <v>492</v>
      </c>
      <c r="G1115" s="36">
        <v>48400</v>
      </c>
      <c r="H1115" s="36">
        <v>484</v>
      </c>
    </row>
    <row r="1116" spans="1:8">
      <c r="A1116" s="62">
        <v>138639507879</v>
      </c>
      <c r="B1116" t="s">
        <v>4</v>
      </c>
      <c r="C1116" s="35" t="s">
        <v>407</v>
      </c>
      <c r="D1116" t="s">
        <v>491</v>
      </c>
      <c r="E1116" s="35" t="s">
        <v>411</v>
      </c>
      <c r="F1116" s="29" t="s">
        <v>492</v>
      </c>
      <c r="G1116" s="36">
        <v>4800</v>
      </c>
      <c r="H1116" s="36">
        <v>48</v>
      </c>
    </row>
    <row r="1117" spans="1:8">
      <c r="A1117" s="62">
        <v>138639685509</v>
      </c>
      <c r="B1117" t="s">
        <v>4</v>
      </c>
      <c r="C1117" s="35" t="s">
        <v>407</v>
      </c>
      <c r="D1117" t="s">
        <v>491</v>
      </c>
      <c r="E1117" s="35" t="s">
        <v>411</v>
      </c>
      <c r="F1117" s="29" t="s">
        <v>492</v>
      </c>
      <c r="G1117" s="36">
        <v>5000</v>
      </c>
      <c r="H1117" s="36">
        <v>50</v>
      </c>
    </row>
    <row r="1118" spans="1:8">
      <c r="A1118" s="62">
        <v>138640068139</v>
      </c>
      <c r="B1118" t="s">
        <v>4</v>
      </c>
      <c r="C1118" s="35" t="s">
        <v>407</v>
      </c>
      <c r="D1118" t="s">
        <v>491</v>
      </c>
      <c r="E1118" s="35" t="s">
        <v>411</v>
      </c>
      <c r="F1118" s="29" t="s">
        <v>492</v>
      </c>
      <c r="G1118" s="36">
        <v>10000</v>
      </c>
      <c r="H1118" s="36">
        <v>100</v>
      </c>
    </row>
    <row r="1119" spans="1:8">
      <c r="A1119" s="62">
        <v>138640349487</v>
      </c>
      <c r="B1119" t="s">
        <v>4</v>
      </c>
      <c r="C1119" s="35" t="s">
        <v>407</v>
      </c>
      <c r="D1119" t="s">
        <v>491</v>
      </c>
      <c r="E1119" s="35" t="s">
        <v>411</v>
      </c>
      <c r="F1119" s="29" t="s">
        <v>492</v>
      </c>
      <c r="G1119" s="36">
        <v>5000</v>
      </c>
      <c r="H1119" s="36">
        <v>50</v>
      </c>
    </row>
    <row r="1120" spans="1:8">
      <c r="A1120" s="62">
        <v>139286070746</v>
      </c>
      <c r="B1120" t="s">
        <v>4</v>
      </c>
      <c r="C1120" s="35" t="s">
        <v>407</v>
      </c>
      <c r="D1120" t="s">
        <v>491</v>
      </c>
      <c r="E1120" s="35" t="s">
        <v>411</v>
      </c>
      <c r="F1120" s="29" t="s">
        <v>492</v>
      </c>
      <c r="G1120" s="36">
        <v>10000</v>
      </c>
      <c r="H1120" s="36">
        <v>100</v>
      </c>
    </row>
    <row r="1121" spans="1:8">
      <c r="A1121" s="62">
        <v>138640943505</v>
      </c>
      <c r="B1121" t="s">
        <v>4</v>
      </c>
      <c r="C1121" s="35" t="s">
        <v>407</v>
      </c>
      <c r="D1121" t="s">
        <v>491</v>
      </c>
      <c r="E1121" s="35" t="s">
        <v>411</v>
      </c>
      <c r="F1121" s="29" t="s">
        <v>492</v>
      </c>
      <c r="G1121" s="36">
        <v>5000</v>
      </c>
      <c r="H1121" s="36">
        <v>50</v>
      </c>
    </row>
    <row r="1122" spans="1:8">
      <c r="A1122" s="62">
        <v>139286339902</v>
      </c>
      <c r="B1122" t="s">
        <v>4</v>
      </c>
      <c r="C1122" s="35" t="s">
        <v>407</v>
      </c>
      <c r="D1122" t="s">
        <v>491</v>
      </c>
      <c r="E1122" s="35" t="s">
        <v>411</v>
      </c>
      <c r="F1122" s="29" t="s">
        <v>492</v>
      </c>
      <c r="G1122" s="36">
        <v>32900</v>
      </c>
      <c r="H1122" s="36">
        <v>329</v>
      </c>
    </row>
    <row r="1123" spans="1:8">
      <c r="A1123" s="62">
        <v>138641600673</v>
      </c>
      <c r="B1123" t="s">
        <v>263</v>
      </c>
      <c r="C1123" s="35" t="s">
        <v>411</v>
      </c>
      <c r="D1123" t="s">
        <v>491</v>
      </c>
      <c r="E1123" s="35" t="s">
        <v>411</v>
      </c>
      <c r="F1123" s="29" t="s">
        <v>492</v>
      </c>
      <c r="G1123" s="36">
        <v>32200</v>
      </c>
      <c r="H1123" s="36">
        <v>322</v>
      </c>
    </row>
    <row r="1124" spans="1:8">
      <c r="A1124" s="62">
        <v>138642549705</v>
      </c>
      <c r="B1124" t="s">
        <v>263</v>
      </c>
      <c r="C1124" s="35" t="s">
        <v>411</v>
      </c>
      <c r="D1124" t="s">
        <v>491</v>
      </c>
      <c r="E1124" s="35" t="s">
        <v>411</v>
      </c>
      <c r="F1124" s="29" t="s">
        <v>492</v>
      </c>
      <c r="G1124" s="36">
        <v>49750</v>
      </c>
      <c r="H1124" s="36">
        <v>497.5</v>
      </c>
    </row>
    <row r="1125" spans="1:8">
      <c r="A1125" s="62">
        <v>138642802769</v>
      </c>
      <c r="B1125" t="s">
        <v>4</v>
      </c>
      <c r="C1125" s="35" t="s">
        <v>411</v>
      </c>
      <c r="D1125" t="s">
        <v>491</v>
      </c>
      <c r="E1125" s="35" t="s">
        <v>411</v>
      </c>
      <c r="F1125" s="29" t="s">
        <v>492</v>
      </c>
      <c r="G1125" s="36">
        <v>5000</v>
      </c>
      <c r="H1125" s="36">
        <v>50</v>
      </c>
    </row>
    <row r="1126" spans="1:8">
      <c r="A1126" s="62">
        <v>138643246265</v>
      </c>
      <c r="B1126" t="s">
        <v>4</v>
      </c>
      <c r="C1126" s="35" t="s">
        <v>411</v>
      </c>
      <c r="D1126" t="s">
        <v>491</v>
      </c>
      <c r="E1126" s="35" t="s">
        <v>411</v>
      </c>
      <c r="F1126" s="29" t="s">
        <v>492</v>
      </c>
      <c r="G1126" s="36">
        <v>5000</v>
      </c>
      <c r="H1126" s="36">
        <v>50</v>
      </c>
    </row>
    <row r="1127" spans="1:8">
      <c r="A1127" s="62">
        <v>139288624988</v>
      </c>
      <c r="B1127" t="s">
        <v>4</v>
      </c>
      <c r="C1127" s="35" t="s">
        <v>411</v>
      </c>
      <c r="D1127" t="s">
        <v>491</v>
      </c>
      <c r="E1127" s="35" t="s">
        <v>411</v>
      </c>
      <c r="F1127" s="29" t="s">
        <v>492</v>
      </c>
      <c r="G1127" s="36">
        <v>3000</v>
      </c>
      <c r="H1127" s="36">
        <v>30</v>
      </c>
    </row>
    <row r="1128" spans="1:8">
      <c r="A1128" s="62">
        <v>138643607209</v>
      </c>
      <c r="B1128" t="s">
        <v>4</v>
      </c>
      <c r="C1128" s="35" t="s">
        <v>411</v>
      </c>
      <c r="D1128" t="s">
        <v>491</v>
      </c>
      <c r="E1128" s="35" t="s">
        <v>411</v>
      </c>
      <c r="F1128" s="29" t="s">
        <v>492</v>
      </c>
      <c r="G1128" s="36">
        <v>19100</v>
      </c>
      <c r="H1128" s="36">
        <v>191</v>
      </c>
    </row>
    <row r="1129" spans="1:8">
      <c r="A1129" s="62">
        <v>138643629879</v>
      </c>
      <c r="B1129" t="s">
        <v>4</v>
      </c>
      <c r="C1129" s="35" t="s">
        <v>411</v>
      </c>
      <c r="D1129" t="s">
        <v>491</v>
      </c>
      <c r="E1129" s="35" t="s">
        <v>411</v>
      </c>
      <c r="F1129" s="29" t="s">
        <v>492</v>
      </c>
      <c r="G1129" s="36">
        <v>5000</v>
      </c>
      <c r="H1129" s="36">
        <v>50</v>
      </c>
    </row>
    <row r="1130" spans="1:8">
      <c r="A1130" s="62">
        <v>138643753585</v>
      </c>
      <c r="B1130" t="s">
        <v>263</v>
      </c>
      <c r="C1130" s="35" t="s">
        <v>411</v>
      </c>
      <c r="D1130" t="s">
        <v>491</v>
      </c>
      <c r="E1130" s="35" t="s">
        <v>411</v>
      </c>
      <c r="F1130" s="29" t="s">
        <v>492</v>
      </c>
      <c r="G1130" s="36">
        <v>14700</v>
      </c>
      <c r="H1130" s="36">
        <v>147</v>
      </c>
    </row>
    <row r="1131" spans="1:8">
      <c r="A1131" s="62">
        <v>139289109558</v>
      </c>
      <c r="B1131" t="s">
        <v>4</v>
      </c>
      <c r="C1131" s="35" t="s">
        <v>411</v>
      </c>
      <c r="D1131" t="s">
        <v>491</v>
      </c>
      <c r="E1131" s="35" t="s">
        <v>411</v>
      </c>
      <c r="F1131" s="29" t="s">
        <v>492</v>
      </c>
      <c r="G1131" s="36">
        <v>24150</v>
      </c>
      <c r="H1131" s="36">
        <v>241.5</v>
      </c>
    </row>
    <row r="1132" spans="1:8">
      <c r="A1132" s="62">
        <v>139289529016</v>
      </c>
      <c r="B1132" t="s">
        <v>4</v>
      </c>
      <c r="C1132" s="35" t="s">
        <v>411</v>
      </c>
      <c r="D1132" t="s">
        <v>491</v>
      </c>
      <c r="E1132" s="35" t="s">
        <v>411</v>
      </c>
      <c r="F1132" s="29" t="s">
        <v>492</v>
      </c>
      <c r="G1132" s="36">
        <v>2500</v>
      </c>
      <c r="H1132" s="36">
        <v>25</v>
      </c>
    </row>
    <row r="1133" spans="1:8">
      <c r="A1133" s="62">
        <v>138644468175</v>
      </c>
      <c r="B1133" t="s">
        <v>4</v>
      </c>
      <c r="C1133" s="35" t="s">
        <v>411</v>
      </c>
      <c r="D1133" t="s">
        <v>491</v>
      </c>
      <c r="E1133" s="35" t="s">
        <v>411</v>
      </c>
      <c r="F1133" s="29" t="s">
        <v>492</v>
      </c>
      <c r="G1133" s="36">
        <v>65300</v>
      </c>
      <c r="H1133" s="36">
        <v>653</v>
      </c>
    </row>
    <row r="1134" spans="1:8">
      <c r="A1134" s="62">
        <v>139482937318</v>
      </c>
      <c r="B1134" t="s">
        <v>263</v>
      </c>
      <c r="C1134" s="35" t="s">
        <v>421</v>
      </c>
      <c r="D1134" t="s">
        <v>491</v>
      </c>
      <c r="E1134" s="35" t="s">
        <v>421</v>
      </c>
      <c r="F1134" s="29" t="s">
        <v>492</v>
      </c>
      <c r="G1134" s="36">
        <v>40600</v>
      </c>
      <c r="H1134" s="36">
        <v>406</v>
      </c>
    </row>
    <row r="1135" spans="1:8">
      <c r="A1135" s="62">
        <v>138837039887</v>
      </c>
      <c r="B1135" t="s">
        <v>263</v>
      </c>
      <c r="C1135" s="35" t="s">
        <v>421</v>
      </c>
      <c r="D1135" t="s">
        <v>491</v>
      </c>
      <c r="E1135" s="35" t="s">
        <v>421</v>
      </c>
      <c r="F1135" s="29" t="s">
        <v>492</v>
      </c>
      <c r="G1135" s="36">
        <v>31500</v>
      </c>
      <c r="H1135" s="36">
        <v>315</v>
      </c>
    </row>
    <row r="1136" spans="1:8">
      <c r="A1136" s="62">
        <v>138838194005</v>
      </c>
      <c r="B1136" t="s">
        <v>263</v>
      </c>
      <c r="C1136" s="35" t="s">
        <v>421</v>
      </c>
      <c r="D1136" t="s">
        <v>491</v>
      </c>
      <c r="E1136" s="35" t="s">
        <v>421</v>
      </c>
      <c r="F1136" s="29" t="s">
        <v>492</v>
      </c>
      <c r="G1136" s="36">
        <v>33800</v>
      </c>
      <c r="H1136" s="36">
        <v>338</v>
      </c>
    </row>
    <row r="1137" spans="1:8">
      <c r="A1137" s="62">
        <v>138839833769</v>
      </c>
      <c r="B1137" t="s">
        <v>4</v>
      </c>
      <c r="C1137" s="35" t="s">
        <v>421</v>
      </c>
      <c r="D1137" t="s">
        <v>491</v>
      </c>
      <c r="E1137" s="35" t="s">
        <v>421</v>
      </c>
      <c r="F1137" s="29" t="s">
        <v>492</v>
      </c>
      <c r="G1137" s="36">
        <v>41900</v>
      </c>
      <c r="H1137" s="36">
        <v>419</v>
      </c>
    </row>
    <row r="1138" spans="1:8">
      <c r="A1138" s="62">
        <v>138841317619</v>
      </c>
      <c r="B1138" t="s">
        <v>263</v>
      </c>
      <c r="C1138" s="35" t="s">
        <v>421</v>
      </c>
      <c r="D1138" t="s">
        <v>491</v>
      </c>
      <c r="E1138" s="35" t="s">
        <v>421</v>
      </c>
      <c r="F1138" s="29" t="s">
        <v>492</v>
      </c>
      <c r="G1138" s="36">
        <v>85500</v>
      </c>
      <c r="H1138" s="36">
        <v>855</v>
      </c>
    </row>
    <row r="1139" spans="1:8">
      <c r="A1139" s="62">
        <v>139489922698</v>
      </c>
      <c r="B1139" t="s">
        <v>4</v>
      </c>
      <c r="C1139" s="35" t="s">
        <v>421</v>
      </c>
      <c r="D1139" t="s">
        <v>491</v>
      </c>
      <c r="E1139" s="35" t="s">
        <v>421</v>
      </c>
      <c r="F1139" s="29" t="s">
        <v>492</v>
      </c>
      <c r="G1139" s="36">
        <v>9800</v>
      </c>
      <c r="H1139" s="36">
        <v>98</v>
      </c>
    </row>
    <row r="1140" spans="1:8">
      <c r="A1140" s="62">
        <v>139493377384</v>
      </c>
      <c r="B1140" t="s">
        <v>4</v>
      </c>
      <c r="C1140" s="35" t="s">
        <v>423</v>
      </c>
      <c r="D1140" t="s">
        <v>491</v>
      </c>
      <c r="E1140" s="35" t="s">
        <v>423</v>
      </c>
      <c r="F1140" s="29" t="s">
        <v>492</v>
      </c>
      <c r="G1140" s="36">
        <v>5000</v>
      </c>
      <c r="H1140" s="36">
        <v>50</v>
      </c>
    </row>
    <row r="1141" spans="1:8">
      <c r="A1141" s="62">
        <v>138847521569</v>
      </c>
      <c r="B1141" t="s">
        <v>4</v>
      </c>
      <c r="C1141" s="35" t="s">
        <v>423</v>
      </c>
      <c r="D1141" t="s">
        <v>491</v>
      </c>
      <c r="E1141" s="35" t="s">
        <v>423</v>
      </c>
      <c r="F1141" s="29" t="s">
        <v>492</v>
      </c>
      <c r="G1141" s="36">
        <v>40000</v>
      </c>
      <c r="H1141" s="36">
        <v>400</v>
      </c>
    </row>
    <row r="1142" spans="1:8">
      <c r="A1142" s="62">
        <v>138848287941</v>
      </c>
      <c r="B1142" t="s">
        <v>4</v>
      </c>
      <c r="C1142" s="35" t="s">
        <v>423</v>
      </c>
      <c r="D1142" t="s">
        <v>491</v>
      </c>
      <c r="E1142" s="35" t="s">
        <v>423</v>
      </c>
      <c r="F1142" s="29" t="s">
        <v>492</v>
      </c>
      <c r="G1142" s="36">
        <v>45900</v>
      </c>
      <c r="H1142" s="36">
        <v>459</v>
      </c>
    </row>
    <row r="1143" spans="1:8">
      <c r="A1143" s="62">
        <v>138834348251</v>
      </c>
      <c r="B1143" t="s">
        <v>4</v>
      </c>
      <c r="C1143" s="35" t="s">
        <v>421</v>
      </c>
      <c r="D1143" t="s">
        <v>491</v>
      </c>
      <c r="E1143" s="35" t="s">
        <v>421</v>
      </c>
      <c r="F1143" s="29" t="s">
        <v>492</v>
      </c>
      <c r="G1143" s="36">
        <v>43400</v>
      </c>
      <c r="H1143" s="36">
        <v>434</v>
      </c>
    </row>
    <row r="1144" spans="1:8">
      <c r="A1144" s="62">
        <v>138835077283</v>
      </c>
      <c r="B1144" t="s">
        <v>263</v>
      </c>
      <c r="C1144" s="35" t="s">
        <v>421</v>
      </c>
      <c r="D1144" t="s">
        <v>491</v>
      </c>
      <c r="E1144" s="35" t="s">
        <v>421</v>
      </c>
      <c r="F1144" s="29" t="s">
        <v>492</v>
      </c>
      <c r="G1144" s="36">
        <v>41200</v>
      </c>
      <c r="H1144" s="36">
        <v>412</v>
      </c>
    </row>
    <row r="1145" spans="1:8">
      <c r="A1145" s="62">
        <v>139483867620</v>
      </c>
      <c r="B1145" t="s">
        <v>263</v>
      </c>
      <c r="C1145" s="35" t="s">
        <v>421</v>
      </c>
      <c r="D1145" t="s">
        <v>491</v>
      </c>
      <c r="E1145" s="35" t="s">
        <v>421</v>
      </c>
      <c r="F1145" s="29" t="s">
        <v>492</v>
      </c>
      <c r="G1145" s="36">
        <v>28400</v>
      </c>
      <c r="H1145" s="36">
        <v>284</v>
      </c>
    </row>
    <row r="1146" spans="1:8">
      <c r="A1146" s="62">
        <v>139485985744</v>
      </c>
      <c r="B1146" t="s">
        <v>4</v>
      </c>
      <c r="C1146" s="35" t="s">
        <v>421</v>
      </c>
      <c r="D1146" t="s">
        <v>491</v>
      </c>
      <c r="E1146" s="35" t="s">
        <v>421</v>
      </c>
      <c r="F1146" s="29" t="s">
        <v>492</v>
      </c>
      <c r="G1146" s="36">
        <v>26600</v>
      </c>
      <c r="H1146" s="36">
        <v>266</v>
      </c>
    </row>
    <row r="1147" spans="1:8">
      <c r="A1147" s="62">
        <v>139488051760</v>
      </c>
      <c r="B1147" t="s">
        <v>4</v>
      </c>
      <c r="C1147" s="35" t="s">
        <v>421</v>
      </c>
      <c r="D1147" t="s">
        <v>491</v>
      </c>
      <c r="E1147" s="35" t="s">
        <v>421</v>
      </c>
      <c r="F1147" s="29" t="s">
        <v>492</v>
      </c>
      <c r="G1147" s="36">
        <v>50500</v>
      </c>
      <c r="H1147" s="36">
        <v>505</v>
      </c>
    </row>
    <row r="1148" spans="1:8">
      <c r="A1148" s="62">
        <v>139489872526</v>
      </c>
      <c r="B1148" t="s">
        <v>4</v>
      </c>
      <c r="C1148" s="35" t="s">
        <v>421</v>
      </c>
      <c r="D1148" t="s">
        <v>491</v>
      </c>
      <c r="E1148" s="35" t="s">
        <v>421</v>
      </c>
      <c r="F1148" s="29" t="s">
        <v>492</v>
      </c>
      <c r="G1148" s="36">
        <v>47800</v>
      </c>
      <c r="H1148" s="36">
        <v>478</v>
      </c>
    </row>
    <row r="1149" spans="1:8">
      <c r="A1149" s="62">
        <v>139489925702</v>
      </c>
      <c r="B1149" t="s">
        <v>263</v>
      </c>
      <c r="C1149" s="35" t="s">
        <v>421</v>
      </c>
      <c r="D1149" t="s">
        <v>491</v>
      </c>
      <c r="E1149" s="35" t="s">
        <v>421</v>
      </c>
      <c r="F1149" s="29" t="s">
        <v>492</v>
      </c>
      <c r="G1149" s="36">
        <v>13500</v>
      </c>
      <c r="H1149" s="36">
        <v>135</v>
      </c>
    </row>
    <row r="1150" spans="1:8">
      <c r="A1150" s="62">
        <v>139490512936</v>
      </c>
      <c r="B1150" t="s">
        <v>4</v>
      </c>
      <c r="C1150" s="35" t="s">
        <v>421</v>
      </c>
      <c r="D1150" t="s">
        <v>491</v>
      </c>
      <c r="E1150" s="35" t="s">
        <v>423</v>
      </c>
      <c r="F1150" s="29" t="s">
        <v>492</v>
      </c>
      <c r="G1150" s="36">
        <v>28800</v>
      </c>
      <c r="H1150" s="36">
        <v>288</v>
      </c>
    </row>
    <row r="1151" spans="1:8">
      <c r="A1151" s="62">
        <v>138845223977</v>
      </c>
      <c r="B1151" t="s">
        <v>4</v>
      </c>
      <c r="C1151" s="35" t="s">
        <v>421</v>
      </c>
      <c r="D1151" t="s">
        <v>491</v>
      </c>
      <c r="E1151" s="35" t="s">
        <v>423</v>
      </c>
      <c r="F1151" s="29" t="s">
        <v>492</v>
      </c>
      <c r="G1151" s="36">
        <v>23450</v>
      </c>
      <c r="H1151" s="36">
        <v>234.5</v>
      </c>
    </row>
    <row r="1152" spans="1:8">
      <c r="A1152" s="62">
        <v>138845587111</v>
      </c>
      <c r="B1152" t="s">
        <v>4</v>
      </c>
      <c r="C1152" s="35" t="s">
        <v>421</v>
      </c>
      <c r="D1152" t="s">
        <v>491</v>
      </c>
      <c r="E1152" s="35" t="s">
        <v>423</v>
      </c>
      <c r="F1152" s="29" t="s">
        <v>492</v>
      </c>
      <c r="G1152" s="36">
        <v>46300</v>
      </c>
      <c r="H1152" s="36">
        <v>463</v>
      </c>
    </row>
    <row r="1153" spans="1:8">
      <c r="A1153" s="62">
        <v>138846734249</v>
      </c>
      <c r="B1153" t="s">
        <v>4</v>
      </c>
      <c r="C1153" s="35" t="s">
        <v>421</v>
      </c>
      <c r="D1153" t="s">
        <v>491</v>
      </c>
      <c r="E1153" s="35" t="s">
        <v>423</v>
      </c>
      <c r="F1153" s="29" t="s">
        <v>492</v>
      </c>
      <c r="G1153" s="36">
        <v>16700</v>
      </c>
      <c r="H1153" s="36">
        <v>167</v>
      </c>
    </row>
    <row r="1154" spans="1:8">
      <c r="A1154" s="62">
        <v>138847199637</v>
      </c>
      <c r="B1154" t="s">
        <v>4</v>
      </c>
      <c r="C1154" s="35" t="s">
        <v>423</v>
      </c>
      <c r="D1154" t="s">
        <v>491</v>
      </c>
      <c r="E1154" s="35" t="s">
        <v>423</v>
      </c>
      <c r="F1154" s="29" t="s">
        <v>492</v>
      </c>
      <c r="G1154" s="36">
        <v>4800</v>
      </c>
      <c r="H1154" s="36">
        <v>48</v>
      </c>
    </row>
    <row r="1155" spans="1:8">
      <c r="A1155" s="62">
        <v>138946899375</v>
      </c>
      <c r="B1155" t="s">
        <v>4</v>
      </c>
      <c r="C1155" s="35" t="s">
        <v>423</v>
      </c>
      <c r="D1155" t="s">
        <v>491</v>
      </c>
      <c r="E1155" s="35" t="s">
        <v>423</v>
      </c>
      <c r="F1155" s="29" t="s">
        <v>492</v>
      </c>
      <c r="G1155" s="36">
        <v>5500</v>
      </c>
      <c r="H1155" s="36">
        <v>55</v>
      </c>
    </row>
    <row r="1156" spans="1:8">
      <c r="A1156" s="62">
        <v>138959611901</v>
      </c>
      <c r="B1156" t="s">
        <v>263</v>
      </c>
      <c r="C1156" s="35" t="s">
        <v>423</v>
      </c>
      <c r="D1156" t="s">
        <v>491</v>
      </c>
      <c r="E1156" s="35" t="s">
        <v>423</v>
      </c>
      <c r="F1156" s="29" t="s">
        <v>492</v>
      </c>
      <c r="G1156" s="36">
        <v>14400</v>
      </c>
      <c r="H1156" s="36">
        <v>144</v>
      </c>
    </row>
    <row r="1157" spans="1:8">
      <c r="A1157" s="62">
        <v>138966237485</v>
      </c>
      <c r="B1157" t="s">
        <v>263</v>
      </c>
      <c r="C1157" s="35" t="s">
        <v>423</v>
      </c>
      <c r="D1157" t="s">
        <v>491</v>
      </c>
      <c r="E1157" s="35" t="s">
        <v>423</v>
      </c>
      <c r="F1157" s="29" t="s">
        <v>492</v>
      </c>
      <c r="G1157" s="36">
        <v>9600</v>
      </c>
      <c r="H1157" s="36">
        <v>96</v>
      </c>
    </row>
    <row r="1158" spans="1:8">
      <c r="A1158" s="62">
        <v>138967782947</v>
      </c>
      <c r="B1158" t="s">
        <v>4</v>
      </c>
      <c r="C1158" s="35" t="s">
        <v>423</v>
      </c>
      <c r="D1158" t="s">
        <v>491</v>
      </c>
      <c r="E1158" s="35" t="s">
        <v>423</v>
      </c>
      <c r="F1158" s="29" t="s">
        <v>492</v>
      </c>
      <c r="G1158" s="36">
        <v>5000</v>
      </c>
      <c r="H1158" s="36">
        <v>50</v>
      </c>
    </row>
    <row r="1159" spans="1:8">
      <c r="A1159" s="62">
        <v>139615922224</v>
      </c>
      <c r="B1159" t="s">
        <v>263</v>
      </c>
      <c r="C1159" s="35" t="s">
        <v>423</v>
      </c>
      <c r="D1159" t="s">
        <v>491</v>
      </c>
      <c r="E1159" s="35" t="s">
        <v>423</v>
      </c>
      <c r="F1159" s="29" t="s">
        <v>492</v>
      </c>
      <c r="G1159" s="36">
        <v>21700</v>
      </c>
      <c r="H1159" s="36">
        <v>217</v>
      </c>
    </row>
    <row r="1160" spans="1:8">
      <c r="A1160" s="62">
        <v>138969778077</v>
      </c>
      <c r="B1160" t="s">
        <v>263</v>
      </c>
      <c r="C1160" s="35" t="s">
        <v>423</v>
      </c>
      <c r="D1160" t="s">
        <v>491</v>
      </c>
      <c r="E1160" s="35" t="s">
        <v>423</v>
      </c>
      <c r="F1160" s="29" t="s">
        <v>492</v>
      </c>
      <c r="G1160" s="36">
        <v>60500</v>
      </c>
      <c r="H1160" s="36">
        <v>605</v>
      </c>
    </row>
    <row r="1161" spans="1:8">
      <c r="A1161" s="62">
        <v>139617244154</v>
      </c>
      <c r="B1161" t="s">
        <v>4</v>
      </c>
      <c r="C1161" s="35" t="s">
        <v>423</v>
      </c>
      <c r="D1161" t="s">
        <v>491</v>
      </c>
      <c r="E1161" s="35" t="s">
        <v>423</v>
      </c>
      <c r="F1161" s="29" t="s">
        <v>492</v>
      </c>
      <c r="G1161" s="36">
        <v>34600</v>
      </c>
      <c r="H1161" s="36">
        <v>346</v>
      </c>
    </row>
    <row r="1162" spans="1:8">
      <c r="A1162" s="62">
        <v>138970709575</v>
      </c>
      <c r="B1162" t="s">
        <v>4</v>
      </c>
      <c r="C1162" s="35" t="s">
        <v>423</v>
      </c>
      <c r="D1162" t="s">
        <v>491</v>
      </c>
      <c r="E1162" s="35" t="s">
        <v>423</v>
      </c>
      <c r="F1162" s="29" t="s">
        <v>492</v>
      </c>
      <c r="G1162" s="36">
        <v>10000</v>
      </c>
      <c r="H1162" s="36">
        <v>100</v>
      </c>
    </row>
    <row r="1163" spans="1:8">
      <c r="A1163" s="62">
        <v>139619856274</v>
      </c>
      <c r="B1163" t="s">
        <v>4</v>
      </c>
      <c r="C1163" s="35" t="s">
        <v>423</v>
      </c>
      <c r="D1163" t="s">
        <v>491</v>
      </c>
      <c r="E1163" s="35" t="s">
        <v>423</v>
      </c>
      <c r="F1163" s="29" t="s">
        <v>492</v>
      </c>
      <c r="G1163" s="36">
        <v>5000</v>
      </c>
      <c r="H1163" s="36">
        <v>50</v>
      </c>
    </row>
    <row r="1164" spans="1:8">
      <c r="A1164" s="62">
        <v>139599090974</v>
      </c>
      <c r="B1164" t="s">
        <v>4</v>
      </c>
      <c r="C1164" s="35" t="s">
        <v>423</v>
      </c>
      <c r="D1164" t="s">
        <v>491</v>
      </c>
      <c r="E1164" s="35" t="s">
        <v>423</v>
      </c>
      <c r="F1164" s="29" t="s">
        <v>492</v>
      </c>
      <c r="G1164" s="36">
        <v>55000</v>
      </c>
      <c r="H1164" s="36">
        <v>550</v>
      </c>
    </row>
    <row r="1165" spans="1:8">
      <c r="A1165" s="62">
        <v>139621844894</v>
      </c>
      <c r="B1165" t="s">
        <v>263</v>
      </c>
      <c r="C1165" s="35" t="s">
        <v>423</v>
      </c>
      <c r="D1165" t="s">
        <v>491</v>
      </c>
      <c r="E1165" s="35" t="s">
        <v>423</v>
      </c>
      <c r="F1165" s="29" t="s">
        <v>492</v>
      </c>
      <c r="G1165" s="36">
        <v>91700</v>
      </c>
      <c r="H1165" s="36">
        <v>917</v>
      </c>
    </row>
    <row r="1166" spans="1:8">
      <c r="A1166" s="62">
        <v>138975586959</v>
      </c>
      <c r="B1166" t="s">
        <v>263</v>
      </c>
      <c r="C1166" s="35" t="s">
        <v>423</v>
      </c>
      <c r="D1166" t="s">
        <v>491</v>
      </c>
      <c r="E1166" s="35" t="s">
        <v>423</v>
      </c>
      <c r="F1166" s="29" t="s">
        <v>492</v>
      </c>
      <c r="G1166" s="36">
        <v>67600</v>
      </c>
      <c r="H1166" s="36">
        <v>676</v>
      </c>
    </row>
    <row r="1167" spans="1:8">
      <c r="A1167" s="62">
        <v>139622764004</v>
      </c>
      <c r="B1167" t="s">
        <v>4</v>
      </c>
      <c r="C1167" s="35" t="s">
        <v>423</v>
      </c>
      <c r="D1167" t="s">
        <v>491</v>
      </c>
      <c r="E1167" s="35" t="s">
        <v>423</v>
      </c>
      <c r="F1167" s="29" t="s">
        <v>492</v>
      </c>
      <c r="G1167" s="36">
        <v>71000</v>
      </c>
      <c r="H1167" s="36">
        <v>710</v>
      </c>
    </row>
    <row r="1168" spans="1:8">
      <c r="A1168" s="62">
        <v>138976300439</v>
      </c>
      <c r="B1168" t="s">
        <v>4</v>
      </c>
      <c r="C1168" s="35" t="s">
        <v>423</v>
      </c>
      <c r="D1168" t="s">
        <v>491</v>
      </c>
      <c r="E1168" s="35" t="s">
        <v>423</v>
      </c>
      <c r="F1168" s="29" t="s">
        <v>492</v>
      </c>
      <c r="G1168" s="36">
        <v>108300</v>
      </c>
      <c r="H1168" s="36">
        <v>1083</v>
      </c>
    </row>
    <row r="1169" spans="1:8">
      <c r="A1169" s="62">
        <v>139624260564</v>
      </c>
      <c r="B1169" t="s">
        <v>263</v>
      </c>
      <c r="C1169" s="35" t="s">
        <v>423</v>
      </c>
      <c r="D1169" t="s">
        <v>491</v>
      </c>
      <c r="E1169" s="35" t="s">
        <v>430</v>
      </c>
      <c r="F1169" s="29" t="s">
        <v>492</v>
      </c>
      <c r="G1169" s="36">
        <v>11000</v>
      </c>
      <c r="H1169" s="36">
        <v>110</v>
      </c>
    </row>
    <row r="1170" spans="1:8">
      <c r="A1170" s="62">
        <v>139625329332</v>
      </c>
      <c r="B1170" t="s">
        <v>263</v>
      </c>
      <c r="C1170" s="35" t="s">
        <v>423</v>
      </c>
      <c r="D1170" t="s">
        <v>491</v>
      </c>
      <c r="E1170" s="35" t="s">
        <v>430</v>
      </c>
      <c r="F1170" s="29" t="s">
        <v>492</v>
      </c>
      <c r="G1170" s="36">
        <v>68300</v>
      </c>
      <c r="H1170" s="36">
        <v>683</v>
      </c>
    </row>
    <row r="1171" spans="1:8">
      <c r="A1171" s="62">
        <v>138978851547</v>
      </c>
      <c r="B1171" t="s">
        <v>4</v>
      </c>
      <c r="C1171" s="35" t="s">
        <v>423</v>
      </c>
      <c r="D1171" t="s">
        <v>491</v>
      </c>
      <c r="E1171" s="35" t="s">
        <v>430</v>
      </c>
      <c r="F1171" s="29" t="s">
        <v>492</v>
      </c>
      <c r="G1171" s="36">
        <v>16000</v>
      </c>
      <c r="H1171" s="36">
        <v>160</v>
      </c>
    </row>
    <row r="1172" spans="1:8">
      <c r="A1172" s="62">
        <v>139626843748</v>
      </c>
      <c r="B1172" t="s">
        <v>4</v>
      </c>
      <c r="C1172" s="35" t="s">
        <v>423</v>
      </c>
      <c r="D1172" t="s">
        <v>491</v>
      </c>
      <c r="E1172" s="35" t="s">
        <v>430</v>
      </c>
      <c r="F1172" s="29" t="s">
        <v>492</v>
      </c>
      <c r="G1172" s="36">
        <v>5000</v>
      </c>
      <c r="H1172" s="36">
        <v>50</v>
      </c>
    </row>
    <row r="1173" spans="1:8">
      <c r="A1173" s="62">
        <v>139628504836</v>
      </c>
      <c r="B1173" t="s">
        <v>4</v>
      </c>
      <c r="C1173" s="35" t="s">
        <v>430</v>
      </c>
      <c r="D1173" t="s">
        <v>491</v>
      </c>
      <c r="E1173" s="35" t="s">
        <v>430</v>
      </c>
      <c r="F1173" s="29" t="s">
        <v>492</v>
      </c>
      <c r="G1173" s="36">
        <v>10000</v>
      </c>
      <c r="H1173" s="36">
        <v>100</v>
      </c>
    </row>
    <row r="1174" spans="1:8">
      <c r="A1174" s="62">
        <v>139628583816</v>
      </c>
      <c r="B1174" t="s">
        <v>4</v>
      </c>
      <c r="C1174" s="35" t="s">
        <v>430</v>
      </c>
      <c r="D1174" t="s">
        <v>491</v>
      </c>
      <c r="E1174" s="35" t="s">
        <v>430</v>
      </c>
      <c r="F1174" s="29" t="s">
        <v>492</v>
      </c>
      <c r="G1174" s="36">
        <v>19400</v>
      </c>
      <c r="H1174" s="36">
        <v>194</v>
      </c>
    </row>
    <row r="1175" spans="1:8">
      <c r="A1175" s="62">
        <v>138982147639</v>
      </c>
      <c r="B1175" t="s">
        <v>4</v>
      </c>
      <c r="C1175" s="35" t="s">
        <v>430</v>
      </c>
      <c r="D1175" t="s">
        <v>491</v>
      </c>
      <c r="E1175" s="35" t="s">
        <v>430</v>
      </c>
      <c r="F1175" s="29" t="s">
        <v>492</v>
      </c>
      <c r="G1175" s="36">
        <v>5000</v>
      </c>
      <c r="H1175" s="36">
        <v>50</v>
      </c>
    </row>
    <row r="1176" spans="1:8">
      <c r="A1176" s="62">
        <v>138982300437</v>
      </c>
      <c r="B1176" t="s">
        <v>4</v>
      </c>
      <c r="C1176" s="35" t="s">
        <v>430</v>
      </c>
      <c r="D1176" t="s">
        <v>491</v>
      </c>
      <c r="E1176" s="35" t="s">
        <v>430</v>
      </c>
      <c r="F1176" s="29" t="s">
        <v>492</v>
      </c>
      <c r="G1176" s="36">
        <v>5500</v>
      </c>
      <c r="H1176" s="36">
        <v>55</v>
      </c>
    </row>
    <row r="1177" spans="1:8">
      <c r="A1177" s="62">
        <v>138960532407</v>
      </c>
      <c r="B1177" t="s">
        <v>263</v>
      </c>
      <c r="C1177" s="35" t="s">
        <v>423</v>
      </c>
      <c r="D1177" t="s">
        <v>491</v>
      </c>
      <c r="E1177" s="35" t="s">
        <v>423</v>
      </c>
      <c r="F1177" s="29" t="s">
        <v>492</v>
      </c>
      <c r="G1177" s="36">
        <v>19800</v>
      </c>
      <c r="H1177" s="36">
        <v>198</v>
      </c>
    </row>
    <row r="1178" spans="1:8">
      <c r="A1178" s="62">
        <v>138982602723</v>
      </c>
      <c r="B1178" t="s">
        <v>4</v>
      </c>
      <c r="C1178" s="35" t="s">
        <v>430</v>
      </c>
      <c r="D1178" t="s">
        <v>491</v>
      </c>
      <c r="E1178" s="35" t="s">
        <v>430</v>
      </c>
      <c r="F1178" s="29" t="s">
        <v>492</v>
      </c>
      <c r="G1178" s="36">
        <v>13800</v>
      </c>
      <c r="H1178" s="36">
        <v>138</v>
      </c>
    </row>
    <row r="1179" spans="1:8">
      <c r="A1179" s="62">
        <v>138982968973</v>
      </c>
      <c r="B1179" t="s">
        <v>263</v>
      </c>
      <c r="C1179" s="35" t="s">
        <v>430</v>
      </c>
      <c r="D1179" t="s">
        <v>491</v>
      </c>
      <c r="E1179" s="35" t="s">
        <v>430</v>
      </c>
      <c r="F1179" s="29" t="s">
        <v>492</v>
      </c>
      <c r="G1179" s="36">
        <v>30800</v>
      </c>
      <c r="H1179" s="36">
        <v>308</v>
      </c>
    </row>
    <row r="1180" spans="1:8">
      <c r="A1180" s="62">
        <v>139630051996</v>
      </c>
      <c r="B1180" t="s">
        <v>4</v>
      </c>
      <c r="C1180" s="35" t="s">
        <v>430</v>
      </c>
      <c r="D1180" t="s">
        <v>491</v>
      </c>
      <c r="E1180" s="35" t="s">
        <v>430</v>
      </c>
      <c r="F1180" s="29" t="s">
        <v>492</v>
      </c>
      <c r="G1180" s="36">
        <v>25300</v>
      </c>
      <c r="H1180" s="36">
        <v>253</v>
      </c>
    </row>
    <row r="1181" spans="1:8">
      <c r="A1181" s="62">
        <v>139630137722</v>
      </c>
      <c r="B1181" t="s">
        <v>263</v>
      </c>
      <c r="C1181" s="35" t="s">
        <v>430</v>
      </c>
      <c r="D1181" t="s">
        <v>491</v>
      </c>
      <c r="E1181" s="35" t="s">
        <v>430</v>
      </c>
      <c r="F1181" s="29" t="s">
        <v>492</v>
      </c>
      <c r="G1181" s="36">
        <v>59600</v>
      </c>
      <c r="H1181" s="36">
        <v>596</v>
      </c>
    </row>
    <row r="1182" spans="1:8">
      <c r="A1182" s="62">
        <v>139630170634</v>
      </c>
      <c r="B1182" t="s">
        <v>4</v>
      </c>
      <c r="C1182" s="35" t="s">
        <v>430</v>
      </c>
      <c r="D1182" t="s">
        <v>491</v>
      </c>
      <c r="E1182" s="35" t="s">
        <v>430</v>
      </c>
      <c r="F1182" s="29" t="s">
        <v>492</v>
      </c>
      <c r="G1182" s="36">
        <v>58200</v>
      </c>
      <c r="H1182" s="36">
        <v>582</v>
      </c>
    </row>
    <row r="1183" spans="1:8">
      <c r="A1183" s="62">
        <v>139630821520</v>
      </c>
      <c r="B1183" t="s">
        <v>4</v>
      </c>
      <c r="C1183" s="35" t="s">
        <v>430</v>
      </c>
      <c r="D1183" t="s">
        <v>491</v>
      </c>
      <c r="E1183" s="35" t="s">
        <v>430</v>
      </c>
      <c r="F1183" s="29" t="s">
        <v>492</v>
      </c>
      <c r="G1183" s="36">
        <v>53200</v>
      </c>
      <c r="H1183" s="36">
        <v>532</v>
      </c>
    </row>
    <row r="1184" spans="1:8">
      <c r="A1184" s="62">
        <v>138984089477</v>
      </c>
      <c r="B1184" t="s">
        <v>4</v>
      </c>
      <c r="C1184" s="35" t="s">
        <v>430</v>
      </c>
      <c r="D1184" t="s">
        <v>491</v>
      </c>
      <c r="E1184" s="35" t="s">
        <v>430</v>
      </c>
      <c r="F1184" s="29" t="s">
        <v>492</v>
      </c>
      <c r="G1184" s="36">
        <v>14400</v>
      </c>
      <c r="H1184" s="36">
        <v>144</v>
      </c>
    </row>
    <row r="1185" spans="1:8">
      <c r="A1185" s="62">
        <v>138984795275</v>
      </c>
      <c r="B1185" t="s">
        <v>4</v>
      </c>
      <c r="C1185" s="35" t="s">
        <v>430</v>
      </c>
      <c r="D1185" t="s">
        <v>491</v>
      </c>
      <c r="E1185" s="35" t="s">
        <v>430</v>
      </c>
      <c r="F1185" s="29" t="s">
        <v>492</v>
      </c>
      <c r="G1185" s="36">
        <v>55000</v>
      </c>
      <c r="H1185" s="36">
        <v>550</v>
      </c>
    </row>
    <row r="1186" spans="1:8">
      <c r="A1186" s="62">
        <v>139631549822</v>
      </c>
      <c r="B1186" t="s">
        <v>4</v>
      </c>
      <c r="C1186" s="35" t="s">
        <v>430</v>
      </c>
      <c r="D1186" t="s">
        <v>491</v>
      </c>
      <c r="E1186" s="35" t="s">
        <v>430</v>
      </c>
      <c r="F1186" s="29" t="s">
        <v>492</v>
      </c>
      <c r="G1186" s="36">
        <v>5000</v>
      </c>
      <c r="H1186" s="36">
        <v>50</v>
      </c>
    </row>
    <row r="1187" spans="1:8">
      <c r="A1187" s="62">
        <v>138963343339</v>
      </c>
      <c r="B1187" t="s">
        <v>4</v>
      </c>
      <c r="C1187" s="35" t="s">
        <v>423</v>
      </c>
      <c r="D1187" t="s">
        <v>491</v>
      </c>
      <c r="E1187" s="35" t="s">
        <v>423</v>
      </c>
      <c r="F1187" s="29" t="s">
        <v>492</v>
      </c>
      <c r="G1187" s="36">
        <v>4800</v>
      </c>
      <c r="H1187" s="36">
        <v>48</v>
      </c>
    </row>
    <row r="1188" spans="1:8">
      <c r="A1188" s="62">
        <v>138963614327</v>
      </c>
      <c r="B1188" t="s">
        <v>4</v>
      </c>
      <c r="C1188" s="35" t="s">
        <v>423</v>
      </c>
      <c r="D1188" t="s">
        <v>491</v>
      </c>
      <c r="E1188" s="35" t="s">
        <v>423</v>
      </c>
      <c r="F1188" s="29" t="s">
        <v>492</v>
      </c>
      <c r="G1188" s="36">
        <v>37500</v>
      </c>
      <c r="H1188" s="36">
        <v>375</v>
      </c>
    </row>
    <row r="1189" spans="1:8">
      <c r="A1189" s="62">
        <v>138965535883</v>
      </c>
      <c r="B1189" t="s">
        <v>263</v>
      </c>
      <c r="C1189" s="35" t="s">
        <v>423</v>
      </c>
      <c r="D1189" t="s">
        <v>491</v>
      </c>
      <c r="E1189" s="35" t="s">
        <v>423</v>
      </c>
      <c r="F1189" s="29" t="s">
        <v>492</v>
      </c>
      <c r="G1189" s="36">
        <v>10000</v>
      </c>
      <c r="H1189" s="36">
        <v>100</v>
      </c>
    </row>
    <row r="1190" spans="1:8">
      <c r="A1190" s="62">
        <v>138965717981</v>
      </c>
      <c r="B1190" t="s">
        <v>263</v>
      </c>
      <c r="C1190" s="35" t="s">
        <v>423</v>
      </c>
      <c r="D1190" t="s">
        <v>491</v>
      </c>
      <c r="E1190" s="35" t="s">
        <v>423</v>
      </c>
      <c r="F1190" s="29" t="s">
        <v>492</v>
      </c>
      <c r="G1190" s="36">
        <v>10000</v>
      </c>
      <c r="H1190" s="36">
        <v>100</v>
      </c>
    </row>
    <row r="1191" spans="1:8">
      <c r="A1191" s="62">
        <v>139613303416</v>
      </c>
      <c r="B1191" t="s">
        <v>4</v>
      </c>
      <c r="C1191" s="35" t="s">
        <v>423</v>
      </c>
      <c r="D1191" t="s">
        <v>491</v>
      </c>
      <c r="E1191" s="35" t="s">
        <v>423</v>
      </c>
      <c r="F1191" s="29" t="s">
        <v>492</v>
      </c>
      <c r="G1191" s="36">
        <v>29000</v>
      </c>
      <c r="H1191" s="36">
        <v>290</v>
      </c>
    </row>
    <row r="1192" spans="1:8">
      <c r="A1192" s="62">
        <v>139618386762</v>
      </c>
      <c r="B1192" t="s">
        <v>263</v>
      </c>
      <c r="C1192" s="35" t="s">
        <v>423</v>
      </c>
      <c r="D1192" t="s">
        <v>491</v>
      </c>
      <c r="E1192" s="35" t="s">
        <v>423</v>
      </c>
      <c r="F1192" s="29" t="s">
        <v>492</v>
      </c>
      <c r="G1192" s="36">
        <v>39900</v>
      </c>
      <c r="H1192" s="36">
        <v>399</v>
      </c>
    </row>
    <row r="1193" spans="1:8">
      <c r="A1193" s="62">
        <v>139618771272</v>
      </c>
      <c r="B1193" t="s">
        <v>263</v>
      </c>
      <c r="C1193" s="35" t="s">
        <v>423</v>
      </c>
      <c r="D1193" t="s">
        <v>491</v>
      </c>
      <c r="E1193" s="35" t="s">
        <v>423</v>
      </c>
      <c r="F1193" s="29" t="s">
        <v>492</v>
      </c>
      <c r="G1193" s="36">
        <v>43000</v>
      </c>
      <c r="H1193" s="36">
        <v>430</v>
      </c>
    </row>
    <row r="1194" spans="1:8">
      <c r="A1194" s="62">
        <v>138973548859</v>
      </c>
      <c r="B1194" t="s">
        <v>4</v>
      </c>
      <c r="C1194" s="35" t="s">
        <v>423</v>
      </c>
      <c r="D1194" t="s">
        <v>491</v>
      </c>
      <c r="E1194" s="35" t="s">
        <v>423</v>
      </c>
      <c r="F1194" s="29" t="s">
        <v>492</v>
      </c>
      <c r="G1194" s="36">
        <v>37700</v>
      </c>
      <c r="H1194" s="36">
        <v>377</v>
      </c>
    </row>
    <row r="1195" spans="1:8">
      <c r="A1195" s="62">
        <v>139620716118</v>
      </c>
      <c r="B1195" t="s">
        <v>4</v>
      </c>
      <c r="C1195" s="35" t="s">
        <v>423</v>
      </c>
      <c r="D1195" t="s">
        <v>491</v>
      </c>
      <c r="E1195" s="35" t="s">
        <v>423</v>
      </c>
      <c r="F1195" s="29" t="s">
        <v>492</v>
      </c>
      <c r="G1195" s="36">
        <v>9600</v>
      </c>
      <c r="H1195" s="36">
        <v>96</v>
      </c>
    </row>
    <row r="1196" spans="1:8">
      <c r="A1196" s="62">
        <v>139623660942</v>
      </c>
      <c r="B1196" t="s">
        <v>4</v>
      </c>
      <c r="C1196" s="35" t="s">
        <v>423</v>
      </c>
      <c r="D1196" t="s">
        <v>491</v>
      </c>
      <c r="E1196" s="35" t="s">
        <v>423</v>
      </c>
      <c r="F1196" s="29" t="s">
        <v>492</v>
      </c>
      <c r="G1196" s="36">
        <v>8600</v>
      </c>
      <c r="H1196" s="36">
        <v>86</v>
      </c>
    </row>
    <row r="1197" spans="1:8">
      <c r="A1197" s="62">
        <v>139625026608</v>
      </c>
      <c r="B1197" t="s">
        <v>4</v>
      </c>
      <c r="C1197" s="35" t="s">
        <v>423</v>
      </c>
      <c r="D1197" t="s">
        <v>491</v>
      </c>
      <c r="E1197" s="35" t="s">
        <v>430</v>
      </c>
      <c r="F1197" s="29" t="s">
        <v>492</v>
      </c>
      <c r="G1197" s="36">
        <v>52200</v>
      </c>
      <c r="H1197" s="36">
        <v>522</v>
      </c>
    </row>
    <row r="1198" spans="1:8">
      <c r="A1198" s="62">
        <v>138978259553</v>
      </c>
      <c r="B1198" t="s">
        <v>263</v>
      </c>
      <c r="C1198" s="35" t="s">
        <v>423</v>
      </c>
      <c r="D1198" t="s">
        <v>491</v>
      </c>
      <c r="E1198" s="35" t="s">
        <v>430</v>
      </c>
      <c r="F1198" s="29" t="s">
        <v>492</v>
      </c>
      <c r="G1198" s="36">
        <v>7900</v>
      </c>
      <c r="H1198" s="36">
        <v>79</v>
      </c>
    </row>
    <row r="1199" spans="1:8">
      <c r="A1199" s="62">
        <v>138978844689</v>
      </c>
      <c r="B1199" t="s">
        <v>4</v>
      </c>
      <c r="C1199" s="35" t="s">
        <v>423</v>
      </c>
      <c r="D1199" t="s">
        <v>491</v>
      </c>
      <c r="E1199" s="35" t="s">
        <v>430</v>
      </c>
      <c r="F1199" s="29" t="s">
        <v>492</v>
      </c>
      <c r="G1199" s="36">
        <v>76200</v>
      </c>
      <c r="H1199" s="36">
        <v>762</v>
      </c>
    </row>
    <row r="1200" spans="1:8">
      <c r="A1200" s="62">
        <v>139626692140</v>
      </c>
      <c r="B1200" t="s">
        <v>4</v>
      </c>
      <c r="C1200" s="35" t="s">
        <v>423</v>
      </c>
      <c r="D1200" t="s">
        <v>491</v>
      </c>
      <c r="E1200" s="35" t="s">
        <v>430</v>
      </c>
      <c r="F1200" s="29" t="s">
        <v>492</v>
      </c>
      <c r="G1200" s="36">
        <v>43400</v>
      </c>
      <c r="H1200" s="36">
        <v>434</v>
      </c>
    </row>
    <row r="1201" spans="1:8">
      <c r="A1201" s="62">
        <v>138979990983</v>
      </c>
      <c r="B1201" t="s">
        <v>4</v>
      </c>
      <c r="C1201" s="35" t="s">
        <v>423</v>
      </c>
      <c r="D1201" t="s">
        <v>491</v>
      </c>
      <c r="E1201" s="35" t="s">
        <v>430</v>
      </c>
      <c r="F1201" s="29" t="s">
        <v>492</v>
      </c>
      <c r="G1201" s="36">
        <v>78900</v>
      </c>
      <c r="H1201" s="36">
        <v>789</v>
      </c>
    </row>
    <row r="1202" spans="1:8">
      <c r="A1202" s="62">
        <v>138980531813</v>
      </c>
      <c r="B1202" t="s">
        <v>263</v>
      </c>
      <c r="C1202" s="35" t="s">
        <v>423</v>
      </c>
      <c r="D1202" t="s">
        <v>491</v>
      </c>
      <c r="E1202" s="35" t="s">
        <v>430</v>
      </c>
      <c r="F1202" s="29" t="s">
        <v>492</v>
      </c>
      <c r="G1202" s="36">
        <v>11800</v>
      </c>
      <c r="H1202" s="36">
        <v>118</v>
      </c>
    </row>
    <row r="1203" spans="1:8">
      <c r="A1203" s="62">
        <v>138981018173</v>
      </c>
      <c r="B1203" t="s">
        <v>4</v>
      </c>
      <c r="C1203" s="35" t="s">
        <v>430</v>
      </c>
      <c r="D1203" t="s">
        <v>491</v>
      </c>
      <c r="E1203" s="35" t="s">
        <v>430</v>
      </c>
      <c r="F1203" s="29" t="s">
        <v>492</v>
      </c>
      <c r="G1203" s="36">
        <v>28900</v>
      </c>
      <c r="H1203" s="36">
        <v>289</v>
      </c>
    </row>
    <row r="1204" spans="1:8">
      <c r="A1204" s="62">
        <v>139627710518</v>
      </c>
      <c r="B1204" t="s">
        <v>263</v>
      </c>
      <c r="C1204" s="35" t="s">
        <v>430</v>
      </c>
      <c r="D1204" t="s">
        <v>491</v>
      </c>
      <c r="E1204" s="35" t="s">
        <v>430</v>
      </c>
      <c r="F1204" s="29" t="s">
        <v>492</v>
      </c>
      <c r="G1204" s="36">
        <v>37300</v>
      </c>
      <c r="H1204" s="36">
        <v>373</v>
      </c>
    </row>
    <row r="1205" spans="1:8">
      <c r="A1205" s="62">
        <v>138981406123</v>
      </c>
      <c r="B1205" t="s">
        <v>4</v>
      </c>
      <c r="C1205" s="35" t="s">
        <v>430</v>
      </c>
      <c r="D1205" t="s">
        <v>491</v>
      </c>
      <c r="E1205" s="35" t="s">
        <v>430</v>
      </c>
      <c r="F1205" s="29" t="s">
        <v>492</v>
      </c>
      <c r="G1205" s="36">
        <v>31100</v>
      </c>
      <c r="H1205" s="36">
        <v>311</v>
      </c>
    </row>
    <row r="1206" spans="1:8">
      <c r="A1206" s="62">
        <v>138982236909</v>
      </c>
      <c r="B1206" t="s">
        <v>4</v>
      </c>
      <c r="C1206" s="35" t="s">
        <v>430</v>
      </c>
      <c r="D1206" t="s">
        <v>491</v>
      </c>
      <c r="E1206" s="35" t="s">
        <v>430</v>
      </c>
      <c r="F1206" s="29" t="s">
        <v>492</v>
      </c>
      <c r="G1206" s="36">
        <v>5500</v>
      </c>
      <c r="H1206" s="36">
        <v>55</v>
      </c>
    </row>
    <row r="1207" spans="1:8">
      <c r="A1207" s="62">
        <v>138982362887</v>
      </c>
      <c r="B1207" t="s">
        <v>4</v>
      </c>
      <c r="C1207" s="35" t="s">
        <v>430</v>
      </c>
      <c r="D1207" t="s">
        <v>491</v>
      </c>
      <c r="E1207" s="35" t="s">
        <v>430</v>
      </c>
      <c r="F1207" s="29" t="s">
        <v>492</v>
      </c>
      <c r="G1207" s="36">
        <v>4800</v>
      </c>
      <c r="H1207" s="36">
        <v>48</v>
      </c>
    </row>
    <row r="1208" spans="1:8">
      <c r="A1208" s="62">
        <v>138982952411</v>
      </c>
      <c r="B1208" t="s">
        <v>4</v>
      </c>
      <c r="C1208" s="35" t="s">
        <v>430</v>
      </c>
      <c r="D1208" t="s">
        <v>491</v>
      </c>
      <c r="E1208" s="35" t="s">
        <v>430</v>
      </c>
      <c r="F1208" s="29" t="s">
        <v>492</v>
      </c>
      <c r="G1208" s="36">
        <v>5000</v>
      </c>
      <c r="H1208" s="36">
        <v>50</v>
      </c>
    </row>
    <row r="1209" spans="1:8">
      <c r="A1209" s="62">
        <v>139630171806</v>
      </c>
      <c r="B1209" t="s">
        <v>4</v>
      </c>
      <c r="C1209" s="35" t="s">
        <v>430</v>
      </c>
      <c r="D1209" t="s">
        <v>491</v>
      </c>
      <c r="E1209" s="35" t="s">
        <v>430</v>
      </c>
      <c r="F1209" s="29" t="s">
        <v>492</v>
      </c>
      <c r="G1209" s="36">
        <v>5500</v>
      </c>
      <c r="H1209" s="36">
        <v>55</v>
      </c>
    </row>
    <row r="1210" spans="1:8">
      <c r="A1210" s="62">
        <v>138983545497</v>
      </c>
      <c r="B1210" t="s">
        <v>4</v>
      </c>
      <c r="C1210" s="35" t="s">
        <v>430</v>
      </c>
      <c r="D1210" t="s">
        <v>491</v>
      </c>
      <c r="E1210" s="35" t="s">
        <v>430</v>
      </c>
      <c r="F1210" s="29" t="s">
        <v>492</v>
      </c>
      <c r="G1210" s="36">
        <v>35900</v>
      </c>
      <c r="H1210" s="36">
        <v>359</v>
      </c>
    </row>
    <row r="1211" spans="1:8">
      <c r="A1211" s="62">
        <v>139630576538</v>
      </c>
      <c r="B1211" t="s">
        <v>4</v>
      </c>
      <c r="C1211" s="35" t="s">
        <v>430</v>
      </c>
      <c r="D1211" t="s">
        <v>491</v>
      </c>
      <c r="E1211" s="35" t="s">
        <v>430</v>
      </c>
      <c r="F1211" s="29" t="s">
        <v>492</v>
      </c>
      <c r="G1211" s="36">
        <v>5000</v>
      </c>
      <c r="H1211" s="36">
        <v>50</v>
      </c>
    </row>
    <row r="1212" spans="1:8">
      <c r="A1212" s="62">
        <v>139630636244</v>
      </c>
      <c r="B1212" t="s">
        <v>4</v>
      </c>
      <c r="C1212" s="35" t="s">
        <v>430</v>
      </c>
      <c r="D1212" t="s">
        <v>491</v>
      </c>
      <c r="E1212" s="35" t="s">
        <v>430</v>
      </c>
      <c r="F1212" s="29" t="s">
        <v>492</v>
      </c>
      <c r="G1212" s="36">
        <v>4800</v>
      </c>
      <c r="H1212" s="36">
        <v>48</v>
      </c>
    </row>
    <row r="1213" spans="1:8">
      <c r="A1213" s="62">
        <v>138984279097</v>
      </c>
      <c r="B1213" t="s">
        <v>4</v>
      </c>
      <c r="C1213" s="35" t="s">
        <v>430</v>
      </c>
      <c r="D1213" t="s">
        <v>491</v>
      </c>
      <c r="E1213" s="35" t="s">
        <v>430</v>
      </c>
      <c r="F1213" s="29" t="s">
        <v>492</v>
      </c>
      <c r="G1213" s="36">
        <v>20000</v>
      </c>
      <c r="H1213" s="36">
        <v>200</v>
      </c>
    </row>
    <row r="1214" spans="1:8">
      <c r="A1214" s="62">
        <v>139631095712</v>
      </c>
      <c r="B1214" t="s">
        <v>4</v>
      </c>
      <c r="C1214" s="35" t="s">
        <v>430</v>
      </c>
      <c r="D1214" t="s">
        <v>491</v>
      </c>
      <c r="E1214" s="35" t="s">
        <v>430</v>
      </c>
      <c r="F1214" s="29" t="s">
        <v>492</v>
      </c>
      <c r="G1214" s="36">
        <v>124400</v>
      </c>
      <c r="H1214" s="36">
        <v>1244</v>
      </c>
    </row>
    <row r="1215" spans="1:8">
      <c r="A1215" s="62">
        <v>139631277772</v>
      </c>
      <c r="B1215" t="s">
        <v>4</v>
      </c>
      <c r="C1215" s="35" t="s">
        <v>430</v>
      </c>
      <c r="D1215" t="s">
        <v>491</v>
      </c>
      <c r="E1215" s="35" t="s">
        <v>430</v>
      </c>
      <c r="F1215" s="29" t="s">
        <v>492</v>
      </c>
      <c r="G1215" s="36">
        <v>69900</v>
      </c>
      <c r="H1215" s="36">
        <v>699</v>
      </c>
    </row>
    <row r="1216" spans="1:8">
      <c r="A1216" s="62">
        <v>138984902535</v>
      </c>
      <c r="B1216" t="s">
        <v>4</v>
      </c>
      <c r="C1216" s="35" t="s">
        <v>430</v>
      </c>
      <c r="D1216" t="s">
        <v>491</v>
      </c>
      <c r="E1216" s="35" t="s">
        <v>430</v>
      </c>
      <c r="F1216" s="29" t="s">
        <v>492</v>
      </c>
      <c r="G1216" s="36">
        <v>24100</v>
      </c>
      <c r="H1216" s="36">
        <v>241</v>
      </c>
    </row>
    <row r="1217" spans="1:8">
      <c r="A1217" s="62">
        <v>139063218521</v>
      </c>
      <c r="B1217" t="s">
        <v>4</v>
      </c>
      <c r="C1217" s="35" t="s">
        <v>430</v>
      </c>
      <c r="D1217" t="s">
        <v>491</v>
      </c>
      <c r="E1217" s="35" t="s">
        <v>430</v>
      </c>
      <c r="F1217" s="29" t="s">
        <v>492</v>
      </c>
      <c r="G1217" s="36">
        <v>21000</v>
      </c>
      <c r="H1217" s="36">
        <v>210</v>
      </c>
    </row>
    <row r="1218" spans="1:8">
      <c r="A1218" s="62">
        <v>139072847851</v>
      </c>
      <c r="B1218" t="s">
        <v>263</v>
      </c>
      <c r="C1218" s="35" t="s">
        <v>430</v>
      </c>
      <c r="D1218" t="s">
        <v>491</v>
      </c>
      <c r="E1218" s="35" t="s">
        <v>430</v>
      </c>
      <c r="F1218" s="29" t="s">
        <v>492</v>
      </c>
      <c r="G1218" s="36">
        <v>5000</v>
      </c>
      <c r="H1218" s="36">
        <v>50</v>
      </c>
    </row>
    <row r="1219" spans="1:8">
      <c r="A1219" s="62">
        <v>139073157963</v>
      </c>
      <c r="B1219" t="s">
        <v>4</v>
      </c>
      <c r="C1219" s="35" t="s">
        <v>430</v>
      </c>
      <c r="D1219" t="s">
        <v>491</v>
      </c>
      <c r="E1219" s="35" t="s">
        <v>430</v>
      </c>
      <c r="F1219" s="29" t="s">
        <v>492</v>
      </c>
      <c r="G1219" s="36">
        <v>11800</v>
      </c>
      <c r="H1219" s="36">
        <v>118</v>
      </c>
    </row>
    <row r="1220" spans="1:8">
      <c r="A1220" s="62">
        <v>139077062539</v>
      </c>
      <c r="B1220" t="s">
        <v>263</v>
      </c>
      <c r="C1220" s="35" t="s">
        <v>430</v>
      </c>
      <c r="D1220" t="s">
        <v>491</v>
      </c>
      <c r="E1220" s="35" t="s">
        <v>430</v>
      </c>
      <c r="F1220" s="29" t="s">
        <v>492</v>
      </c>
      <c r="G1220" s="36">
        <v>5000</v>
      </c>
      <c r="H1220" s="36">
        <v>50</v>
      </c>
    </row>
    <row r="1221" spans="1:8">
      <c r="A1221" s="62">
        <v>139724393082</v>
      </c>
      <c r="B1221" t="s">
        <v>263</v>
      </c>
      <c r="C1221" s="35" t="s">
        <v>430</v>
      </c>
      <c r="D1221" t="s">
        <v>491</v>
      </c>
      <c r="E1221" s="35" t="s">
        <v>430</v>
      </c>
      <c r="F1221" s="29" t="s">
        <v>492</v>
      </c>
      <c r="G1221" s="36">
        <v>10000</v>
      </c>
      <c r="H1221" s="36">
        <v>100</v>
      </c>
    </row>
    <row r="1222" spans="1:8">
      <c r="A1222" s="62">
        <v>139079138431</v>
      </c>
      <c r="B1222" t="s">
        <v>4</v>
      </c>
      <c r="C1222" s="35" t="s">
        <v>430</v>
      </c>
      <c r="D1222" t="s">
        <v>491</v>
      </c>
      <c r="E1222" s="35" t="s">
        <v>430</v>
      </c>
      <c r="F1222" s="29" t="s">
        <v>492</v>
      </c>
      <c r="G1222" s="36">
        <v>10000</v>
      </c>
      <c r="H1222" s="36">
        <v>100</v>
      </c>
    </row>
    <row r="1223" spans="1:8">
      <c r="A1223" s="62">
        <v>139082306869</v>
      </c>
      <c r="B1223" t="s">
        <v>263</v>
      </c>
      <c r="C1223" s="35" t="s">
        <v>430</v>
      </c>
      <c r="D1223" t="s">
        <v>491</v>
      </c>
      <c r="E1223" s="35" t="s">
        <v>430</v>
      </c>
      <c r="F1223" s="29" t="s">
        <v>492</v>
      </c>
      <c r="G1223" s="36">
        <v>52500</v>
      </c>
      <c r="H1223" s="36">
        <v>525</v>
      </c>
    </row>
    <row r="1224" spans="1:8">
      <c r="A1224" s="62">
        <v>139082797497</v>
      </c>
      <c r="B1224" t="s">
        <v>4</v>
      </c>
      <c r="C1224" s="35" t="s">
        <v>430</v>
      </c>
      <c r="D1224" t="s">
        <v>491</v>
      </c>
      <c r="E1224" s="35" t="s">
        <v>430</v>
      </c>
      <c r="F1224" s="29" t="s">
        <v>492</v>
      </c>
      <c r="G1224" s="36">
        <v>48800</v>
      </c>
      <c r="H1224" s="36">
        <v>488</v>
      </c>
    </row>
    <row r="1225" spans="1:8">
      <c r="A1225" s="62">
        <v>139082973003</v>
      </c>
      <c r="B1225" t="s">
        <v>263</v>
      </c>
      <c r="C1225" s="35" t="s">
        <v>430</v>
      </c>
      <c r="D1225" t="s">
        <v>491</v>
      </c>
      <c r="E1225" s="35" t="s">
        <v>430</v>
      </c>
      <c r="F1225" s="29" t="s">
        <v>492</v>
      </c>
      <c r="G1225" s="36">
        <v>10000</v>
      </c>
      <c r="H1225" s="36">
        <v>100</v>
      </c>
    </row>
    <row r="1226" spans="1:8">
      <c r="A1226" s="62">
        <v>139083518057</v>
      </c>
      <c r="B1226" t="s">
        <v>263</v>
      </c>
      <c r="C1226" s="35" t="s">
        <v>430</v>
      </c>
      <c r="D1226" t="s">
        <v>491</v>
      </c>
      <c r="E1226" s="35" t="s">
        <v>430</v>
      </c>
      <c r="F1226" s="29" t="s">
        <v>492</v>
      </c>
      <c r="G1226" s="36">
        <v>85700</v>
      </c>
      <c r="H1226" s="36">
        <v>857</v>
      </c>
    </row>
    <row r="1227" spans="1:8">
      <c r="A1227" s="62">
        <v>139084107193</v>
      </c>
      <c r="B1227" t="s">
        <v>4</v>
      </c>
      <c r="C1227" s="35" t="s">
        <v>430</v>
      </c>
      <c r="D1227" t="s">
        <v>491</v>
      </c>
      <c r="E1227" s="35" t="s">
        <v>430</v>
      </c>
      <c r="F1227" s="29" t="s">
        <v>492</v>
      </c>
      <c r="G1227" s="36">
        <v>37600</v>
      </c>
      <c r="H1227" s="36">
        <v>376</v>
      </c>
    </row>
    <row r="1228" spans="1:8">
      <c r="A1228" s="62">
        <v>139734214508</v>
      </c>
      <c r="B1228" t="s">
        <v>263</v>
      </c>
      <c r="C1228" s="35" t="s">
        <v>430</v>
      </c>
      <c r="D1228" t="s">
        <v>491</v>
      </c>
      <c r="E1228" s="35" t="s">
        <v>430</v>
      </c>
      <c r="F1228" s="29" t="s">
        <v>492</v>
      </c>
      <c r="G1228" s="36">
        <v>53600</v>
      </c>
      <c r="H1228" s="36">
        <v>536</v>
      </c>
    </row>
    <row r="1229" spans="1:8">
      <c r="A1229" s="62">
        <v>139087122709</v>
      </c>
      <c r="B1229" t="s">
        <v>263</v>
      </c>
      <c r="C1229" s="35" t="s">
        <v>430</v>
      </c>
      <c r="D1229" t="s">
        <v>491</v>
      </c>
      <c r="E1229" s="35" t="s">
        <v>430</v>
      </c>
      <c r="F1229" s="29" t="s">
        <v>492</v>
      </c>
      <c r="G1229" s="36">
        <v>14000</v>
      </c>
      <c r="H1229" s="36">
        <v>140</v>
      </c>
    </row>
    <row r="1230" spans="1:8">
      <c r="A1230" s="62">
        <v>139734505018</v>
      </c>
      <c r="B1230" t="s">
        <v>263</v>
      </c>
      <c r="C1230" s="35" t="s">
        <v>430</v>
      </c>
      <c r="D1230" t="s">
        <v>491</v>
      </c>
      <c r="E1230" s="35" t="s">
        <v>430</v>
      </c>
      <c r="F1230" s="29" t="s">
        <v>492</v>
      </c>
      <c r="G1230" s="36">
        <v>55300</v>
      </c>
      <c r="H1230" s="36">
        <v>553</v>
      </c>
    </row>
    <row r="1231" spans="1:8">
      <c r="A1231" s="62">
        <v>139087711755</v>
      </c>
      <c r="B1231" t="s">
        <v>4</v>
      </c>
      <c r="C1231" s="35" t="s">
        <v>430</v>
      </c>
      <c r="D1231" t="s">
        <v>491</v>
      </c>
      <c r="E1231" s="35" t="s">
        <v>430</v>
      </c>
      <c r="F1231" s="29" t="s">
        <v>492</v>
      </c>
      <c r="G1231" s="36">
        <v>25300</v>
      </c>
      <c r="H1231" s="36">
        <v>253</v>
      </c>
    </row>
    <row r="1232" spans="1:8">
      <c r="A1232" s="62">
        <v>139090278709</v>
      </c>
      <c r="B1232" t="s">
        <v>263</v>
      </c>
      <c r="C1232" s="35" t="s">
        <v>430</v>
      </c>
      <c r="D1232" t="s">
        <v>491</v>
      </c>
      <c r="E1232" s="35" t="s">
        <v>430</v>
      </c>
      <c r="F1232" s="29" t="s">
        <v>492</v>
      </c>
      <c r="G1232" s="36">
        <v>75300</v>
      </c>
      <c r="H1232" s="36">
        <v>753</v>
      </c>
    </row>
    <row r="1233" spans="1:8">
      <c r="A1233" s="62">
        <v>139738821200</v>
      </c>
      <c r="B1233" t="s">
        <v>4</v>
      </c>
      <c r="C1233" s="35" t="s">
        <v>430</v>
      </c>
      <c r="D1233" t="s">
        <v>491</v>
      </c>
      <c r="E1233" s="35" t="s">
        <v>430</v>
      </c>
      <c r="F1233" s="29" t="s">
        <v>492</v>
      </c>
      <c r="G1233" s="36">
        <v>34200</v>
      </c>
      <c r="H1233" s="36">
        <v>342</v>
      </c>
    </row>
    <row r="1234" spans="1:8">
      <c r="A1234" s="62">
        <v>139093878133</v>
      </c>
      <c r="B1234" t="s">
        <v>263</v>
      </c>
      <c r="C1234" s="35" t="s">
        <v>430</v>
      </c>
      <c r="D1234" t="s">
        <v>491</v>
      </c>
      <c r="E1234" s="35" t="s">
        <v>435</v>
      </c>
      <c r="F1234" s="29" t="s">
        <v>492</v>
      </c>
      <c r="G1234" s="36">
        <v>31600</v>
      </c>
      <c r="H1234" s="36">
        <v>316</v>
      </c>
    </row>
    <row r="1235" spans="1:8">
      <c r="A1235" s="62">
        <v>139094071125</v>
      </c>
      <c r="B1235" t="s">
        <v>263</v>
      </c>
      <c r="C1235" s="35" t="s">
        <v>430</v>
      </c>
      <c r="D1235" t="s">
        <v>491</v>
      </c>
      <c r="E1235" s="35" t="s">
        <v>435</v>
      </c>
      <c r="F1235" s="29" t="s">
        <v>492</v>
      </c>
      <c r="G1235" s="36">
        <v>19200</v>
      </c>
      <c r="H1235" s="36">
        <v>192</v>
      </c>
    </row>
    <row r="1236" spans="1:8">
      <c r="A1236" s="62">
        <v>139741640206</v>
      </c>
      <c r="B1236" t="s">
        <v>4</v>
      </c>
      <c r="C1236" s="35" t="s">
        <v>430</v>
      </c>
      <c r="D1236" t="s">
        <v>491</v>
      </c>
      <c r="E1236" s="35" t="s">
        <v>435</v>
      </c>
      <c r="F1236" s="29" t="s">
        <v>492</v>
      </c>
      <c r="G1236" s="36">
        <v>10000</v>
      </c>
      <c r="H1236" s="36">
        <v>100</v>
      </c>
    </row>
    <row r="1237" spans="1:8">
      <c r="A1237" s="62">
        <v>139742356014</v>
      </c>
      <c r="B1237" t="s">
        <v>263</v>
      </c>
      <c r="C1237" s="35" t="s">
        <v>430</v>
      </c>
      <c r="D1237" t="s">
        <v>491</v>
      </c>
      <c r="E1237" s="35" t="s">
        <v>435</v>
      </c>
      <c r="F1237" s="29" t="s">
        <v>492</v>
      </c>
      <c r="G1237" s="36">
        <v>86200</v>
      </c>
      <c r="H1237" s="36">
        <v>862</v>
      </c>
    </row>
    <row r="1238" spans="1:8">
      <c r="A1238" s="62">
        <v>139742892010</v>
      </c>
      <c r="B1238" t="s">
        <v>4</v>
      </c>
      <c r="C1238" s="35" t="s">
        <v>430</v>
      </c>
      <c r="D1238" t="s">
        <v>491</v>
      </c>
      <c r="E1238" s="35" t="s">
        <v>435</v>
      </c>
      <c r="F1238" s="29" t="s">
        <v>492</v>
      </c>
      <c r="G1238" s="36">
        <v>46300</v>
      </c>
      <c r="H1238" s="36">
        <v>463</v>
      </c>
    </row>
    <row r="1239" spans="1:8">
      <c r="A1239" s="62">
        <v>139743113042</v>
      </c>
      <c r="B1239" t="s">
        <v>4</v>
      </c>
      <c r="C1239" s="35" t="s">
        <v>435</v>
      </c>
      <c r="D1239" t="s">
        <v>491</v>
      </c>
      <c r="E1239" s="35" t="s">
        <v>435</v>
      </c>
      <c r="F1239" s="29" t="s">
        <v>492</v>
      </c>
      <c r="G1239" s="36">
        <v>56600</v>
      </c>
      <c r="H1239" s="36">
        <v>566</v>
      </c>
    </row>
    <row r="1240" spans="1:8">
      <c r="A1240" s="62">
        <v>139096355877</v>
      </c>
      <c r="B1240" t="s">
        <v>4</v>
      </c>
      <c r="C1240" s="35" t="s">
        <v>435</v>
      </c>
      <c r="D1240" t="s">
        <v>491</v>
      </c>
      <c r="E1240" s="35" t="s">
        <v>435</v>
      </c>
      <c r="F1240" s="29" t="s">
        <v>492</v>
      </c>
      <c r="G1240" s="36">
        <v>70900</v>
      </c>
      <c r="H1240" s="36">
        <v>709</v>
      </c>
    </row>
    <row r="1241" spans="1:8">
      <c r="A1241" s="62">
        <v>139743954796</v>
      </c>
      <c r="B1241" t="s">
        <v>263</v>
      </c>
      <c r="C1241" s="35" t="s">
        <v>435</v>
      </c>
      <c r="D1241" t="s">
        <v>491</v>
      </c>
      <c r="E1241" s="35" t="s">
        <v>435</v>
      </c>
      <c r="F1241" s="29" t="s">
        <v>492</v>
      </c>
      <c r="G1241" s="36">
        <v>29200</v>
      </c>
      <c r="H1241" s="36">
        <v>292</v>
      </c>
    </row>
    <row r="1242" spans="1:8">
      <c r="A1242" s="62">
        <v>139745018564</v>
      </c>
      <c r="B1242" t="s">
        <v>4</v>
      </c>
      <c r="C1242" s="35" t="s">
        <v>435</v>
      </c>
      <c r="D1242" t="s">
        <v>491</v>
      </c>
      <c r="E1242" s="35" t="s">
        <v>435</v>
      </c>
      <c r="F1242" s="29" t="s">
        <v>492</v>
      </c>
      <c r="G1242" s="36">
        <v>58000</v>
      </c>
      <c r="H1242" s="36">
        <v>580</v>
      </c>
    </row>
    <row r="1243" spans="1:8">
      <c r="A1243" s="62">
        <v>139745156910</v>
      </c>
      <c r="B1243" t="s">
        <v>263</v>
      </c>
      <c r="C1243" s="35" t="s">
        <v>435</v>
      </c>
      <c r="D1243" t="s">
        <v>491</v>
      </c>
      <c r="E1243" s="35" t="s">
        <v>435</v>
      </c>
      <c r="F1243" s="29" t="s">
        <v>492</v>
      </c>
      <c r="G1243" s="36">
        <v>33000</v>
      </c>
      <c r="H1243" s="36">
        <v>330</v>
      </c>
    </row>
    <row r="1244" spans="1:8">
      <c r="A1244" s="62">
        <v>139745222594</v>
      </c>
      <c r="B1244" t="s">
        <v>263</v>
      </c>
      <c r="C1244" s="35" t="s">
        <v>435</v>
      </c>
      <c r="D1244" t="s">
        <v>491</v>
      </c>
      <c r="E1244" s="35" t="s">
        <v>435</v>
      </c>
      <c r="F1244" s="29" t="s">
        <v>492</v>
      </c>
      <c r="G1244" s="36">
        <v>113100</v>
      </c>
      <c r="H1244" s="36">
        <v>1131</v>
      </c>
    </row>
    <row r="1245" spans="1:8">
      <c r="A1245" s="62">
        <v>139098023351</v>
      </c>
      <c r="B1245" t="s">
        <v>4</v>
      </c>
      <c r="C1245" s="35" t="s">
        <v>435</v>
      </c>
      <c r="D1245" t="s">
        <v>491</v>
      </c>
      <c r="E1245" s="35" t="s">
        <v>435</v>
      </c>
      <c r="F1245" s="29" t="s">
        <v>492</v>
      </c>
      <c r="G1245" s="36">
        <v>15300</v>
      </c>
      <c r="H1245" s="36">
        <v>153</v>
      </c>
    </row>
    <row r="1246" spans="1:8">
      <c r="A1246" s="62">
        <v>139098272395</v>
      </c>
      <c r="B1246" t="s">
        <v>4</v>
      </c>
      <c r="C1246" s="35" t="s">
        <v>435</v>
      </c>
      <c r="D1246" t="s">
        <v>491</v>
      </c>
      <c r="E1246" s="35" t="s">
        <v>435</v>
      </c>
      <c r="F1246" s="29" t="s">
        <v>492</v>
      </c>
      <c r="G1246" s="36">
        <v>76400</v>
      </c>
      <c r="H1246" s="36">
        <v>764</v>
      </c>
    </row>
    <row r="1247" spans="1:8">
      <c r="A1247" s="62">
        <v>139746116204</v>
      </c>
      <c r="B1247" t="s">
        <v>4</v>
      </c>
      <c r="C1247" s="35" t="s">
        <v>435</v>
      </c>
      <c r="D1247" t="s">
        <v>491</v>
      </c>
      <c r="E1247" s="35" t="s">
        <v>435</v>
      </c>
      <c r="F1247" s="29" t="s">
        <v>492</v>
      </c>
      <c r="G1247" s="36">
        <v>41000</v>
      </c>
      <c r="H1247" s="36">
        <v>410</v>
      </c>
    </row>
    <row r="1248" spans="1:8">
      <c r="A1248" s="62">
        <v>139746652180</v>
      </c>
      <c r="B1248" t="s">
        <v>4</v>
      </c>
      <c r="C1248" s="35" t="s">
        <v>435</v>
      </c>
      <c r="D1248" t="s">
        <v>491</v>
      </c>
      <c r="E1248" s="35" t="s">
        <v>435</v>
      </c>
      <c r="F1248" s="29" t="s">
        <v>492</v>
      </c>
      <c r="G1248" s="36">
        <v>41100</v>
      </c>
      <c r="H1248" s="36">
        <v>411</v>
      </c>
    </row>
    <row r="1249" spans="1:8">
      <c r="A1249" s="62">
        <v>139746996378</v>
      </c>
      <c r="B1249" t="s">
        <v>263</v>
      </c>
      <c r="C1249" s="35" t="s">
        <v>435</v>
      </c>
      <c r="D1249" t="s">
        <v>491</v>
      </c>
      <c r="E1249" s="35" t="s">
        <v>435</v>
      </c>
      <c r="F1249" s="29" t="s">
        <v>492</v>
      </c>
      <c r="G1249" s="36">
        <v>76500</v>
      </c>
      <c r="H1249" s="36">
        <v>765</v>
      </c>
    </row>
    <row r="1250" spans="1:8">
      <c r="A1250" s="62">
        <v>139747250496</v>
      </c>
      <c r="B1250" t="s">
        <v>263</v>
      </c>
      <c r="C1250" s="35" t="s">
        <v>435</v>
      </c>
      <c r="D1250" t="s">
        <v>491</v>
      </c>
      <c r="E1250" s="35" t="s">
        <v>435</v>
      </c>
      <c r="F1250" s="29" t="s">
        <v>492</v>
      </c>
      <c r="G1250" s="36">
        <v>149000</v>
      </c>
      <c r="H1250" s="36">
        <v>1490</v>
      </c>
    </row>
    <row r="1251" spans="1:8">
      <c r="A1251" s="62">
        <v>139720219596</v>
      </c>
      <c r="B1251" t="s">
        <v>4</v>
      </c>
      <c r="C1251" s="35" t="s">
        <v>430</v>
      </c>
      <c r="D1251" t="s">
        <v>491</v>
      </c>
      <c r="E1251" s="35" t="s">
        <v>430</v>
      </c>
      <c r="F1251" s="29" t="s">
        <v>492</v>
      </c>
      <c r="G1251" s="36">
        <v>9600</v>
      </c>
      <c r="H1251" s="36">
        <v>96</v>
      </c>
    </row>
    <row r="1252" spans="1:8">
      <c r="A1252" s="62">
        <v>139074196447</v>
      </c>
      <c r="B1252" t="s">
        <v>4</v>
      </c>
      <c r="C1252" s="35" t="s">
        <v>430</v>
      </c>
      <c r="D1252" t="s">
        <v>491</v>
      </c>
      <c r="E1252" s="35" t="s">
        <v>430</v>
      </c>
      <c r="F1252" s="29" t="s">
        <v>492</v>
      </c>
      <c r="G1252" s="36">
        <v>25000</v>
      </c>
      <c r="H1252" s="36">
        <v>250</v>
      </c>
    </row>
    <row r="1253" spans="1:8">
      <c r="A1253" s="62">
        <v>139721874566</v>
      </c>
      <c r="B1253" t="s">
        <v>263</v>
      </c>
      <c r="C1253" s="35" t="s">
        <v>430</v>
      </c>
      <c r="D1253" t="s">
        <v>491</v>
      </c>
      <c r="E1253" s="35" t="s">
        <v>430</v>
      </c>
      <c r="F1253" s="29" t="s">
        <v>492</v>
      </c>
      <c r="G1253" s="36">
        <v>14800</v>
      </c>
      <c r="H1253" s="36">
        <v>148</v>
      </c>
    </row>
    <row r="1254" spans="1:8">
      <c r="A1254" s="62">
        <v>139723099764</v>
      </c>
      <c r="B1254" t="s">
        <v>4</v>
      </c>
      <c r="C1254" s="35" t="s">
        <v>430</v>
      </c>
      <c r="D1254" t="s">
        <v>491</v>
      </c>
      <c r="E1254" s="35" t="s">
        <v>430</v>
      </c>
      <c r="F1254" s="29" t="s">
        <v>492</v>
      </c>
      <c r="G1254" s="36">
        <v>20500</v>
      </c>
      <c r="H1254" s="36">
        <v>205</v>
      </c>
    </row>
    <row r="1255" spans="1:8">
      <c r="A1255" s="62">
        <v>139729250792</v>
      </c>
      <c r="B1255" t="s">
        <v>4</v>
      </c>
      <c r="C1255" s="35" t="s">
        <v>430</v>
      </c>
      <c r="D1255" t="s">
        <v>491</v>
      </c>
      <c r="E1255" s="35" t="s">
        <v>430</v>
      </c>
      <c r="F1255" s="29" t="s">
        <v>492</v>
      </c>
      <c r="G1255" s="36">
        <v>8000</v>
      </c>
      <c r="H1255" s="36">
        <v>80</v>
      </c>
    </row>
    <row r="1256" spans="1:8">
      <c r="A1256" s="62">
        <v>139730594000</v>
      </c>
      <c r="B1256" t="s">
        <v>263</v>
      </c>
      <c r="C1256" s="35" t="s">
        <v>430</v>
      </c>
      <c r="D1256" t="s">
        <v>491</v>
      </c>
      <c r="E1256" s="35" t="s">
        <v>430</v>
      </c>
      <c r="F1256" s="29" t="s">
        <v>492</v>
      </c>
      <c r="G1256" s="36">
        <v>49100</v>
      </c>
      <c r="H1256" s="36">
        <v>491</v>
      </c>
    </row>
    <row r="1257" spans="1:8">
      <c r="A1257" s="62">
        <v>139085202049</v>
      </c>
      <c r="B1257" t="s">
        <v>263</v>
      </c>
      <c r="C1257" s="35" t="s">
        <v>430</v>
      </c>
      <c r="D1257" t="s">
        <v>491</v>
      </c>
      <c r="E1257" s="35" t="s">
        <v>430</v>
      </c>
      <c r="F1257" s="29" t="s">
        <v>492</v>
      </c>
      <c r="G1257" s="36">
        <v>5000</v>
      </c>
      <c r="H1257" s="36">
        <v>50</v>
      </c>
    </row>
    <row r="1258" spans="1:8">
      <c r="A1258" s="62">
        <v>139089424897</v>
      </c>
      <c r="B1258" t="s">
        <v>4</v>
      </c>
      <c r="C1258" s="35" t="s">
        <v>430</v>
      </c>
      <c r="D1258" t="s">
        <v>491</v>
      </c>
      <c r="E1258" s="35" t="s">
        <v>430</v>
      </c>
      <c r="F1258" s="29" t="s">
        <v>492</v>
      </c>
      <c r="G1258" s="36">
        <v>5000</v>
      </c>
      <c r="H1258" s="36">
        <v>50</v>
      </c>
    </row>
    <row r="1259" spans="1:8">
      <c r="A1259" s="62">
        <v>139736694770</v>
      </c>
      <c r="B1259" t="s">
        <v>4</v>
      </c>
      <c r="C1259" s="35" t="s">
        <v>430</v>
      </c>
      <c r="D1259" t="s">
        <v>491</v>
      </c>
      <c r="E1259" s="35" t="s">
        <v>430</v>
      </c>
      <c r="F1259" s="29" t="s">
        <v>492</v>
      </c>
      <c r="G1259" s="36">
        <v>41200</v>
      </c>
      <c r="H1259" s="36">
        <v>412</v>
      </c>
    </row>
    <row r="1260" spans="1:8">
      <c r="A1260" s="62">
        <v>139089767285</v>
      </c>
      <c r="B1260" t="s">
        <v>4</v>
      </c>
      <c r="C1260" s="35" t="s">
        <v>430</v>
      </c>
      <c r="D1260" t="s">
        <v>491</v>
      </c>
      <c r="E1260" s="35" t="s">
        <v>430</v>
      </c>
      <c r="F1260" s="29" t="s">
        <v>492</v>
      </c>
      <c r="G1260" s="36">
        <v>19900</v>
      </c>
      <c r="H1260" s="36">
        <v>199</v>
      </c>
    </row>
    <row r="1261" spans="1:8">
      <c r="A1261" s="62">
        <v>139090047369</v>
      </c>
      <c r="B1261" t="s">
        <v>4</v>
      </c>
      <c r="C1261" s="35" t="s">
        <v>430</v>
      </c>
      <c r="D1261" t="s">
        <v>491</v>
      </c>
      <c r="E1261" s="35" t="s">
        <v>430</v>
      </c>
      <c r="F1261" s="29" t="s">
        <v>492</v>
      </c>
      <c r="G1261" s="36">
        <v>27600</v>
      </c>
      <c r="H1261" s="36">
        <v>276</v>
      </c>
    </row>
    <row r="1262" spans="1:8">
      <c r="A1262" s="62">
        <v>139092164837</v>
      </c>
      <c r="B1262" t="s">
        <v>4</v>
      </c>
      <c r="C1262" s="35" t="s">
        <v>430</v>
      </c>
      <c r="D1262" t="s">
        <v>491</v>
      </c>
      <c r="E1262" s="35" t="s">
        <v>430</v>
      </c>
      <c r="F1262" s="29" t="s">
        <v>492</v>
      </c>
      <c r="G1262" s="36">
        <v>88100</v>
      </c>
      <c r="H1262" s="36">
        <v>881</v>
      </c>
    </row>
    <row r="1263" spans="1:8">
      <c r="A1263" s="62">
        <v>139740074742</v>
      </c>
      <c r="B1263" t="s">
        <v>4</v>
      </c>
      <c r="C1263" s="35" t="s">
        <v>430</v>
      </c>
      <c r="D1263" t="s">
        <v>491</v>
      </c>
      <c r="E1263" s="35" t="s">
        <v>435</v>
      </c>
      <c r="F1263" s="29" t="s">
        <v>492</v>
      </c>
      <c r="G1263" s="36">
        <v>9800</v>
      </c>
      <c r="H1263" s="36">
        <v>98</v>
      </c>
    </row>
    <row r="1264" spans="1:8">
      <c r="A1264" s="62">
        <v>139093374485</v>
      </c>
      <c r="B1264" t="s">
        <v>4</v>
      </c>
      <c r="C1264" s="35" t="s">
        <v>430</v>
      </c>
      <c r="D1264" t="s">
        <v>491</v>
      </c>
      <c r="E1264" s="35" t="s">
        <v>435</v>
      </c>
      <c r="F1264" s="29" t="s">
        <v>492</v>
      </c>
      <c r="G1264" s="36">
        <v>19800</v>
      </c>
      <c r="H1264" s="36">
        <v>198</v>
      </c>
    </row>
    <row r="1265" spans="1:8">
      <c r="A1265" s="62">
        <v>139094631503</v>
      </c>
      <c r="B1265" t="s">
        <v>263</v>
      </c>
      <c r="C1265" s="35" t="s">
        <v>430</v>
      </c>
      <c r="D1265" t="s">
        <v>491</v>
      </c>
      <c r="E1265" s="35" t="s">
        <v>435</v>
      </c>
      <c r="F1265" s="29" t="s">
        <v>492</v>
      </c>
      <c r="G1265" s="36">
        <v>156000</v>
      </c>
      <c r="H1265" s="36">
        <v>1560</v>
      </c>
    </row>
    <row r="1266" spans="1:8">
      <c r="A1266" s="62">
        <v>139742005488</v>
      </c>
      <c r="B1266" t="s">
        <v>4</v>
      </c>
      <c r="C1266" s="35" t="s">
        <v>430</v>
      </c>
      <c r="D1266" t="s">
        <v>491</v>
      </c>
      <c r="E1266" s="35" t="s">
        <v>435</v>
      </c>
      <c r="F1266" s="29" t="s">
        <v>492</v>
      </c>
      <c r="G1266" s="36">
        <v>10000</v>
      </c>
      <c r="H1266" s="36">
        <v>100</v>
      </c>
    </row>
    <row r="1267" spans="1:8">
      <c r="A1267" s="62">
        <v>139742125860</v>
      </c>
      <c r="B1267" t="s">
        <v>4</v>
      </c>
      <c r="C1267" s="35" t="s">
        <v>430</v>
      </c>
      <c r="D1267" t="s">
        <v>491</v>
      </c>
      <c r="E1267" s="35" t="s">
        <v>435</v>
      </c>
      <c r="F1267" s="29" t="s">
        <v>492</v>
      </c>
      <c r="G1267" s="36">
        <v>55600</v>
      </c>
      <c r="H1267" s="36">
        <v>556</v>
      </c>
    </row>
    <row r="1268" spans="1:8">
      <c r="A1268" s="62">
        <v>139095819989</v>
      </c>
      <c r="B1268" t="s">
        <v>4</v>
      </c>
      <c r="C1268" s="35" t="s">
        <v>435</v>
      </c>
      <c r="D1268" t="s">
        <v>491</v>
      </c>
      <c r="E1268" s="35" t="s">
        <v>435</v>
      </c>
      <c r="F1268" s="29" t="s">
        <v>492</v>
      </c>
      <c r="G1268" s="36">
        <v>13700</v>
      </c>
      <c r="H1268" s="36">
        <v>137</v>
      </c>
    </row>
    <row r="1269" spans="1:8">
      <c r="A1269" s="62">
        <v>139743764936</v>
      </c>
      <c r="B1269" t="s">
        <v>263</v>
      </c>
      <c r="C1269" s="35" t="s">
        <v>435</v>
      </c>
      <c r="D1269" t="s">
        <v>491</v>
      </c>
      <c r="E1269" s="35" t="s">
        <v>435</v>
      </c>
      <c r="F1269" s="29" t="s">
        <v>492</v>
      </c>
      <c r="G1269" s="36">
        <v>37400</v>
      </c>
      <c r="H1269" s="36">
        <v>374</v>
      </c>
    </row>
    <row r="1270" spans="1:8">
      <c r="A1270" s="62">
        <v>139744308788</v>
      </c>
      <c r="B1270" t="s">
        <v>4</v>
      </c>
      <c r="C1270" s="35" t="s">
        <v>435</v>
      </c>
      <c r="D1270" t="s">
        <v>491</v>
      </c>
      <c r="E1270" s="35" t="s">
        <v>435</v>
      </c>
      <c r="F1270" s="29" t="s">
        <v>492</v>
      </c>
      <c r="G1270" s="36">
        <v>10300</v>
      </c>
      <c r="H1270" s="36">
        <v>103</v>
      </c>
    </row>
    <row r="1271" spans="1:8">
      <c r="A1271" s="62">
        <v>139746110436</v>
      </c>
      <c r="B1271" t="s">
        <v>4</v>
      </c>
      <c r="C1271" s="35" t="s">
        <v>435</v>
      </c>
      <c r="D1271" t="s">
        <v>491</v>
      </c>
      <c r="E1271" s="35" t="s">
        <v>435</v>
      </c>
      <c r="F1271" s="29" t="s">
        <v>492</v>
      </c>
      <c r="G1271" s="36">
        <v>45300</v>
      </c>
      <c r="H1271" s="36">
        <v>453</v>
      </c>
    </row>
    <row r="1272" spans="1:8">
      <c r="A1272" s="62">
        <v>139746069422</v>
      </c>
      <c r="B1272" t="s">
        <v>4</v>
      </c>
      <c r="C1272" s="35" t="s">
        <v>435</v>
      </c>
      <c r="D1272" t="s">
        <v>491</v>
      </c>
      <c r="E1272" s="35" t="s">
        <v>435</v>
      </c>
      <c r="F1272" s="29" t="s">
        <v>492</v>
      </c>
      <c r="G1272" s="36">
        <v>15800</v>
      </c>
      <c r="H1272" s="36">
        <v>158</v>
      </c>
    </row>
    <row r="1273" spans="1:8">
      <c r="A1273" s="62">
        <v>139098946275</v>
      </c>
      <c r="B1273" t="s">
        <v>4</v>
      </c>
      <c r="C1273" s="35" t="s">
        <v>435</v>
      </c>
      <c r="D1273" t="s">
        <v>491</v>
      </c>
      <c r="E1273" s="35" t="s">
        <v>435</v>
      </c>
      <c r="F1273" s="29" t="s">
        <v>492</v>
      </c>
      <c r="G1273" s="36">
        <v>99600</v>
      </c>
      <c r="H1273" s="36">
        <v>996</v>
      </c>
    </row>
    <row r="1274" spans="1:8">
      <c r="A1274" s="62">
        <v>139746956110</v>
      </c>
      <c r="B1274" t="s">
        <v>263</v>
      </c>
      <c r="C1274" s="35" t="s">
        <v>435</v>
      </c>
      <c r="D1274" t="s">
        <v>491</v>
      </c>
      <c r="E1274" s="35" t="s">
        <v>435</v>
      </c>
      <c r="F1274" s="29" t="s">
        <v>492</v>
      </c>
      <c r="G1274" s="36">
        <v>27200</v>
      </c>
      <c r="H1274" s="36">
        <v>272</v>
      </c>
    </row>
    <row r="1275" spans="1:8">
      <c r="A1275" s="62">
        <v>139747108932</v>
      </c>
      <c r="B1275" t="s">
        <v>4</v>
      </c>
      <c r="C1275" s="35" t="s">
        <v>435</v>
      </c>
      <c r="D1275" t="s">
        <v>491</v>
      </c>
      <c r="E1275" s="35" t="s">
        <v>435</v>
      </c>
      <c r="F1275" s="29" t="s">
        <v>492</v>
      </c>
      <c r="G1275" s="36">
        <v>30000</v>
      </c>
      <c r="H1275" s="36">
        <v>300</v>
      </c>
    </row>
    <row r="1276" spans="1:8">
      <c r="A1276" s="62">
        <v>139100436161</v>
      </c>
      <c r="B1276" t="s">
        <v>4</v>
      </c>
      <c r="C1276" s="35" t="s">
        <v>435</v>
      </c>
      <c r="D1276" t="s">
        <v>491</v>
      </c>
      <c r="E1276" s="35" t="s">
        <v>435</v>
      </c>
      <c r="F1276" s="29" t="s">
        <v>492</v>
      </c>
      <c r="G1276" s="36">
        <v>14400</v>
      </c>
      <c r="H1276" s="36">
        <v>144</v>
      </c>
    </row>
    <row r="1277" spans="1:8">
      <c r="A1277" s="62">
        <v>139100574281</v>
      </c>
      <c r="B1277" t="s">
        <v>4</v>
      </c>
      <c r="C1277" s="35" t="s">
        <v>435</v>
      </c>
      <c r="D1277" t="s">
        <v>491</v>
      </c>
      <c r="E1277" s="35" t="s">
        <v>435</v>
      </c>
      <c r="F1277" s="29" t="s">
        <v>492</v>
      </c>
      <c r="G1277" s="36">
        <v>31000</v>
      </c>
      <c r="H1277" s="36">
        <v>310</v>
      </c>
    </row>
    <row r="1278" spans="1:8">
      <c r="A1278" s="62">
        <v>139808799678</v>
      </c>
      <c r="B1278" t="s">
        <v>4</v>
      </c>
      <c r="C1278" s="35" t="s">
        <v>435</v>
      </c>
      <c r="D1278" t="s">
        <v>491</v>
      </c>
      <c r="E1278" s="35" t="s">
        <v>435</v>
      </c>
      <c r="F1278" s="29" t="s">
        <v>492</v>
      </c>
      <c r="G1278" s="36">
        <v>5500</v>
      </c>
      <c r="H1278" s="36">
        <v>55</v>
      </c>
    </row>
    <row r="1279" spans="1:8">
      <c r="A1279" s="62">
        <v>139172546173</v>
      </c>
      <c r="B1279" t="s">
        <v>4</v>
      </c>
      <c r="C1279" s="35" t="s">
        <v>435</v>
      </c>
      <c r="D1279" t="s">
        <v>491</v>
      </c>
      <c r="E1279" s="35" t="s">
        <v>435</v>
      </c>
      <c r="F1279" s="29" t="s">
        <v>492</v>
      </c>
      <c r="G1279" s="36">
        <v>4900</v>
      </c>
      <c r="H1279" s="36">
        <v>49</v>
      </c>
    </row>
    <row r="1280" spans="1:8">
      <c r="A1280" s="62">
        <v>139820048220</v>
      </c>
      <c r="B1280" t="s">
        <v>4</v>
      </c>
      <c r="C1280" s="35" t="s">
        <v>435</v>
      </c>
      <c r="D1280" t="s">
        <v>491</v>
      </c>
      <c r="E1280" s="35" t="s">
        <v>435</v>
      </c>
      <c r="F1280" s="29" t="s">
        <v>492</v>
      </c>
      <c r="G1280" s="36">
        <v>19400</v>
      </c>
      <c r="H1280" s="36">
        <v>194</v>
      </c>
    </row>
    <row r="1281" spans="1:8">
      <c r="A1281" s="62">
        <v>139820905374</v>
      </c>
      <c r="B1281" t="s">
        <v>263</v>
      </c>
      <c r="C1281" s="35" t="s">
        <v>435</v>
      </c>
      <c r="D1281" t="s">
        <v>491</v>
      </c>
      <c r="E1281" s="35" t="s">
        <v>435</v>
      </c>
      <c r="F1281" s="29" t="s">
        <v>492</v>
      </c>
      <c r="G1281" s="36">
        <v>10000</v>
      </c>
      <c r="H1281" s="36">
        <v>100</v>
      </c>
    </row>
    <row r="1282" spans="1:8">
      <c r="A1282" s="62">
        <v>139174210059</v>
      </c>
      <c r="B1282" t="s">
        <v>4</v>
      </c>
      <c r="C1282" s="35" t="s">
        <v>435</v>
      </c>
      <c r="D1282" t="s">
        <v>491</v>
      </c>
      <c r="E1282" s="35" t="s">
        <v>435</v>
      </c>
      <c r="F1282" s="29" t="s">
        <v>492</v>
      </c>
      <c r="G1282" s="36">
        <v>5000</v>
      </c>
      <c r="H1282" s="36">
        <v>50</v>
      </c>
    </row>
    <row r="1283" spans="1:8">
      <c r="A1283" s="62">
        <v>139174829827</v>
      </c>
      <c r="B1283" t="s">
        <v>4</v>
      </c>
      <c r="C1283" s="35" t="s">
        <v>435</v>
      </c>
      <c r="D1283" t="s">
        <v>491</v>
      </c>
      <c r="E1283" s="35" t="s">
        <v>435</v>
      </c>
      <c r="F1283" s="29" t="s">
        <v>492</v>
      </c>
      <c r="G1283" s="36">
        <v>4900</v>
      </c>
      <c r="H1283" s="36">
        <v>49</v>
      </c>
    </row>
    <row r="1284" spans="1:8">
      <c r="A1284" s="62">
        <v>139175369981</v>
      </c>
      <c r="B1284" t="s">
        <v>4</v>
      </c>
      <c r="C1284" s="35" t="s">
        <v>435</v>
      </c>
      <c r="D1284" t="s">
        <v>491</v>
      </c>
      <c r="E1284" s="35" t="s">
        <v>435</v>
      </c>
      <c r="F1284" s="29" t="s">
        <v>492</v>
      </c>
      <c r="G1284" s="36">
        <v>7400</v>
      </c>
      <c r="H1284" s="36">
        <v>74</v>
      </c>
    </row>
    <row r="1285" spans="1:8">
      <c r="A1285" s="62">
        <v>139176331131</v>
      </c>
      <c r="B1285" t="s">
        <v>4</v>
      </c>
      <c r="C1285" s="35" t="s">
        <v>435</v>
      </c>
      <c r="D1285" t="s">
        <v>491</v>
      </c>
      <c r="E1285" s="35" t="s">
        <v>435</v>
      </c>
      <c r="F1285" s="29" t="s">
        <v>492</v>
      </c>
      <c r="G1285" s="36">
        <v>14000</v>
      </c>
      <c r="H1285" s="36">
        <v>140</v>
      </c>
    </row>
    <row r="1286" spans="1:8">
      <c r="A1286" s="62">
        <v>139825993870</v>
      </c>
      <c r="B1286" t="s">
        <v>263</v>
      </c>
      <c r="C1286" s="35" t="s">
        <v>435</v>
      </c>
      <c r="D1286" t="s">
        <v>491</v>
      </c>
      <c r="E1286" s="35" t="s">
        <v>435</v>
      </c>
      <c r="F1286" s="29" t="s">
        <v>492</v>
      </c>
      <c r="G1286" s="36">
        <v>30200</v>
      </c>
      <c r="H1286" s="36">
        <v>302</v>
      </c>
    </row>
    <row r="1287" spans="1:8">
      <c r="A1287" s="62">
        <v>139827276052</v>
      </c>
      <c r="B1287" t="s">
        <v>263</v>
      </c>
      <c r="C1287" s="35" t="s">
        <v>435</v>
      </c>
      <c r="D1287" t="s">
        <v>491</v>
      </c>
      <c r="E1287" s="35" t="s">
        <v>435</v>
      </c>
      <c r="F1287" s="29" t="s">
        <v>492</v>
      </c>
      <c r="G1287" s="36">
        <v>44400</v>
      </c>
      <c r="H1287" s="36">
        <v>444</v>
      </c>
    </row>
    <row r="1288" spans="1:8">
      <c r="A1288" s="62">
        <v>139828941790</v>
      </c>
      <c r="B1288" t="s">
        <v>4</v>
      </c>
      <c r="C1288" s="35" t="s">
        <v>435</v>
      </c>
      <c r="D1288" t="s">
        <v>491</v>
      </c>
      <c r="E1288" s="35" t="s">
        <v>435</v>
      </c>
      <c r="F1288" s="29" t="s">
        <v>492</v>
      </c>
      <c r="G1288" s="36">
        <v>32500</v>
      </c>
      <c r="H1288" s="36">
        <v>325</v>
      </c>
    </row>
    <row r="1289" spans="1:8">
      <c r="A1289" s="62">
        <v>139182522797</v>
      </c>
      <c r="B1289" t="s">
        <v>4</v>
      </c>
      <c r="C1289" s="35" t="s">
        <v>435</v>
      </c>
      <c r="D1289" t="s">
        <v>491</v>
      </c>
      <c r="E1289" s="35" t="s">
        <v>435</v>
      </c>
      <c r="F1289" s="29" t="s">
        <v>492</v>
      </c>
      <c r="G1289" s="36">
        <v>14800</v>
      </c>
      <c r="H1289" s="36">
        <v>148</v>
      </c>
    </row>
    <row r="1290" spans="1:8">
      <c r="A1290" s="62">
        <v>139829873234</v>
      </c>
      <c r="B1290" t="s">
        <v>4</v>
      </c>
      <c r="C1290" s="35" t="s">
        <v>435</v>
      </c>
      <c r="D1290" t="s">
        <v>491</v>
      </c>
      <c r="E1290" s="35" t="s">
        <v>435</v>
      </c>
      <c r="F1290" s="29" t="s">
        <v>492</v>
      </c>
      <c r="G1290" s="36">
        <v>54600</v>
      </c>
      <c r="H1290" s="36">
        <v>546</v>
      </c>
    </row>
    <row r="1291" spans="1:8">
      <c r="A1291" s="62">
        <v>139182797023</v>
      </c>
      <c r="B1291" t="s">
        <v>4</v>
      </c>
      <c r="C1291" s="35" t="s">
        <v>435</v>
      </c>
      <c r="D1291" t="s">
        <v>491</v>
      </c>
      <c r="E1291" s="35" t="s">
        <v>435</v>
      </c>
      <c r="F1291" s="29" t="s">
        <v>492</v>
      </c>
      <c r="G1291" s="36">
        <v>33800</v>
      </c>
      <c r="H1291" s="36">
        <v>338</v>
      </c>
    </row>
    <row r="1292" spans="1:8">
      <c r="A1292" s="62">
        <v>139183086281</v>
      </c>
      <c r="B1292" t="s">
        <v>4</v>
      </c>
      <c r="C1292" s="35" t="s">
        <v>435</v>
      </c>
      <c r="D1292" t="s">
        <v>491</v>
      </c>
      <c r="E1292" s="35" t="s">
        <v>435</v>
      </c>
      <c r="F1292" s="29" t="s">
        <v>492</v>
      </c>
      <c r="G1292" s="36">
        <v>24600</v>
      </c>
      <c r="H1292" s="36">
        <v>246</v>
      </c>
    </row>
    <row r="1293" spans="1:8">
      <c r="A1293" s="62">
        <v>139184358441</v>
      </c>
      <c r="B1293" t="s">
        <v>4</v>
      </c>
      <c r="C1293" s="35" t="s">
        <v>435</v>
      </c>
      <c r="D1293" t="s">
        <v>491</v>
      </c>
      <c r="E1293" s="35" t="s">
        <v>435</v>
      </c>
      <c r="F1293" s="29" t="s">
        <v>492</v>
      </c>
      <c r="G1293" s="36">
        <v>28000</v>
      </c>
      <c r="H1293" s="36">
        <v>280</v>
      </c>
    </row>
    <row r="1294" spans="1:8">
      <c r="A1294" s="62">
        <v>139832577514</v>
      </c>
      <c r="B1294" t="s">
        <v>4</v>
      </c>
      <c r="C1294" s="35" t="s">
        <v>435</v>
      </c>
      <c r="D1294" t="s">
        <v>491</v>
      </c>
      <c r="E1294" s="35" t="s">
        <v>435</v>
      </c>
      <c r="F1294" s="29" t="s">
        <v>492</v>
      </c>
      <c r="G1294" s="36">
        <v>35600</v>
      </c>
      <c r="H1294" s="36">
        <v>356</v>
      </c>
    </row>
    <row r="1295" spans="1:8">
      <c r="A1295" s="62">
        <v>139834422234</v>
      </c>
      <c r="B1295" t="s">
        <v>4</v>
      </c>
      <c r="C1295" s="35" t="s">
        <v>435</v>
      </c>
      <c r="D1295" t="s">
        <v>491</v>
      </c>
      <c r="E1295" s="35" t="s">
        <v>435</v>
      </c>
      <c r="F1295" s="29" t="s">
        <v>492</v>
      </c>
      <c r="G1295" s="36">
        <v>10000</v>
      </c>
      <c r="H1295" s="36">
        <v>100</v>
      </c>
    </row>
    <row r="1296" spans="1:8">
      <c r="A1296" s="62">
        <v>139187061995</v>
      </c>
      <c r="B1296" t="s">
        <v>263</v>
      </c>
      <c r="C1296" s="35" t="s">
        <v>435</v>
      </c>
      <c r="D1296" t="s">
        <v>491</v>
      </c>
      <c r="E1296" s="35" t="s">
        <v>435</v>
      </c>
      <c r="F1296" s="29" t="s">
        <v>492</v>
      </c>
      <c r="G1296" s="36">
        <v>27900</v>
      </c>
      <c r="H1296" s="36">
        <v>279</v>
      </c>
    </row>
    <row r="1297" spans="1:8">
      <c r="A1297" s="62">
        <v>139834672452</v>
      </c>
      <c r="B1297" t="s">
        <v>4</v>
      </c>
      <c r="C1297" s="35" t="s">
        <v>435</v>
      </c>
      <c r="D1297" t="s">
        <v>491</v>
      </c>
      <c r="E1297" s="35" t="s">
        <v>435</v>
      </c>
      <c r="F1297" s="29" t="s">
        <v>492</v>
      </c>
      <c r="G1297" s="36">
        <v>40300</v>
      </c>
      <c r="H1297" s="36">
        <v>403</v>
      </c>
    </row>
    <row r="1298" spans="1:8">
      <c r="A1298" s="62">
        <v>139188540317</v>
      </c>
      <c r="B1298" t="s">
        <v>4</v>
      </c>
      <c r="C1298" s="35" t="s">
        <v>435</v>
      </c>
      <c r="D1298" t="s">
        <v>491</v>
      </c>
      <c r="E1298" s="35" t="s">
        <v>444</v>
      </c>
      <c r="F1298" s="29" t="s">
        <v>492</v>
      </c>
      <c r="G1298" s="36">
        <v>37800</v>
      </c>
      <c r="H1298" s="36">
        <v>378</v>
      </c>
    </row>
    <row r="1299" spans="1:8">
      <c r="A1299" s="62">
        <v>139811178548</v>
      </c>
      <c r="B1299" t="s">
        <v>263</v>
      </c>
      <c r="C1299" s="35" t="s">
        <v>435</v>
      </c>
      <c r="D1299" t="s">
        <v>491</v>
      </c>
      <c r="E1299" s="35" t="s">
        <v>435</v>
      </c>
      <c r="F1299" s="29" t="s">
        <v>492</v>
      </c>
      <c r="G1299" s="36">
        <v>20000</v>
      </c>
      <c r="H1299" s="36">
        <v>200</v>
      </c>
    </row>
    <row r="1300" spans="1:8">
      <c r="A1300" s="62">
        <v>139191028607</v>
      </c>
      <c r="B1300" t="s">
        <v>263</v>
      </c>
      <c r="C1300" s="35" t="s">
        <v>435</v>
      </c>
      <c r="D1300" t="s">
        <v>491</v>
      </c>
      <c r="E1300" s="35" t="s">
        <v>444</v>
      </c>
      <c r="F1300" s="29" t="s">
        <v>492</v>
      </c>
      <c r="G1300" s="36">
        <v>198700</v>
      </c>
      <c r="H1300" s="36">
        <v>1987</v>
      </c>
    </row>
    <row r="1301" spans="1:8">
      <c r="A1301" s="62">
        <v>139191318807</v>
      </c>
      <c r="B1301" t="s">
        <v>263</v>
      </c>
      <c r="C1301" s="35" t="s">
        <v>444</v>
      </c>
      <c r="D1301" t="s">
        <v>491</v>
      </c>
      <c r="E1301" s="35" t="s">
        <v>444</v>
      </c>
      <c r="F1301" s="29" t="s">
        <v>492</v>
      </c>
      <c r="G1301" s="36">
        <v>30500</v>
      </c>
      <c r="H1301" s="36">
        <v>305</v>
      </c>
    </row>
    <row r="1302" spans="1:8">
      <c r="A1302" s="62">
        <v>139191239891</v>
      </c>
      <c r="B1302" t="s">
        <v>4</v>
      </c>
      <c r="C1302" s="35" t="s">
        <v>444</v>
      </c>
      <c r="D1302" t="s">
        <v>491</v>
      </c>
      <c r="E1302" s="35" t="s">
        <v>444</v>
      </c>
      <c r="F1302" s="29" t="s">
        <v>492</v>
      </c>
      <c r="G1302" s="36">
        <v>16000</v>
      </c>
      <c r="H1302" s="36">
        <v>160</v>
      </c>
    </row>
    <row r="1303" spans="1:8">
      <c r="A1303" s="62">
        <v>139172710465</v>
      </c>
      <c r="B1303" t="s">
        <v>263</v>
      </c>
      <c r="C1303" s="35" t="s">
        <v>435</v>
      </c>
      <c r="D1303" t="s">
        <v>491</v>
      </c>
      <c r="E1303" s="35" t="s">
        <v>435</v>
      </c>
      <c r="F1303" s="29" t="s">
        <v>492</v>
      </c>
      <c r="G1303" s="36">
        <v>7200</v>
      </c>
      <c r="H1303" s="36">
        <v>72</v>
      </c>
    </row>
    <row r="1304" spans="1:8">
      <c r="A1304" s="62">
        <v>139173070093</v>
      </c>
      <c r="B1304" t="s">
        <v>263</v>
      </c>
      <c r="C1304" s="35" t="s">
        <v>435</v>
      </c>
      <c r="D1304" t="s">
        <v>491</v>
      </c>
      <c r="E1304" s="35" t="s">
        <v>435</v>
      </c>
      <c r="F1304" s="29" t="s">
        <v>492</v>
      </c>
      <c r="G1304" s="36">
        <v>20000</v>
      </c>
      <c r="H1304" s="36">
        <v>200</v>
      </c>
    </row>
    <row r="1305" spans="1:8">
      <c r="A1305" s="62">
        <v>139820841428</v>
      </c>
      <c r="B1305" t="s">
        <v>4</v>
      </c>
      <c r="C1305" s="35" t="s">
        <v>435</v>
      </c>
      <c r="D1305" t="s">
        <v>491</v>
      </c>
      <c r="E1305" s="35" t="s">
        <v>435</v>
      </c>
      <c r="F1305" s="29" t="s">
        <v>492</v>
      </c>
      <c r="G1305" s="36">
        <v>13400</v>
      </c>
      <c r="H1305" s="36">
        <v>134</v>
      </c>
    </row>
    <row r="1306" spans="1:8">
      <c r="A1306" s="62">
        <v>139174873593</v>
      </c>
      <c r="B1306" t="s">
        <v>4</v>
      </c>
      <c r="C1306" s="35" t="s">
        <v>435</v>
      </c>
      <c r="D1306" t="s">
        <v>491</v>
      </c>
      <c r="E1306" s="35" t="s">
        <v>435</v>
      </c>
      <c r="F1306" s="29" t="s">
        <v>492</v>
      </c>
      <c r="G1306" s="36">
        <v>10000</v>
      </c>
      <c r="H1306" s="36">
        <v>100</v>
      </c>
    </row>
    <row r="1307" spans="1:8">
      <c r="A1307" s="62">
        <v>139181298385</v>
      </c>
      <c r="B1307" t="s">
        <v>263</v>
      </c>
      <c r="C1307" s="35" t="s">
        <v>435</v>
      </c>
      <c r="D1307" t="s">
        <v>491</v>
      </c>
      <c r="E1307" s="35" t="s">
        <v>435</v>
      </c>
      <c r="F1307" s="29" t="s">
        <v>492</v>
      </c>
      <c r="G1307" s="36">
        <v>87400</v>
      </c>
      <c r="H1307" s="36">
        <v>874</v>
      </c>
    </row>
    <row r="1308" spans="1:8">
      <c r="A1308" s="62">
        <v>139183307389</v>
      </c>
      <c r="B1308" t="s">
        <v>4</v>
      </c>
      <c r="C1308" s="35" t="s">
        <v>435</v>
      </c>
      <c r="D1308" t="s">
        <v>491</v>
      </c>
      <c r="E1308" s="35" t="s">
        <v>435</v>
      </c>
      <c r="F1308" s="29" t="s">
        <v>492</v>
      </c>
      <c r="G1308" s="36">
        <v>24300</v>
      </c>
      <c r="H1308" s="36">
        <v>243</v>
      </c>
    </row>
    <row r="1309" spans="1:8">
      <c r="A1309" s="62">
        <v>139830848786</v>
      </c>
      <c r="B1309" t="s">
        <v>4</v>
      </c>
      <c r="C1309" s="35" t="s">
        <v>435</v>
      </c>
      <c r="D1309" t="s">
        <v>491</v>
      </c>
      <c r="E1309" s="35" t="s">
        <v>435</v>
      </c>
      <c r="F1309" s="29" t="s">
        <v>492</v>
      </c>
      <c r="G1309" s="36">
        <v>86000</v>
      </c>
      <c r="H1309" s="36">
        <v>860</v>
      </c>
    </row>
    <row r="1310" spans="1:8">
      <c r="A1310" s="62">
        <v>139184104301</v>
      </c>
      <c r="B1310" t="s">
        <v>263</v>
      </c>
      <c r="C1310" s="35" t="s">
        <v>435</v>
      </c>
      <c r="D1310" t="s">
        <v>491</v>
      </c>
      <c r="E1310" s="35" t="s">
        <v>435</v>
      </c>
      <c r="F1310" s="29" t="s">
        <v>492</v>
      </c>
      <c r="G1310" s="36">
        <v>43200</v>
      </c>
      <c r="H1310" s="36">
        <v>432</v>
      </c>
    </row>
    <row r="1311" spans="1:8">
      <c r="A1311" s="62">
        <v>139832669638</v>
      </c>
      <c r="B1311" t="s">
        <v>4</v>
      </c>
      <c r="C1311" s="35" t="s">
        <v>435</v>
      </c>
      <c r="D1311" t="s">
        <v>491</v>
      </c>
      <c r="E1311" s="35" t="s">
        <v>435</v>
      </c>
      <c r="F1311" s="29" t="s">
        <v>492</v>
      </c>
      <c r="G1311" s="36">
        <v>53900</v>
      </c>
      <c r="H1311" s="36">
        <v>539</v>
      </c>
    </row>
    <row r="1312" spans="1:8">
      <c r="A1312" s="62">
        <v>139186007717</v>
      </c>
      <c r="B1312" t="s">
        <v>4</v>
      </c>
      <c r="C1312" s="35" t="s">
        <v>435</v>
      </c>
      <c r="D1312" t="s">
        <v>491</v>
      </c>
      <c r="E1312" s="35" t="s">
        <v>435</v>
      </c>
      <c r="F1312" s="29" t="s">
        <v>492</v>
      </c>
      <c r="G1312" s="36">
        <v>42000</v>
      </c>
      <c r="H1312" s="36">
        <v>420</v>
      </c>
    </row>
    <row r="1313" spans="1:8">
      <c r="A1313" s="62">
        <v>139188415481</v>
      </c>
      <c r="B1313" t="s">
        <v>4</v>
      </c>
      <c r="C1313" s="35" t="s">
        <v>435</v>
      </c>
      <c r="D1313" t="s">
        <v>491</v>
      </c>
      <c r="E1313" s="35" t="s">
        <v>444</v>
      </c>
      <c r="F1313" s="29" t="s">
        <v>492</v>
      </c>
      <c r="G1313" s="36">
        <v>54300</v>
      </c>
      <c r="H1313" s="36">
        <v>543</v>
      </c>
    </row>
    <row r="1314" spans="1:8">
      <c r="A1314" s="62">
        <v>139836291978</v>
      </c>
      <c r="B1314" t="s">
        <v>4</v>
      </c>
      <c r="C1314" s="35" t="s">
        <v>435</v>
      </c>
      <c r="D1314" t="s">
        <v>491</v>
      </c>
      <c r="E1314" s="35" t="s">
        <v>444</v>
      </c>
      <c r="F1314" s="29" t="s">
        <v>492</v>
      </c>
      <c r="G1314" s="36">
        <v>38200</v>
      </c>
      <c r="H1314" s="36">
        <v>382</v>
      </c>
    </row>
    <row r="1315" spans="1:8">
      <c r="A1315" s="62">
        <v>139836502702</v>
      </c>
      <c r="B1315" t="s">
        <v>4</v>
      </c>
      <c r="C1315" s="35" t="s">
        <v>435</v>
      </c>
      <c r="D1315" t="s">
        <v>491</v>
      </c>
      <c r="E1315" s="35" t="s">
        <v>444</v>
      </c>
      <c r="F1315" s="29" t="s">
        <v>492</v>
      </c>
      <c r="G1315" s="36">
        <v>40800</v>
      </c>
      <c r="H1315" s="36">
        <v>408</v>
      </c>
    </row>
    <row r="1316" spans="1:8">
      <c r="A1316" s="62">
        <v>139836675072</v>
      </c>
      <c r="B1316" t="s">
        <v>4</v>
      </c>
      <c r="C1316" s="35" t="s">
        <v>435</v>
      </c>
      <c r="D1316" t="s">
        <v>491</v>
      </c>
      <c r="E1316" s="35" t="s">
        <v>444</v>
      </c>
      <c r="F1316" s="29" t="s">
        <v>492</v>
      </c>
      <c r="G1316" s="36">
        <v>49900</v>
      </c>
      <c r="H1316" s="36">
        <v>499</v>
      </c>
    </row>
    <row r="1317" spans="1:8">
      <c r="A1317" s="62">
        <v>139189628517</v>
      </c>
      <c r="B1317" t="s">
        <v>4</v>
      </c>
      <c r="C1317" s="35" t="s">
        <v>435</v>
      </c>
      <c r="D1317" t="s">
        <v>491</v>
      </c>
      <c r="E1317" s="35" t="s">
        <v>444</v>
      </c>
      <c r="F1317" s="29" t="s">
        <v>492</v>
      </c>
      <c r="G1317" s="36">
        <v>20000</v>
      </c>
      <c r="H1317" s="36">
        <v>200</v>
      </c>
    </row>
    <row r="1318" spans="1:8">
      <c r="A1318" s="62">
        <v>139837986428</v>
      </c>
      <c r="B1318" t="s">
        <v>263</v>
      </c>
      <c r="C1318" s="35" t="s">
        <v>435</v>
      </c>
      <c r="D1318" t="s">
        <v>491</v>
      </c>
      <c r="E1318" s="35" t="s">
        <v>444</v>
      </c>
      <c r="F1318" s="29" t="s">
        <v>492</v>
      </c>
      <c r="G1318" s="36">
        <v>10000</v>
      </c>
      <c r="H1318" s="36">
        <v>100</v>
      </c>
    </row>
    <row r="1319" spans="1:8">
      <c r="A1319" s="62">
        <v>139838247870</v>
      </c>
      <c r="B1319" t="s">
        <v>263</v>
      </c>
      <c r="C1319" s="35" t="s">
        <v>435</v>
      </c>
      <c r="D1319" t="s">
        <v>491</v>
      </c>
      <c r="E1319" s="35" t="s">
        <v>444</v>
      </c>
      <c r="F1319" s="29" t="s">
        <v>492</v>
      </c>
      <c r="G1319" s="36">
        <v>10500</v>
      </c>
      <c r="H1319" s="36">
        <v>105</v>
      </c>
    </row>
    <row r="1320" spans="1:8">
      <c r="A1320" s="62">
        <v>139191376159</v>
      </c>
      <c r="B1320" t="s">
        <v>4</v>
      </c>
      <c r="C1320" s="35" t="s">
        <v>444</v>
      </c>
      <c r="D1320" t="s">
        <v>491</v>
      </c>
      <c r="E1320" s="35" t="s">
        <v>444</v>
      </c>
      <c r="F1320" s="29" t="s">
        <v>492</v>
      </c>
      <c r="G1320" s="36">
        <v>29400</v>
      </c>
      <c r="H1320" s="36">
        <v>294</v>
      </c>
    </row>
    <row r="1321" spans="1:8">
      <c r="A1321" s="62">
        <v>139459696295</v>
      </c>
      <c r="B1321" t="s">
        <v>263</v>
      </c>
      <c r="C1321" s="35" t="s">
        <v>454</v>
      </c>
      <c r="D1321" t="s">
        <v>491</v>
      </c>
      <c r="E1321" s="35" t="s">
        <v>454</v>
      </c>
      <c r="F1321" s="29" t="s">
        <v>492</v>
      </c>
      <c r="G1321" s="36">
        <v>20400</v>
      </c>
      <c r="H1321" s="36">
        <v>204</v>
      </c>
    </row>
    <row r="1322" spans="1:8">
      <c r="A1322" s="62">
        <v>140108556622</v>
      </c>
      <c r="B1322" t="s">
        <v>4</v>
      </c>
      <c r="C1322" s="35" t="s">
        <v>454</v>
      </c>
      <c r="D1322" t="s">
        <v>491</v>
      </c>
      <c r="E1322" s="35" t="s">
        <v>454</v>
      </c>
      <c r="F1322" s="29" t="s">
        <v>492</v>
      </c>
      <c r="G1322" s="36">
        <v>6000</v>
      </c>
      <c r="H1322" s="36">
        <v>60</v>
      </c>
    </row>
    <row r="1323" spans="1:8">
      <c r="A1323" s="62">
        <v>140110342078</v>
      </c>
      <c r="B1323" t="s">
        <v>4</v>
      </c>
      <c r="C1323" s="35" t="s">
        <v>454</v>
      </c>
      <c r="D1323" t="s">
        <v>491</v>
      </c>
      <c r="E1323" s="35" t="s">
        <v>454</v>
      </c>
      <c r="F1323" s="29" t="s">
        <v>492</v>
      </c>
      <c r="G1323" s="36">
        <v>19700</v>
      </c>
      <c r="H1323" s="36">
        <v>197</v>
      </c>
    </row>
    <row r="1324" spans="1:8">
      <c r="A1324" s="62">
        <v>139464638853</v>
      </c>
      <c r="B1324" t="s">
        <v>4</v>
      </c>
      <c r="C1324" s="35" t="s">
        <v>454</v>
      </c>
      <c r="D1324" t="s">
        <v>491</v>
      </c>
      <c r="E1324" s="35" t="s">
        <v>454</v>
      </c>
      <c r="F1324" s="29" t="s">
        <v>492</v>
      </c>
      <c r="G1324" s="36">
        <v>18400</v>
      </c>
      <c r="H1324" s="36">
        <v>184</v>
      </c>
    </row>
    <row r="1325" spans="1:8">
      <c r="A1325" s="62">
        <v>139441467593</v>
      </c>
      <c r="B1325" t="s">
        <v>263</v>
      </c>
      <c r="C1325" s="35" t="s">
        <v>454</v>
      </c>
      <c r="D1325" t="s">
        <v>491</v>
      </c>
      <c r="E1325" s="35" t="s">
        <v>454</v>
      </c>
      <c r="F1325" s="29" t="s">
        <v>492</v>
      </c>
      <c r="G1325" s="36">
        <v>29200</v>
      </c>
      <c r="H1325" s="36">
        <v>292</v>
      </c>
    </row>
    <row r="1326" spans="1:8">
      <c r="A1326" s="62">
        <v>140115663656</v>
      </c>
      <c r="B1326" t="s">
        <v>263</v>
      </c>
      <c r="C1326" s="35" t="s">
        <v>454</v>
      </c>
      <c r="D1326" t="s">
        <v>491</v>
      </c>
      <c r="E1326" s="35" t="s">
        <v>454</v>
      </c>
      <c r="F1326" s="29" t="s">
        <v>492</v>
      </c>
      <c r="G1326" s="36">
        <v>10000</v>
      </c>
      <c r="H1326" s="36">
        <v>100</v>
      </c>
    </row>
    <row r="1327" spans="1:8">
      <c r="A1327" s="62">
        <v>140117650322</v>
      </c>
      <c r="B1327" t="s">
        <v>4</v>
      </c>
      <c r="C1327" s="35" t="s">
        <v>454</v>
      </c>
      <c r="D1327" t="s">
        <v>491</v>
      </c>
      <c r="E1327" s="35" t="s">
        <v>454</v>
      </c>
      <c r="F1327" s="29" t="s">
        <v>492</v>
      </c>
      <c r="G1327" s="36">
        <v>12500</v>
      </c>
      <c r="H1327" s="36">
        <v>125</v>
      </c>
    </row>
    <row r="1328" spans="1:8">
      <c r="A1328" s="62">
        <v>139447802567</v>
      </c>
      <c r="B1328" t="s">
        <v>4</v>
      </c>
      <c r="C1328" s="35" t="s">
        <v>454</v>
      </c>
      <c r="D1328" t="s">
        <v>491</v>
      </c>
      <c r="E1328" s="35" t="s">
        <v>454</v>
      </c>
      <c r="F1328" s="29" t="s">
        <v>492</v>
      </c>
      <c r="G1328" s="36">
        <v>15000</v>
      </c>
      <c r="H1328" s="36">
        <v>150</v>
      </c>
    </row>
    <row r="1329" spans="1:8">
      <c r="A1329" s="62">
        <v>139472364079</v>
      </c>
      <c r="B1329" t="s">
        <v>263</v>
      </c>
      <c r="C1329" s="35" t="s">
        <v>454</v>
      </c>
      <c r="D1329" t="s">
        <v>491</v>
      </c>
      <c r="E1329" s="35" t="s">
        <v>454</v>
      </c>
      <c r="F1329" s="29" t="s">
        <v>492</v>
      </c>
      <c r="G1329" s="36">
        <v>10000</v>
      </c>
      <c r="H1329" s="36">
        <v>100</v>
      </c>
    </row>
    <row r="1330" spans="1:8">
      <c r="A1330" s="62">
        <v>139472867537</v>
      </c>
      <c r="B1330" t="s">
        <v>4</v>
      </c>
      <c r="C1330" s="35" t="s">
        <v>454</v>
      </c>
      <c r="D1330" t="s">
        <v>491</v>
      </c>
      <c r="E1330" s="35" t="s">
        <v>454</v>
      </c>
      <c r="F1330" s="29" t="s">
        <v>492</v>
      </c>
      <c r="G1330" s="36">
        <v>29000</v>
      </c>
      <c r="H1330" s="36">
        <v>290</v>
      </c>
    </row>
    <row r="1331" spans="1:8">
      <c r="A1331" s="62">
        <v>140096941494</v>
      </c>
      <c r="B1331" t="s">
        <v>263</v>
      </c>
      <c r="C1331" s="35" t="s">
        <v>454</v>
      </c>
      <c r="D1331" t="s">
        <v>491</v>
      </c>
      <c r="E1331" s="35" t="s">
        <v>454</v>
      </c>
      <c r="F1331" s="29" t="s">
        <v>492</v>
      </c>
      <c r="G1331" s="36">
        <v>39600</v>
      </c>
      <c r="H1331" s="36">
        <v>396</v>
      </c>
    </row>
    <row r="1332" spans="1:8">
      <c r="A1332" s="62">
        <v>140122127434</v>
      </c>
      <c r="B1332" t="s">
        <v>263</v>
      </c>
      <c r="C1332" s="35" t="s">
        <v>454</v>
      </c>
      <c r="D1332" t="s">
        <v>491</v>
      </c>
      <c r="E1332" s="35" t="s">
        <v>454</v>
      </c>
      <c r="F1332" s="29" t="s">
        <v>492</v>
      </c>
      <c r="G1332" s="36">
        <v>5000</v>
      </c>
      <c r="H1332" s="36">
        <v>50</v>
      </c>
    </row>
    <row r="1333" spans="1:8">
      <c r="A1333" s="62">
        <v>139450291447</v>
      </c>
      <c r="B1333" t="s">
        <v>4</v>
      </c>
      <c r="C1333" s="35" t="s">
        <v>454</v>
      </c>
      <c r="D1333" t="s">
        <v>491</v>
      </c>
      <c r="E1333" s="35" t="s">
        <v>454</v>
      </c>
      <c r="F1333" s="29" t="s">
        <v>492</v>
      </c>
      <c r="G1333" s="36">
        <v>10000</v>
      </c>
      <c r="H1333" s="36">
        <v>100</v>
      </c>
    </row>
    <row r="1334" spans="1:8">
      <c r="A1334" s="62">
        <v>139474831259</v>
      </c>
      <c r="B1334" t="s">
        <v>4</v>
      </c>
      <c r="C1334" s="35" t="s">
        <v>454</v>
      </c>
      <c r="D1334" t="s">
        <v>491</v>
      </c>
      <c r="E1334" s="35" t="s">
        <v>454</v>
      </c>
      <c r="F1334" s="29" t="s">
        <v>492</v>
      </c>
      <c r="G1334" s="36">
        <v>10000</v>
      </c>
      <c r="H1334" s="36">
        <v>100</v>
      </c>
    </row>
    <row r="1335" spans="1:8">
      <c r="A1335" s="62">
        <v>139475371877</v>
      </c>
      <c r="B1335" t="s">
        <v>4</v>
      </c>
      <c r="C1335" s="35" t="s">
        <v>454</v>
      </c>
      <c r="D1335" t="s">
        <v>491</v>
      </c>
      <c r="E1335" s="35" t="s">
        <v>454</v>
      </c>
      <c r="F1335" s="29" t="s">
        <v>492</v>
      </c>
      <c r="G1335" s="36">
        <v>7500</v>
      </c>
      <c r="H1335" s="36">
        <v>75</v>
      </c>
    </row>
    <row r="1336" spans="1:8">
      <c r="A1336" s="62">
        <v>139476022875</v>
      </c>
      <c r="B1336" t="s">
        <v>4</v>
      </c>
      <c r="C1336" s="35" t="s">
        <v>454</v>
      </c>
      <c r="D1336" t="s">
        <v>491</v>
      </c>
      <c r="E1336" s="35" t="s">
        <v>454</v>
      </c>
      <c r="F1336" s="29" t="s">
        <v>492</v>
      </c>
      <c r="G1336" s="36">
        <v>4800</v>
      </c>
      <c r="H1336" s="36">
        <v>48</v>
      </c>
    </row>
    <row r="1337" spans="1:8">
      <c r="A1337" s="62">
        <v>139476163297</v>
      </c>
      <c r="B1337" t="s">
        <v>4</v>
      </c>
      <c r="C1337" s="35" t="s">
        <v>454</v>
      </c>
      <c r="D1337" t="s">
        <v>491</v>
      </c>
      <c r="E1337" s="35" t="s">
        <v>454</v>
      </c>
      <c r="F1337" s="29" t="s">
        <v>492</v>
      </c>
      <c r="G1337" s="36">
        <v>19000</v>
      </c>
      <c r="H1337" s="36">
        <v>190</v>
      </c>
    </row>
    <row r="1338" spans="1:8">
      <c r="A1338" s="62">
        <v>140124952752</v>
      </c>
      <c r="B1338" t="s">
        <v>4</v>
      </c>
      <c r="C1338" s="35" t="s">
        <v>454</v>
      </c>
      <c r="D1338" t="s">
        <v>491</v>
      </c>
      <c r="E1338" s="35" t="s">
        <v>454</v>
      </c>
      <c r="F1338" s="29" t="s">
        <v>492</v>
      </c>
      <c r="G1338" s="36">
        <v>31900</v>
      </c>
      <c r="H1338" s="36">
        <v>319</v>
      </c>
    </row>
    <row r="1339" spans="1:8">
      <c r="A1339" s="62">
        <v>140102435218</v>
      </c>
      <c r="B1339" t="s">
        <v>263</v>
      </c>
      <c r="C1339" s="35" t="s">
        <v>454</v>
      </c>
      <c r="D1339" t="s">
        <v>491</v>
      </c>
      <c r="E1339" s="35" t="s">
        <v>454</v>
      </c>
      <c r="F1339" s="29" t="s">
        <v>492</v>
      </c>
      <c r="G1339" s="36">
        <v>19600</v>
      </c>
      <c r="H1339" s="36">
        <v>196</v>
      </c>
    </row>
    <row r="1340" spans="1:8">
      <c r="A1340" s="62">
        <v>139478121971</v>
      </c>
      <c r="B1340" t="s">
        <v>4</v>
      </c>
      <c r="C1340" s="35" t="s">
        <v>454</v>
      </c>
      <c r="D1340" t="s">
        <v>491</v>
      </c>
      <c r="E1340" s="35" t="s">
        <v>454</v>
      </c>
      <c r="F1340" s="29" t="s">
        <v>492</v>
      </c>
      <c r="G1340" s="36">
        <v>7300</v>
      </c>
      <c r="H1340" s="36">
        <v>73</v>
      </c>
    </row>
    <row r="1341" spans="1:8">
      <c r="A1341" s="62">
        <v>140126690492</v>
      </c>
      <c r="B1341" t="s">
        <v>4</v>
      </c>
      <c r="C1341" s="35" t="s">
        <v>454</v>
      </c>
      <c r="D1341" t="s">
        <v>491</v>
      </c>
      <c r="E1341" s="35" t="s">
        <v>454</v>
      </c>
      <c r="F1341" s="29" t="s">
        <v>492</v>
      </c>
      <c r="G1341" s="36">
        <v>7500</v>
      </c>
      <c r="H1341" s="36">
        <v>75</v>
      </c>
    </row>
    <row r="1342" spans="1:8">
      <c r="A1342" s="62">
        <v>139478863041</v>
      </c>
      <c r="B1342" t="s">
        <v>4</v>
      </c>
      <c r="C1342" s="35" t="s">
        <v>454</v>
      </c>
      <c r="D1342" t="s">
        <v>491</v>
      </c>
      <c r="E1342" s="35" t="s">
        <v>454</v>
      </c>
      <c r="F1342" s="29" t="s">
        <v>492</v>
      </c>
      <c r="G1342" s="36">
        <v>48100</v>
      </c>
      <c r="H1342" s="36">
        <v>481</v>
      </c>
    </row>
    <row r="1343" spans="1:8">
      <c r="A1343" s="62">
        <v>140126955086</v>
      </c>
      <c r="B1343" t="s">
        <v>4</v>
      </c>
      <c r="C1343" s="35" t="s">
        <v>454</v>
      </c>
      <c r="D1343" t="s">
        <v>491</v>
      </c>
      <c r="E1343" s="35" t="s">
        <v>454</v>
      </c>
      <c r="F1343" s="29" t="s">
        <v>492</v>
      </c>
      <c r="G1343" s="36">
        <v>41700</v>
      </c>
      <c r="H1343" s="36">
        <v>417</v>
      </c>
    </row>
    <row r="1344" spans="1:8">
      <c r="A1344" s="62">
        <v>140127339266</v>
      </c>
      <c r="B1344" t="s">
        <v>263</v>
      </c>
      <c r="C1344" s="35" t="s">
        <v>454</v>
      </c>
      <c r="D1344" t="s">
        <v>491</v>
      </c>
      <c r="E1344" s="35" t="s">
        <v>454</v>
      </c>
      <c r="F1344" s="29" t="s">
        <v>492</v>
      </c>
      <c r="G1344" s="36">
        <v>4800</v>
      </c>
      <c r="H1344" s="36">
        <v>48</v>
      </c>
    </row>
    <row r="1345" spans="1:8">
      <c r="A1345" s="62">
        <v>140128375658</v>
      </c>
      <c r="B1345" t="s">
        <v>4</v>
      </c>
      <c r="C1345" s="35" t="s">
        <v>454</v>
      </c>
      <c r="D1345" t="s">
        <v>491</v>
      </c>
      <c r="E1345" s="35" t="s">
        <v>458</v>
      </c>
      <c r="F1345" s="29" t="s">
        <v>492</v>
      </c>
      <c r="G1345" s="36">
        <v>8600</v>
      </c>
      <c r="H1345" s="36">
        <v>86</v>
      </c>
    </row>
    <row r="1346" spans="1:8">
      <c r="A1346" s="62">
        <v>140105601398</v>
      </c>
      <c r="B1346" t="s">
        <v>4</v>
      </c>
      <c r="C1346" s="35" t="s">
        <v>454</v>
      </c>
      <c r="D1346" t="s">
        <v>491</v>
      </c>
      <c r="E1346" s="35" t="s">
        <v>454</v>
      </c>
      <c r="F1346" s="29" t="s">
        <v>492</v>
      </c>
      <c r="G1346" s="36">
        <v>36000</v>
      </c>
      <c r="H1346" s="36">
        <v>360</v>
      </c>
    </row>
    <row r="1347" spans="1:8">
      <c r="A1347" s="62">
        <v>140129225334</v>
      </c>
      <c r="B1347" t="s">
        <v>263</v>
      </c>
      <c r="C1347" s="35" t="s">
        <v>454</v>
      </c>
      <c r="D1347" t="s">
        <v>491</v>
      </c>
      <c r="E1347" s="35" t="s">
        <v>458</v>
      </c>
      <c r="F1347" s="29" t="s">
        <v>492</v>
      </c>
      <c r="G1347" s="36">
        <v>5000</v>
      </c>
      <c r="H1347" s="36">
        <v>50</v>
      </c>
    </row>
    <row r="1348" spans="1:8">
      <c r="A1348" s="62">
        <v>140129793484</v>
      </c>
      <c r="B1348" t="s">
        <v>4</v>
      </c>
      <c r="C1348" s="35" t="s">
        <v>454</v>
      </c>
      <c r="D1348" t="s">
        <v>491</v>
      </c>
      <c r="E1348" s="35" t="s">
        <v>458</v>
      </c>
      <c r="F1348" s="29" t="s">
        <v>492</v>
      </c>
      <c r="G1348" s="36">
        <v>7900</v>
      </c>
      <c r="H1348" s="36">
        <v>79</v>
      </c>
    </row>
    <row r="1349" spans="1:8">
      <c r="A1349" s="62">
        <v>139482363759</v>
      </c>
      <c r="B1349" t="s">
        <v>4</v>
      </c>
      <c r="C1349" s="35" t="s">
        <v>454</v>
      </c>
      <c r="D1349" t="s">
        <v>491</v>
      </c>
      <c r="E1349" s="35" t="s">
        <v>458</v>
      </c>
      <c r="F1349" s="29" t="s">
        <v>492</v>
      </c>
      <c r="G1349" s="36">
        <v>5500</v>
      </c>
      <c r="H1349" s="36">
        <v>55</v>
      </c>
    </row>
    <row r="1350" spans="1:8">
      <c r="A1350" s="62">
        <v>140130674408</v>
      </c>
      <c r="B1350" t="s">
        <v>4</v>
      </c>
      <c r="C1350" s="35" t="s">
        <v>454</v>
      </c>
      <c r="D1350" t="s">
        <v>491</v>
      </c>
      <c r="E1350" s="35" t="s">
        <v>458</v>
      </c>
      <c r="F1350" s="29" t="s">
        <v>492</v>
      </c>
      <c r="G1350" s="36">
        <v>4900</v>
      </c>
      <c r="H1350" s="36">
        <v>49</v>
      </c>
    </row>
    <row r="1351" spans="1:8">
      <c r="A1351" s="62">
        <v>139483146433</v>
      </c>
      <c r="B1351" t="s">
        <v>4</v>
      </c>
      <c r="C1351" s="35" t="s">
        <v>454</v>
      </c>
      <c r="D1351" t="s">
        <v>491</v>
      </c>
      <c r="E1351" s="35" t="s">
        <v>458</v>
      </c>
      <c r="F1351" s="29" t="s">
        <v>492</v>
      </c>
      <c r="G1351" s="36">
        <v>48300</v>
      </c>
      <c r="H1351" s="36">
        <v>483</v>
      </c>
    </row>
    <row r="1352" spans="1:8">
      <c r="A1352" s="62">
        <v>139483492351</v>
      </c>
      <c r="B1352" t="s">
        <v>263</v>
      </c>
      <c r="C1352" s="35" t="s">
        <v>458</v>
      </c>
      <c r="D1352" t="s">
        <v>491</v>
      </c>
      <c r="E1352" s="35" t="s">
        <v>458</v>
      </c>
      <c r="F1352" s="29" t="s">
        <v>492</v>
      </c>
      <c r="G1352" s="36">
        <v>11000</v>
      </c>
      <c r="H1352" s="36">
        <v>110</v>
      </c>
    </row>
    <row r="1353" spans="1:8">
      <c r="A1353" s="62">
        <v>139460219937</v>
      </c>
      <c r="B1353" t="s">
        <v>4</v>
      </c>
      <c r="C1353" s="35" t="s">
        <v>454</v>
      </c>
      <c r="D1353" t="s">
        <v>491</v>
      </c>
      <c r="E1353" s="35" t="s">
        <v>454</v>
      </c>
      <c r="F1353" s="29" t="s">
        <v>492</v>
      </c>
      <c r="G1353" s="36">
        <v>5000</v>
      </c>
      <c r="H1353" s="36">
        <v>50</v>
      </c>
    </row>
    <row r="1354" spans="1:8">
      <c r="A1354" s="62">
        <v>139484535079</v>
      </c>
      <c r="B1354" t="s">
        <v>4</v>
      </c>
      <c r="C1354" s="35" t="s">
        <v>458</v>
      </c>
      <c r="D1354" t="s">
        <v>491</v>
      </c>
      <c r="E1354" s="35" t="s">
        <v>458</v>
      </c>
      <c r="F1354" s="29" t="s">
        <v>492</v>
      </c>
      <c r="G1354" s="36">
        <v>24200</v>
      </c>
      <c r="H1354" s="36">
        <v>242</v>
      </c>
    </row>
    <row r="1355" spans="1:8">
      <c r="A1355" s="62">
        <v>140132881300</v>
      </c>
      <c r="B1355" t="s">
        <v>4</v>
      </c>
      <c r="C1355" s="35" t="s">
        <v>458</v>
      </c>
      <c r="D1355" t="s">
        <v>491</v>
      </c>
      <c r="E1355" s="35" t="s">
        <v>458</v>
      </c>
      <c r="F1355" s="29" t="s">
        <v>492</v>
      </c>
      <c r="G1355" s="36">
        <v>16300</v>
      </c>
      <c r="H1355" s="36">
        <v>163</v>
      </c>
    </row>
    <row r="1356" spans="1:8">
      <c r="A1356" s="62">
        <v>139484972295</v>
      </c>
      <c r="B1356" t="s">
        <v>4</v>
      </c>
      <c r="C1356" s="35" t="s">
        <v>458</v>
      </c>
      <c r="D1356" t="s">
        <v>491</v>
      </c>
      <c r="E1356" s="35" t="s">
        <v>458</v>
      </c>
      <c r="F1356" s="29" t="s">
        <v>492</v>
      </c>
      <c r="G1356" s="36">
        <v>32100</v>
      </c>
      <c r="H1356" s="36">
        <v>321</v>
      </c>
    </row>
    <row r="1357" spans="1:8">
      <c r="A1357" s="62">
        <v>140133204838</v>
      </c>
      <c r="B1357" t="s">
        <v>4</v>
      </c>
      <c r="C1357" s="35" t="s">
        <v>458</v>
      </c>
      <c r="D1357" t="s">
        <v>491</v>
      </c>
      <c r="E1357" s="35" t="s">
        <v>458</v>
      </c>
      <c r="F1357" s="29" t="s">
        <v>492</v>
      </c>
      <c r="G1357" s="36">
        <v>7900</v>
      </c>
      <c r="H1357" s="36">
        <v>79</v>
      </c>
    </row>
    <row r="1358" spans="1:8">
      <c r="A1358" s="62">
        <v>139485340871</v>
      </c>
      <c r="B1358" t="s">
        <v>263</v>
      </c>
      <c r="C1358" s="35" t="s">
        <v>458</v>
      </c>
      <c r="D1358" t="s">
        <v>491</v>
      </c>
      <c r="E1358" s="35" t="s">
        <v>458</v>
      </c>
      <c r="F1358" s="29" t="s">
        <v>492</v>
      </c>
      <c r="G1358" s="36">
        <v>2500</v>
      </c>
      <c r="H1358" s="36">
        <v>25</v>
      </c>
    </row>
    <row r="1359" spans="1:8">
      <c r="A1359" s="62">
        <v>139485632399</v>
      </c>
      <c r="B1359" t="s">
        <v>263</v>
      </c>
      <c r="C1359" s="35" t="s">
        <v>458</v>
      </c>
      <c r="D1359" t="s">
        <v>491</v>
      </c>
      <c r="E1359" s="35" t="s">
        <v>458</v>
      </c>
      <c r="F1359" s="29" t="s">
        <v>492</v>
      </c>
      <c r="G1359" s="36">
        <v>10400</v>
      </c>
      <c r="H1359" s="36">
        <v>104</v>
      </c>
    </row>
    <row r="1360" spans="1:8">
      <c r="A1360" s="62">
        <v>140133653336</v>
      </c>
      <c r="B1360" t="s">
        <v>4</v>
      </c>
      <c r="C1360" s="35" t="s">
        <v>458</v>
      </c>
      <c r="D1360" t="s">
        <v>491</v>
      </c>
      <c r="E1360" s="35" t="s">
        <v>458</v>
      </c>
      <c r="F1360" s="29" t="s">
        <v>492</v>
      </c>
      <c r="G1360" s="36">
        <v>14800</v>
      </c>
      <c r="H1360" s="36">
        <v>148</v>
      </c>
    </row>
    <row r="1361" spans="1:8">
      <c r="A1361" s="62">
        <v>139485756335</v>
      </c>
      <c r="B1361" t="s">
        <v>4</v>
      </c>
      <c r="C1361" s="35" t="s">
        <v>458</v>
      </c>
      <c r="D1361" t="s">
        <v>491</v>
      </c>
      <c r="E1361" s="35" t="s">
        <v>458</v>
      </c>
      <c r="F1361" s="29" t="s">
        <v>492</v>
      </c>
      <c r="G1361" s="36">
        <v>26500</v>
      </c>
      <c r="H1361" s="36">
        <v>265</v>
      </c>
    </row>
    <row r="1362" spans="1:8">
      <c r="A1362" s="62">
        <v>140133910726</v>
      </c>
      <c r="B1362" t="s">
        <v>4</v>
      </c>
      <c r="C1362" s="35" t="s">
        <v>458</v>
      </c>
      <c r="D1362" t="s">
        <v>491</v>
      </c>
      <c r="E1362" s="35" t="s">
        <v>458</v>
      </c>
      <c r="F1362" s="29" t="s">
        <v>492</v>
      </c>
      <c r="G1362" s="36">
        <v>14700</v>
      </c>
      <c r="H1362" s="36">
        <v>147</v>
      </c>
    </row>
    <row r="1363" spans="1:8">
      <c r="A1363" s="62">
        <v>139485954691</v>
      </c>
      <c r="B1363" t="s">
        <v>4</v>
      </c>
      <c r="C1363" s="35" t="s">
        <v>458</v>
      </c>
      <c r="D1363" t="s">
        <v>491</v>
      </c>
      <c r="E1363" s="35" t="s">
        <v>458</v>
      </c>
      <c r="F1363" s="29" t="s">
        <v>492</v>
      </c>
      <c r="G1363" s="36">
        <v>7500</v>
      </c>
      <c r="H1363" s="36">
        <v>75</v>
      </c>
    </row>
    <row r="1364" spans="1:8">
      <c r="A1364" s="62">
        <v>140133907214</v>
      </c>
      <c r="B1364" t="s">
        <v>4</v>
      </c>
      <c r="C1364" s="35" t="s">
        <v>458</v>
      </c>
      <c r="D1364" t="s">
        <v>491</v>
      </c>
      <c r="E1364" s="35" t="s">
        <v>458</v>
      </c>
      <c r="F1364" s="29" t="s">
        <v>492</v>
      </c>
      <c r="G1364" s="36">
        <v>9600</v>
      </c>
      <c r="H1364" s="36">
        <v>96</v>
      </c>
    </row>
    <row r="1365" spans="1:8">
      <c r="A1365" s="62">
        <v>139486142195</v>
      </c>
      <c r="B1365" t="s">
        <v>4</v>
      </c>
      <c r="C1365" s="35" t="s">
        <v>458</v>
      </c>
      <c r="D1365" t="s">
        <v>491</v>
      </c>
      <c r="E1365" s="35" t="s">
        <v>458</v>
      </c>
      <c r="F1365" s="29" t="s">
        <v>492</v>
      </c>
      <c r="G1365" s="36">
        <v>40200</v>
      </c>
      <c r="H1365" s="36">
        <v>402</v>
      </c>
    </row>
    <row r="1366" spans="1:8">
      <c r="A1366" s="62">
        <v>140111554838</v>
      </c>
      <c r="B1366" t="s">
        <v>4</v>
      </c>
      <c r="C1366" s="35" t="s">
        <v>454</v>
      </c>
      <c r="D1366" t="s">
        <v>491</v>
      </c>
      <c r="E1366" s="35" t="s">
        <v>454</v>
      </c>
      <c r="F1366" s="29" t="s">
        <v>492</v>
      </c>
      <c r="G1366" s="36">
        <v>16700</v>
      </c>
      <c r="H1366" s="36">
        <v>167</v>
      </c>
    </row>
    <row r="1367" spans="1:8">
      <c r="A1367" s="62">
        <v>139486025795</v>
      </c>
      <c r="B1367" t="s">
        <v>4</v>
      </c>
      <c r="C1367" s="35" t="s">
        <v>458</v>
      </c>
      <c r="D1367" t="s">
        <v>491</v>
      </c>
      <c r="E1367" s="35" t="s">
        <v>458</v>
      </c>
      <c r="F1367" s="29" t="s">
        <v>492</v>
      </c>
      <c r="G1367" s="36">
        <v>12600</v>
      </c>
      <c r="H1367" s="36">
        <v>126</v>
      </c>
    </row>
    <row r="1368" spans="1:8">
      <c r="A1368" s="62">
        <v>140134313280</v>
      </c>
      <c r="B1368" t="s">
        <v>4</v>
      </c>
      <c r="C1368" s="35" t="s">
        <v>458</v>
      </c>
      <c r="D1368" t="s">
        <v>491</v>
      </c>
      <c r="E1368" s="35" t="s">
        <v>458</v>
      </c>
      <c r="F1368" s="29" t="s">
        <v>492</v>
      </c>
      <c r="G1368" s="36">
        <v>40200</v>
      </c>
      <c r="H1368" s="36">
        <v>402</v>
      </c>
    </row>
    <row r="1369" spans="1:8">
      <c r="A1369" s="62">
        <v>140134432862</v>
      </c>
      <c r="B1369" t="s">
        <v>263</v>
      </c>
      <c r="C1369" s="35" t="s">
        <v>458</v>
      </c>
      <c r="D1369" t="s">
        <v>491</v>
      </c>
      <c r="E1369" s="35" t="s">
        <v>458</v>
      </c>
      <c r="F1369" s="29" t="s">
        <v>492</v>
      </c>
      <c r="G1369" s="36">
        <v>239500</v>
      </c>
      <c r="H1369" s="36">
        <v>2395</v>
      </c>
    </row>
    <row r="1370" spans="1:8">
      <c r="A1370" s="62">
        <v>139486404629</v>
      </c>
      <c r="B1370" t="s">
        <v>4</v>
      </c>
      <c r="C1370" s="35" t="s">
        <v>458</v>
      </c>
      <c r="D1370" t="s">
        <v>491</v>
      </c>
      <c r="E1370" s="35" t="s">
        <v>458</v>
      </c>
      <c r="F1370" s="29" t="s">
        <v>492</v>
      </c>
      <c r="G1370" s="36">
        <v>3400</v>
      </c>
      <c r="H1370" s="36">
        <v>34</v>
      </c>
    </row>
    <row r="1371" spans="1:8">
      <c r="A1371" s="62">
        <v>139486393553</v>
      </c>
      <c r="B1371" t="s">
        <v>4</v>
      </c>
      <c r="C1371" s="35" t="s">
        <v>458</v>
      </c>
      <c r="D1371" t="s">
        <v>491</v>
      </c>
      <c r="E1371" s="35" t="s">
        <v>458</v>
      </c>
      <c r="F1371" s="29" t="s">
        <v>492</v>
      </c>
      <c r="G1371" s="36">
        <v>3800</v>
      </c>
      <c r="H1371" s="36">
        <v>38</v>
      </c>
    </row>
    <row r="1372" spans="1:8">
      <c r="A1372" s="62">
        <v>139465107537</v>
      </c>
      <c r="B1372" t="s">
        <v>4</v>
      </c>
      <c r="C1372" s="35" t="s">
        <v>454</v>
      </c>
      <c r="D1372" t="s">
        <v>491</v>
      </c>
      <c r="E1372" s="35" t="s">
        <v>454</v>
      </c>
      <c r="F1372" s="29" t="s">
        <v>492</v>
      </c>
      <c r="G1372" s="36">
        <v>10000</v>
      </c>
      <c r="H1372" s="36">
        <v>100</v>
      </c>
    </row>
    <row r="1373" spans="1:8">
      <c r="A1373" s="62">
        <v>140113726872</v>
      </c>
      <c r="B1373" t="s">
        <v>4</v>
      </c>
      <c r="C1373" s="35" t="s">
        <v>454</v>
      </c>
      <c r="D1373" t="s">
        <v>491</v>
      </c>
      <c r="E1373" s="35" t="s">
        <v>454</v>
      </c>
      <c r="F1373" s="29" t="s">
        <v>492</v>
      </c>
      <c r="G1373" s="36">
        <v>10000</v>
      </c>
      <c r="H1373" s="36">
        <v>100</v>
      </c>
    </row>
    <row r="1374" spans="1:8">
      <c r="A1374" s="62">
        <v>139466162181</v>
      </c>
      <c r="B1374" t="s">
        <v>4</v>
      </c>
      <c r="C1374" s="35" t="s">
        <v>454</v>
      </c>
      <c r="D1374" t="s">
        <v>491</v>
      </c>
      <c r="E1374" s="35" t="s">
        <v>454</v>
      </c>
      <c r="F1374" s="29" t="s">
        <v>492</v>
      </c>
      <c r="G1374" s="36">
        <v>20000</v>
      </c>
      <c r="H1374" s="36">
        <v>200</v>
      </c>
    </row>
    <row r="1375" spans="1:8">
      <c r="A1375" s="62">
        <v>140115445908</v>
      </c>
      <c r="B1375" t="s">
        <v>4</v>
      </c>
      <c r="C1375" s="35" t="s">
        <v>454</v>
      </c>
      <c r="D1375" t="s">
        <v>491</v>
      </c>
      <c r="E1375" s="35" t="s">
        <v>454</v>
      </c>
      <c r="F1375" s="29" t="s">
        <v>492</v>
      </c>
      <c r="G1375" s="36">
        <v>11000</v>
      </c>
      <c r="H1375" s="36">
        <v>110</v>
      </c>
    </row>
    <row r="1376" spans="1:8">
      <c r="A1376" s="62">
        <v>140116601668</v>
      </c>
      <c r="B1376" t="s">
        <v>263</v>
      </c>
      <c r="C1376" s="35" t="s">
        <v>454</v>
      </c>
      <c r="D1376" t="s">
        <v>491</v>
      </c>
      <c r="E1376" s="35" t="s">
        <v>454</v>
      </c>
      <c r="F1376" s="29" t="s">
        <v>492</v>
      </c>
      <c r="G1376" s="36">
        <v>19600</v>
      </c>
      <c r="H1376" s="36">
        <v>196</v>
      </c>
    </row>
    <row r="1377" spans="1:8">
      <c r="A1377" s="62">
        <v>140116779156</v>
      </c>
      <c r="B1377" t="s">
        <v>4</v>
      </c>
      <c r="C1377" s="35" t="s">
        <v>454</v>
      </c>
      <c r="D1377" t="s">
        <v>491</v>
      </c>
      <c r="E1377" s="35" t="s">
        <v>454</v>
      </c>
      <c r="F1377" s="29" t="s">
        <v>492</v>
      </c>
      <c r="G1377" s="36">
        <v>9600</v>
      </c>
      <c r="H1377" s="36">
        <v>96</v>
      </c>
    </row>
    <row r="1378" spans="1:8">
      <c r="A1378" s="62">
        <v>139469521293</v>
      </c>
      <c r="B1378" t="s">
        <v>4</v>
      </c>
      <c r="C1378" s="35" t="s">
        <v>454</v>
      </c>
      <c r="D1378" t="s">
        <v>491</v>
      </c>
      <c r="E1378" s="35" t="s">
        <v>454</v>
      </c>
      <c r="F1378" s="29" t="s">
        <v>492</v>
      </c>
      <c r="G1378" s="36">
        <v>43200</v>
      </c>
      <c r="H1378" s="36">
        <v>432</v>
      </c>
    </row>
    <row r="1379" spans="1:8">
      <c r="A1379" s="62">
        <v>139473304409</v>
      </c>
      <c r="B1379" t="s">
        <v>263</v>
      </c>
      <c r="C1379" s="35" t="s">
        <v>454</v>
      </c>
      <c r="D1379" t="s">
        <v>491</v>
      </c>
      <c r="E1379" s="35" t="s">
        <v>454</v>
      </c>
      <c r="F1379" s="29" t="s">
        <v>492</v>
      </c>
      <c r="G1379" s="36">
        <v>7500</v>
      </c>
      <c r="H1379" s="36">
        <v>75</v>
      </c>
    </row>
    <row r="1380" spans="1:8">
      <c r="A1380" s="62">
        <v>139474299533</v>
      </c>
      <c r="B1380" t="s">
        <v>263</v>
      </c>
      <c r="C1380" s="35" t="s">
        <v>454</v>
      </c>
      <c r="D1380" t="s">
        <v>491</v>
      </c>
      <c r="E1380" s="35" t="s">
        <v>454</v>
      </c>
      <c r="F1380" s="29" t="s">
        <v>492</v>
      </c>
      <c r="G1380" s="36">
        <v>5000</v>
      </c>
      <c r="H1380" s="36">
        <v>50</v>
      </c>
    </row>
    <row r="1381" spans="1:8">
      <c r="A1381" s="62">
        <v>139474889257</v>
      </c>
      <c r="B1381" t="s">
        <v>4</v>
      </c>
      <c r="C1381" s="35" t="s">
        <v>454</v>
      </c>
      <c r="D1381" t="s">
        <v>491</v>
      </c>
      <c r="E1381" s="35" t="s">
        <v>454</v>
      </c>
      <c r="F1381" s="29" t="s">
        <v>492</v>
      </c>
      <c r="G1381" s="36">
        <v>28000</v>
      </c>
      <c r="H1381" s="36">
        <v>280</v>
      </c>
    </row>
    <row r="1382" spans="1:8">
      <c r="A1382" s="62">
        <v>139476380341</v>
      </c>
      <c r="B1382" t="s">
        <v>4</v>
      </c>
      <c r="C1382" s="35" t="s">
        <v>454</v>
      </c>
      <c r="D1382" t="s">
        <v>491</v>
      </c>
      <c r="E1382" s="35" t="s">
        <v>454</v>
      </c>
      <c r="F1382" s="29" t="s">
        <v>492</v>
      </c>
      <c r="G1382" s="36">
        <v>15000</v>
      </c>
      <c r="H1382" s="36">
        <v>150</v>
      </c>
    </row>
    <row r="1383" spans="1:8">
      <c r="A1383" s="62">
        <v>139476781595</v>
      </c>
      <c r="B1383" t="s">
        <v>4</v>
      </c>
      <c r="C1383" s="35" t="s">
        <v>454</v>
      </c>
      <c r="D1383" t="s">
        <v>491</v>
      </c>
      <c r="E1383" s="35" t="s">
        <v>454</v>
      </c>
      <c r="F1383" s="29" t="s">
        <v>492</v>
      </c>
      <c r="G1383" s="36">
        <v>10000</v>
      </c>
      <c r="H1383" s="36">
        <v>100</v>
      </c>
    </row>
    <row r="1384" spans="1:8">
      <c r="A1384" s="62">
        <v>140125689836</v>
      </c>
      <c r="B1384" t="s">
        <v>263</v>
      </c>
      <c r="C1384" s="35" t="s">
        <v>454</v>
      </c>
      <c r="D1384" t="s">
        <v>491</v>
      </c>
      <c r="E1384" s="35" t="s">
        <v>454</v>
      </c>
      <c r="F1384" s="29" t="s">
        <v>492</v>
      </c>
      <c r="G1384" s="36">
        <v>8000</v>
      </c>
      <c r="H1384" s="36">
        <v>80</v>
      </c>
    </row>
    <row r="1385" spans="1:8">
      <c r="A1385" s="62">
        <v>139479170537</v>
      </c>
      <c r="B1385" t="s">
        <v>263</v>
      </c>
      <c r="C1385" s="35" t="s">
        <v>454</v>
      </c>
      <c r="D1385" t="s">
        <v>491</v>
      </c>
      <c r="E1385" s="35" t="s">
        <v>454</v>
      </c>
      <c r="F1385" s="29" t="s">
        <v>492</v>
      </c>
      <c r="G1385" s="36">
        <v>32400</v>
      </c>
      <c r="H1385" s="36">
        <v>324</v>
      </c>
    </row>
    <row r="1386" spans="1:8">
      <c r="A1386" s="62">
        <v>139480783565</v>
      </c>
      <c r="B1386" t="s">
        <v>4</v>
      </c>
      <c r="C1386" s="35" t="s">
        <v>454</v>
      </c>
      <c r="D1386" t="s">
        <v>491</v>
      </c>
      <c r="E1386" s="35" t="s">
        <v>458</v>
      </c>
      <c r="F1386" s="29" t="s">
        <v>492</v>
      </c>
      <c r="G1386" s="36">
        <v>10000</v>
      </c>
      <c r="H1386" s="36">
        <v>100</v>
      </c>
    </row>
    <row r="1387" spans="1:8">
      <c r="A1387" s="62">
        <v>140129124980</v>
      </c>
      <c r="B1387" t="s">
        <v>263</v>
      </c>
      <c r="C1387" s="35" t="s">
        <v>454</v>
      </c>
      <c r="D1387" t="s">
        <v>491</v>
      </c>
      <c r="E1387" s="35" t="s">
        <v>458</v>
      </c>
      <c r="F1387" s="29" t="s">
        <v>492</v>
      </c>
      <c r="G1387" s="36">
        <v>11000</v>
      </c>
      <c r="H1387" s="36">
        <v>110</v>
      </c>
    </row>
    <row r="1388" spans="1:8">
      <c r="A1388" s="62">
        <v>139481099341</v>
      </c>
      <c r="B1388" t="s">
        <v>263</v>
      </c>
      <c r="C1388" s="35" t="s">
        <v>454</v>
      </c>
      <c r="D1388" t="s">
        <v>491</v>
      </c>
      <c r="E1388" s="35" t="s">
        <v>458</v>
      </c>
      <c r="F1388" s="29" t="s">
        <v>492</v>
      </c>
      <c r="G1388" s="36">
        <v>5000</v>
      </c>
      <c r="H1388" s="36">
        <v>50</v>
      </c>
    </row>
    <row r="1389" spans="1:8">
      <c r="A1389" s="62">
        <v>139482482409</v>
      </c>
      <c r="B1389" t="s">
        <v>4</v>
      </c>
      <c r="C1389" s="35" t="s">
        <v>454</v>
      </c>
      <c r="D1389" t="s">
        <v>491</v>
      </c>
      <c r="E1389" s="35" t="s">
        <v>458</v>
      </c>
      <c r="F1389" s="29" t="s">
        <v>492</v>
      </c>
      <c r="G1389" s="36">
        <v>5000</v>
      </c>
      <c r="H1389" s="36">
        <v>50</v>
      </c>
    </row>
    <row r="1390" spans="1:8">
      <c r="A1390" s="62">
        <v>139483078587</v>
      </c>
      <c r="B1390" t="s">
        <v>263</v>
      </c>
      <c r="C1390" s="35" t="s">
        <v>454</v>
      </c>
      <c r="D1390" t="s">
        <v>491</v>
      </c>
      <c r="E1390" s="35" t="s">
        <v>458</v>
      </c>
      <c r="F1390" s="29" t="s">
        <v>492</v>
      </c>
      <c r="G1390" s="36">
        <v>24400</v>
      </c>
      <c r="H1390" s="36">
        <v>244</v>
      </c>
    </row>
    <row r="1391" spans="1:8">
      <c r="A1391" s="62">
        <v>139483278643</v>
      </c>
      <c r="B1391" t="s">
        <v>263</v>
      </c>
      <c r="C1391" s="35" t="s">
        <v>454</v>
      </c>
      <c r="D1391" t="s">
        <v>491</v>
      </c>
      <c r="E1391" s="35" t="s">
        <v>458</v>
      </c>
      <c r="F1391" s="29" t="s">
        <v>492</v>
      </c>
      <c r="G1391" s="36">
        <v>7500</v>
      </c>
      <c r="H1391" s="36">
        <v>75</v>
      </c>
    </row>
    <row r="1392" spans="1:8">
      <c r="A1392" s="62">
        <v>139483504133</v>
      </c>
      <c r="B1392" t="s">
        <v>4</v>
      </c>
      <c r="C1392" s="35" t="s">
        <v>458</v>
      </c>
      <c r="D1392" t="s">
        <v>491</v>
      </c>
      <c r="E1392" s="35" t="s">
        <v>458</v>
      </c>
      <c r="F1392" s="29" t="s">
        <v>492</v>
      </c>
      <c r="G1392" s="36">
        <v>7900</v>
      </c>
      <c r="H1392" s="36">
        <v>79</v>
      </c>
    </row>
    <row r="1393" spans="1:8">
      <c r="A1393" s="62">
        <v>139483449131</v>
      </c>
      <c r="B1393" t="s">
        <v>4</v>
      </c>
      <c r="C1393" s="35" t="s">
        <v>458</v>
      </c>
      <c r="D1393" t="s">
        <v>491</v>
      </c>
      <c r="E1393" s="35" t="s">
        <v>458</v>
      </c>
      <c r="F1393" s="29" t="s">
        <v>492</v>
      </c>
      <c r="G1393" s="36">
        <v>4800</v>
      </c>
      <c r="H1393" s="36">
        <v>48</v>
      </c>
    </row>
    <row r="1394" spans="1:8">
      <c r="A1394" s="62">
        <v>140132323268</v>
      </c>
      <c r="B1394" t="s">
        <v>4</v>
      </c>
      <c r="C1394" s="35" t="s">
        <v>458</v>
      </c>
      <c r="D1394" t="s">
        <v>491</v>
      </c>
      <c r="E1394" s="35" t="s">
        <v>458</v>
      </c>
      <c r="F1394" s="29" t="s">
        <v>492</v>
      </c>
      <c r="G1394" s="36">
        <v>18100</v>
      </c>
      <c r="H1394" s="36">
        <v>181</v>
      </c>
    </row>
    <row r="1395" spans="1:8">
      <c r="A1395" s="62">
        <v>140132565856</v>
      </c>
      <c r="B1395" t="s">
        <v>4</v>
      </c>
      <c r="C1395" s="35" t="s">
        <v>458</v>
      </c>
      <c r="D1395" t="s">
        <v>491</v>
      </c>
      <c r="E1395" s="35" t="s">
        <v>458</v>
      </c>
      <c r="F1395" s="29" t="s">
        <v>492</v>
      </c>
      <c r="G1395" s="36">
        <v>10500</v>
      </c>
      <c r="H1395" s="36">
        <v>105</v>
      </c>
    </row>
    <row r="1396" spans="1:8">
      <c r="A1396" s="62">
        <v>140132858928</v>
      </c>
      <c r="B1396" t="s">
        <v>4</v>
      </c>
      <c r="C1396" s="35" t="s">
        <v>458</v>
      </c>
      <c r="D1396" t="s">
        <v>491</v>
      </c>
      <c r="E1396" s="35" t="s">
        <v>458</v>
      </c>
      <c r="F1396" s="29" t="s">
        <v>492</v>
      </c>
      <c r="G1396" s="36">
        <v>30000</v>
      </c>
      <c r="H1396" s="36">
        <v>300</v>
      </c>
    </row>
    <row r="1397" spans="1:8">
      <c r="A1397" s="62">
        <v>139485607001</v>
      </c>
      <c r="B1397" t="s">
        <v>263</v>
      </c>
      <c r="C1397" s="35" t="s">
        <v>458</v>
      </c>
      <c r="D1397" t="s">
        <v>491</v>
      </c>
      <c r="E1397" s="35" t="s">
        <v>458</v>
      </c>
      <c r="F1397" s="29" t="s">
        <v>492</v>
      </c>
      <c r="G1397" s="36">
        <v>36300</v>
      </c>
      <c r="H1397" s="36">
        <v>363</v>
      </c>
    </row>
    <row r="1398" spans="1:8">
      <c r="A1398" s="62">
        <v>140133896184</v>
      </c>
      <c r="B1398" t="s">
        <v>263</v>
      </c>
      <c r="C1398" s="35" t="s">
        <v>458</v>
      </c>
      <c r="D1398" t="s">
        <v>491</v>
      </c>
      <c r="E1398" s="35" t="s">
        <v>458</v>
      </c>
      <c r="F1398" s="29" t="s">
        <v>492</v>
      </c>
      <c r="G1398" s="36">
        <v>114900</v>
      </c>
      <c r="H1398" s="36">
        <v>1149</v>
      </c>
    </row>
    <row r="1399" spans="1:8">
      <c r="A1399" s="62">
        <v>140133763234</v>
      </c>
      <c r="B1399" t="s">
        <v>4</v>
      </c>
      <c r="C1399" s="35" t="s">
        <v>458</v>
      </c>
      <c r="D1399" t="s">
        <v>491</v>
      </c>
      <c r="E1399" s="35" t="s">
        <v>458</v>
      </c>
      <c r="F1399" s="29" t="s">
        <v>492</v>
      </c>
      <c r="G1399" s="36">
        <v>19200</v>
      </c>
      <c r="H1399" s="36">
        <v>192</v>
      </c>
    </row>
    <row r="1400" spans="1:8">
      <c r="A1400" s="62">
        <v>139485908731</v>
      </c>
      <c r="B1400" t="s">
        <v>4</v>
      </c>
      <c r="C1400" s="35" t="s">
        <v>458</v>
      </c>
      <c r="D1400" t="s">
        <v>491</v>
      </c>
      <c r="E1400" s="35" t="s">
        <v>458</v>
      </c>
      <c r="F1400" s="29" t="s">
        <v>492</v>
      </c>
      <c r="G1400" s="36">
        <v>81400</v>
      </c>
      <c r="H1400" s="36">
        <v>814</v>
      </c>
    </row>
    <row r="1401" spans="1:8">
      <c r="A1401" s="62">
        <v>140133989406</v>
      </c>
      <c r="B1401" t="s">
        <v>4</v>
      </c>
      <c r="C1401" s="35" t="s">
        <v>458</v>
      </c>
      <c r="D1401" t="s">
        <v>491</v>
      </c>
      <c r="E1401" s="35" t="s">
        <v>458</v>
      </c>
      <c r="F1401" s="29" t="s">
        <v>492</v>
      </c>
      <c r="G1401" s="36">
        <v>84100</v>
      </c>
      <c r="H1401" s="36">
        <v>841</v>
      </c>
    </row>
    <row r="1402" spans="1:8">
      <c r="A1402" s="62">
        <v>139486182203</v>
      </c>
      <c r="B1402" t="s">
        <v>4</v>
      </c>
      <c r="C1402" s="35" t="s">
        <v>458</v>
      </c>
      <c r="D1402" t="s">
        <v>491</v>
      </c>
      <c r="E1402" s="35" t="s">
        <v>458</v>
      </c>
      <c r="F1402" s="29" t="s">
        <v>492</v>
      </c>
      <c r="G1402" s="36">
        <v>36500</v>
      </c>
      <c r="H1402" s="36">
        <v>365</v>
      </c>
    </row>
    <row r="1403" spans="1:8">
      <c r="A1403" s="62">
        <v>140134110924</v>
      </c>
      <c r="B1403" t="s">
        <v>263</v>
      </c>
      <c r="C1403" s="35" t="s">
        <v>458</v>
      </c>
      <c r="D1403" t="s">
        <v>491</v>
      </c>
      <c r="E1403" s="35" t="s">
        <v>458</v>
      </c>
      <c r="F1403" s="29" t="s">
        <v>492</v>
      </c>
      <c r="G1403" s="36">
        <v>5000</v>
      </c>
      <c r="H1403" s="36">
        <v>50</v>
      </c>
    </row>
    <row r="1404" spans="1:8">
      <c r="A1404" s="62">
        <v>140134031710</v>
      </c>
      <c r="B1404" t="s">
        <v>4</v>
      </c>
      <c r="C1404" s="35" t="s">
        <v>458</v>
      </c>
      <c r="D1404" t="s">
        <v>491</v>
      </c>
      <c r="E1404" s="35" t="s">
        <v>458</v>
      </c>
      <c r="F1404" s="29" t="s">
        <v>492</v>
      </c>
      <c r="G1404" s="36">
        <v>4900</v>
      </c>
      <c r="H1404" s="36">
        <v>49</v>
      </c>
    </row>
    <row r="1405" spans="1:8">
      <c r="A1405" s="62">
        <v>139486246871</v>
      </c>
      <c r="B1405" t="s">
        <v>4</v>
      </c>
      <c r="C1405" s="35" t="s">
        <v>458</v>
      </c>
      <c r="D1405" t="s">
        <v>491</v>
      </c>
      <c r="E1405" s="35" t="s">
        <v>458</v>
      </c>
      <c r="F1405" s="29" t="s">
        <v>492</v>
      </c>
      <c r="G1405" s="36">
        <v>8000</v>
      </c>
      <c r="H1405" s="36">
        <v>80</v>
      </c>
    </row>
    <row r="1406" spans="1:8">
      <c r="A1406" s="51"/>
    </row>
    <row r="1407" spans="1:8">
      <c r="A1407" s="51"/>
      <c r="G1407" s="63">
        <f>SUM(G16:G1406)</f>
        <v>37940846</v>
      </c>
      <c r="H1407" s="63">
        <f>SUM(H16:H1406)</f>
        <v>379408.46</v>
      </c>
    </row>
  </sheetData>
  <autoFilter ref="A15:H15" xr:uid="{00000000-0009-0000-0000-000004000000}"/>
  <mergeCells count="3">
    <mergeCell ref="A1:H1"/>
    <mergeCell ref="A14:D14"/>
    <mergeCell ref="E14:H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T1620"/>
  <sheetViews>
    <sheetView zoomScale="85" zoomScaleNormal="85" workbookViewId="0">
      <pane xSplit="5" ySplit="8" topLeftCell="F9" activePane="bottomRight" state="frozen"/>
      <selection activeCell="A1604" sqref="A1604"/>
      <selection pane="topRight" activeCell="A1604" sqref="A1604"/>
      <selection pane="bottomLeft" activeCell="A1604" sqref="A1604"/>
      <selection pane="bottomRight" activeCell="C317" sqref="C317"/>
    </sheetView>
  </sheetViews>
  <sheetFormatPr defaultColWidth="9.1328125" defaultRowHeight="14.25"/>
  <cols>
    <col min="1" max="3" width="15.86328125" customWidth="1"/>
    <col min="4" max="4" width="20.86328125" customWidth="1"/>
    <col min="5" max="5" width="50.86328125" customWidth="1"/>
    <col min="6" max="6" width="15.86328125" customWidth="1"/>
    <col min="7" max="7" width="20.86328125" customWidth="1"/>
    <col min="8" max="12" width="15.86328125" customWidth="1"/>
    <col min="13" max="13" width="15.86328125" hidden="1" customWidth="1"/>
    <col min="14" max="14" width="20.86328125" hidden="1" customWidth="1"/>
    <col min="15" max="15" width="15.86328125" hidden="1" customWidth="1"/>
    <col min="16" max="16" width="20.86328125" hidden="1" customWidth="1"/>
    <col min="17" max="19" width="15.86328125" customWidth="1"/>
    <col min="20" max="20" width="40.86328125" customWidth="1"/>
  </cols>
  <sheetData>
    <row r="1" spans="1:20">
      <c r="A1" s="84" t="s">
        <v>493</v>
      </c>
      <c r="B1" s="79"/>
      <c r="C1" s="85">
        <v>46125.406653437502</v>
      </c>
      <c r="D1" s="79"/>
    </row>
    <row r="2" spans="1:20">
      <c r="A2" s="41" t="s">
        <v>4</v>
      </c>
    </row>
    <row r="3" spans="1:20" ht="75" customHeight="1">
      <c r="A3" s="86" t="s">
        <v>494</v>
      </c>
      <c r="B3" s="79"/>
      <c r="C3" s="79"/>
      <c r="D3" s="79"/>
      <c r="E3" s="79"/>
    </row>
    <row r="4" spans="1:20">
      <c r="A4" s="84" t="s">
        <v>4</v>
      </c>
      <c r="B4" s="79"/>
      <c r="C4" s="79"/>
      <c r="D4" s="79"/>
      <c r="E4" s="79"/>
    </row>
    <row r="5" spans="1:20">
      <c r="A5" s="84" t="s">
        <v>4</v>
      </c>
      <c r="B5" s="79"/>
      <c r="C5" s="79"/>
      <c r="D5" s="79"/>
      <c r="E5" s="79"/>
    </row>
    <row r="7" spans="1:20" ht="30" customHeight="1">
      <c r="A7" s="83" t="s">
        <v>495</v>
      </c>
      <c r="B7" s="79"/>
      <c r="C7" s="79"/>
      <c r="D7" s="79"/>
      <c r="E7" s="79"/>
      <c r="F7" s="79"/>
      <c r="G7" s="79"/>
      <c r="H7" s="79"/>
      <c r="I7" s="79"/>
      <c r="J7" s="87" t="s">
        <v>496</v>
      </c>
      <c r="K7" s="79"/>
      <c r="L7" s="79"/>
      <c r="M7" s="79"/>
      <c r="N7" s="79"/>
      <c r="O7" s="79"/>
      <c r="P7" s="79"/>
      <c r="Q7" s="79"/>
      <c r="R7" s="83" t="s">
        <v>497</v>
      </c>
      <c r="S7" s="79"/>
      <c r="T7" s="42" t="s">
        <v>498</v>
      </c>
    </row>
    <row r="8" spans="1:20" ht="26.25">
      <c r="A8" s="43" t="s">
        <v>509</v>
      </c>
      <c r="B8" s="43" t="s">
        <v>499</v>
      </c>
      <c r="C8" s="43" t="s">
        <v>500</v>
      </c>
      <c r="D8" s="43" t="s">
        <v>501</v>
      </c>
      <c r="E8" s="43" t="s">
        <v>502</v>
      </c>
      <c r="F8" s="43" t="s">
        <v>503</v>
      </c>
      <c r="G8" s="43" t="s">
        <v>504</v>
      </c>
      <c r="H8" s="43" t="s">
        <v>505</v>
      </c>
      <c r="I8" s="43" t="s">
        <v>506</v>
      </c>
      <c r="J8" s="43" t="s">
        <v>507</v>
      </c>
      <c r="K8" s="43" t="s">
        <v>508</v>
      </c>
      <c r="L8" s="43" t="s">
        <v>510</v>
      </c>
      <c r="M8" s="43" t="s">
        <v>511</v>
      </c>
      <c r="N8" s="43" t="s">
        <v>512</v>
      </c>
      <c r="O8" s="43" t="s">
        <v>513</v>
      </c>
      <c r="P8" s="43" t="s">
        <v>514</v>
      </c>
      <c r="Q8" s="43" t="s">
        <v>515</v>
      </c>
      <c r="R8" s="43" t="s">
        <v>256</v>
      </c>
      <c r="S8" s="43" t="s">
        <v>241</v>
      </c>
      <c r="T8" s="43" t="s">
        <v>516</v>
      </c>
    </row>
    <row r="9" spans="1:20" s="59" customFormat="1">
      <c r="A9" s="53">
        <v>136529790482</v>
      </c>
      <c r="B9" s="54" t="s">
        <v>1245</v>
      </c>
      <c r="C9" s="55">
        <v>45995</v>
      </c>
      <c r="D9" s="53">
        <v>54262533771</v>
      </c>
      <c r="E9" s="53">
        <v>2139452011366</v>
      </c>
      <c r="F9" s="56" t="s">
        <v>518</v>
      </c>
      <c r="G9" s="56" t="s">
        <v>519</v>
      </c>
      <c r="H9" s="56" t="s">
        <v>4</v>
      </c>
      <c r="I9" s="53" t="s">
        <v>4</v>
      </c>
      <c r="J9" s="57">
        <v>38.799999999999997</v>
      </c>
      <c r="K9" s="56" t="s">
        <v>520</v>
      </c>
      <c r="L9" s="56" t="s">
        <v>521</v>
      </c>
      <c r="M9" s="53" t="s">
        <v>522</v>
      </c>
      <c r="N9" s="56" t="s">
        <v>523</v>
      </c>
      <c r="O9" s="54" t="s">
        <v>4</v>
      </c>
      <c r="P9" s="56" t="s">
        <v>692</v>
      </c>
      <c r="Q9" s="57">
        <v>4000</v>
      </c>
      <c r="R9" s="58" t="s">
        <v>4</v>
      </c>
      <c r="S9" s="57" t="s">
        <v>4</v>
      </c>
      <c r="T9" s="56" t="s">
        <v>525</v>
      </c>
    </row>
    <row r="10" spans="1:20" s="59" customFormat="1">
      <c r="A10" s="53">
        <v>136529601672</v>
      </c>
      <c r="B10" s="54" t="s">
        <v>1245</v>
      </c>
      <c r="C10" s="55">
        <v>45995</v>
      </c>
      <c r="D10" s="53">
        <v>54262527242</v>
      </c>
      <c r="E10" s="53">
        <v>2139451505618</v>
      </c>
      <c r="F10" s="56" t="s">
        <v>518</v>
      </c>
      <c r="G10" s="56" t="s">
        <v>519</v>
      </c>
      <c r="H10" s="56" t="s">
        <v>4</v>
      </c>
      <c r="I10" s="53" t="s">
        <v>4</v>
      </c>
      <c r="J10" s="57">
        <v>46.56</v>
      </c>
      <c r="K10" s="56" t="s">
        <v>520</v>
      </c>
      <c r="L10" s="56" t="s">
        <v>521</v>
      </c>
      <c r="M10" s="53" t="s">
        <v>522</v>
      </c>
      <c r="N10" s="56" t="s">
        <v>523</v>
      </c>
      <c r="O10" s="54" t="s">
        <v>4</v>
      </c>
      <c r="P10" s="56" t="s">
        <v>1246</v>
      </c>
      <c r="Q10" s="57">
        <v>4800</v>
      </c>
      <c r="R10" s="58" t="s">
        <v>4</v>
      </c>
      <c r="S10" s="57" t="s">
        <v>4</v>
      </c>
      <c r="T10" s="56" t="s">
        <v>525</v>
      </c>
    </row>
    <row r="11" spans="1:20" s="59" customFormat="1">
      <c r="A11" s="53">
        <v>135906555589</v>
      </c>
      <c r="B11" s="54" t="s">
        <v>1245</v>
      </c>
      <c r="C11" s="55">
        <v>45995</v>
      </c>
      <c r="D11" s="53">
        <v>54262330931</v>
      </c>
      <c r="E11" s="53">
        <v>2139448763672</v>
      </c>
      <c r="F11" s="56" t="s">
        <v>518</v>
      </c>
      <c r="G11" s="56" t="s">
        <v>519</v>
      </c>
      <c r="H11" s="56" t="s">
        <v>4</v>
      </c>
      <c r="I11" s="53" t="s">
        <v>4</v>
      </c>
      <c r="J11" s="57">
        <v>139.68</v>
      </c>
      <c r="K11" s="56" t="s">
        <v>520</v>
      </c>
      <c r="L11" s="56" t="s">
        <v>521</v>
      </c>
      <c r="M11" s="53" t="s">
        <v>522</v>
      </c>
      <c r="N11" s="56" t="s">
        <v>523</v>
      </c>
      <c r="O11" s="54" t="s">
        <v>4</v>
      </c>
      <c r="P11" s="56" t="s">
        <v>749</v>
      </c>
      <c r="Q11" s="57">
        <v>14400</v>
      </c>
      <c r="R11" s="58" t="s">
        <v>4</v>
      </c>
      <c r="S11" s="57" t="s">
        <v>4</v>
      </c>
      <c r="T11" s="56" t="s">
        <v>525</v>
      </c>
    </row>
    <row r="12" spans="1:20" s="59" customFormat="1">
      <c r="A12" s="53">
        <v>136529368322</v>
      </c>
      <c r="B12" s="54" t="s">
        <v>1245</v>
      </c>
      <c r="C12" s="55">
        <v>45995</v>
      </c>
      <c r="D12" s="53">
        <v>54262393350</v>
      </c>
      <c r="E12" s="53">
        <v>2139318558791</v>
      </c>
      <c r="F12" s="56" t="s">
        <v>518</v>
      </c>
      <c r="G12" s="56" t="s">
        <v>519</v>
      </c>
      <c r="H12" s="56" t="s">
        <v>4</v>
      </c>
      <c r="I12" s="53" t="s">
        <v>4</v>
      </c>
      <c r="J12" s="57">
        <v>160.05000000000001</v>
      </c>
      <c r="K12" s="56" t="s">
        <v>520</v>
      </c>
      <c r="L12" s="56" t="s">
        <v>521</v>
      </c>
      <c r="M12" s="53" t="s">
        <v>522</v>
      </c>
      <c r="N12" s="56" t="s">
        <v>523</v>
      </c>
      <c r="O12" s="54" t="s">
        <v>4</v>
      </c>
      <c r="P12" s="56" t="s">
        <v>1247</v>
      </c>
      <c r="Q12" s="57">
        <v>16500</v>
      </c>
      <c r="R12" s="58" t="s">
        <v>4</v>
      </c>
      <c r="S12" s="57" t="s">
        <v>4</v>
      </c>
      <c r="T12" s="56" t="s">
        <v>525</v>
      </c>
    </row>
    <row r="13" spans="1:20" s="59" customFormat="1">
      <c r="A13" s="53">
        <v>136530047680</v>
      </c>
      <c r="B13" s="54" t="s">
        <v>1245</v>
      </c>
      <c r="C13" s="55">
        <v>45995</v>
      </c>
      <c r="D13" s="53">
        <v>54262696987</v>
      </c>
      <c r="E13" s="53">
        <v>2139322693087</v>
      </c>
      <c r="F13" s="56" t="s">
        <v>562</v>
      </c>
      <c r="G13" s="56" t="s">
        <v>519</v>
      </c>
      <c r="H13" s="56" t="s">
        <v>4</v>
      </c>
      <c r="I13" s="53" t="s">
        <v>4</v>
      </c>
      <c r="J13" s="57">
        <v>913.62</v>
      </c>
      <c r="K13" s="56" t="s">
        <v>520</v>
      </c>
      <c r="L13" s="56" t="s">
        <v>521</v>
      </c>
      <c r="M13" s="53" t="s">
        <v>522</v>
      </c>
      <c r="N13" s="56" t="s">
        <v>523</v>
      </c>
      <c r="O13" s="54" t="s">
        <v>4</v>
      </c>
      <c r="P13" s="56" t="s">
        <v>739</v>
      </c>
      <c r="Q13" s="57">
        <v>56050</v>
      </c>
      <c r="R13" s="58" t="s">
        <v>4</v>
      </c>
      <c r="S13" s="57" t="s">
        <v>4</v>
      </c>
      <c r="T13" s="56" t="s">
        <v>525</v>
      </c>
    </row>
    <row r="14" spans="1:20" s="59" customFormat="1">
      <c r="A14" s="53">
        <v>135329078135</v>
      </c>
      <c r="B14" s="54" t="s">
        <v>1245</v>
      </c>
      <c r="C14" s="55">
        <v>45992</v>
      </c>
      <c r="D14" s="53">
        <v>54034149131</v>
      </c>
      <c r="E14" s="53">
        <v>2135329555249</v>
      </c>
      <c r="F14" s="56" t="s">
        <v>526</v>
      </c>
      <c r="G14" s="56" t="s">
        <v>519</v>
      </c>
      <c r="H14" s="56" t="s">
        <v>4</v>
      </c>
      <c r="I14" s="53" t="s">
        <v>4</v>
      </c>
      <c r="J14" s="57">
        <v>193.03</v>
      </c>
      <c r="K14" s="56" t="s">
        <v>520</v>
      </c>
      <c r="L14" s="56" t="s">
        <v>521</v>
      </c>
      <c r="M14" s="53" t="s">
        <v>522</v>
      </c>
      <c r="N14" s="56" t="s">
        <v>523</v>
      </c>
      <c r="O14" s="54" t="s">
        <v>4</v>
      </c>
      <c r="P14" s="56" t="s">
        <v>527</v>
      </c>
      <c r="Q14" s="57">
        <v>19900</v>
      </c>
      <c r="R14" s="58" t="s">
        <v>4</v>
      </c>
      <c r="S14" s="57" t="s">
        <v>4</v>
      </c>
      <c r="T14" s="56" t="s">
        <v>4</v>
      </c>
    </row>
    <row r="15" spans="1:20" s="59" customFormat="1">
      <c r="A15" s="53">
        <v>135329349869</v>
      </c>
      <c r="B15" s="54" t="s">
        <v>1245</v>
      </c>
      <c r="C15" s="55">
        <v>45992</v>
      </c>
      <c r="D15" s="53">
        <v>54034429224</v>
      </c>
      <c r="E15" s="53">
        <v>2135333114143</v>
      </c>
      <c r="F15" s="56" t="s">
        <v>529</v>
      </c>
      <c r="G15" s="56" t="s">
        <v>519</v>
      </c>
      <c r="H15" s="56" t="s">
        <v>4</v>
      </c>
      <c r="I15" s="53" t="s">
        <v>4</v>
      </c>
      <c r="J15" s="57">
        <v>1564.14</v>
      </c>
      <c r="K15" s="56" t="s">
        <v>520</v>
      </c>
      <c r="L15" s="56" t="s">
        <v>530</v>
      </c>
      <c r="M15" s="53" t="s">
        <v>522</v>
      </c>
      <c r="N15" s="56" t="s">
        <v>523</v>
      </c>
      <c r="O15" s="54" t="s">
        <v>263</v>
      </c>
      <c r="P15" s="56" t="s">
        <v>531</v>
      </c>
      <c r="Q15" s="57">
        <v>39800</v>
      </c>
      <c r="R15" s="58" t="s">
        <v>4</v>
      </c>
      <c r="S15" s="57" t="s">
        <v>4</v>
      </c>
      <c r="T15" s="56" t="s">
        <v>525</v>
      </c>
    </row>
    <row r="16" spans="1:20" s="59" customFormat="1">
      <c r="A16" s="53">
        <v>135945633656</v>
      </c>
      <c r="B16" s="54" t="s">
        <v>1245</v>
      </c>
      <c r="C16" s="55">
        <v>45992</v>
      </c>
      <c r="D16" s="53">
        <v>54034458051</v>
      </c>
      <c r="E16" s="53">
        <v>2135333274985</v>
      </c>
      <c r="F16" s="56" t="s">
        <v>526</v>
      </c>
      <c r="G16" s="56" t="s">
        <v>519</v>
      </c>
      <c r="H16" s="56" t="s">
        <v>4</v>
      </c>
      <c r="I16" s="53" t="s">
        <v>4</v>
      </c>
      <c r="J16" s="57">
        <v>81.48</v>
      </c>
      <c r="K16" s="56" t="s">
        <v>520</v>
      </c>
      <c r="L16" s="56" t="s">
        <v>521</v>
      </c>
      <c r="M16" s="53" t="s">
        <v>522</v>
      </c>
      <c r="N16" s="56" t="s">
        <v>523</v>
      </c>
      <c r="O16" s="54" t="s">
        <v>4</v>
      </c>
      <c r="P16" s="56" t="s">
        <v>527</v>
      </c>
      <c r="Q16" s="57">
        <v>8400</v>
      </c>
      <c r="R16" s="58" t="s">
        <v>4</v>
      </c>
      <c r="S16" s="57" t="s">
        <v>4</v>
      </c>
      <c r="T16" s="56" t="s">
        <v>4</v>
      </c>
    </row>
    <row r="17" spans="1:20" s="59" customFormat="1">
      <c r="A17" s="53">
        <v>135945997406</v>
      </c>
      <c r="B17" s="54" t="s">
        <v>1245</v>
      </c>
      <c r="C17" s="55">
        <v>45992</v>
      </c>
      <c r="D17" s="53">
        <v>54034599783</v>
      </c>
      <c r="E17" s="53">
        <v>2135455471882</v>
      </c>
      <c r="F17" s="56" t="s">
        <v>518</v>
      </c>
      <c r="G17" s="56" t="s">
        <v>519</v>
      </c>
      <c r="H17" s="56" t="s">
        <v>4</v>
      </c>
      <c r="I17" s="53" t="s">
        <v>4</v>
      </c>
      <c r="J17" s="57">
        <v>122.22</v>
      </c>
      <c r="K17" s="56" t="s">
        <v>520</v>
      </c>
      <c r="L17" s="56" t="s">
        <v>521</v>
      </c>
      <c r="M17" s="53" t="s">
        <v>522</v>
      </c>
      <c r="N17" s="56" t="s">
        <v>523</v>
      </c>
      <c r="O17" s="54" t="s">
        <v>4</v>
      </c>
      <c r="P17" s="56" t="s">
        <v>1248</v>
      </c>
      <c r="Q17" s="57">
        <v>12600</v>
      </c>
      <c r="R17" s="58" t="s">
        <v>4</v>
      </c>
      <c r="S17" s="57" t="s">
        <v>4</v>
      </c>
      <c r="T17" s="56" t="s">
        <v>525</v>
      </c>
    </row>
    <row r="18" spans="1:20" s="59" customFormat="1">
      <c r="A18" s="53">
        <v>135330440377</v>
      </c>
      <c r="B18" s="54" t="s">
        <v>1245</v>
      </c>
      <c r="C18" s="55">
        <v>45992</v>
      </c>
      <c r="D18" s="53">
        <v>54034882974</v>
      </c>
      <c r="E18" s="53">
        <v>2135458984858</v>
      </c>
      <c r="F18" s="56" t="s">
        <v>526</v>
      </c>
      <c r="G18" s="56" t="s">
        <v>519</v>
      </c>
      <c r="H18" s="56" t="s">
        <v>4</v>
      </c>
      <c r="I18" s="53" t="s">
        <v>4</v>
      </c>
      <c r="J18" s="57">
        <v>549.99</v>
      </c>
      <c r="K18" s="56" t="s">
        <v>520</v>
      </c>
      <c r="L18" s="56" t="s">
        <v>521</v>
      </c>
      <c r="M18" s="53" t="s">
        <v>522</v>
      </c>
      <c r="N18" s="56" t="s">
        <v>523</v>
      </c>
      <c r="O18" s="54" t="s">
        <v>4</v>
      </c>
      <c r="P18" s="56" t="s">
        <v>527</v>
      </c>
      <c r="Q18" s="57">
        <v>56700</v>
      </c>
      <c r="R18" s="58" t="s">
        <v>4</v>
      </c>
      <c r="S18" s="57" t="s">
        <v>4</v>
      </c>
      <c r="T18" s="56" t="s">
        <v>4</v>
      </c>
    </row>
    <row r="19" spans="1:20" s="59" customFormat="1">
      <c r="A19" s="53">
        <v>135330988071</v>
      </c>
      <c r="B19" s="54" t="s">
        <v>1245</v>
      </c>
      <c r="C19" s="55">
        <v>45992</v>
      </c>
      <c r="D19" s="53">
        <v>54035372586</v>
      </c>
      <c r="E19" s="53">
        <v>2135345218453</v>
      </c>
      <c r="F19" s="56" t="s">
        <v>529</v>
      </c>
      <c r="G19" s="56" t="s">
        <v>519</v>
      </c>
      <c r="H19" s="56" t="s">
        <v>4</v>
      </c>
      <c r="I19" s="53" t="s">
        <v>4</v>
      </c>
      <c r="J19" s="57">
        <v>1976.79</v>
      </c>
      <c r="K19" s="56" t="s">
        <v>520</v>
      </c>
      <c r="L19" s="56" t="s">
        <v>530</v>
      </c>
      <c r="M19" s="53" t="s">
        <v>522</v>
      </c>
      <c r="N19" s="56" t="s">
        <v>523</v>
      </c>
      <c r="O19" s="54" t="s">
        <v>263</v>
      </c>
      <c r="P19" s="56" t="s">
        <v>531</v>
      </c>
      <c r="Q19" s="57">
        <v>50300</v>
      </c>
      <c r="R19" s="58" t="s">
        <v>4</v>
      </c>
      <c r="S19" s="57" t="s">
        <v>4</v>
      </c>
      <c r="T19" s="56" t="s">
        <v>525</v>
      </c>
    </row>
    <row r="20" spans="1:20" s="59" customFormat="1">
      <c r="A20" s="53">
        <v>135331302959</v>
      </c>
      <c r="B20" s="54" t="s">
        <v>1245</v>
      </c>
      <c r="C20" s="55">
        <v>45992</v>
      </c>
      <c r="D20" s="53">
        <v>54035431321</v>
      </c>
      <c r="E20" s="53">
        <v>2135465869442</v>
      </c>
      <c r="F20" s="56" t="s">
        <v>518</v>
      </c>
      <c r="G20" s="56" t="s">
        <v>519</v>
      </c>
      <c r="H20" s="56" t="s">
        <v>4</v>
      </c>
      <c r="I20" s="53" t="s">
        <v>4</v>
      </c>
      <c r="J20" s="57">
        <v>162.96</v>
      </c>
      <c r="K20" s="56" t="s">
        <v>520</v>
      </c>
      <c r="L20" s="56" t="s">
        <v>521</v>
      </c>
      <c r="M20" s="53" t="s">
        <v>522</v>
      </c>
      <c r="N20" s="56" t="s">
        <v>523</v>
      </c>
      <c r="O20" s="54" t="s">
        <v>4</v>
      </c>
      <c r="P20" s="56" t="s">
        <v>1249</v>
      </c>
      <c r="Q20" s="57">
        <v>16800</v>
      </c>
      <c r="R20" s="58" t="s">
        <v>4</v>
      </c>
      <c r="S20" s="57" t="s">
        <v>4</v>
      </c>
      <c r="T20" s="56" t="s">
        <v>525</v>
      </c>
    </row>
    <row r="21" spans="1:20" s="59" customFormat="1">
      <c r="A21" s="53">
        <v>135949105672</v>
      </c>
      <c r="B21" s="54" t="s">
        <v>1245</v>
      </c>
      <c r="C21" s="55">
        <v>45992</v>
      </c>
      <c r="D21" s="53">
        <v>54036750107</v>
      </c>
      <c r="E21" s="53">
        <v>2135361385667</v>
      </c>
      <c r="F21" s="56" t="s">
        <v>518</v>
      </c>
      <c r="G21" s="56" t="s">
        <v>519</v>
      </c>
      <c r="H21" s="56" t="s">
        <v>4</v>
      </c>
      <c r="I21" s="53" t="s">
        <v>4</v>
      </c>
      <c r="J21" s="57">
        <v>97.97</v>
      </c>
      <c r="K21" s="56" t="s">
        <v>520</v>
      </c>
      <c r="L21" s="56" t="s">
        <v>521</v>
      </c>
      <c r="M21" s="53" t="s">
        <v>522</v>
      </c>
      <c r="N21" s="56" t="s">
        <v>523</v>
      </c>
      <c r="O21" s="54" t="s">
        <v>4</v>
      </c>
      <c r="P21" s="56" t="s">
        <v>1250</v>
      </c>
      <c r="Q21" s="57">
        <v>10100</v>
      </c>
      <c r="R21" s="58" t="s">
        <v>4</v>
      </c>
      <c r="S21" s="57" t="s">
        <v>4</v>
      </c>
      <c r="T21" s="56" t="s">
        <v>525</v>
      </c>
    </row>
    <row r="22" spans="1:20" s="59" customFormat="1">
      <c r="A22" s="53">
        <v>135734903707</v>
      </c>
      <c r="B22" s="54" t="s">
        <v>1245</v>
      </c>
      <c r="C22" s="55">
        <v>45994</v>
      </c>
      <c r="D22" s="53">
        <v>54196345298</v>
      </c>
      <c r="E22" s="53">
        <v>2138128209819</v>
      </c>
      <c r="F22" s="56" t="s">
        <v>526</v>
      </c>
      <c r="G22" s="56" t="s">
        <v>519</v>
      </c>
      <c r="H22" s="56" t="s">
        <v>4</v>
      </c>
      <c r="I22" s="53" t="s">
        <v>4</v>
      </c>
      <c r="J22" s="57">
        <v>116.39</v>
      </c>
      <c r="K22" s="56" t="s">
        <v>520</v>
      </c>
      <c r="L22" s="56" t="s">
        <v>521</v>
      </c>
      <c r="M22" s="53" t="s">
        <v>522</v>
      </c>
      <c r="N22" s="56" t="s">
        <v>523</v>
      </c>
      <c r="O22" s="54" t="s">
        <v>4</v>
      </c>
      <c r="P22" s="56" t="s">
        <v>527</v>
      </c>
      <c r="Q22" s="57">
        <v>11999</v>
      </c>
      <c r="R22" s="58" t="s">
        <v>4</v>
      </c>
      <c r="S22" s="57" t="s">
        <v>4</v>
      </c>
      <c r="T22" s="56" t="s">
        <v>4</v>
      </c>
    </row>
    <row r="23" spans="1:20" s="59" customFormat="1">
      <c r="A23" s="53">
        <v>135738371583</v>
      </c>
      <c r="B23" s="54" t="s">
        <v>1245</v>
      </c>
      <c r="C23" s="55">
        <v>45994</v>
      </c>
      <c r="D23" s="53">
        <v>54197630941</v>
      </c>
      <c r="E23" s="53">
        <v>2138278186896</v>
      </c>
      <c r="F23" s="56" t="s">
        <v>529</v>
      </c>
      <c r="G23" s="56" t="s">
        <v>519</v>
      </c>
      <c r="H23" s="56" t="s">
        <v>4</v>
      </c>
      <c r="I23" s="53" t="s">
        <v>4</v>
      </c>
      <c r="J23" s="57">
        <v>1017.87</v>
      </c>
      <c r="K23" s="56" t="s">
        <v>520</v>
      </c>
      <c r="L23" s="56" t="s">
        <v>530</v>
      </c>
      <c r="M23" s="53" t="s">
        <v>522</v>
      </c>
      <c r="N23" s="56" t="s">
        <v>523</v>
      </c>
      <c r="O23" s="54" t="s">
        <v>263</v>
      </c>
      <c r="P23" s="56" t="s">
        <v>531</v>
      </c>
      <c r="Q23" s="57">
        <v>25900</v>
      </c>
      <c r="R23" s="58" t="s">
        <v>4</v>
      </c>
      <c r="S23" s="57" t="s">
        <v>4</v>
      </c>
      <c r="T23" s="56" t="s">
        <v>525</v>
      </c>
    </row>
    <row r="24" spans="1:20" s="59" customFormat="1">
      <c r="A24" s="53">
        <v>135739132419</v>
      </c>
      <c r="B24" s="54" t="s">
        <v>1245</v>
      </c>
      <c r="C24" s="55">
        <v>45994</v>
      </c>
      <c r="D24" s="53">
        <v>54197864029</v>
      </c>
      <c r="E24" s="53">
        <v>2138282073128</v>
      </c>
      <c r="F24" s="56" t="s">
        <v>529</v>
      </c>
      <c r="G24" s="56" t="s">
        <v>519</v>
      </c>
      <c r="H24" s="56" t="s">
        <v>4</v>
      </c>
      <c r="I24" s="53" t="s">
        <v>4</v>
      </c>
      <c r="J24" s="57">
        <v>652.34</v>
      </c>
      <c r="K24" s="56" t="s">
        <v>520</v>
      </c>
      <c r="L24" s="56" t="s">
        <v>530</v>
      </c>
      <c r="M24" s="53" t="s">
        <v>522</v>
      </c>
      <c r="N24" s="56" t="s">
        <v>523</v>
      </c>
      <c r="O24" s="54" t="s">
        <v>263</v>
      </c>
      <c r="P24" s="56" t="s">
        <v>531</v>
      </c>
      <c r="Q24" s="57">
        <v>16599</v>
      </c>
      <c r="R24" s="58" t="s">
        <v>4</v>
      </c>
      <c r="S24" s="57" t="s">
        <v>4</v>
      </c>
      <c r="T24" s="56" t="s">
        <v>525</v>
      </c>
    </row>
    <row r="25" spans="1:20" s="59" customFormat="1">
      <c r="A25" s="53">
        <v>136364614462</v>
      </c>
      <c r="B25" s="54" t="s">
        <v>1245</v>
      </c>
      <c r="C25" s="55">
        <v>45994</v>
      </c>
      <c r="D25" s="53">
        <v>54199590496</v>
      </c>
      <c r="E25" s="53">
        <v>2138313729844</v>
      </c>
      <c r="F25" s="56" t="s">
        <v>529</v>
      </c>
      <c r="G25" s="56" t="s">
        <v>519</v>
      </c>
      <c r="H25" s="56" t="s">
        <v>4</v>
      </c>
      <c r="I25" s="53" t="s">
        <v>4</v>
      </c>
      <c r="J25" s="57">
        <v>377.28</v>
      </c>
      <c r="K25" s="56" t="s">
        <v>520</v>
      </c>
      <c r="L25" s="56" t="s">
        <v>530</v>
      </c>
      <c r="M25" s="53" t="s">
        <v>522</v>
      </c>
      <c r="N25" s="56" t="s">
        <v>523</v>
      </c>
      <c r="O25" s="54" t="s">
        <v>263</v>
      </c>
      <c r="P25" s="56" t="s">
        <v>531</v>
      </c>
      <c r="Q25" s="57">
        <v>9600</v>
      </c>
      <c r="R25" s="58" t="s">
        <v>4</v>
      </c>
      <c r="S25" s="57" t="s">
        <v>4</v>
      </c>
      <c r="T25" s="56" t="s">
        <v>525</v>
      </c>
    </row>
    <row r="26" spans="1:20" s="59" customFormat="1">
      <c r="A26" s="53">
        <v>136364441784</v>
      </c>
      <c r="B26" s="54" t="s">
        <v>1245</v>
      </c>
      <c r="C26" s="55">
        <v>45994</v>
      </c>
      <c r="D26" s="53">
        <v>54199605104</v>
      </c>
      <c r="E26" s="53">
        <v>2138185132615</v>
      </c>
      <c r="F26" s="56" t="s">
        <v>518</v>
      </c>
      <c r="G26" s="56" t="s">
        <v>519</v>
      </c>
      <c r="H26" s="56" t="s">
        <v>4</v>
      </c>
      <c r="I26" s="53" t="s">
        <v>4</v>
      </c>
      <c r="J26" s="57">
        <v>365.28</v>
      </c>
      <c r="K26" s="56" t="s">
        <v>520</v>
      </c>
      <c r="L26" s="56" t="s">
        <v>521</v>
      </c>
      <c r="M26" s="53" t="s">
        <v>522</v>
      </c>
      <c r="N26" s="56" t="s">
        <v>523</v>
      </c>
      <c r="O26" s="54" t="s">
        <v>4</v>
      </c>
      <c r="P26" s="56" t="s">
        <v>543</v>
      </c>
      <c r="Q26" s="57">
        <v>4800</v>
      </c>
      <c r="R26" s="58" t="s">
        <v>4</v>
      </c>
      <c r="S26" s="57" t="s">
        <v>4</v>
      </c>
      <c r="T26" s="56" t="s">
        <v>525</v>
      </c>
    </row>
    <row r="27" spans="1:20" s="59" customFormat="1">
      <c r="A27" s="53">
        <v>136366138324</v>
      </c>
      <c r="B27" s="54" t="s">
        <v>1245</v>
      </c>
      <c r="C27" s="55">
        <v>45994</v>
      </c>
      <c r="D27" s="53">
        <v>54200200216</v>
      </c>
      <c r="E27" s="53">
        <v>2138196950733</v>
      </c>
      <c r="F27" s="56" t="s">
        <v>518</v>
      </c>
      <c r="G27" s="56" t="s">
        <v>519</v>
      </c>
      <c r="H27" s="56" t="s">
        <v>4</v>
      </c>
      <c r="I27" s="53" t="s">
        <v>4</v>
      </c>
      <c r="J27" s="57">
        <v>79.540000000000006</v>
      </c>
      <c r="K27" s="56" t="s">
        <v>520</v>
      </c>
      <c r="L27" s="56" t="s">
        <v>521</v>
      </c>
      <c r="M27" s="53" t="s">
        <v>522</v>
      </c>
      <c r="N27" s="56" t="s">
        <v>523</v>
      </c>
      <c r="O27" s="54" t="s">
        <v>4</v>
      </c>
      <c r="P27" s="56" t="s">
        <v>722</v>
      </c>
      <c r="Q27" s="57">
        <v>8200</v>
      </c>
      <c r="R27" s="58" t="s">
        <v>4</v>
      </c>
      <c r="S27" s="57" t="s">
        <v>4</v>
      </c>
      <c r="T27" s="56" t="s">
        <v>525</v>
      </c>
    </row>
    <row r="28" spans="1:20" s="59" customFormat="1">
      <c r="A28" s="53">
        <v>135748062571</v>
      </c>
      <c r="B28" s="54" t="s">
        <v>1245</v>
      </c>
      <c r="C28" s="55">
        <v>45994</v>
      </c>
      <c r="D28" s="53">
        <v>54201321613</v>
      </c>
      <c r="E28" s="53">
        <v>2138219548965</v>
      </c>
      <c r="F28" s="56" t="s">
        <v>529</v>
      </c>
      <c r="G28" s="56" t="s">
        <v>519</v>
      </c>
      <c r="H28" s="56" t="s">
        <v>4</v>
      </c>
      <c r="I28" s="53" t="s">
        <v>4</v>
      </c>
      <c r="J28" s="57">
        <v>1898.19</v>
      </c>
      <c r="K28" s="56" t="s">
        <v>520</v>
      </c>
      <c r="L28" s="56" t="s">
        <v>530</v>
      </c>
      <c r="M28" s="53" t="s">
        <v>522</v>
      </c>
      <c r="N28" s="56" t="s">
        <v>523</v>
      </c>
      <c r="O28" s="54" t="s">
        <v>263</v>
      </c>
      <c r="P28" s="56" t="s">
        <v>531</v>
      </c>
      <c r="Q28" s="57">
        <v>48300</v>
      </c>
      <c r="R28" s="58" t="s">
        <v>4</v>
      </c>
      <c r="S28" s="57" t="s">
        <v>4</v>
      </c>
      <c r="T28" s="56" t="s">
        <v>525</v>
      </c>
    </row>
    <row r="29" spans="1:20" s="59" customFormat="1">
      <c r="A29" s="53">
        <v>136370129344</v>
      </c>
      <c r="B29" s="54" t="s">
        <v>1245</v>
      </c>
      <c r="C29" s="55">
        <v>45994</v>
      </c>
      <c r="D29" s="53">
        <v>54201766843</v>
      </c>
      <c r="E29" s="53">
        <v>2138356554706</v>
      </c>
      <c r="F29" s="56" t="s">
        <v>518</v>
      </c>
      <c r="G29" s="56" t="s">
        <v>519</v>
      </c>
      <c r="H29" s="56" t="s">
        <v>4</v>
      </c>
      <c r="I29" s="53" t="s">
        <v>4</v>
      </c>
      <c r="J29" s="57">
        <v>235.71</v>
      </c>
      <c r="K29" s="56" t="s">
        <v>520</v>
      </c>
      <c r="L29" s="56" t="s">
        <v>521</v>
      </c>
      <c r="M29" s="53" t="s">
        <v>522</v>
      </c>
      <c r="N29" s="56" t="s">
        <v>523</v>
      </c>
      <c r="O29" s="54" t="s">
        <v>4</v>
      </c>
      <c r="P29" s="56" t="s">
        <v>1251</v>
      </c>
      <c r="Q29" s="57">
        <v>24300</v>
      </c>
      <c r="R29" s="58" t="s">
        <v>4</v>
      </c>
      <c r="S29" s="57" t="s">
        <v>4</v>
      </c>
      <c r="T29" s="56" t="s">
        <v>525</v>
      </c>
    </row>
    <row r="30" spans="1:20" s="59" customFormat="1">
      <c r="A30" s="53">
        <v>135749825345</v>
      </c>
      <c r="B30" s="54" t="s">
        <v>1245</v>
      </c>
      <c r="C30" s="55">
        <v>45994</v>
      </c>
      <c r="D30" s="53">
        <v>54202008317</v>
      </c>
      <c r="E30" s="53">
        <v>2138361467184</v>
      </c>
      <c r="F30" s="56" t="s">
        <v>529</v>
      </c>
      <c r="G30" s="56" t="s">
        <v>519</v>
      </c>
      <c r="H30" s="56" t="s">
        <v>4</v>
      </c>
      <c r="I30" s="53" t="s">
        <v>4</v>
      </c>
      <c r="J30" s="57">
        <v>377.28</v>
      </c>
      <c r="K30" s="56" t="s">
        <v>520</v>
      </c>
      <c r="L30" s="56" t="s">
        <v>530</v>
      </c>
      <c r="M30" s="53" t="s">
        <v>522</v>
      </c>
      <c r="N30" s="56" t="s">
        <v>523</v>
      </c>
      <c r="O30" s="54" t="s">
        <v>263</v>
      </c>
      <c r="P30" s="56" t="s">
        <v>531</v>
      </c>
      <c r="Q30" s="57">
        <v>9600</v>
      </c>
      <c r="R30" s="58" t="s">
        <v>4</v>
      </c>
      <c r="S30" s="57" t="s">
        <v>4</v>
      </c>
      <c r="T30" s="56" t="s">
        <v>525</v>
      </c>
    </row>
    <row r="31" spans="1:20" s="59" customFormat="1">
      <c r="A31" s="53">
        <v>136373560516</v>
      </c>
      <c r="B31" s="54" t="s">
        <v>1245</v>
      </c>
      <c r="C31" s="55">
        <v>45994</v>
      </c>
      <c r="D31" s="53">
        <v>54203082239</v>
      </c>
      <c r="E31" s="53">
        <v>2138254069743</v>
      </c>
      <c r="F31" s="56" t="s">
        <v>518</v>
      </c>
      <c r="G31" s="56" t="s">
        <v>519</v>
      </c>
      <c r="H31" s="56" t="s">
        <v>4</v>
      </c>
      <c r="I31" s="53" t="s">
        <v>4</v>
      </c>
      <c r="J31" s="57">
        <v>300.7</v>
      </c>
      <c r="K31" s="56" t="s">
        <v>520</v>
      </c>
      <c r="L31" s="56" t="s">
        <v>521</v>
      </c>
      <c r="M31" s="53" t="s">
        <v>522</v>
      </c>
      <c r="N31" s="56" t="s">
        <v>523</v>
      </c>
      <c r="O31" s="54" t="s">
        <v>4</v>
      </c>
      <c r="P31" s="56" t="s">
        <v>1252</v>
      </c>
      <c r="Q31" s="57">
        <v>31000</v>
      </c>
      <c r="R31" s="58" t="s">
        <v>4</v>
      </c>
      <c r="S31" s="57" t="s">
        <v>4</v>
      </c>
      <c r="T31" s="56" t="s">
        <v>525</v>
      </c>
    </row>
    <row r="32" spans="1:20" s="59" customFormat="1">
      <c r="A32" s="53">
        <v>136374043234</v>
      </c>
      <c r="B32" s="54" t="s">
        <v>1245</v>
      </c>
      <c r="C32" s="55">
        <v>45994</v>
      </c>
      <c r="D32" s="53">
        <v>54203336275</v>
      </c>
      <c r="E32" s="53">
        <v>2138387480544</v>
      </c>
      <c r="F32" s="56" t="s">
        <v>518</v>
      </c>
      <c r="G32" s="56" t="s">
        <v>519</v>
      </c>
      <c r="H32" s="56" t="s">
        <v>4</v>
      </c>
      <c r="I32" s="53" t="s">
        <v>4</v>
      </c>
      <c r="J32" s="57">
        <v>140.65</v>
      </c>
      <c r="K32" s="56" t="s">
        <v>520</v>
      </c>
      <c r="L32" s="56" t="s">
        <v>521</v>
      </c>
      <c r="M32" s="53" t="s">
        <v>522</v>
      </c>
      <c r="N32" s="56" t="s">
        <v>523</v>
      </c>
      <c r="O32" s="54" t="s">
        <v>4</v>
      </c>
      <c r="P32" s="56" t="s">
        <v>789</v>
      </c>
      <c r="Q32" s="57">
        <v>14500</v>
      </c>
      <c r="R32" s="58" t="s">
        <v>4</v>
      </c>
      <c r="S32" s="57" t="s">
        <v>4</v>
      </c>
      <c r="T32" s="56" t="s">
        <v>525</v>
      </c>
    </row>
    <row r="33" spans="1:20" s="59" customFormat="1">
      <c r="A33" s="53">
        <v>136374478166</v>
      </c>
      <c r="B33" s="54" t="s">
        <v>1245</v>
      </c>
      <c r="C33" s="55">
        <v>45994</v>
      </c>
      <c r="D33" s="53">
        <v>54203459444</v>
      </c>
      <c r="E33" s="53">
        <v>2138261522843</v>
      </c>
      <c r="F33" s="56" t="s">
        <v>526</v>
      </c>
      <c r="G33" s="56" t="s">
        <v>519</v>
      </c>
      <c r="H33" s="56" t="s">
        <v>4</v>
      </c>
      <c r="I33" s="53" t="s">
        <v>4</v>
      </c>
      <c r="J33" s="57">
        <v>289.06</v>
      </c>
      <c r="K33" s="56" t="s">
        <v>520</v>
      </c>
      <c r="L33" s="56" t="s">
        <v>521</v>
      </c>
      <c r="M33" s="53" t="s">
        <v>522</v>
      </c>
      <c r="N33" s="56" t="s">
        <v>523</v>
      </c>
      <c r="O33" s="54" t="s">
        <v>4</v>
      </c>
      <c r="P33" s="56" t="s">
        <v>527</v>
      </c>
      <c r="Q33" s="57">
        <v>29800</v>
      </c>
      <c r="R33" s="58" t="s">
        <v>4</v>
      </c>
      <c r="S33" s="57" t="s">
        <v>4</v>
      </c>
      <c r="T33" s="56" t="s">
        <v>4</v>
      </c>
    </row>
    <row r="34" spans="1:20" s="59" customFormat="1">
      <c r="A34" s="53">
        <v>135753489523</v>
      </c>
      <c r="B34" s="54" t="s">
        <v>1245</v>
      </c>
      <c r="C34" s="55">
        <v>45994</v>
      </c>
      <c r="D34" s="53">
        <v>54203525086</v>
      </c>
      <c r="E34" s="53">
        <v>2138390866130</v>
      </c>
      <c r="F34" s="56" t="s">
        <v>518</v>
      </c>
      <c r="G34" s="56" t="s">
        <v>519</v>
      </c>
      <c r="H34" s="56" t="s">
        <v>4</v>
      </c>
      <c r="I34" s="53" t="s">
        <v>4</v>
      </c>
      <c r="J34" s="57">
        <v>85.36</v>
      </c>
      <c r="K34" s="56" t="s">
        <v>520</v>
      </c>
      <c r="L34" s="56" t="s">
        <v>521</v>
      </c>
      <c r="M34" s="53" t="s">
        <v>522</v>
      </c>
      <c r="N34" s="56" t="s">
        <v>523</v>
      </c>
      <c r="O34" s="54" t="s">
        <v>4</v>
      </c>
      <c r="P34" s="56" t="s">
        <v>1253</v>
      </c>
      <c r="Q34" s="57">
        <v>8800</v>
      </c>
      <c r="R34" s="58" t="s">
        <v>4</v>
      </c>
      <c r="S34" s="57" t="s">
        <v>4</v>
      </c>
      <c r="T34" s="56" t="s">
        <v>525</v>
      </c>
    </row>
    <row r="35" spans="1:20" s="59" customFormat="1">
      <c r="A35" s="53">
        <v>136374909026</v>
      </c>
      <c r="B35" s="54" t="s">
        <v>1245</v>
      </c>
      <c r="C35" s="55">
        <v>45994</v>
      </c>
      <c r="D35" s="53">
        <v>54203679974</v>
      </c>
      <c r="E35" s="53">
        <v>2138394366030</v>
      </c>
      <c r="F35" s="56" t="s">
        <v>518</v>
      </c>
      <c r="G35" s="56" t="s">
        <v>519</v>
      </c>
      <c r="H35" s="56" t="s">
        <v>4</v>
      </c>
      <c r="I35" s="53" t="s">
        <v>4</v>
      </c>
      <c r="J35" s="57">
        <v>280.31</v>
      </c>
      <c r="K35" s="56" t="s">
        <v>520</v>
      </c>
      <c r="L35" s="56" t="s">
        <v>521</v>
      </c>
      <c r="M35" s="53" t="s">
        <v>522</v>
      </c>
      <c r="N35" s="56" t="s">
        <v>523</v>
      </c>
      <c r="O35" s="54" t="s">
        <v>4</v>
      </c>
      <c r="P35" s="56" t="s">
        <v>1254</v>
      </c>
      <c r="Q35" s="57">
        <v>28898</v>
      </c>
      <c r="R35" s="58" t="s">
        <v>4</v>
      </c>
      <c r="S35" s="57" t="s">
        <v>4</v>
      </c>
      <c r="T35" s="56" t="s">
        <v>525</v>
      </c>
    </row>
    <row r="36" spans="1:20" s="59" customFormat="1">
      <c r="A36" s="53">
        <v>135754447275</v>
      </c>
      <c r="B36" s="54" t="s">
        <v>1245</v>
      </c>
      <c r="C36" s="55">
        <v>45994</v>
      </c>
      <c r="D36" s="53">
        <v>54203916166</v>
      </c>
      <c r="E36" s="53">
        <v>2138270561355</v>
      </c>
      <c r="F36" s="56" t="s">
        <v>529</v>
      </c>
      <c r="G36" s="56" t="s">
        <v>519</v>
      </c>
      <c r="H36" s="56" t="s">
        <v>4</v>
      </c>
      <c r="I36" s="53" t="s">
        <v>4</v>
      </c>
      <c r="J36" s="57">
        <v>471.56</v>
      </c>
      <c r="K36" s="56" t="s">
        <v>520</v>
      </c>
      <c r="L36" s="56" t="s">
        <v>530</v>
      </c>
      <c r="M36" s="53" t="s">
        <v>522</v>
      </c>
      <c r="N36" s="56" t="s">
        <v>523</v>
      </c>
      <c r="O36" s="54" t="s">
        <v>263</v>
      </c>
      <c r="P36" s="56" t="s">
        <v>531</v>
      </c>
      <c r="Q36" s="57">
        <v>11999</v>
      </c>
      <c r="R36" s="58" t="s">
        <v>4</v>
      </c>
      <c r="S36" s="57" t="s">
        <v>4</v>
      </c>
      <c r="T36" s="56" t="s">
        <v>525</v>
      </c>
    </row>
    <row r="37" spans="1:20" s="59" customFormat="1">
      <c r="A37" s="53">
        <v>135754874311</v>
      </c>
      <c r="B37" s="54" t="s">
        <v>1245</v>
      </c>
      <c r="C37" s="55">
        <v>45994</v>
      </c>
      <c r="D37" s="53">
        <v>54204036365</v>
      </c>
      <c r="E37" s="53">
        <v>2138272977715</v>
      </c>
      <c r="F37" s="56" t="s">
        <v>529</v>
      </c>
      <c r="G37" s="56" t="s">
        <v>519</v>
      </c>
      <c r="H37" s="56" t="s">
        <v>4</v>
      </c>
      <c r="I37" s="53" t="s">
        <v>4</v>
      </c>
      <c r="J37" s="57">
        <v>3843.05</v>
      </c>
      <c r="K37" s="56" t="s">
        <v>520</v>
      </c>
      <c r="L37" s="56" t="s">
        <v>530</v>
      </c>
      <c r="M37" s="53" t="s">
        <v>522</v>
      </c>
      <c r="N37" s="56" t="s">
        <v>523</v>
      </c>
      <c r="O37" s="54" t="s">
        <v>263</v>
      </c>
      <c r="P37" s="56" t="s">
        <v>531</v>
      </c>
      <c r="Q37" s="57">
        <v>50500</v>
      </c>
      <c r="R37" s="58" t="s">
        <v>4</v>
      </c>
      <c r="S37" s="57" t="s">
        <v>4</v>
      </c>
      <c r="T37" s="56" t="s">
        <v>525</v>
      </c>
    </row>
    <row r="38" spans="1:20" s="59" customFormat="1">
      <c r="A38" s="53">
        <v>136376223468</v>
      </c>
      <c r="B38" s="54" t="s">
        <v>1245</v>
      </c>
      <c r="C38" s="55">
        <v>45994</v>
      </c>
      <c r="D38" s="53">
        <v>54204228599</v>
      </c>
      <c r="E38" s="53">
        <v>2138405064126</v>
      </c>
      <c r="F38" s="56" t="s">
        <v>562</v>
      </c>
      <c r="G38" s="56" t="s">
        <v>519</v>
      </c>
      <c r="H38" s="56" t="s">
        <v>4</v>
      </c>
      <c r="I38" s="53" t="s">
        <v>4</v>
      </c>
      <c r="J38" s="57">
        <v>1826.25</v>
      </c>
      <c r="K38" s="56" t="s">
        <v>520</v>
      </c>
      <c r="L38" s="56" t="s">
        <v>521</v>
      </c>
      <c r="M38" s="53" t="s">
        <v>522</v>
      </c>
      <c r="N38" s="56" t="s">
        <v>523</v>
      </c>
      <c r="O38" s="54" t="s">
        <v>4</v>
      </c>
      <c r="P38" s="56" t="s">
        <v>574</v>
      </c>
      <c r="Q38" s="57">
        <v>23998</v>
      </c>
      <c r="R38" s="58" t="s">
        <v>4</v>
      </c>
      <c r="S38" s="57" t="s">
        <v>4</v>
      </c>
      <c r="T38" s="56" t="s">
        <v>525</v>
      </c>
    </row>
    <row r="39" spans="1:20" s="59" customFormat="1">
      <c r="A39" s="53">
        <v>136377026240</v>
      </c>
      <c r="B39" s="54" t="s">
        <v>1245</v>
      </c>
      <c r="C39" s="55">
        <v>45994</v>
      </c>
      <c r="D39" s="53">
        <v>54204441507</v>
      </c>
      <c r="E39" s="53">
        <v>2138409355852</v>
      </c>
      <c r="F39" s="56" t="s">
        <v>529</v>
      </c>
      <c r="G39" s="56" t="s">
        <v>519</v>
      </c>
      <c r="H39" s="56" t="s">
        <v>4</v>
      </c>
      <c r="I39" s="53" t="s">
        <v>4</v>
      </c>
      <c r="J39" s="57">
        <v>1332.27</v>
      </c>
      <c r="K39" s="56" t="s">
        <v>520</v>
      </c>
      <c r="L39" s="56" t="s">
        <v>530</v>
      </c>
      <c r="M39" s="53" t="s">
        <v>522</v>
      </c>
      <c r="N39" s="56" t="s">
        <v>523</v>
      </c>
      <c r="O39" s="54" t="s">
        <v>263</v>
      </c>
      <c r="P39" s="56" t="s">
        <v>531</v>
      </c>
      <c r="Q39" s="57">
        <v>33900</v>
      </c>
      <c r="R39" s="58" t="s">
        <v>4</v>
      </c>
      <c r="S39" s="57" t="s">
        <v>4</v>
      </c>
      <c r="T39" s="56" t="s">
        <v>525</v>
      </c>
    </row>
    <row r="40" spans="1:20" s="59" customFormat="1">
      <c r="A40" s="53">
        <v>135757136427</v>
      </c>
      <c r="B40" s="54" t="s">
        <v>1245</v>
      </c>
      <c r="C40" s="55">
        <v>45994</v>
      </c>
      <c r="D40" s="53">
        <v>54204995808</v>
      </c>
      <c r="E40" s="53">
        <v>2138418857124</v>
      </c>
      <c r="F40" s="56" t="s">
        <v>518</v>
      </c>
      <c r="G40" s="56" t="s">
        <v>519</v>
      </c>
      <c r="H40" s="56" t="s">
        <v>4</v>
      </c>
      <c r="I40" s="53" t="s">
        <v>4</v>
      </c>
      <c r="J40" s="57">
        <v>46.56</v>
      </c>
      <c r="K40" s="56" t="s">
        <v>520</v>
      </c>
      <c r="L40" s="56" t="s">
        <v>521</v>
      </c>
      <c r="M40" s="53" t="s">
        <v>522</v>
      </c>
      <c r="N40" s="56" t="s">
        <v>523</v>
      </c>
      <c r="O40" s="54" t="s">
        <v>4</v>
      </c>
      <c r="P40" s="56" t="s">
        <v>1146</v>
      </c>
      <c r="Q40" s="57">
        <v>4800</v>
      </c>
      <c r="R40" s="58" t="s">
        <v>4</v>
      </c>
      <c r="S40" s="57" t="s">
        <v>4</v>
      </c>
      <c r="T40" s="56" t="s">
        <v>525</v>
      </c>
    </row>
    <row r="41" spans="1:20" s="59" customFormat="1">
      <c r="A41" s="53">
        <v>135757391225</v>
      </c>
      <c r="B41" s="54" t="s">
        <v>1245</v>
      </c>
      <c r="C41" s="55">
        <v>45994</v>
      </c>
      <c r="D41" s="53">
        <v>54205129122</v>
      </c>
      <c r="E41" s="53">
        <v>2138421164640</v>
      </c>
      <c r="F41" s="56" t="s">
        <v>518</v>
      </c>
      <c r="G41" s="56" t="s">
        <v>519</v>
      </c>
      <c r="H41" s="56" t="s">
        <v>4</v>
      </c>
      <c r="I41" s="53" t="s">
        <v>4</v>
      </c>
      <c r="J41" s="57">
        <v>1057.3</v>
      </c>
      <c r="K41" s="56" t="s">
        <v>520</v>
      </c>
      <c r="L41" s="56" t="s">
        <v>521</v>
      </c>
      <c r="M41" s="53" t="s">
        <v>522</v>
      </c>
      <c r="N41" s="56" t="s">
        <v>523</v>
      </c>
      <c r="O41" s="54" t="s">
        <v>4</v>
      </c>
      <c r="P41" s="56" t="s">
        <v>1255</v>
      </c>
      <c r="Q41" s="57">
        <v>109000</v>
      </c>
      <c r="R41" s="58" t="s">
        <v>4</v>
      </c>
      <c r="S41" s="57" t="s">
        <v>4</v>
      </c>
      <c r="T41" s="56" t="s">
        <v>525</v>
      </c>
    </row>
    <row r="42" spans="1:20" s="59" customFormat="1">
      <c r="A42" s="53">
        <v>135757364099</v>
      </c>
      <c r="B42" s="54" t="s">
        <v>1245</v>
      </c>
      <c r="C42" s="55">
        <v>45994</v>
      </c>
      <c r="D42" s="53">
        <v>54205151337</v>
      </c>
      <c r="E42" s="53">
        <v>2138292566305</v>
      </c>
      <c r="F42" s="56" t="s">
        <v>518</v>
      </c>
      <c r="G42" s="56" t="s">
        <v>519</v>
      </c>
      <c r="H42" s="56" t="s">
        <v>4</v>
      </c>
      <c r="I42" s="53" t="s">
        <v>4</v>
      </c>
      <c r="J42" s="57">
        <v>141.62</v>
      </c>
      <c r="K42" s="56" t="s">
        <v>520</v>
      </c>
      <c r="L42" s="56" t="s">
        <v>521</v>
      </c>
      <c r="M42" s="53" t="s">
        <v>522</v>
      </c>
      <c r="N42" s="56" t="s">
        <v>523</v>
      </c>
      <c r="O42" s="54" t="s">
        <v>4</v>
      </c>
      <c r="P42" s="56" t="s">
        <v>789</v>
      </c>
      <c r="Q42" s="57">
        <v>14600</v>
      </c>
      <c r="R42" s="58" t="s">
        <v>4</v>
      </c>
      <c r="S42" s="57" t="s">
        <v>4</v>
      </c>
      <c r="T42" s="56" t="s">
        <v>525</v>
      </c>
    </row>
    <row r="43" spans="1:20" s="59" customFormat="1">
      <c r="A43" s="53">
        <v>136379529420</v>
      </c>
      <c r="B43" s="54" t="s">
        <v>1245</v>
      </c>
      <c r="C43" s="55">
        <v>45994</v>
      </c>
      <c r="D43" s="53">
        <v>54205610330</v>
      </c>
      <c r="E43" s="53">
        <v>2138299226623</v>
      </c>
      <c r="F43" s="56" t="s">
        <v>529</v>
      </c>
      <c r="G43" s="56" t="s">
        <v>519</v>
      </c>
      <c r="H43" s="56" t="s">
        <v>4</v>
      </c>
      <c r="I43" s="53" t="s">
        <v>4</v>
      </c>
      <c r="J43" s="57">
        <v>2888.55</v>
      </c>
      <c r="K43" s="56" t="s">
        <v>520</v>
      </c>
      <c r="L43" s="56" t="s">
        <v>530</v>
      </c>
      <c r="M43" s="53" t="s">
        <v>522</v>
      </c>
      <c r="N43" s="56" t="s">
        <v>523</v>
      </c>
      <c r="O43" s="54" t="s">
        <v>263</v>
      </c>
      <c r="P43" s="56" t="s">
        <v>531</v>
      </c>
      <c r="Q43" s="57">
        <v>73500</v>
      </c>
      <c r="R43" s="58" t="s">
        <v>4</v>
      </c>
      <c r="S43" s="57" t="s">
        <v>4</v>
      </c>
      <c r="T43" s="56" t="s">
        <v>525</v>
      </c>
    </row>
    <row r="44" spans="1:20" s="59" customFormat="1">
      <c r="A44" s="53">
        <v>136380032928</v>
      </c>
      <c r="B44" s="54" t="s">
        <v>1245</v>
      </c>
      <c r="C44" s="55">
        <v>45994</v>
      </c>
      <c r="D44" s="53">
        <v>54205773905</v>
      </c>
      <c r="E44" s="53">
        <v>2138301936037</v>
      </c>
      <c r="F44" s="56" t="s">
        <v>529</v>
      </c>
      <c r="G44" s="56" t="s">
        <v>519</v>
      </c>
      <c r="H44" s="56" t="s">
        <v>4</v>
      </c>
      <c r="I44" s="53" t="s">
        <v>4</v>
      </c>
      <c r="J44" s="57">
        <v>6087.45</v>
      </c>
      <c r="K44" s="56" t="s">
        <v>520</v>
      </c>
      <c r="L44" s="56" t="s">
        <v>530</v>
      </c>
      <c r="M44" s="53" t="s">
        <v>522</v>
      </c>
      <c r="N44" s="56" t="s">
        <v>523</v>
      </c>
      <c r="O44" s="54" t="s">
        <v>263</v>
      </c>
      <c r="P44" s="56" t="s">
        <v>531</v>
      </c>
      <c r="Q44" s="57">
        <v>154897</v>
      </c>
      <c r="R44" s="58" t="s">
        <v>4</v>
      </c>
      <c r="S44" s="57" t="s">
        <v>4</v>
      </c>
      <c r="T44" s="56" t="s">
        <v>525</v>
      </c>
    </row>
    <row r="45" spans="1:20" s="59" customFormat="1">
      <c r="A45" s="53">
        <v>136380185164</v>
      </c>
      <c r="B45" s="54" t="s">
        <v>1245</v>
      </c>
      <c r="C45" s="55">
        <v>45994</v>
      </c>
      <c r="D45" s="53">
        <v>54205841364</v>
      </c>
      <c r="E45" s="53">
        <v>2138302453357</v>
      </c>
      <c r="F45" s="56" t="s">
        <v>518</v>
      </c>
      <c r="G45" s="56" t="s">
        <v>519</v>
      </c>
      <c r="H45" s="56" t="s">
        <v>4</v>
      </c>
      <c r="I45" s="53" t="s">
        <v>4</v>
      </c>
      <c r="J45" s="57">
        <v>821.52</v>
      </c>
      <c r="K45" s="56" t="s">
        <v>520</v>
      </c>
      <c r="L45" s="56" t="s">
        <v>521</v>
      </c>
      <c r="M45" s="53" t="s">
        <v>522</v>
      </c>
      <c r="N45" s="56" t="s">
        <v>523</v>
      </c>
      <c r="O45" s="54" t="s">
        <v>4</v>
      </c>
      <c r="P45" s="56" t="s">
        <v>1256</v>
      </c>
      <c r="Q45" s="57">
        <v>50400</v>
      </c>
      <c r="R45" s="58" t="s">
        <v>4</v>
      </c>
      <c r="S45" s="57" t="s">
        <v>4</v>
      </c>
      <c r="T45" s="56" t="s">
        <v>525</v>
      </c>
    </row>
    <row r="46" spans="1:20" s="59" customFormat="1">
      <c r="A46" s="53">
        <v>135759480719</v>
      </c>
      <c r="B46" s="54" t="s">
        <v>1245</v>
      </c>
      <c r="C46" s="55">
        <v>45994</v>
      </c>
      <c r="D46" s="53">
        <v>54206008055</v>
      </c>
      <c r="E46" s="53">
        <v>2138304836889</v>
      </c>
      <c r="F46" s="56" t="s">
        <v>518</v>
      </c>
      <c r="G46" s="56" t="s">
        <v>519</v>
      </c>
      <c r="H46" s="56" t="s">
        <v>4</v>
      </c>
      <c r="I46" s="53" t="s">
        <v>4</v>
      </c>
      <c r="J46" s="57">
        <v>232.78</v>
      </c>
      <c r="K46" s="56" t="s">
        <v>520</v>
      </c>
      <c r="L46" s="56" t="s">
        <v>521</v>
      </c>
      <c r="M46" s="53" t="s">
        <v>522</v>
      </c>
      <c r="N46" s="56" t="s">
        <v>523</v>
      </c>
      <c r="O46" s="54" t="s">
        <v>4</v>
      </c>
      <c r="P46" s="56" t="s">
        <v>734</v>
      </c>
      <c r="Q46" s="57">
        <v>23998</v>
      </c>
      <c r="R46" s="58" t="s">
        <v>4</v>
      </c>
      <c r="S46" s="57" t="s">
        <v>4</v>
      </c>
      <c r="T46" s="56" t="s">
        <v>525</v>
      </c>
    </row>
    <row r="47" spans="1:20" s="59" customFormat="1">
      <c r="A47" s="53">
        <v>136380675948</v>
      </c>
      <c r="B47" s="54" t="s">
        <v>1245</v>
      </c>
      <c r="C47" s="55">
        <v>45994</v>
      </c>
      <c r="D47" s="53">
        <v>54206130691</v>
      </c>
      <c r="E47" s="53">
        <v>2138435526624</v>
      </c>
      <c r="F47" s="56" t="s">
        <v>518</v>
      </c>
      <c r="G47" s="56" t="s">
        <v>519</v>
      </c>
      <c r="H47" s="56" t="s">
        <v>4</v>
      </c>
      <c r="I47" s="53" t="s">
        <v>4</v>
      </c>
      <c r="J47" s="57">
        <v>673.17</v>
      </c>
      <c r="K47" s="56" t="s">
        <v>520</v>
      </c>
      <c r="L47" s="56" t="s">
        <v>521</v>
      </c>
      <c r="M47" s="53" t="s">
        <v>522</v>
      </c>
      <c r="N47" s="56" t="s">
        <v>523</v>
      </c>
      <c r="O47" s="54" t="s">
        <v>4</v>
      </c>
      <c r="P47" s="56" t="s">
        <v>1257</v>
      </c>
      <c r="Q47" s="57">
        <v>69399</v>
      </c>
      <c r="R47" s="58" t="s">
        <v>4</v>
      </c>
      <c r="S47" s="57" t="s">
        <v>4</v>
      </c>
      <c r="T47" s="56" t="s">
        <v>525</v>
      </c>
    </row>
    <row r="48" spans="1:20" s="59" customFormat="1">
      <c r="A48" s="53">
        <v>135759894119</v>
      </c>
      <c r="B48" s="54" t="s">
        <v>1245</v>
      </c>
      <c r="C48" s="55">
        <v>45994</v>
      </c>
      <c r="D48" s="53">
        <v>54206160206</v>
      </c>
      <c r="E48" s="53">
        <v>2138306879839</v>
      </c>
      <c r="F48" s="56" t="s">
        <v>518</v>
      </c>
      <c r="G48" s="56" t="s">
        <v>519</v>
      </c>
      <c r="H48" s="56" t="s">
        <v>4</v>
      </c>
      <c r="I48" s="53" t="s">
        <v>4</v>
      </c>
      <c r="J48" s="57">
        <v>349.17</v>
      </c>
      <c r="K48" s="56" t="s">
        <v>520</v>
      </c>
      <c r="L48" s="56" t="s">
        <v>521</v>
      </c>
      <c r="M48" s="53" t="s">
        <v>522</v>
      </c>
      <c r="N48" s="56" t="s">
        <v>523</v>
      </c>
      <c r="O48" s="54" t="s">
        <v>4</v>
      </c>
      <c r="P48" s="56" t="s">
        <v>1258</v>
      </c>
      <c r="Q48" s="57">
        <v>35997</v>
      </c>
      <c r="R48" s="58" t="s">
        <v>4</v>
      </c>
      <c r="S48" s="57" t="s">
        <v>4</v>
      </c>
      <c r="T48" s="56" t="s">
        <v>525</v>
      </c>
    </row>
    <row r="49" spans="1:20" s="59" customFormat="1">
      <c r="A49" s="53">
        <v>135759931927</v>
      </c>
      <c r="B49" s="54" t="s">
        <v>1245</v>
      </c>
      <c r="C49" s="55">
        <v>45995</v>
      </c>
      <c r="D49" s="53">
        <v>54206307187</v>
      </c>
      <c r="E49" s="53">
        <v>2138308836093</v>
      </c>
      <c r="F49" s="56" t="s">
        <v>526</v>
      </c>
      <c r="G49" s="56" t="s">
        <v>519</v>
      </c>
      <c r="H49" s="56" t="s">
        <v>4</v>
      </c>
      <c r="I49" s="53" t="s">
        <v>4</v>
      </c>
      <c r="J49" s="57">
        <v>81.48</v>
      </c>
      <c r="K49" s="56" t="s">
        <v>520</v>
      </c>
      <c r="L49" s="56" t="s">
        <v>521</v>
      </c>
      <c r="M49" s="53" t="s">
        <v>522</v>
      </c>
      <c r="N49" s="56" t="s">
        <v>523</v>
      </c>
      <c r="O49" s="54" t="s">
        <v>4</v>
      </c>
      <c r="P49" s="56" t="s">
        <v>527</v>
      </c>
      <c r="Q49" s="57">
        <v>8400</v>
      </c>
      <c r="R49" s="58" t="s">
        <v>4</v>
      </c>
      <c r="S49" s="57" t="s">
        <v>4</v>
      </c>
      <c r="T49" s="56" t="s">
        <v>4</v>
      </c>
    </row>
    <row r="50" spans="1:20" s="59" customFormat="1">
      <c r="A50" s="53">
        <v>136381321286</v>
      </c>
      <c r="B50" s="54" t="s">
        <v>1245</v>
      </c>
      <c r="C50" s="55">
        <v>45995</v>
      </c>
      <c r="D50" s="53">
        <v>54206407970</v>
      </c>
      <c r="E50" s="53">
        <v>2138439287148</v>
      </c>
      <c r="F50" s="56" t="s">
        <v>518</v>
      </c>
      <c r="G50" s="56" t="s">
        <v>519</v>
      </c>
      <c r="H50" s="56" t="s">
        <v>4</v>
      </c>
      <c r="I50" s="53" t="s">
        <v>4</v>
      </c>
      <c r="J50" s="57">
        <v>97.97</v>
      </c>
      <c r="K50" s="56" t="s">
        <v>520</v>
      </c>
      <c r="L50" s="56" t="s">
        <v>521</v>
      </c>
      <c r="M50" s="53" t="s">
        <v>522</v>
      </c>
      <c r="N50" s="56" t="s">
        <v>523</v>
      </c>
      <c r="O50" s="54" t="s">
        <v>4</v>
      </c>
      <c r="P50" s="56" t="s">
        <v>1259</v>
      </c>
      <c r="Q50" s="57">
        <v>10100</v>
      </c>
      <c r="R50" s="58" t="s">
        <v>4</v>
      </c>
      <c r="S50" s="57" t="s">
        <v>4</v>
      </c>
      <c r="T50" s="56" t="s">
        <v>525</v>
      </c>
    </row>
    <row r="51" spans="1:20" s="59" customFormat="1">
      <c r="A51" s="53">
        <v>135760346847</v>
      </c>
      <c r="B51" s="54" t="s">
        <v>1245</v>
      </c>
      <c r="C51" s="55">
        <v>45995</v>
      </c>
      <c r="D51" s="53">
        <v>54206430316</v>
      </c>
      <c r="E51" s="53">
        <v>2138439838072</v>
      </c>
      <c r="F51" s="56" t="s">
        <v>518</v>
      </c>
      <c r="G51" s="56" t="s">
        <v>519</v>
      </c>
      <c r="H51" s="56" t="s">
        <v>4</v>
      </c>
      <c r="I51" s="53" t="s">
        <v>4</v>
      </c>
      <c r="J51" s="57">
        <v>116.39</v>
      </c>
      <c r="K51" s="56" t="s">
        <v>520</v>
      </c>
      <c r="L51" s="56" t="s">
        <v>521</v>
      </c>
      <c r="M51" s="53" t="s">
        <v>522</v>
      </c>
      <c r="N51" s="56" t="s">
        <v>523</v>
      </c>
      <c r="O51" s="54" t="s">
        <v>4</v>
      </c>
      <c r="P51" s="56" t="s">
        <v>1016</v>
      </c>
      <c r="Q51" s="57">
        <v>11999</v>
      </c>
      <c r="R51" s="58" t="s">
        <v>4</v>
      </c>
      <c r="S51" s="57" t="s">
        <v>4</v>
      </c>
      <c r="T51" s="56" t="s">
        <v>525</v>
      </c>
    </row>
    <row r="52" spans="1:20" s="59" customFormat="1">
      <c r="A52" s="53">
        <v>135760275699</v>
      </c>
      <c r="B52" s="54" t="s">
        <v>1245</v>
      </c>
      <c r="C52" s="55">
        <v>45995</v>
      </c>
      <c r="D52" s="53">
        <v>54206453607</v>
      </c>
      <c r="E52" s="53">
        <v>2138311153723</v>
      </c>
      <c r="F52" s="56" t="s">
        <v>518</v>
      </c>
      <c r="G52" s="56" t="s">
        <v>519</v>
      </c>
      <c r="H52" s="56" t="s">
        <v>4</v>
      </c>
      <c r="I52" s="53" t="s">
        <v>4</v>
      </c>
      <c r="J52" s="57">
        <v>615.95000000000005</v>
      </c>
      <c r="K52" s="56" t="s">
        <v>520</v>
      </c>
      <c r="L52" s="56" t="s">
        <v>521</v>
      </c>
      <c r="M52" s="53" t="s">
        <v>522</v>
      </c>
      <c r="N52" s="56" t="s">
        <v>523</v>
      </c>
      <c r="O52" s="54" t="s">
        <v>4</v>
      </c>
      <c r="P52" s="56" t="s">
        <v>1260</v>
      </c>
      <c r="Q52" s="57">
        <v>63500</v>
      </c>
      <c r="R52" s="58" t="s">
        <v>4</v>
      </c>
      <c r="S52" s="57" t="s">
        <v>4</v>
      </c>
      <c r="T52" s="56" t="s">
        <v>525</v>
      </c>
    </row>
    <row r="53" spans="1:20" s="59" customFormat="1">
      <c r="A53" s="53">
        <v>136382002426</v>
      </c>
      <c r="B53" s="54" t="s">
        <v>1245</v>
      </c>
      <c r="C53" s="55">
        <v>45995</v>
      </c>
      <c r="D53" s="53">
        <v>54206671476</v>
      </c>
      <c r="E53" s="53">
        <v>2138443421074</v>
      </c>
      <c r="F53" s="56" t="s">
        <v>518</v>
      </c>
      <c r="G53" s="56" t="s">
        <v>519</v>
      </c>
      <c r="H53" s="56" t="s">
        <v>4</v>
      </c>
      <c r="I53" s="53" t="s">
        <v>4</v>
      </c>
      <c r="J53" s="57">
        <v>520.89</v>
      </c>
      <c r="K53" s="56" t="s">
        <v>520</v>
      </c>
      <c r="L53" s="56" t="s">
        <v>521</v>
      </c>
      <c r="M53" s="53" t="s">
        <v>522</v>
      </c>
      <c r="N53" s="56" t="s">
        <v>523</v>
      </c>
      <c r="O53" s="54" t="s">
        <v>4</v>
      </c>
      <c r="P53" s="56" t="s">
        <v>1261</v>
      </c>
      <c r="Q53" s="57">
        <v>53700</v>
      </c>
      <c r="R53" s="58" t="s">
        <v>4</v>
      </c>
      <c r="S53" s="57" t="s">
        <v>4</v>
      </c>
      <c r="T53" s="56" t="s">
        <v>525</v>
      </c>
    </row>
    <row r="54" spans="1:20" s="59" customFormat="1">
      <c r="A54" s="53">
        <v>135762331375</v>
      </c>
      <c r="B54" s="54" t="s">
        <v>1245</v>
      </c>
      <c r="C54" s="55">
        <v>45995</v>
      </c>
      <c r="D54" s="53">
        <v>54207267695</v>
      </c>
      <c r="E54" s="53">
        <v>2138325159669</v>
      </c>
      <c r="F54" s="56" t="s">
        <v>518</v>
      </c>
      <c r="G54" s="56" t="s">
        <v>519</v>
      </c>
      <c r="H54" s="56" t="s">
        <v>4</v>
      </c>
      <c r="I54" s="53" t="s">
        <v>4</v>
      </c>
      <c r="J54" s="57">
        <v>47.53</v>
      </c>
      <c r="K54" s="56" t="s">
        <v>520</v>
      </c>
      <c r="L54" s="56" t="s">
        <v>521</v>
      </c>
      <c r="M54" s="53" t="s">
        <v>522</v>
      </c>
      <c r="N54" s="56" t="s">
        <v>523</v>
      </c>
      <c r="O54" s="54" t="s">
        <v>4</v>
      </c>
      <c r="P54" s="56" t="s">
        <v>789</v>
      </c>
      <c r="Q54" s="57">
        <v>4900</v>
      </c>
      <c r="R54" s="58" t="s">
        <v>4</v>
      </c>
      <c r="S54" s="57" t="s">
        <v>4</v>
      </c>
      <c r="T54" s="56" t="s">
        <v>525</v>
      </c>
    </row>
    <row r="55" spans="1:20" s="59" customFormat="1">
      <c r="A55" s="53">
        <v>136383695972</v>
      </c>
      <c r="B55" s="54" t="s">
        <v>1245</v>
      </c>
      <c r="C55" s="55">
        <v>45995</v>
      </c>
      <c r="D55" s="53">
        <v>54207406619</v>
      </c>
      <c r="E55" s="53">
        <v>2138327987765</v>
      </c>
      <c r="F55" s="56" t="s">
        <v>529</v>
      </c>
      <c r="G55" s="56" t="s">
        <v>519</v>
      </c>
      <c r="H55" s="56" t="s">
        <v>4</v>
      </c>
      <c r="I55" s="53" t="s">
        <v>4</v>
      </c>
      <c r="J55" s="57">
        <v>2625.3</v>
      </c>
      <c r="K55" s="56" t="s">
        <v>520</v>
      </c>
      <c r="L55" s="56" t="s">
        <v>530</v>
      </c>
      <c r="M55" s="53" t="s">
        <v>522</v>
      </c>
      <c r="N55" s="56" t="s">
        <v>523</v>
      </c>
      <c r="O55" s="54" t="s">
        <v>263</v>
      </c>
      <c r="P55" s="56" t="s">
        <v>531</v>
      </c>
      <c r="Q55" s="57">
        <v>34498</v>
      </c>
      <c r="R55" s="58" t="s">
        <v>4</v>
      </c>
      <c r="S55" s="57" t="s">
        <v>4</v>
      </c>
      <c r="T55" s="56" t="s">
        <v>525</v>
      </c>
    </row>
    <row r="56" spans="1:20" s="59" customFormat="1">
      <c r="A56" s="53">
        <v>136384024660</v>
      </c>
      <c r="B56" s="54" t="s">
        <v>1245</v>
      </c>
      <c r="C56" s="55">
        <v>45995</v>
      </c>
      <c r="D56" s="53">
        <v>54207424212</v>
      </c>
      <c r="E56" s="53">
        <v>2138328839867</v>
      </c>
      <c r="F56" s="56" t="s">
        <v>518</v>
      </c>
      <c r="G56" s="56" t="s">
        <v>519</v>
      </c>
      <c r="H56" s="56" t="s">
        <v>4</v>
      </c>
      <c r="I56" s="53" t="s">
        <v>4</v>
      </c>
      <c r="J56" s="57">
        <v>188.18</v>
      </c>
      <c r="K56" s="56" t="s">
        <v>520</v>
      </c>
      <c r="L56" s="56" t="s">
        <v>521</v>
      </c>
      <c r="M56" s="53" t="s">
        <v>522</v>
      </c>
      <c r="N56" s="56" t="s">
        <v>523</v>
      </c>
      <c r="O56" s="54" t="s">
        <v>4</v>
      </c>
      <c r="P56" s="56" t="s">
        <v>1262</v>
      </c>
      <c r="Q56" s="57">
        <v>19400</v>
      </c>
      <c r="R56" s="58" t="s">
        <v>4</v>
      </c>
      <c r="S56" s="57" t="s">
        <v>4</v>
      </c>
      <c r="T56" s="56" t="s">
        <v>525</v>
      </c>
    </row>
    <row r="57" spans="1:20" s="59" customFormat="1">
      <c r="A57" s="53">
        <v>136383829954</v>
      </c>
      <c r="B57" s="54" t="s">
        <v>1245</v>
      </c>
      <c r="C57" s="55">
        <v>45995</v>
      </c>
      <c r="D57" s="53">
        <v>54207431777</v>
      </c>
      <c r="E57" s="53">
        <v>2138458518430</v>
      </c>
      <c r="F57" s="56" t="s">
        <v>518</v>
      </c>
      <c r="G57" s="56" t="s">
        <v>519</v>
      </c>
      <c r="H57" s="56" t="s">
        <v>4</v>
      </c>
      <c r="I57" s="53" t="s">
        <v>4</v>
      </c>
      <c r="J57" s="57">
        <v>296.82</v>
      </c>
      <c r="K57" s="56" t="s">
        <v>520</v>
      </c>
      <c r="L57" s="56" t="s">
        <v>521</v>
      </c>
      <c r="M57" s="53" t="s">
        <v>522</v>
      </c>
      <c r="N57" s="56" t="s">
        <v>523</v>
      </c>
      <c r="O57" s="54" t="s">
        <v>4</v>
      </c>
      <c r="P57" s="56" t="s">
        <v>1263</v>
      </c>
      <c r="Q57" s="57">
        <v>30600</v>
      </c>
      <c r="R57" s="58" t="s">
        <v>4</v>
      </c>
      <c r="S57" s="57" t="s">
        <v>4</v>
      </c>
      <c r="T57" s="56" t="s">
        <v>525</v>
      </c>
    </row>
    <row r="58" spans="1:20" s="59" customFormat="1">
      <c r="A58" s="53">
        <v>136384104070</v>
      </c>
      <c r="B58" s="54" t="s">
        <v>1245</v>
      </c>
      <c r="C58" s="55">
        <v>45995</v>
      </c>
      <c r="D58" s="53">
        <v>54207573633</v>
      </c>
      <c r="E58" s="53">
        <v>2138331962073</v>
      </c>
      <c r="F58" s="56" t="s">
        <v>529</v>
      </c>
      <c r="G58" s="56" t="s">
        <v>519</v>
      </c>
      <c r="H58" s="56" t="s">
        <v>4</v>
      </c>
      <c r="I58" s="53" t="s">
        <v>4</v>
      </c>
      <c r="J58" s="57">
        <v>1870.68</v>
      </c>
      <c r="K58" s="56" t="s">
        <v>520</v>
      </c>
      <c r="L58" s="56" t="s">
        <v>530</v>
      </c>
      <c r="M58" s="53" t="s">
        <v>522</v>
      </c>
      <c r="N58" s="56" t="s">
        <v>523</v>
      </c>
      <c r="O58" s="54" t="s">
        <v>263</v>
      </c>
      <c r="P58" s="56" t="s">
        <v>531</v>
      </c>
      <c r="Q58" s="57">
        <v>47600</v>
      </c>
      <c r="R58" s="58" t="s">
        <v>4</v>
      </c>
      <c r="S58" s="57" t="s">
        <v>4</v>
      </c>
      <c r="T58" s="56" t="s">
        <v>525</v>
      </c>
    </row>
    <row r="59" spans="1:20" s="59" customFormat="1">
      <c r="A59" s="53">
        <v>135763446201</v>
      </c>
      <c r="B59" s="54" t="s">
        <v>1245</v>
      </c>
      <c r="C59" s="55">
        <v>45995</v>
      </c>
      <c r="D59" s="53">
        <v>54207622616</v>
      </c>
      <c r="E59" s="53">
        <v>2138462459972</v>
      </c>
      <c r="F59" s="56" t="s">
        <v>526</v>
      </c>
      <c r="G59" s="56" t="s">
        <v>519</v>
      </c>
      <c r="H59" s="56" t="s">
        <v>4</v>
      </c>
      <c r="I59" s="53" t="s">
        <v>4</v>
      </c>
      <c r="J59" s="57">
        <v>205.64</v>
      </c>
      <c r="K59" s="56" t="s">
        <v>520</v>
      </c>
      <c r="L59" s="56" t="s">
        <v>521</v>
      </c>
      <c r="M59" s="53" t="s">
        <v>522</v>
      </c>
      <c r="N59" s="56" t="s">
        <v>523</v>
      </c>
      <c r="O59" s="54" t="s">
        <v>4</v>
      </c>
      <c r="P59" s="56" t="s">
        <v>527</v>
      </c>
      <c r="Q59" s="57">
        <v>21200</v>
      </c>
      <c r="R59" s="58" t="s">
        <v>4</v>
      </c>
      <c r="S59" s="57" t="s">
        <v>4</v>
      </c>
      <c r="T59" s="56" t="s">
        <v>4</v>
      </c>
    </row>
    <row r="60" spans="1:20" s="59" customFormat="1">
      <c r="A60" s="53">
        <v>135877734691</v>
      </c>
      <c r="B60" s="54" t="s">
        <v>1245</v>
      </c>
      <c r="C60" s="55">
        <v>45995</v>
      </c>
      <c r="D60" s="53">
        <v>54251251227</v>
      </c>
      <c r="E60" s="53">
        <v>2139111916003</v>
      </c>
      <c r="F60" s="56" t="s">
        <v>529</v>
      </c>
      <c r="G60" s="56" t="s">
        <v>519</v>
      </c>
      <c r="H60" s="56" t="s">
        <v>4</v>
      </c>
      <c r="I60" s="53" t="s">
        <v>4</v>
      </c>
      <c r="J60" s="57">
        <v>667.38</v>
      </c>
      <c r="K60" s="56" t="s">
        <v>520</v>
      </c>
      <c r="L60" s="56" t="s">
        <v>530</v>
      </c>
      <c r="M60" s="53" t="s">
        <v>522</v>
      </c>
      <c r="N60" s="56" t="s">
        <v>523</v>
      </c>
      <c r="O60" s="54" t="s">
        <v>263</v>
      </c>
      <c r="P60" s="56" t="s">
        <v>531</v>
      </c>
      <c r="Q60" s="57">
        <v>14700</v>
      </c>
      <c r="R60" s="58" t="s">
        <v>4</v>
      </c>
      <c r="S60" s="57" t="s">
        <v>4</v>
      </c>
      <c r="T60" s="56" t="s">
        <v>525</v>
      </c>
    </row>
    <row r="61" spans="1:20" s="59" customFormat="1">
      <c r="A61" s="53">
        <v>136505580672</v>
      </c>
      <c r="B61" s="54" t="s">
        <v>1245</v>
      </c>
      <c r="C61" s="55">
        <v>45995</v>
      </c>
      <c r="D61" s="53">
        <v>54253200155</v>
      </c>
      <c r="E61" s="53">
        <v>2139275437070</v>
      </c>
      <c r="F61" s="56" t="s">
        <v>518</v>
      </c>
      <c r="G61" s="56" t="s">
        <v>519</v>
      </c>
      <c r="H61" s="56" t="s">
        <v>4</v>
      </c>
      <c r="I61" s="53" t="s">
        <v>4</v>
      </c>
      <c r="J61" s="57">
        <v>2146.02</v>
      </c>
      <c r="K61" s="56" t="s">
        <v>520</v>
      </c>
      <c r="L61" s="56" t="s">
        <v>521</v>
      </c>
      <c r="M61" s="53" t="s">
        <v>522</v>
      </c>
      <c r="N61" s="56" t="s">
        <v>523</v>
      </c>
      <c r="O61" s="54" t="s">
        <v>4</v>
      </c>
      <c r="P61" s="56" t="s">
        <v>1264</v>
      </c>
      <c r="Q61" s="57">
        <v>28200</v>
      </c>
      <c r="R61" s="58" t="s">
        <v>4</v>
      </c>
      <c r="S61" s="57" t="s">
        <v>4</v>
      </c>
      <c r="T61" s="56" t="s">
        <v>525</v>
      </c>
    </row>
    <row r="62" spans="1:20" s="59" customFormat="1">
      <c r="A62" s="53">
        <v>135884884887</v>
      </c>
      <c r="B62" s="54" t="s">
        <v>1245</v>
      </c>
      <c r="C62" s="55">
        <v>45995</v>
      </c>
      <c r="D62" s="53">
        <v>54253921768</v>
      </c>
      <c r="E62" s="53">
        <v>2139288150684</v>
      </c>
      <c r="F62" s="56" t="s">
        <v>529</v>
      </c>
      <c r="G62" s="56" t="s">
        <v>519</v>
      </c>
      <c r="H62" s="56" t="s">
        <v>4</v>
      </c>
      <c r="I62" s="53" t="s">
        <v>4</v>
      </c>
      <c r="J62" s="57">
        <v>1206.51</v>
      </c>
      <c r="K62" s="56" t="s">
        <v>520</v>
      </c>
      <c r="L62" s="56" t="s">
        <v>530</v>
      </c>
      <c r="M62" s="53" t="s">
        <v>522</v>
      </c>
      <c r="N62" s="56" t="s">
        <v>523</v>
      </c>
      <c r="O62" s="54" t="s">
        <v>263</v>
      </c>
      <c r="P62" s="56" t="s">
        <v>531</v>
      </c>
      <c r="Q62" s="57">
        <v>30700</v>
      </c>
      <c r="R62" s="58" t="s">
        <v>4</v>
      </c>
      <c r="S62" s="57" t="s">
        <v>4</v>
      </c>
      <c r="T62" s="56" t="s">
        <v>525</v>
      </c>
    </row>
    <row r="63" spans="1:20" s="59" customFormat="1">
      <c r="A63" s="53">
        <v>136507926506</v>
      </c>
      <c r="B63" s="54" t="s">
        <v>1245</v>
      </c>
      <c r="C63" s="55">
        <v>45995</v>
      </c>
      <c r="D63" s="53">
        <v>54254113616</v>
      </c>
      <c r="E63" s="53">
        <v>2139159899315</v>
      </c>
      <c r="F63" s="56" t="s">
        <v>529</v>
      </c>
      <c r="G63" s="56" t="s">
        <v>519</v>
      </c>
      <c r="H63" s="56" t="s">
        <v>4</v>
      </c>
      <c r="I63" s="53" t="s">
        <v>4</v>
      </c>
      <c r="J63" s="57">
        <v>385.14</v>
      </c>
      <c r="K63" s="56" t="s">
        <v>520</v>
      </c>
      <c r="L63" s="56" t="s">
        <v>530</v>
      </c>
      <c r="M63" s="53" t="s">
        <v>522</v>
      </c>
      <c r="N63" s="56" t="s">
        <v>523</v>
      </c>
      <c r="O63" s="54" t="s">
        <v>263</v>
      </c>
      <c r="P63" s="56" t="s">
        <v>531</v>
      </c>
      <c r="Q63" s="57">
        <v>9800</v>
      </c>
      <c r="R63" s="58" t="s">
        <v>4</v>
      </c>
      <c r="S63" s="57" t="s">
        <v>4</v>
      </c>
      <c r="T63" s="56" t="s">
        <v>525</v>
      </c>
    </row>
    <row r="64" spans="1:20" s="59" customFormat="1">
      <c r="A64" s="53">
        <v>135887589531</v>
      </c>
      <c r="B64" s="54" t="s">
        <v>1245</v>
      </c>
      <c r="C64" s="55">
        <v>45995</v>
      </c>
      <c r="D64" s="53">
        <v>54255011630</v>
      </c>
      <c r="E64" s="53">
        <v>2139176280701</v>
      </c>
      <c r="F64" s="56" t="s">
        <v>529</v>
      </c>
      <c r="G64" s="56" t="s">
        <v>519</v>
      </c>
      <c r="H64" s="56" t="s">
        <v>4</v>
      </c>
      <c r="I64" s="53" t="s">
        <v>4</v>
      </c>
      <c r="J64" s="57">
        <v>330.12</v>
      </c>
      <c r="K64" s="56" t="s">
        <v>520</v>
      </c>
      <c r="L64" s="56" t="s">
        <v>530</v>
      </c>
      <c r="M64" s="53" t="s">
        <v>522</v>
      </c>
      <c r="N64" s="56" t="s">
        <v>523</v>
      </c>
      <c r="O64" s="54" t="s">
        <v>263</v>
      </c>
      <c r="P64" s="56" t="s">
        <v>531</v>
      </c>
      <c r="Q64" s="57">
        <v>8400</v>
      </c>
      <c r="R64" s="58" t="s">
        <v>4</v>
      </c>
      <c r="S64" s="57" t="s">
        <v>4</v>
      </c>
      <c r="T64" s="56" t="s">
        <v>525</v>
      </c>
    </row>
    <row r="65" spans="1:20" s="59" customFormat="1">
      <c r="A65" s="53">
        <v>135889088143</v>
      </c>
      <c r="B65" s="54" t="s">
        <v>1245</v>
      </c>
      <c r="C65" s="55">
        <v>45995</v>
      </c>
      <c r="D65" s="53">
        <v>54255504773</v>
      </c>
      <c r="E65" s="53">
        <v>2139317073022</v>
      </c>
      <c r="F65" s="56" t="s">
        <v>518</v>
      </c>
      <c r="G65" s="56" t="s">
        <v>519</v>
      </c>
      <c r="H65" s="56" t="s">
        <v>4</v>
      </c>
      <c r="I65" s="53" t="s">
        <v>4</v>
      </c>
      <c r="J65" s="57">
        <v>96.03</v>
      </c>
      <c r="K65" s="56" t="s">
        <v>520</v>
      </c>
      <c r="L65" s="56" t="s">
        <v>521</v>
      </c>
      <c r="M65" s="53" t="s">
        <v>522</v>
      </c>
      <c r="N65" s="56" t="s">
        <v>523</v>
      </c>
      <c r="O65" s="54" t="s">
        <v>4</v>
      </c>
      <c r="P65" s="56" t="s">
        <v>1265</v>
      </c>
      <c r="Q65" s="57">
        <v>9900</v>
      </c>
      <c r="R65" s="58" t="s">
        <v>4</v>
      </c>
      <c r="S65" s="57" t="s">
        <v>4</v>
      </c>
      <c r="T65" s="56" t="s">
        <v>525</v>
      </c>
    </row>
    <row r="66" spans="1:20" s="59" customFormat="1">
      <c r="A66" s="53">
        <v>136512148984</v>
      </c>
      <c r="B66" s="54" t="s">
        <v>1245</v>
      </c>
      <c r="C66" s="55">
        <v>45995</v>
      </c>
      <c r="D66" s="53">
        <v>54255713912</v>
      </c>
      <c r="E66" s="53">
        <v>2139321350566</v>
      </c>
      <c r="F66" s="56" t="s">
        <v>526</v>
      </c>
      <c r="G66" s="56" t="s">
        <v>519</v>
      </c>
      <c r="H66" s="56" t="s">
        <v>4</v>
      </c>
      <c r="I66" s="53" t="s">
        <v>4</v>
      </c>
      <c r="J66" s="57">
        <v>95.06</v>
      </c>
      <c r="K66" s="56" t="s">
        <v>520</v>
      </c>
      <c r="L66" s="56" t="s">
        <v>521</v>
      </c>
      <c r="M66" s="53" t="s">
        <v>522</v>
      </c>
      <c r="N66" s="56" t="s">
        <v>523</v>
      </c>
      <c r="O66" s="54" t="s">
        <v>4</v>
      </c>
      <c r="P66" s="56" t="s">
        <v>527</v>
      </c>
      <c r="Q66" s="57">
        <v>9800</v>
      </c>
      <c r="R66" s="58" t="s">
        <v>4</v>
      </c>
      <c r="S66" s="57" t="s">
        <v>4</v>
      </c>
      <c r="T66" s="56" t="s">
        <v>4</v>
      </c>
    </row>
    <row r="67" spans="1:20" s="59" customFormat="1">
      <c r="A67" s="53">
        <v>135897982183</v>
      </c>
      <c r="B67" s="54" t="s">
        <v>1245</v>
      </c>
      <c r="C67" s="55">
        <v>45995</v>
      </c>
      <c r="D67" s="53">
        <v>54258971062</v>
      </c>
      <c r="E67" s="53">
        <v>2139384049160</v>
      </c>
      <c r="F67" s="56" t="s">
        <v>529</v>
      </c>
      <c r="G67" s="56" t="s">
        <v>519</v>
      </c>
      <c r="H67" s="56" t="s">
        <v>4</v>
      </c>
      <c r="I67" s="53" t="s">
        <v>4</v>
      </c>
      <c r="J67" s="57">
        <v>184.71</v>
      </c>
      <c r="K67" s="56" t="s">
        <v>520</v>
      </c>
      <c r="L67" s="56" t="s">
        <v>530</v>
      </c>
      <c r="M67" s="53" t="s">
        <v>522</v>
      </c>
      <c r="N67" s="56" t="s">
        <v>523</v>
      </c>
      <c r="O67" s="54" t="s">
        <v>263</v>
      </c>
      <c r="P67" s="56" t="s">
        <v>531</v>
      </c>
      <c r="Q67" s="57">
        <v>4700</v>
      </c>
      <c r="R67" s="58" t="s">
        <v>4</v>
      </c>
      <c r="S67" s="57" t="s">
        <v>4</v>
      </c>
      <c r="T67" s="56" t="s">
        <v>525</v>
      </c>
    </row>
    <row r="68" spans="1:20" s="59" customFormat="1">
      <c r="A68" s="53">
        <v>136520889392</v>
      </c>
      <c r="B68" s="54" t="s">
        <v>1245</v>
      </c>
      <c r="C68" s="55">
        <v>45995</v>
      </c>
      <c r="D68" s="53">
        <v>54259052989</v>
      </c>
      <c r="E68" s="53">
        <v>2139385615814</v>
      </c>
      <c r="F68" s="56" t="s">
        <v>518</v>
      </c>
      <c r="G68" s="56" t="s">
        <v>519</v>
      </c>
      <c r="H68" s="56" t="s">
        <v>4</v>
      </c>
      <c r="I68" s="53" t="s">
        <v>4</v>
      </c>
      <c r="J68" s="57">
        <v>46.56</v>
      </c>
      <c r="K68" s="56" t="s">
        <v>520</v>
      </c>
      <c r="L68" s="56" t="s">
        <v>521</v>
      </c>
      <c r="M68" s="53" t="s">
        <v>522</v>
      </c>
      <c r="N68" s="56" t="s">
        <v>523</v>
      </c>
      <c r="O68" s="54" t="s">
        <v>4</v>
      </c>
      <c r="P68" s="56" t="s">
        <v>819</v>
      </c>
      <c r="Q68" s="57">
        <v>4800</v>
      </c>
      <c r="R68" s="58" t="s">
        <v>4</v>
      </c>
      <c r="S68" s="57" t="s">
        <v>4</v>
      </c>
      <c r="T68" s="56" t="s">
        <v>525</v>
      </c>
    </row>
    <row r="69" spans="1:20" s="59" customFormat="1">
      <c r="A69" s="53">
        <v>135898239819</v>
      </c>
      <c r="B69" s="54" t="s">
        <v>1245</v>
      </c>
      <c r="C69" s="55">
        <v>45995</v>
      </c>
      <c r="D69" s="53">
        <v>54259100498</v>
      </c>
      <c r="E69" s="53">
        <v>2139386708412</v>
      </c>
      <c r="F69" s="56" t="s">
        <v>526</v>
      </c>
      <c r="G69" s="56" t="s">
        <v>519</v>
      </c>
      <c r="H69" s="56" t="s">
        <v>4</v>
      </c>
      <c r="I69" s="53" t="s">
        <v>4</v>
      </c>
      <c r="J69" s="57">
        <v>40.74</v>
      </c>
      <c r="K69" s="56" t="s">
        <v>520</v>
      </c>
      <c r="L69" s="56" t="s">
        <v>521</v>
      </c>
      <c r="M69" s="53" t="s">
        <v>522</v>
      </c>
      <c r="N69" s="56" t="s">
        <v>523</v>
      </c>
      <c r="O69" s="54" t="s">
        <v>4</v>
      </c>
      <c r="P69" s="56" t="s">
        <v>527</v>
      </c>
      <c r="Q69" s="57">
        <v>4200</v>
      </c>
      <c r="R69" s="58" t="s">
        <v>4</v>
      </c>
      <c r="S69" s="57" t="s">
        <v>4</v>
      </c>
      <c r="T69" s="56" t="s">
        <v>4</v>
      </c>
    </row>
    <row r="70" spans="1:20" s="59" customFormat="1">
      <c r="A70" s="53">
        <v>136521246224</v>
      </c>
      <c r="B70" s="54" t="s">
        <v>1245</v>
      </c>
      <c r="C70" s="55">
        <v>45995</v>
      </c>
      <c r="D70" s="53">
        <v>54259178746</v>
      </c>
      <c r="E70" s="53">
        <v>2139256374183</v>
      </c>
      <c r="F70" s="56" t="s">
        <v>529</v>
      </c>
      <c r="G70" s="56" t="s">
        <v>519</v>
      </c>
      <c r="H70" s="56" t="s">
        <v>4</v>
      </c>
      <c r="I70" s="53" t="s">
        <v>4</v>
      </c>
      <c r="J70" s="57">
        <v>1030.58</v>
      </c>
      <c r="K70" s="56" t="s">
        <v>520</v>
      </c>
      <c r="L70" s="56" t="s">
        <v>530</v>
      </c>
      <c r="M70" s="53" t="s">
        <v>522</v>
      </c>
      <c r="N70" s="56" t="s">
        <v>523</v>
      </c>
      <c r="O70" s="54" t="s">
        <v>263</v>
      </c>
      <c r="P70" s="56" t="s">
        <v>531</v>
      </c>
      <c r="Q70" s="57">
        <v>22700</v>
      </c>
      <c r="R70" s="58" t="s">
        <v>4</v>
      </c>
      <c r="S70" s="57" t="s">
        <v>4</v>
      </c>
      <c r="T70" s="56" t="s">
        <v>525</v>
      </c>
    </row>
    <row r="71" spans="1:20" s="59" customFormat="1">
      <c r="A71" s="53">
        <v>135899858747</v>
      </c>
      <c r="B71" s="54" t="s">
        <v>1245</v>
      </c>
      <c r="C71" s="55">
        <v>45995</v>
      </c>
      <c r="D71" s="53">
        <v>54259670543</v>
      </c>
      <c r="E71" s="53">
        <v>2139265905985</v>
      </c>
      <c r="F71" s="56" t="s">
        <v>529</v>
      </c>
      <c r="G71" s="56" t="s">
        <v>519</v>
      </c>
      <c r="H71" s="56" t="s">
        <v>4</v>
      </c>
      <c r="I71" s="53" t="s">
        <v>4</v>
      </c>
      <c r="J71" s="57">
        <v>617.44000000000005</v>
      </c>
      <c r="K71" s="56" t="s">
        <v>520</v>
      </c>
      <c r="L71" s="56" t="s">
        <v>530</v>
      </c>
      <c r="M71" s="53" t="s">
        <v>522</v>
      </c>
      <c r="N71" s="56" t="s">
        <v>523</v>
      </c>
      <c r="O71" s="54" t="s">
        <v>263</v>
      </c>
      <c r="P71" s="56" t="s">
        <v>531</v>
      </c>
      <c r="Q71" s="57">
        <v>13600</v>
      </c>
      <c r="R71" s="58" t="s">
        <v>4</v>
      </c>
      <c r="S71" s="57" t="s">
        <v>4</v>
      </c>
      <c r="T71" s="56" t="s">
        <v>525</v>
      </c>
    </row>
    <row r="72" spans="1:20" s="59" customFormat="1">
      <c r="A72" s="53">
        <v>136522852030</v>
      </c>
      <c r="B72" s="54" t="s">
        <v>1245</v>
      </c>
      <c r="C72" s="55">
        <v>45995</v>
      </c>
      <c r="D72" s="53">
        <v>54259885111</v>
      </c>
      <c r="E72" s="53">
        <v>2139402060908</v>
      </c>
      <c r="F72" s="56" t="s">
        <v>518</v>
      </c>
      <c r="G72" s="56" t="s">
        <v>519</v>
      </c>
      <c r="H72" s="56" t="s">
        <v>4</v>
      </c>
      <c r="I72" s="53" t="s">
        <v>4</v>
      </c>
      <c r="J72" s="57">
        <v>268.69</v>
      </c>
      <c r="K72" s="56" t="s">
        <v>520</v>
      </c>
      <c r="L72" s="56" t="s">
        <v>521</v>
      </c>
      <c r="M72" s="53" t="s">
        <v>522</v>
      </c>
      <c r="N72" s="56" t="s">
        <v>523</v>
      </c>
      <c r="O72" s="54" t="s">
        <v>4</v>
      </c>
      <c r="P72" s="56" t="s">
        <v>1266</v>
      </c>
      <c r="Q72" s="57">
        <v>27700</v>
      </c>
      <c r="R72" s="58" t="s">
        <v>4</v>
      </c>
      <c r="S72" s="57" t="s">
        <v>4</v>
      </c>
      <c r="T72" s="56" t="s">
        <v>525</v>
      </c>
    </row>
    <row r="73" spans="1:20" s="59" customFormat="1">
      <c r="A73" s="53">
        <v>135900371775</v>
      </c>
      <c r="B73" s="54" t="s">
        <v>1245</v>
      </c>
      <c r="C73" s="55">
        <v>45995</v>
      </c>
      <c r="D73" s="53">
        <v>54259899294</v>
      </c>
      <c r="E73" s="53">
        <v>2139402267422</v>
      </c>
      <c r="F73" s="56" t="s">
        <v>529</v>
      </c>
      <c r="G73" s="56" t="s">
        <v>519</v>
      </c>
      <c r="H73" s="56" t="s">
        <v>4</v>
      </c>
      <c r="I73" s="53" t="s">
        <v>4</v>
      </c>
      <c r="J73" s="57">
        <v>620.94000000000005</v>
      </c>
      <c r="K73" s="56" t="s">
        <v>520</v>
      </c>
      <c r="L73" s="56" t="s">
        <v>530</v>
      </c>
      <c r="M73" s="53" t="s">
        <v>522</v>
      </c>
      <c r="N73" s="56" t="s">
        <v>523</v>
      </c>
      <c r="O73" s="54" t="s">
        <v>263</v>
      </c>
      <c r="P73" s="56" t="s">
        <v>531</v>
      </c>
      <c r="Q73" s="57">
        <v>15800</v>
      </c>
      <c r="R73" s="58" t="s">
        <v>4</v>
      </c>
      <c r="S73" s="57" t="s">
        <v>4</v>
      </c>
      <c r="T73" s="56" t="s">
        <v>525</v>
      </c>
    </row>
    <row r="74" spans="1:20" s="59" customFormat="1">
      <c r="A74" s="53">
        <v>135900611305</v>
      </c>
      <c r="B74" s="54" t="s">
        <v>1245</v>
      </c>
      <c r="C74" s="55">
        <v>45995</v>
      </c>
      <c r="D74" s="53">
        <v>54260005469</v>
      </c>
      <c r="E74" s="53">
        <v>2139404140102</v>
      </c>
      <c r="F74" s="56" t="s">
        <v>518</v>
      </c>
      <c r="G74" s="56" t="s">
        <v>519</v>
      </c>
      <c r="H74" s="56" t="s">
        <v>4</v>
      </c>
      <c r="I74" s="53" t="s">
        <v>4</v>
      </c>
      <c r="J74" s="57">
        <v>40.74</v>
      </c>
      <c r="K74" s="56" t="s">
        <v>520</v>
      </c>
      <c r="L74" s="56" t="s">
        <v>521</v>
      </c>
      <c r="M74" s="53" t="s">
        <v>522</v>
      </c>
      <c r="N74" s="56" t="s">
        <v>523</v>
      </c>
      <c r="O74" s="54" t="s">
        <v>4</v>
      </c>
      <c r="P74" s="56" t="s">
        <v>560</v>
      </c>
      <c r="Q74" s="57">
        <v>4200</v>
      </c>
      <c r="R74" s="58" t="s">
        <v>4</v>
      </c>
      <c r="S74" s="57" t="s">
        <v>4</v>
      </c>
      <c r="T74" s="56" t="s">
        <v>525</v>
      </c>
    </row>
    <row r="75" spans="1:20" s="59" customFormat="1">
      <c r="A75" s="53">
        <v>136523721252</v>
      </c>
      <c r="B75" s="54" t="s">
        <v>1245</v>
      </c>
      <c r="C75" s="55">
        <v>45995</v>
      </c>
      <c r="D75" s="53">
        <v>54260185164</v>
      </c>
      <c r="E75" s="53">
        <v>2139408071206</v>
      </c>
      <c r="F75" s="56" t="s">
        <v>518</v>
      </c>
      <c r="G75" s="56" t="s">
        <v>519</v>
      </c>
      <c r="H75" s="56" t="s">
        <v>4</v>
      </c>
      <c r="I75" s="53" t="s">
        <v>4</v>
      </c>
      <c r="J75" s="57">
        <v>53.35</v>
      </c>
      <c r="K75" s="56" t="s">
        <v>520</v>
      </c>
      <c r="L75" s="56" t="s">
        <v>521</v>
      </c>
      <c r="M75" s="53" t="s">
        <v>522</v>
      </c>
      <c r="N75" s="56" t="s">
        <v>523</v>
      </c>
      <c r="O75" s="54" t="s">
        <v>4</v>
      </c>
      <c r="P75" s="56" t="s">
        <v>1267</v>
      </c>
      <c r="Q75" s="57">
        <v>5500</v>
      </c>
      <c r="R75" s="58" t="s">
        <v>4</v>
      </c>
      <c r="S75" s="57" t="s">
        <v>4</v>
      </c>
      <c r="T75" s="56" t="s">
        <v>525</v>
      </c>
    </row>
    <row r="76" spans="1:20" s="59" customFormat="1">
      <c r="A76" s="53">
        <v>136523955074</v>
      </c>
      <c r="B76" s="54" t="s">
        <v>1245</v>
      </c>
      <c r="C76" s="55">
        <v>45995</v>
      </c>
      <c r="D76" s="53">
        <v>54260238790</v>
      </c>
      <c r="E76" s="53">
        <v>2139409436046</v>
      </c>
      <c r="F76" s="56" t="s">
        <v>518</v>
      </c>
      <c r="G76" s="56" t="s">
        <v>519</v>
      </c>
      <c r="H76" s="56" t="s">
        <v>4</v>
      </c>
      <c r="I76" s="53" t="s">
        <v>4</v>
      </c>
      <c r="J76" s="57">
        <v>39.770000000000003</v>
      </c>
      <c r="K76" s="56" t="s">
        <v>520</v>
      </c>
      <c r="L76" s="56" t="s">
        <v>521</v>
      </c>
      <c r="M76" s="53" t="s">
        <v>522</v>
      </c>
      <c r="N76" s="56" t="s">
        <v>523</v>
      </c>
      <c r="O76" s="54" t="s">
        <v>4</v>
      </c>
      <c r="P76" s="56" t="s">
        <v>693</v>
      </c>
      <c r="Q76" s="57">
        <v>4100</v>
      </c>
      <c r="R76" s="58" t="s">
        <v>4</v>
      </c>
      <c r="S76" s="57" t="s">
        <v>4</v>
      </c>
      <c r="T76" s="56" t="s">
        <v>525</v>
      </c>
    </row>
    <row r="77" spans="1:20" s="59" customFormat="1">
      <c r="A77" s="53">
        <v>136524590174</v>
      </c>
      <c r="B77" s="54" t="s">
        <v>1245</v>
      </c>
      <c r="C77" s="55">
        <v>45995</v>
      </c>
      <c r="D77" s="53">
        <v>54260443945</v>
      </c>
      <c r="E77" s="53">
        <v>2139413759518</v>
      </c>
      <c r="F77" s="56" t="s">
        <v>529</v>
      </c>
      <c r="G77" s="56" t="s">
        <v>519</v>
      </c>
      <c r="H77" s="56" t="s">
        <v>4</v>
      </c>
      <c r="I77" s="53" t="s">
        <v>4</v>
      </c>
      <c r="J77" s="57">
        <v>1296.9000000000001</v>
      </c>
      <c r="K77" s="56" t="s">
        <v>520</v>
      </c>
      <c r="L77" s="56" t="s">
        <v>530</v>
      </c>
      <c r="M77" s="53" t="s">
        <v>522</v>
      </c>
      <c r="N77" s="56" t="s">
        <v>523</v>
      </c>
      <c r="O77" s="54" t="s">
        <v>263</v>
      </c>
      <c r="P77" s="56" t="s">
        <v>531</v>
      </c>
      <c r="Q77" s="57">
        <v>33000</v>
      </c>
      <c r="R77" s="58" t="s">
        <v>4</v>
      </c>
      <c r="S77" s="57" t="s">
        <v>4</v>
      </c>
      <c r="T77" s="56" t="s">
        <v>525</v>
      </c>
    </row>
    <row r="78" spans="1:20" s="59" customFormat="1">
      <c r="A78" s="53">
        <v>135902300611</v>
      </c>
      <c r="B78" s="54" t="s">
        <v>1245</v>
      </c>
      <c r="C78" s="55">
        <v>45995</v>
      </c>
      <c r="D78" s="53">
        <v>54260665463</v>
      </c>
      <c r="E78" s="53">
        <v>2139417590044</v>
      </c>
      <c r="F78" s="56" t="s">
        <v>529</v>
      </c>
      <c r="G78" s="56" t="s">
        <v>519</v>
      </c>
      <c r="H78" s="56" t="s">
        <v>4</v>
      </c>
      <c r="I78" s="53" t="s">
        <v>4</v>
      </c>
      <c r="J78" s="57">
        <v>920.81</v>
      </c>
      <c r="K78" s="56" t="s">
        <v>520</v>
      </c>
      <c r="L78" s="56" t="s">
        <v>530</v>
      </c>
      <c r="M78" s="53" t="s">
        <v>522</v>
      </c>
      <c r="N78" s="56" t="s">
        <v>523</v>
      </c>
      <c r="O78" s="54" t="s">
        <v>263</v>
      </c>
      <c r="P78" s="56" t="s">
        <v>531</v>
      </c>
      <c r="Q78" s="57">
        <v>12100</v>
      </c>
      <c r="R78" s="58" t="s">
        <v>4</v>
      </c>
      <c r="S78" s="57" t="s">
        <v>4</v>
      </c>
      <c r="T78" s="56" t="s">
        <v>525</v>
      </c>
    </row>
    <row r="79" spans="1:20" s="59" customFormat="1">
      <c r="A79" s="53">
        <v>135902991043</v>
      </c>
      <c r="B79" s="54" t="s">
        <v>1245</v>
      </c>
      <c r="C79" s="55">
        <v>45995</v>
      </c>
      <c r="D79" s="53">
        <v>54260889584</v>
      </c>
      <c r="E79" s="53">
        <v>2139290802927</v>
      </c>
      <c r="F79" s="56" t="s">
        <v>518</v>
      </c>
      <c r="G79" s="56" t="s">
        <v>519</v>
      </c>
      <c r="H79" s="56" t="s">
        <v>4</v>
      </c>
      <c r="I79" s="53" t="s">
        <v>4</v>
      </c>
      <c r="J79" s="57">
        <v>234.72</v>
      </c>
      <c r="K79" s="56" t="s">
        <v>520</v>
      </c>
      <c r="L79" s="56" t="s">
        <v>521</v>
      </c>
      <c r="M79" s="53" t="s">
        <v>522</v>
      </c>
      <c r="N79" s="56" t="s">
        <v>523</v>
      </c>
      <c r="O79" s="54" t="s">
        <v>4</v>
      </c>
      <c r="P79" s="56" t="s">
        <v>1268</v>
      </c>
      <c r="Q79" s="57">
        <v>14400</v>
      </c>
      <c r="R79" s="58" t="s">
        <v>4</v>
      </c>
      <c r="S79" s="57" t="s">
        <v>4</v>
      </c>
      <c r="T79" s="56" t="s">
        <v>525</v>
      </c>
    </row>
    <row r="80" spans="1:20" s="59" customFormat="1">
      <c r="A80" s="53">
        <v>135903079939</v>
      </c>
      <c r="B80" s="54" t="s">
        <v>1245</v>
      </c>
      <c r="C80" s="55">
        <v>45995</v>
      </c>
      <c r="D80" s="53">
        <v>54260929882</v>
      </c>
      <c r="E80" s="53">
        <v>2139291812949</v>
      </c>
      <c r="F80" s="56" t="s">
        <v>518</v>
      </c>
      <c r="G80" s="56" t="s">
        <v>519</v>
      </c>
      <c r="H80" s="56" t="s">
        <v>4</v>
      </c>
      <c r="I80" s="53" t="s">
        <v>4</v>
      </c>
      <c r="J80" s="57">
        <v>410.31</v>
      </c>
      <c r="K80" s="56" t="s">
        <v>520</v>
      </c>
      <c r="L80" s="56" t="s">
        <v>521</v>
      </c>
      <c r="M80" s="53" t="s">
        <v>522</v>
      </c>
      <c r="N80" s="56" t="s">
        <v>523</v>
      </c>
      <c r="O80" s="54" t="s">
        <v>4</v>
      </c>
      <c r="P80" s="56" t="s">
        <v>1269</v>
      </c>
      <c r="Q80" s="57">
        <v>42300</v>
      </c>
      <c r="R80" s="58" t="s">
        <v>4</v>
      </c>
      <c r="S80" s="57" t="s">
        <v>4</v>
      </c>
      <c r="T80" s="56" t="s">
        <v>525</v>
      </c>
    </row>
    <row r="81" spans="1:20" s="59" customFormat="1">
      <c r="A81" s="53">
        <v>135903488753</v>
      </c>
      <c r="B81" s="54" t="s">
        <v>1245</v>
      </c>
      <c r="C81" s="55">
        <v>45995</v>
      </c>
      <c r="D81" s="53">
        <v>54261086056</v>
      </c>
      <c r="E81" s="53">
        <v>2139426224594</v>
      </c>
      <c r="F81" s="56" t="s">
        <v>518</v>
      </c>
      <c r="G81" s="56" t="s">
        <v>519</v>
      </c>
      <c r="H81" s="56" t="s">
        <v>4</v>
      </c>
      <c r="I81" s="53" t="s">
        <v>4</v>
      </c>
      <c r="J81" s="57">
        <v>46.56</v>
      </c>
      <c r="K81" s="56" t="s">
        <v>520</v>
      </c>
      <c r="L81" s="56" t="s">
        <v>521</v>
      </c>
      <c r="M81" s="53" t="s">
        <v>522</v>
      </c>
      <c r="N81" s="56" t="s">
        <v>523</v>
      </c>
      <c r="O81" s="54" t="s">
        <v>4</v>
      </c>
      <c r="P81" s="56" t="s">
        <v>1270</v>
      </c>
      <c r="Q81" s="57">
        <v>4800</v>
      </c>
      <c r="R81" s="58" t="s">
        <v>4</v>
      </c>
      <c r="S81" s="57" t="s">
        <v>4</v>
      </c>
      <c r="T81" s="56" t="s">
        <v>525</v>
      </c>
    </row>
    <row r="82" spans="1:20" s="59" customFormat="1">
      <c r="A82" s="53">
        <v>136525966018</v>
      </c>
      <c r="B82" s="54" t="s">
        <v>1245</v>
      </c>
      <c r="C82" s="55">
        <v>45995</v>
      </c>
      <c r="D82" s="53">
        <v>54261094086</v>
      </c>
      <c r="E82" s="53">
        <v>2139426879750</v>
      </c>
      <c r="F82" s="56" t="s">
        <v>518</v>
      </c>
      <c r="G82" s="56" t="s">
        <v>519</v>
      </c>
      <c r="H82" s="56" t="s">
        <v>4</v>
      </c>
      <c r="I82" s="53" t="s">
        <v>4</v>
      </c>
      <c r="J82" s="57">
        <v>53.35</v>
      </c>
      <c r="K82" s="56" t="s">
        <v>520</v>
      </c>
      <c r="L82" s="56" t="s">
        <v>521</v>
      </c>
      <c r="M82" s="53" t="s">
        <v>522</v>
      </c>
      <c r="N82" s="56" t="s">
        <v>523</v>
      </c>
      <c r="O82" s="54" t="s">
        <v>4</v>
      </c>
      <c r="P82" s="56" t="s">
        <v>1271</v>
      </c>
      <c r="Q82" s="57">
        <v>5500</v>
      </c>
      <c r="R82" s="58" t="s">
        <v>4</v>
      </c>
      <c r="S82" s="57" t="s">
        <v>4</v>
      </c>
      <c r="T82" s="56" t="s">
        <v>525</v>
      </c>
    </row>
    <row r="83" spans="1:20" s="59" customFormat="1">
      <c r="A83" s="53">
        <v>135903704321</v>
      </c>
      <c r="B83" s="54" t="s">
        <v>1245</v>
      </c>
      <c r="C83" s="55">
        <v>45995</v>
      </c>
      <c r="D83" s="53">
        <v>54261164794</v>
      </c>
      <c r="E83" s="53">
        <v>2139428136436</v>
      </c>
      <c r="F83" s="56" t="s">
        <v>526</v>
      </c>
      <c r="G83" s="56" t="s">
        <v>519</v>
      </c>
      <c r="H83" s="56" t="s">
        <v>4</v>
      </c>
      <c r="I83" s="53" t="s">
        <v>4</v>
      </c>
      <c r="J83" s="57">
        <v>43.65</v>
      </c>
      <c r="K83" s="56" t="s">
        <v>520</v>
      </c>
      <c r="L83" s="56" t="s">
        <v>521</v>
      </c>
      <c r="M83" s="53" t="s">
        <v>522</v>
      </c>
      <c r="N83" s="56" t="s">
        <v>523</v>
      </c>
      <c r="O83" s="54" t="s">
        <v>4</v>
      </c>
      <c r="P83" s="56" t="s">
        <v>527</v>
      </c>
      <c r="Q83" s="57">
        <v>4500</v>
      </c>
      <c r="R83" s="58" t="s">
        <v>4</v>
      </c>
      <c r="S83" s="57" t="s">
        <v>4</v>
      </c>
      <c r="T83" s="56" t="s">
        <v>4</v>
      </c>
    </row>
    <row r="84" spans="1:20" s="59" customFormat="1">
      <c r="A84" s="53">
        <v>135903824609</v>
      </c>
      <c r="B84" s="54" t="s">
        <v>1245</v>
      </c>
      <c r="C84" s="55">
        <v>45995</v>
      </c>
      <c r="D84" s="53">
        <v>54261231530</v>
      </c>
      <c r="E84" s="53">
        <v>2139297648701</v>
      </c>
      <c r="F84" s="56" t="s">
        <v>518</v>
      </c>
      <c r="G84" s="56" t="s">
        <v>519</v>
      </c>
      <c r="H84" s="56" t="s">
        <v>4</v>
      </c>
      <c r="I84" s="53" t="s">
        <v>4</v>
      </c>
      <c r="J84" s="57">
        <v>310.39999999999998</v>
      </c>
      <c r="K84" s="56" t="s">
        <v>520</v>
      </c>
      <c r="L84" s="56" t="s">
        <v>521</v>
      </c>
      <c r="M84" s="53" t="s">
        <v>522</v>
      </c>
      <c r="N84" s="56" t="s">
        <v>523</v>
      </c>
      <c r="O84" s="54" t="s">
        <v>4</v>
      </c>
      <c r="P84" s="56" t="s">
        <v>1272</v>
      </c>
      <c r="Q84" s="57">
        <v>32000</v>
      </c>
      <c r="R84" s="58" t="s">
        <v>4</v>
      </c>
      <c r="S84" s="57" t="s">
        <v>4</v>
      </c>
      <c r="T84" s="56" t="s">
        <v>525</v>
      </c>
    </row>
    <row r="85" spans="1:20" s="59" customFormat="1">
      <c r="A85" s="53">
        <v>135903962267</v>
      </c>
      <c r="B85" s="54" t="s">
        <v>1245</v>
      </c>
      <c r="C85" s="55">
        <v>45995</v>
      </c>
      <c r="D85" s="53">
        <v>54261279096</v>
      </c>
      <c r="E85" s="53">
        <v>2139298590595</v>
      </c>
      <c r="F85" s="56" t="s">
        <v>518</v>
      </c>
      <c r="G85" s="56" t="s">
        <v>519</v>
      </c>
      <c r="H85" s="56" t="s">
        <v>4</v>
      </c>
      <c r="I85" s="53" t="s">
        <v>4</v>
      </c>
      <c r="J85" s="57">
        <v>38.799999999999997</v>
      </c>
      <c r="K85" s="56" t="s">
        <v>520</v>
      </c>
      <c r="L85" s="56" t="s">
        <v>521</v>
      </c>
      <c r="M85" s="53" t="s">
        <v>522</v>
      </c>
      <c r="N85" s="56" t="s">
        <v>523</v>
      </c>
      <c r="O85" s="54" t="s">
        <v>4</v>
      </c>
      <c r="P85" s="56" t="s">
        <v>1273</v>
      </c>
      <c r="Q85" s="57">
        <v>4000</v>
      </c>
      <c r="R85" s="58" t="s">
        <v>4</v>
      </c>
      <c r="S85" s="57" t="s">
        <v>4</v>
      </c>
      <c r="T85" s="56" t="s">
        <v>525</v>
      </c>
    </row>
    <row r="86" spans="1:20" s="59" customFormat="1">
      <c r="A86" s="53">
        <v>135903977575</v>
      </c>
      <c r="B86" s="54" t="s">
        <v>1245</v>
      </c>
      <c r="C86" s="55">
        <v>45995</v>
      </c>
      <c r="D86" s="53">
        <v>54261317198</v>
      </c>
      <c r="E86" s="53">
        <v>2139299370035</v>
      </c>
      <c r="F86" s="56" t="s">
        <v>518</v>
      </c>
      <c r="G86" s="56" t="s">
        <v>519</v>
      </c>
      <c r="H86" s="56" t="s">
        <v>4</v>
      </c>
      <c r="I86" s="53" t="s">
        <v>4</v>
      </c>
      <c r="J86" s="57">
        <v>106.7</v>
      </c>
      <c r="K86" s="56" t="s">
        <v>520</v>
      </c>
      <c r="L86" s="56" t="s">
        <v>521</v>
      </c>
      <c r="M86" s="53" t="s">
        <v>522</v>
      </c>
      <c r="N86" s="56" t="s">
        <v>523</v>
      </c>
      <c r="O86" s="54" t="s">
        <v>4</v>
      </c>
      <c r="P86" s="56" t="s">
        <v>1274</v>
      </c>
      <c r="Q86" s="57">
        <v>11000</v>
      </c>
      <c r="R86" s="58" t="s">
        <v>4</v>
      </c>
      <c r="S86" s="57" t="s">
        <v>4</v>
      </c>
      <c r="T86" s="56" t="s">
        <v>525</v>
      </c>
    </row>
    <row r="87" spans="1:20" s="59" customFormat="1">
      <c r="A87" s="53">
        <v>135904176073</v>
      </c>
      <c r="B87" s="54" t="s">
        <v>1245</v>
      </c>
      <c r="C87" s="55">
        <v>45995</v>
      </c>
      <c r="D87" s="53">
        <v>54261429470</v>
      </c>
      <c r="E87" s="53">
        <v>2139301202283</v>
      </c>
      <c r="F87" s="56" t="s">
        <v>562</v>
      </c>
      <c r="G87" s="56" t="s">
        <v>519</v>
      </c>
      <c r="H87" s="56" t="s">
        <v>4</v>
      </c>
      <c r="I87" s="53" t="s">
        <v>4</v>
      </c>
      <c r="J87" s="57">
        <v>78.239999999999995</v>
      </c>
      <c r="K87" s="56" t="s">
        <v>520</v>
      </c>
      <c r="L87" s="56" t="s">
        <v>521</v>
      </c>
      <c r="M87" s="53" t="s">
        <v>522</v>
      </c>
      <c r="N87" s="56" t="s">
        <v>523</v>
      </c>
      <c r="O87" s="54" t="s">
        <v>4</v>
      </c>
      <c r="P87" s="56" t="s">
        <v>563</v>
      </c>
      <c r="Q87" s="57">
        <v>4800</v>
      </c>
      <c r="R87" s="58" t="s">
        <v>4</v>
      </c>
      <c r="S87" s="57" t="s">
        <v>4</v>
      </c>
      <c r="T87" s="56" t="s">
        <v>525</v>
      </c>
    </row>
    <row r="88" spans="1:20" s="59" customFormat="1">
      <c r="A88" s="53">
        <v>136526927868</v>
      </c>
      <c r="B88" s="54" t="s">
        <v>1245</v>
      </c>
      <c r="C88" s="55">
        <v>45995</v>
      </c>
      <c r="D88" s="53">
        <v>54261455892</v>
      </c>
      <c r="E88" s="53">
        <v>2139433239762</v>
      </c>
      <c r="F88" s="56" t="s">
        <v>518</v>
      </c>
      <c r="G88" s="56" t="s">
        <v>519</v>
      </c>
      <c r="H88" s="56" t="s">
        <v>4</v>
      </c>
      <c r="I88" s="53" t="s">
        <v>4</v>
      </c>
      <c r="J88" s="57">
        <v>46.56</v>
      </c>
      <c r="K88" s="56" t="s">
        <v>520</v>
      </c>
      <c r="L88" s="56" t="s">
        <v>521</v>
      </c>
      <c r="M88" s="53" t="s">
        <v>522</v>
      </c>
      <c r="N88" s="56" t="s">
        <v>523</v>
      </c>
      <c r="O88" s="54" t="s">
        <v>4</v>
      </c>
      <c r="P88" s="56" t="s">
        <v>1275</v>
      </c>
      <c r="Q88" s="57">
        <v>4800</v>
      </c>
      <c r="R88" s="58" t="s">
        <v>4</v>
      </c>
      <c r="S88" s="57" t="s">
        <v>4</v>
      </c>
      <c r="T88" s="56" t="s">
        <v>525</v>
      </c>
    </row>
    <row r="89" spans="1:20" s="59" customFormat="1">
      <c r="A89" s="53">
        <v>136527051650</v>
      </c>
      <c r="B89" s="54" t="s">
        <v>1245</v>
      </c>
      <c r="C89" s="55">
        <v>45995</v>
      </c>
      <c r="D89" s="53">
        <v>54261498134</v>
      </c>
      <c r="E89" s="53">
        <v>2139302658089</v>
      </c>
      <c r="F89" s="56" t="s">
        <v>526</v>
      </c>
      <c r="G89" s="56" t="s">
        <v>519</v>
      </c>
      <c r="H89" s="56" t="s">
        <v>4</v>
      </c>
      <c r="I89" s="53" t="s">
        <v>4</v>
      </c>
      <c r="J89" s="57">
        <v>93.12</v>
      </c>
      <c r="K89" s="56" t="s">
        <v>520</v>
      </c>
      <c r="L89" s="56" t="s">
        <v>521</v>
      </c>
      <c r="M89" s="53" t="s">
        <v>522</v>
      </c>
      <c r="N89" s="56" t="s">
        <v>523</v>
      </c>
      <c r="O89" s="54" t="s">
        <v>4</v>
      </c>
      <c r="P89" s="56" t="s">
        <v>527</v>
      </c>
      <c r="Q89" s="57">
        <v>9600</v>
      </c>
      <c r="R89" s="58" t="s">
        <v>4</v>
      </c>
      <c r="S89" s="57" t="s">
        <v>4</v>
      </c>
      <c r="T89" s="56" t="s">
        <v>4</v>
      </c>
    </row>
    <row r="90" spans="1:20" s="59" customFormat="1">
      <c r="A90" s="53">
        <v>136527375236</v>
      </c>
      <c r="B90" s="54" t="s">
        <v>1245</v>
      </c>
      <c r="C90" s="55">
        <v>45995</v>
      </c>
      <c r="D90" s="53">
        <v>54261581815</v>
      </c>
      <c r="E90" s="53">
        <v>2139436010066</v>
      </c>
      <c r="F90" s="56" t="s">
        <v>518</v>
      </c>
      <c r="G90" s="56" t="s">
        <v>519</v>
      </c>
      <c r="H90" s="56" t="s">
        <v>4</v>
      </c>
      <c r="I90" s="53" t="s">
        <v>4</v>
      </c>
      <c r="J90" s="57">
        <v>93.12</v>
      </c>
      <c r="K90" s="56" t="s">
        <v>520</v>
      </c>
      <c r="L90" s="56" t="s">
        <v>521</v>
      </c>
      <c r="M90" s="53" t="s">
        <v>522</v>
      </c>
      <c r="N90" s="56" t="s">
        <v>523</v>
      </c>
      <c r="O90" s="54" t="s">
        <v>4</v>
      </c>
      <c r="P90" s="56" t="s">
        <v>1276</v>
      </c>
      <c r="Q90" s="57">
        <v>9600</v>
      </c>
      <c r="R90" s="58" t="s">
        <v>4</v>
      </c>
      <c r="S90" s="57" t="s">
        <v>4</v>
      </c>
      <c r="T90" s="56" t="s">
        <v>525</v>
      </c>
    </row>
    <row r="91" spans="1:20" s="59" customFormat="1">
      <c r="A91" s="53">
        <v>135904784987</v>
      </c>
      <c r="B91" s="54" t="s">
        <v>1245</v>
      </c>
      <c r="C91" s="55">
        <v>45995</v>
      </c>
      <c r="D91" s="53">
        <v>54261633376</v>
      </c>
      <c r="E91" s="53">
        <v>2139436914476</v>
      </c>
      <c r="F91" s="56" t="s">
        <v>562</v>
      </c>
      <c r="G91" s="56" t="s">
        <v>519</v>
      </c>
      <c r="H91" s="56" t="s">
        <v>4</v>
      </c>
      <c r="I91" s="53" t="s">
        <v>4</v>
      </c>
      <c r="J91" s="57">
        <v>89.65</v>
      </c>
      <c r="K91" s="56" t="s">
        <v>520</v>
      </c>
      <c r="L91" s="56" t="s">
        <v>521</v>
      </c>
      <c r="M91" s="53" t="s">
        <v>522</v>
      </c>
      <c r="N91" s="56" t="s">
        <v>523</v>
      </c>
      <c r="O91" s="54" t="s">
        <v>4</v>
      </c>
      <c r="P91" s="56" t="s">
        <v>563</v>
      </c>
      <c r="Q91" s="57">
        <v>5500</v>
      </c>
      <c r="R91" s="58" t="s">
        <v>4</v>
      </c>
      <c r="S91" s="57" t="s">
        <v>4</v>
      </c>
      <c r="T91" s="56" t="s">
        <v>525</v>
      </c>
    </row>
    <row r="92" spans="1:20" s="59" customFormat="1">
      <c r="A92" s="53">
        <v>136527796466</v>
      </c>
      <c r="B92" s="54" t="s">
        <v>1245</v>
      </c>
      <c r="C92" s="55">
        <v>45995</v>
      </c>
      <c r="D92" s="53">
        <v>54261744086</v>
      </c>
      <c r="E92" s="53">
        <v>2139438867086</v>
      </c>
      <c r="F92" s="56" t="s">
        <v>518</v>
      </c>
      <c r="G92" s="56" t="s">
        <v>519</v>
      </c>
      <c r="H92" s="56" t="s">
        <v>4</v>
      </c>
      <c r="I92" s="53" t="s">
        <v>4</v>
      </c>
      <c r="J92" s="57">
        <v>39.770000000000003</v>
      </c>
      <c r="K92" s="56" t="s">
        <v>520</v>
      </c>
      <c r="L92" s="56" t="s">
        <v>521</v>
      </c>
      <c r="M92" s="53" t="s">
        <v>522</v>
      </c>
      <c r="N92" s="56" t="s">
        <v>523</v>
      </c>
      <c r="O92" s="54" t="s">
        <v>4</v>
      </c>
      <c r="P92" s="56" t="s">
        <v>699</v>
      </c>
      <c r="Q92" s="57">
        <v>4100</v>
      </c>
      <c r="R92" s="58" t="s">
        <v>4</v>
      </c>
      <c r="S92" s="57" t="s">
        <v>4</v>
      </c>
      <c r="T92" s="56" t="s">
        <v>525</v>
      </c>
    </row>
    <row r="93" spans="1:20" s="59" customFormat="1">
      <c r="A93" s="53">
        <v>136527826814</v>
      </c>
      <c r="B93" s="54" t="s">
        <v>1245</v>
      </c>
      <c r="C93" s="55">
        <v>45995</v>
      </c>
      <c r="D93" s="53">
        <v>54261788251</v>
      </c>
      <c r="E93" s="53">
        <v>2139439433696</v>
      </c>
      <c r="F93" s="56" t="s">
        <v>518</v>
      </c>
      <c r="G93" s="56" t="s">
        <v>519</v>
      </c>
      <c r="H93" s="56" t="s">
        <v>4</v>
      </c>
      <c r="I93" s="53" t="s">
        <v>4</v>
      </c>
      <c r="J93" s="57">
        <v>42.68</v>
      </c>
      <c r="K93" s="56" t="s">
        <v>520</v>
      </c>
      <c r="L93" s="56" t="s">
        <v>521</v>
      </c>
      <c r="M93" s="53" t="s">
        <v>522</v>
      </c>
      <c r="N93" s="56" t="s">
        <v>523</v>
      </c>
      <c r="O93" s="54" t="s">
        <v>4</v>
      </c>
      <c r="P93" s="56" t="s">
        <v>1277</v>
      </c>
      <c r="Q93" s="57">
        <v>4400</v>
      </c>
      <c r="R93" s="58" t="s">
        <v>4</v>
      </c>
      <c r="S93" s="57" t="s">
        <v>4</v>
      </c>
      <c r="T93" s="56" t="s">
        <v>525</v>
      </c>
    </row>
    <row r="94" spans="1:20" s="59" customFormat="1">
      <c r="A94" s="53">
        <v>136528092580</v>
      </c>
      <c r="B94" s="54" t="s">
        <v>1245</v>
      </c>
      <c r="C94" s="55">
        <v>45995</v>
      </c>
      <c r="D94" s="53">
        <v>54261896606</v>
      </c>
      <c r="E94" s="53">
        <v>2139309593961</v>
      </c>
      <c r="F94" s="56" t="s">
        <v>518</v>
      </c>
      <c r="G94" s="56" t="s">
        <v>519</v>
      </c>
      <c r="H94" s="56" t="s">
        <v>4</v>
      </c>
      <c r="I94" s="53" t="s">
        <v>4</v>
      </c>
      <c r="J94" s="57">
        <v>223.1</v>
      </c>
      <c r="K94" s="56" t="s">
        <v>520</v>
      </c>
      <c r="L94" s="56" t="s">
        <v>521</v>
      </c>
      <c r="M94" s="53" t="s">
        <v>522</v>
      </c>
      <c r="N94" s="56" t="s">
        <v>523</v>
      </c>
      <c r="O94" s="54" t="s">
        <v>4</v>
      </c>
      <c r="P94" s="56" t="s">
        <v>1278</v>
      </c>
      <c r="Q94" s="57">
        <v>23000</v>
      </c>
      <c r="R94" s="58" t="s">
        <v>4</v>
      </c>
      <c r="S94" s="57" t="s">
        <v>4</v>
      </c>
      <c r="T94" s="56" t="s">
        <v>525</v>
      </c>
    </row>
    <row r="95" spans="1:20" s="59" customFormat="1">
      <c r="A95" s="53">
        <v>136528512600</v>
      </c>
      <c r="B95" s="54" t="s">
        <v>1245</v>
      </c>
      <c r="C95" s="55">
        <v>45995</v>
      </c>
      <c r="D95" s="53">
        <v>54262072400</v>
      </c>
      <c r="E95" s="53">
        <v>2139444229490</v>
      </c>
      <c r="F95" s="56" t="s">
        <v>518</v>
      </c>
      <c r="G95" s="56" t="s">
        <v>519</v>
      </c>
      <c r="H95" s="56" t="s">
        <v>4</v>
      </c>
      <c r="I95" s="53" t="s">
        <v>4</v>
      </c>
      <c r="J95" s="57">
        <v>53.35</v>
      </c>
      <c r="K95" s="56" t="s">
        <v>520</v>
      </c>
      <c r="L95" s="56" t="s">
        <v>521</v>
      </c>
      <c r="M95" s="53" t="s">
        <v>522</v>
      </c>
      <c r="N95" s="56" t="s">
        <v>523</v>
      </c>
      <c r="O95" s="54" t="s">
        <v>4</v>
      </c>
      <c r="P95" s="56" t="s">
        <v>1279</v>
      </c>
      <c r="Q95" s="57">
        <v>5500</v>
      </c>
      <c r="R95" s="58" t="s">
        <v>4</v>
      </c>
      <c r="S95" s="57" t="s">
        <v>4</v>
      </c>
      <c r="T95" s="56" t="s">
        <v>525</v>
      </c>
    </row>
    <row r="96" spans="1:20" s="59" customFormat="1">
      <c r="A96" s="53">
        <v>136528753792</v>
      </c>
      <c r="B96" s="54" t="s">
        <v>1245</v>
      </c>
      <c r="C96" s="55">
        <v>45995</v>
      </c>
      <c r="D96" s="53">
        <v>54262209481</v>
      </c>
      <c r="E96" s="53">
        <v>2139315123645</v>
      </c>
      <c r="F96" s="56" t="s">
        <v>562</v>
      </c>
      <c r="G96" s="56" t="s">
        <v>519</v>
      </c>
      <c r="H96" s="56" t="s">
        <v>4</v>
      </c>
      <c r="I96" s="53" t="s">
        <v>4</v>
      </c>
      <c r="J96" s="57">
        <v>242.87</v>
      </c>
      <c r="K96" s="56" t="s">
        <v>520</v>
      </c>
      <c r="L96" s="56" t="s">
        <v>521</v>
      </c>
      <c r="M96" s="53" t="s">
        <v>522</v>
      </c>
      <c r="N96" s="56" t="s">
        <v>523</v>
      </c>
      <c r="O96" s="54" t="s">
        <v>4</v>
      </c>
      <c r="P96" s="56" t="s">
        <v>739</v>
      </c>
      <c r="Q96" s="57">
        <v>14900</v>
      </c>
      <c r="R96" s="58" t="s">
        <v>4</v>
      </c>
      <c r="S96" s="57" t="s">
        <v>4</v>
      </c>
      <c r="T96" s="56" t="s">
        <v>525</v>
      </c>
    </row>
    <row r="97" spans="1:20" s="59" customFormat="1">
      <c r="A97" s="53">
        <v>136528767468</v>
      </c>
      <c r="B97" s="54" t="s">
        <v>1245</v>
      </c>
      <c r="C97" s="55">
        <v>45995</v>
      </c>
      <c r="D97" s="53">
        <v>54262243931</v>
      </c>
      <c r="E97" s="53">
        <v>2139446694054</v>
      </c>
      <c r="F97" s="56" t="s">
        <v>526</v>
      </c>
      <c r="G97" s="56" t="s">
        <v>519</v>
      </c>
      <c r="H97" s="56" t="s">
        <v>4</v>
      </c>
      <c r="I97" s="53" t="s">
        <v>4</v>
      </c>
      <c r="J97" s="57">
        <v>42.68</v>
      </c>
      <c r="K97" s="56" t="s">
        <v>520</v>
      </c>
      <c r="L97" s="56" t="s">
        <v>521</v>
      </c>
      <c r="M97" s="53" t="s">
        <v>522</v>
      </c>
      <c r="N97" s="56" t="s">
        <v>523</v>
      </c>
      <c r="O97" s="54" t="s">
        <v>4</v>
      </c>
      <c r="P97" s="56" t="s">
        <v>527</v>
      </c>
      <c r="Q97" s="57">
        <v>4400</v>
      </c>
      <c r="R97" s="58" t="s">
        <v>4</v>
      </c>
      <c r="S97" s="57" t="s">
        <v>4</v>
      </c>
      <c r="T97" s="56" t="s">
        <v>4</v>
      </c>
    </row>
    <row r="98" spans="1:20">
      <c r="A98" s="46">
        <v>135908897041</v>
      </c>
      <c r="B98" s="44" t="s">
        <v>517</v>
      </c>
      <c r="C98" s="45">
        <v>45996</v>
      </c>
      <c r="D98" s="46">
        <v>54263290267</v>
      </c>
      <c r="E98" s="46">
        <v>2139331270697</v>
      </c>
      <c r="F98" s="47" t="s">
        <v>518</v>
      </c>
      <c r="G98" s="47" t="s">
        <v>519</v>
      </c>
      <c r="H98" s="47" t="s">
        <v>4</v>
      </c>
      <c r="I98" s="46" t="s">
        <v>4</v>
      </c>
      <c r="J98" s="48">
        <v>455.9</v>
      </c>
      <c r="K98" s="47" t="s">
        <v>520</v>
      </c>
      <c r="L98" s="47" t="s">
        <v>521</v>
      </c>
      <c r="M98" s="46" t="s">
        <v>522</v>
      </c>
      <c r="N98" s="47" t="s">
        <v>523</v>
      </c>
      <c r="O98" s="44" t="s">
        <v>4</v>
      </c>
      <c r="P98" s="47" t="s">
        <v>524</v>
      </c>
      <c r="Q98" s="48">
        <v>47000</v>
      </c>
      <c r="R98" s="49" t="s">
        <v>4</v>
      </c>
      <c r="S98" s="48" t="s">
        <v>4</v>
      </c>
      <c r="T98" s="47" t="s">
        <v>525</v>
      </c>
    </row>
    <row r="99" spans="1:20">
      <c r="A99" s="46">
        <v>135909210549</v>
      </c>
      <c r="B99" s="44" t="s">
        <v>517</v>
      </c>
      <c r="C99" s="45">
        <v>45996</v>
      </c>
      <c r="D99" s="46">
        <v>54263448761</v>
      </c>
      <c r="E99" s="46">
        <v>2139333221569</v>
      </c>
      <c r="F99" s="47" t="s">
        <v>526</v>
      </c>
      <c r="G99" s="47" t="s">
        <v>519</v>
      </c>
      <c r="H99" s="47" t="s">
        <v>4</v>
      </c>
      <c r="I99" s="46" t="s">
        <v>4</v>
      </c>
      <c r="J99" s="48">
        <v>415.16</v>
      </c>
      <c r="K99" s="47" t="s">
        <v>520</v>
      </c>
      <c r="L99" s="47" t="s">
        <v>521</v>
      </c>
      <c r="M99" s="46" t="s">
        <v>522</v>
      </c>
      <c r="N99" s="47" t="s">
        <v>523</v>
      </c>
      <c r="O99" s="44" t="s">
        <v>4</v>
      </c>
      <c r="P99" s="47" t="s">
        <v>527</v>
      </c>
      <c r="Q99" s="48">
        <v>42800</v>
      </c>
      <c r="R99" s="49" t="s">
        <v>4</v>
      </c>
      <c r="S99" s="48" t="s">
        <v>4</v>
      </c>
      <c r="T99" s="47" t="s">
        <v>4</v>
      </c>
    </row>
    <row r="100" spans="1:20">
      <c r="A100" s="46">
        <v>135909548389</v>
      </c>
      <c r="B100" s="44" t="s">
        <v>517</v>
      </c>
      <c r="C100" s="45">
        <v>45996</v>
      </c>
      <c r="D100" s="46">
        <v>54263626796</v>
      </c>
      <c r="E100" s="46">
        <v>2139467327648</v>
      </c>
      <c r="F100" s="47" t="s">
        <v>518</v>
      </c>
      <c r="G100" s="47" t="s">
        <v>519</v>
      </c>
      <c r="H100" s="47" t="s">
        <v>4</v>
      </c>
      <c r="I100" s="46" t="s">
        <v>4</v>
      </c>
      <c r="J100" s="48">
        <v>187.21</v>
      </c>
      <c r="K100" s="47" t="s">
        <v>520</v>
      </c>
      <c r="L100" s="47" t="s">
        <v>521</v>
      </c>
      <c r="M100" s="46" t="s">
        <v>522</v>
      </c>
      <c r="N100" s="47" t="s">
        <v>523</v>
      </c>
      <c r="O100" s="44" t="s">
        <v>4</v>
      </c>
      <c r="P100" s="47" t="s">
        <v>528</v>
      </c>
      <c r="Q100" s="48">
        <v>19300</v>
      </c>
      <c r="R100" s="49" t="s">
        <v>4</v>
      </c>
      <c r="S100" s="48" t="s">
        <v>4</v>
      </c>
      <c r="T100" s="47" t="s">
        <v>525</v>
      </c>
    </row>
    <row r="101" spans="1:20">
      <c r="A101" s="46">
        <v>136532314330</v>
      </c>
      <c r="B101" s="44" t="s">
        <v>517</v>
      </c>
      <c r="C101" s="45">
        <v>45996</v>
      </c>
      <c r="D101" s="46">
        <v>54263677011</v>
      </c>
      <c r="E101" s="46">
        <v>2139467862424</v>
      </c>
      <c r="F101" s="47" t="s">
        <v>529</v>
      </c>
      <c r="G101" s="47" t="s">
        <v>519</v>
      </c>
      <c r="H101" s="47" t="s">
        <v>4</v>
      </c>
      <c r="I101" s="46" t="s">
        <v>4</v>
      </c>
      <c r="J101" s="48">
        <v>821.37</v>
      </c>
      <c r="K101" s="47" t="s">
        <v>520</v>
      </c>
      <c r="L101" s="47" t="s">
        <v>530</v>
      </c>
      <c r="M101" s="46" t="s">
        <v>522</v>
      </c>
      <c r="N101" s="47" t="s">
        <v>523</v>
      </c>
      <c r="O101" s="44" t="s">
        <v>263</v>
      </c>
      <c r="P101" s="47" t="s">
        <v>531</v>
      </c>
      <c r="Q101" s="48">
        <v>20900</v>
      </c>
      <c r="R101" s="49" t="s">
        <v>4</v>
      </c>
      <c r="S101" s="48" t="s">
        <v>4</v>
      </c>
      <c r="T101" s="47" t="s">
        <v>525</v>
      </c>
    </row>
    <row r="102" spans="1:20">
      <c r="A102" s="46">
        <v>136532271696</v>
      </c>
      <c r="B102" s="44" t="s">
        <v>517</v>
      </c>
      <c r="C102" s="45">
        <v>45996</v>
      </c>
      <c r="D102" s="46">
        <v>54263716381</v>
      </c>
      <c r="E102" s="46">
        <v>2139336836733</v>
      </c>
      <c r="F102" s="47" t="s">
        <v>529</v>
      </c>
      <c r="G102" s="47" t="s">
        <v>519</v>
      </c>
      <c r="H102" s="47" t="s">
        <v>4</v>
      </c>
      <c r="I102" s="46" t="s">
        <v>4</v>
      </c>
      <c r="J102" s="48">
        <v>1116.1199999999999</v>
      </c>
      <c r="K102" s="47" t="s">
        <v>520</v>
      </c>
      <c r="L102" s="47" t="s">
        <v>530</v>
      </c>
      <c r="M102" s="46" t="s">
        <v>522</v>
      </c>
      <c r="N102" s="47" t="s">
        <v>523</v>
      </c>
      <c r="O102" s="44" t="s">
        <v>263</v>
      </c>
      <c r="P102" s="47" t="s">
        <v>531</v>
      </c>
      <c r="Q102" s="48">
        <v>28400</v>
      </c>
      <c r="R102" s="49" t="s">
        <v>4</v>
      </c>
      <c r="S102" s="48" t="s">
        <v>4</v>
      </c>
      <c r="T102" s="47" t="s">
        <v>525</v>
      </c>
    </row>
    <row r="103" spans="1:20">
      <c r="A103" s="46">
        <v>135909801847</v>
      </c>
      <c r="B103" s="44" t="s">
        <v>517</v>
      </c>
      <c r="C103" s="45">
        <v>45996</v>
      </c>
      <c r="D103" s="46">
        <v>54263825185</v>
      </c>
      <c r="E103" s="46">
        <v>2139338634733</v>
      </c>
      <c r="F103" s="47" t="s">
        <v>518</v>
      </c>
      <c r="G103" s="47" t="s">
        <v>519</v>
      </c>
      <c r="H103" s="47" t="s">
        <v>4</v>
      </c>
      <c r="I103" s="46" t="s">
        <v>4</v>
      </c>
      <c r="J103" s="48">
        <v>236.68</v>
      </c>
      <c r="K103" s="47" t="s">
        <v>520</v>
      </c>
      <c r="L103" s="47" t="s">
        <v>521</v>
      </c>
      <c r="M103" s="46" t="s">
        <v>522</v>
      </c>
      <c r="N103" s="47" t="s">
        <v>523</v>
      </c>
      <c r="O103" s="44" t="s">
        <v>4</v>
      </c>
      <c r="P103" s="47" t="s">
        <v>532</v>
      </c>
      <c r="Q103" s="48">
        <v>24400</v>
      </c>
      <c r="R103" s="49" t="s">
        <v>4</v>
      </c>
      <c r="S103" s="48" t="s">
        <v>4</v>
      </c>
      <c r="T103" s="47" t="s">
        <v>525</v>
      </c>
    </row>
    <row r="104" spans="1:20">
      <c r="A104" s="46">
        <v>135910347159</v>
      </c>
      <c r="B104" s="44" t="s">
        <v>517</v>
      </c>
      <c r="C104" s="45">
        <v>45996</v>
      </c>
      <c r="D104" s="46">
        <v>54263993507</v>
      </c>
      <c r="E104" s="46">
        <v>2139473005720</v>
      </c>
      <c r="F104" s="47" t="s">
        <v>518</v>
      </c>
      <c r="G104" s="47" t="s">
        <v>519</v>
      </c>
      <c r="H104" s="47" t="s">
        <v>4</v>
      </c>
      <c r="I104" s="46" t="s">
        <v>4</v>
      </c>
      <c r="J104" s="48">
        <v>443.29</v>
      </c>
      <c r="K104" s="47" t="s">
        <v>520</v>
      </c>
      <c r="L104" s="47" t="s">
        <v>521</v>
      </c>
      <c r="M104" s="46" t="s">
        <v>522</v>
      </c>
      <c r="N104" s="47" t="s">
        <v>523</v>
      </c>
      <c r="O104" s="44" t="s">
        <v>4</v>
      </c>
      <c r="P104" s="47" t="s">
        <v>533</v>
      </c>
      <c r="Q104" s="48">
        <v>45700</v>
      </c>
      <c r="R104" s="49" t="s">
        <v>4</v>
      </c>
      <c r="S104" s="48" t="s">
        <v>4</v>
      </c>
      <c r="T104" s="47" t="s">
        <v>525</v>
      </c>
    </row>
    <row r="105" spans="1:20">
      <c r="A105" s="46">
        <v>136532968476</v>
      </c>
      <c r="B105" s="44" t="s">
        <v>517</v>
      </c>
      <c r="C105" s="45">
        <v>45996</v>
      </c>
      <c r="D105" s="46">
        <v>54264075740</v>
      </c>
      <c r="E105" s="46">
        <v>2139342118199</v>
      </c>
      <c r="F105" s="47" t="s">
        <v>529</v>
      </c>
      <c r="G105" s="47" t="s">
        <v>519</v>
      </c>
      <c r="H105" s="47" t="s">
        <v>4</v>
      </c>
      <c r="I105" s="46" t="s">
        <v>4</v>
      </c>
      <c r="J105" s="48">
        <v>7296.05</v>
      </c>
      <c r="K105" s="47" t="s">
        <v>520</v>
      </c>
      <c r="L105" s="47" t="s">
        <v>530</v>
      </c>
      <c r="M105" s="46" t="s">
        <v>522</v>
      </c>
      <c r="N105" s="47" t="s">
        <v>523</v>
      </c>
      <c r="O105" s="44" t="s">
        <v>263</v>
      </c>
      <c r="P105" s="47" t="s">
        <v>531</v>
      </c>
      <c r="Q105" s="48">
        <v>185650</v>
      </c>
      <c r="R105" s="49" t="s">
        <v>4</v>
      </c>
      <c r="S105" s="48" t="s">
        <v>4</v>
      </c>
      <c r="T105" s="47" t="s">
        <v>525</v>
      </c>
    </row>
    <row r="106" spans="1:20">
      <c r="A106" s="46">
        <v>135910717417</v>
      </c>
      <c r="B106" s="44" t="s">
        <v>517</v>
      </c>
      <c r="C106" s="45">
        <v>45996</v>
      </c>
      <c r="D106" s="46">
        <v>54264204849</v>
      </c>
      <c r="E106" s="46">
        <v>2139475306316</v>
      </c>
      <c r="F106" s="47" t="s">
        <v>529</v>
      </c>
      <c r="G106" s="47" t="s">
        <v>519</v>
      </c>
      <c r="H106" s="47" t="s">
        <v>4</v>
      </c>
      <c r="I106" s="46" t="s">
        <v>4</v>
      </c>
      <c r="J106" s="48">
        <v>3474.12</v>
      </c>
      <c r="K106" s="47" t="s">
        <v>520</v>
      </c>
      <c r="L106" s="47" t="s">
        <v>530</v>
      </c>
      <c r="M106" s="46" t="s">
        <v>522</v>
      </c>
      <c r="N106" s="47" t="s">
        <v>523</v>
      </c>
      <c r="O106" s="44" t="s">
        <v>263</v>
      </c>
      <c r="P106" s="47" t="s">
        <v>531</v>
      </c>
      <c r="Q106" s="48">
        <v>88400</v>
      </c>
      <c r="R106" s="49" t="s">
        <v>4</v>
      </c>
      <c r="S106" s="48" t="s">
        <v>4</v>
      </c>
      <c r="T106" s="47" t="s">
        <v>525</v>
      </c>
    </row>
    <row r="107" spans="1:20">
      <c r="A107" s="46">
        <v>135910779181</v>
      </c>
      <c r="B107" s="44" t="s">
        <v>517</v>
      </c>
      <c r="C107" s="45">
        <v>45996</v>
      </c>
      <c r="D107" s="46">
        <v>54264238785</v>
      </c>
      <c r="E107" s="46">
        <v>2139344356993</v>
      </c>
      <c r="F107" s="47" t="s">
        <v>529</v>
      </c>
      <c r="G107" s="47" t="s">
        <v>519</v>
      </c>
      <c r="H107" s="47" t="s">
        <v>4</v>
      </c>
      <c r="I107" s="46" t="s">
        <v>4</v>
      </c>
      <c r="J107" s="48">
        <v>276.94</v>
      </c>
      <c r="K107" s="47" t="s">
        <v>520</v>
      </c>
      <c r="L107" s="47" t="s">
        <v>530</v>
      </c>
      <c r="M107" s="46" t="s">
        <v>522</v>
      </c>
      <c r="N107" s="47" t="s">
        <v>523</v>
      </c>
      <c r="O107" s="44" t="s">
        <v>263</v>
      </c>
      <c r="P107" s="47" t="s">
        <v>531</v>
      </c>
      <c r="Q107" s="48">
        <v>6100</v>
      </c>
      <c r="R107" s="49" t="s">
        <v>4</v>
      </c>
      <c r="S107" s="48" t="s">
        <v>4</v>
      </c>
      <c r="T107" s="47" t="s">
        <v>525</v>
      </c>
    </row>
    <row r="108" spans="1:20">
      <c r="A108" s="46">
        <v>135910838031</v>
      </c>
      <c r="B108" s="44" t="s">
        <v>517</v>
      </c>
      <c r="C108" s="45">
        <v>45996</v>
      </c>
      <c r="D108" s="46">
        <v>54264283651</v>
      </c>
      <c r="E108" s="46">
        <v>2139345276375</v>
      </c>
      <c r="F108" s="47" t="s">
        <v>526</v>
      </c>
      <c r="G108" s="47" t="s">
        <v>519</v>
      </c>
      <c r="H108" s="47" t="s">
        <v>4</v>
      </c>
      <c r="I108" s="46" t="s">
        <v>4</v>
      </c>
      <c r="J108" s="48">
        <v>43.65</v>
      </c>
      <c r="K108" s="47" t="s">
        <v>520</v>
      </c>
      <c r="L108" s="47" t="s">
        <v>521</v>
      </c>
      <c r="M108" s="46" t="s">
        <v>522</v>
      </c>
      <c r="N108" s="47" t="s">
        <v>523</v>
      </c>
      <c r="O108" s="44" t="s">
        <v>4</v>
      </c>
      <c r="P108" s="47" t="s">
        <v>527</v>
      </c>
      <c r="Q108" s="48">
        <v>4500</v>
      </c>
      <c r="R108" s="49" t="s">
        <v>4</v>
      </c>
      <c r="S108" s="48" t="s">
        <v>4</v>
      </c>
      <c r="T108" s="47" t="s">
        <v>4</v>
      </c>
    </row>
    <row r="109" spans="1:20">
      <c r="A109" s="46">
        <v>135910964657</v>
      </c>
      <c r="B109" s="44" t="s">
        <v>517</v>
      </c>
      <c r="C109" s="45">
        <v>45996</v>
      </c>
      <c r="D109" s="46">
        <v>54264338052</v>
      </c>
      <c r="E109" s="46">
        <v>2139477247720</v>
      </c>
      <c r="F109" s="47" t="s">
        <v>518</v>
      </c>
      <c r="G109" s="47" t="s">
        <v>519</v>
      </c>
      <c r="H109" s="47" t="s">
        <v>4</v>
      </c>
      <c r="I109" s="46" t="s">
        <v>4</v>
      </c>
      <c r="J109" s="48">
        <v>855.54</v>
      </c>
      <c r="K109" s="47" t="s">
        <v>520</v>
      </c>
      <c r="L109" s="47" t="s">
        <v>521</v>
      </c>
      <c r="M109" s="46" t="s">
        <v>522</v>
      </c>
      <c r="N109" s="47" t="s">
        <v>523</v>
      </c>
      <c r="O109" s="44" t="s">
        <v>4</v>
      </c>
      <c r="P109" s="47" t="s">
        <v>534</v>
      </c>
      <c r="Q109" s="48">
        <v>88200</v>
      </c>
      <c r="R109" s="49" t="s">
        <v>4</v>
      </c>
      <c r="S109" s="48" t="s">
        <v>4</v>
      </c>
      <c r="T109" s="47" t="s">
        <v>525</v>
      </c>
    </row>
    <row r="110" spans="1:20">
      <c r="A110" s="46">
        <v>135911102295</v>
      </c>
      <c r="B110" s="44" t="s">
        <v>517</v>
      </c>
      <c r="C110" s="45">
        <v>45996</v>
      </c>
      <c r="D110" s="46">
        <v>54264412062</v>
      </c>
      <c r="E110" s="46">
        <v>2139478445128</v>
      </c>
      <c r="F110" s="47" t="s">
        <v>529</v>
      </c>
      <c r="G110" s="47" t="s">
        <v>519</v>
      </c>
      <c r="H110" s="47" t="s">
        <v>4</v>
      </c>
      <c r="I110" s="46" t="s">
        <v>4</v>
      </c>
      <c r="J110" s="48">
        <v>2809.95</v>
      </c>
      <c r="K110" s="47" t="s">
        <v>520</v>
      </c>
      <c r="L110" s="47" t="s">
        <v>530</v>
      </c>
      <c r="M110" s="46" t="s">
        <v>522</v>
      </c>
      <c r="N110" s="47" t="s">
        <v>523</v>
      </c>
      <c r="O110" s="44" t="s">
        <v>263</v>
      </c>
      <c r="P110" s="47" t="s">
        <v>531</v>
      </c>
      <c r="Q110" s="48">
        <v>71500</v>
      </c>
      <c r="R110" s="49" t="s">
        <v>4</v>
      </c>
      <c r="S110" s="48" t="s">
        <v>4</v>
      </c>
      <c r="T110" s="47" t="s">
        <v>525</v>
      </c>
    </row>
    <row r="111" spans="1:20">
      <c r="A111" s="46">
        <v>135911230541</v>
      </c>
      <c r="B111" s="44" t="s">
        <v>517</v>
      </c>
      <c r="C111" s="45">
        <v>45996</v>
      </c>
      <c r="D111" s="46">
        <v>54264520873</v>
      </c>
      <c r="E111" s="46">
        <v>2139348108065</v>
      </c>
      <c r="F111" s="47" t="s">
        <v>529</v>
      </c>
      <c r="G111" s="47" t="s">
        <v>519</v>
      </c>
      <c r="H111" s="47" t="s">
        <v>4</v>
      </c>
      <c r="I111" s="46" t="s">
        <v>4</v>
      </c>
      <c r="J111" s="48">
        <v>1961.07</v>
      </c>
      <c r="K111" s="47" t="s">
        <v>520</v>
      </c>
      <c r="L111" s="47" t="s">
        <v>530</v>
      </c>
      <c r="M111" s="46" t="s">
        <v>522</v>
      </c>
      <c r="N111" s="47" t="s">
        <v>523</v>
      </c>
      <c r="O111" s="44" t="s">
        <v>263</v>
      </c>
      <c r="P111" s="47" t="s">
        <v>531</v>
      </c>
      <c r="Q111" s="48">
        <v>49900</v>
      </c>
      <c r="R111" s="49" t="s">
        <v>4</v>
      </c>
      <c r="S111" s="48" t="s">
        <v>4</v>
      </c>
      <c r="T111" s="47" t="s">
        <v>525</v>
      </c>
    </row>
    <row r="112" spans="1:20">
      <c r="A112" s="46">
        <v>136534523898</v>
      </c>
      <c r="B112" s="44" t="s">
        <v>517</v>
      </c>
      <c r="C112" s="45">
        <v>45996</v>
      </c>
      <c r="D112" s="46">
        <v>54265050596</v>
      </c>
      <c r="E112" s="46">
        <v>2139486543166</v>
      </c>
      <c r="F112" s="47" t="s">
        <v>526</v>
      </c>
      <c r="G112" s="47" t="s">
        <v>519</v>
      </c>
      <c r="H112" s="47" t="s">
        <v>4</v>
      </c>
      <c r="I112" s="46" t="s">
        <v>4</v>
      </c>
      <c r="J112" s="48">
        <v>153.26</v>
      </c>
      <c r="K112" s="47" t="s">
        <v>520</v>
      </c>
      <c r="L112" s="47" t="s">
        <v>521</v>
      </c>
      <c r="M112" s="46" t="s">
        <v>522</v>
      </c>
      <c r="N112" s="47" t="s">
        <v>523</v>
      </c>
      <c r="O112" s="44" t="s">
        <v>4</v>
      </c>
      <c r="P112" s="47" t="s">
        <v>527</v>
      </c>
      <c r="Q112" s="48">
        <v>15800</v>
      </c>
      <c r="R112" s="49" t="s">
        <v>4</v>
      </c>
      <c r="S112" s="48" t="s">
        <v>4</v>
      </c>
      <c r="T112" s="47" t="s">
        <v>4</v>
      </c>
    </row>
    <row r="113" spans="1:20">
      <c r="A113" s="46">
        <v>136535032914</v>
      </c>
      <c r="B113" s="44" t="s">
        <v>517</v>
      </c>
      <c r="C113" s="45">
        <v>45996</v>
      </c>
      <c r="D113" s="46">
        <v>54265216189</v>
      </c>
      <c r="E113" s="46">
        <v>2139356725527</v>
      </c>
      <c r="F113" s="47" t="s">
        <v>518</v>
      </c>
      <c r="G113" s="47" t="s">
        <v>519</v>
      </c>
      <c r="H113" s="47" t="s">
        <v>4</v>
      </c>
      <c r="I113" s="46" t="s">
        <v>4</v>
      </c>
      <c r="J113" s="48">
        <v>47.53</v>
      </c>
      <c r="K113" s="47" t="s">
        <v>520</v>
      </c>
      <c r="L113" s="47" t="s">
        <v>521</v>
      </c>
      <c r="M113" s="46" t="s">
        <v>522</v>
      </c>
      <c r="N113" s="47" t="s">
        <v>523</v>
      </c>
      <c r="O113" s="44" t="s">
        <v>4</v>
      </c>
      <c r="P113" s="47" t="s">
        <v>535</v>
      </c>
      <c r="Q113" s="48">
        <v>4900</v>
      </c>
      <c r="R113" s="49" t="s">
        <v>4</v>
      </c>
      <c r="S113" s="48" t="s">
        <v>4</v>
      </c>
      <c r="T113" s="47" t="s">
        <v>525</v>
      </c>
    </row>
    <row r="114" spans="1:20">
      <c r="A114" s="46">
        <v>136535221070</v>
      </c>
      <c r="B114" s="44" t="s">
        <v>517</v>
      </c>
      <c r="C114" s="45">
        <v>45996</v>
      </c>
      <c r="D114" s="46">
        <v>54265382746</v>
      </c>
      <c r="E114" s="46">
        <v>2139358920973</v>
      </c>
      <c r="F114" s="47" t="s">
        <v>518</v>
      </c>
      <c r="G114" s="47" t="s">
        <v>519</v>
      </c>
      <c r="H114" s="47" t="s">
        <v>4</v>
      </c>
      <c r="I114" s="46" t="s">
        <v>4</v>
      </c>
      <c r="J114" s="48">
        <v>618.86</v>
      </c>
      <c r="K114" s="47" t="s">
        <v>520</v>
      </c>
      <c r="L114" s="47" t="s">
        <v>521</v>
      </c>
      <c r="M114" s="46" t="s">
        <v>522</v>
      </c>
      <c r="N114" s="47" t="s">
        <v>523</v>
      </c>
      <c r="O114" s="44" t="s">
        <v>4</v>
      </c>
      <c r="P114" s="47" t="s">
        <v>536</v>
      </c>
      <c r="Q114" s="48">
        <v>63800</v>
      </c>
      <c r="R114" s="49" t="s">
        <v>4</v>
      </c>
      <c r="S114" s="48" t="s">
        <v>4</v>
      </c>
      <c r="T114" s="47" t="s">
        <v>525</v>
      </c>
    </row>
    <row r="115" spans="1:20">
      <c r="A115" s="46">
        <v>136535378680</v>
      </c>
      <c r="B115" s="44" t="s">
        <v>517</v>
      </c>
      <c r="C115" s="45">
        <v>45996</v>
      </c>
      <c r="D115" s="46">
        <v>54265506315</v>
      </c>
      <c r="E115" s="46">
        <v>2139492286374</v>
      </c>
      <c r="F115" s="47" t="s">
        <v>518</v>
      </c>
      <c r="G115" s="47" t="s">
        <v>519</v>
      </c>
      <c r="H115" s="47" t="s">
        <v>4</v>
      </c>
      <c r="I115" s="46" t="s">
        <v>4</v>
      </c>
      <c r="J115" s="48">
        <v>437.47</v>
      </c>
      <c r="K115" s="47" t="s">
        <v>520</v>
      </c>
      <c r="L115" s="47" t="s">
        <v>521</v>
      </c>
      <c r="M115" s="46" t="s">
        <v>522</v>
      </c>
      <c r="N115" s="47" t="s">
        <v>523</v>
      </c>
      <c r="O115" s="44" t="s">
        <v>4</v>
      </c>
      <c r="P115" s="47" t="s">
        <v>537</v>
      </c>
      <c r="Q115" s="48">
        <v>45100</v>
      </c>
      <c r="R115" s="49" t="s">
        <v>4</v>
      </c>
      <c r="S115" s="48" t="s">
        <v>4</v>
      </c>
      <c r="T115" s="47" t="s">
        <v>525</v>
      </c>
    </row>
    <row r="116" spans="1:20">
      <c r="A116" s="46">
        <v>136537920028</v>
      </c>
      <c r="B116" s="44" t="s">
        <v>517</v>
      </c>
      <c r="C116" s="45">
        <v>45996</v>
      </c>
      <c r="D116" s="46">
        <v>54266526809</v>
      </c>
      <c r="E116" s="46">
        <v>2139518040330</v>
      </c>
      <c r="F116" s="47" t="s">
        <v>518</v>
      </c>
      <c r="G116" s="47" t="s">
        <v>519</v>
      </c>
      <c r="H116" s="47" t="s">
        <v>4</v>
      </c>
      <c r="I116" s="46" t="s">
        <v>4</v>
      </c>
      <c r="J116" s="48">
        <v>190.12</v>
      </c>
      <c r="K116" s="47" t="s">
        <v>520</v>
      </c>
      <c r="L116" s="47" t="s">
        <v>521</v>
      </c>
      <c r="M116" s="46" t="s">
        <v>522</v>
      </c>
      <c r="N116" s="47" t="s">
        <v>523</v>
      </c>
      <c r="O116" s="44" t="s">
        <v>4</v>
      </c>
      <c r="P116" s="47" t="s">
        <v>538</v>
      </c>
      <c r="Q116" s="48">
        <v>19600</v>
      </c>
      <c r="R116" s="49" t="s">
        <v>4</v>
      </c>
      <c r="S116" s="48" t="s">
        <v>4</v>
      </c>
      <c r="T116" s="47" t="s">
        <v>525</v>
      </c>
    </row>
    <row r="117" spans="1:20">
      <c r="A117" s="46">
        <v>135915566345</v>
      </c>
      <c r="B117" s="44" t="s">
        <v>517</v>
      </c>
      <c r="C117" s="45">
        <v>45996</v>
      </c>
      <c r="D117" s="46">
        <v>54266554876</v>
      </c>
      <c r="E117" s="46">
        <v>2139386741813</v>
      </c>
      <c r="F117" s="47" t="s">
        <v>518</v>
      </c>
      <c r="G117" s="47" t="s">
        <v>519</v>
      </c>
      <c r="H117" s="47" t="s">
        <v>4</v>
      </c>
      <c r="I117" s="46" t="s">
        <v>4</v>
      </c>
      <c r="J117" s="48">
        <v>233.77</v>
      </c>
      <c r="K117" s="47" t="s">
        <v>520</v>
      </c>
      <c r="L117" s="47" t="s">
        <v>521</v>
      </c>
      <c r="M117" s="46" t="s">
        <v>522</v>
      </c>
      <c r="N117" s="47" t="s">
        <v>523</v>
      </c>
      <c r="O117" s="44" t="s">
        <v>4</v>
      </c>
      <c r="P117" s="47" t="s">
        <v>539</v>
      </c>
      <c r="Q117" s="48">
        <v>24100</v>
      </c>
      <c r="R117" s="49" t="s">
        <v>4</v>
      </c>
      <c r="S117" s="48" t="s">
        <v>4</v>
      </c>
      <c r="T117" s="47" t="s">
        <v>525</v>
      </c>
    </row>
    <row r="118" spans="1:20">
      <c r="A118" s="46">
        <v>135916127391</v>
      </c>
      <c r="B118" s="44" t="s">
        <v>517</v>
      </c>
      <c r="C118" s="45">
        <v>45996</v>
      </c>
      <c r="D118" s="46">
        <v>54266786187</v>
      </c>
      <c r="E118" s="46">
        <v>2139525523250</v>
      </c>
      <c r="F118" s="47" t="s">
        <v>518</v>
      </c>
      <c r="G118" s="47" t="s">
        <v>519</v>
      </c>
      <c r="H118" s="47" t="s">
        <v>4</v>
      </c>
      <c r="I118" s="46" t="s">
        <v>4</v>
      </c>
      <c r="J118" s="48">
        <v>397.7</v>
      </c>
      <c r="K118" s="47" t="s">
        <v>520</v>
      </c>
      <c r="L118" s="47" t="s">
        <v>521</v>
      </c>
      <c r="M118" s="46" t="s">
        <v>522</v>
      </c>
      <c r="N118" s="47" t="s">
        <v>523</v>
      </c>
      <c r="O118" s="44" t="s">
        <v>4</v>
      </c>
      <c r="P118" s="47" t="s">
        <v>540</v>
      </c>
      <c r="Q118" s="48">
        <v>41000</v>
      </c>
      <c r="R118" s="49" t="s">
        <v>4</v>
      </c>
      <c r="S118" s="48" t="s">
        <v>4</v>
      </c>
      <c r="T118" s="47" t="s">
        <v>525</v>
      </c>
    </row>
    <row r="119" spans="1:20">
      <c r="A119" s="46">
        <v>136539211002</v>
      </c>
      <c r="B119" s="44" t="s">
        <v>517</v>
      </c>
      <c r="C119" s="45">
        <v>45996</v>
      </c>
      <c r="D119" s="46">
        <v>54266927105</v>
      </c>
      <c r="E119" s="46">
        <v>2139398072057</v>
      </c>
      <c r="F119" s="47" t="s">
        <v>518</v>
      </c>
      <c r="G119" s="47" t="s">
        <v>519</v>
      </c>
      <c r="H119" s="47" t="s">
        <v>4</v>
      </c>
      <c r="I119" s="46" t="s">
        <v>4</v>
      </c>
      <c r="J119" s="48">
        <v>84.88</v>
      </c>
      <c r="K119" s="47" t="s">
        <v>520</v>
      </c>
      <c r="L119" s="47" t="s">
        <v>521</v>
      </c>
      <c r="M119" s="46" t="s">
        <v>522</v>
      </c>
      <c r="N119" s="47" t="s">
        <v>523</v>
      </c>
      <c r="O119" s="44" t="s">
        <v>4</v>
      </c>
      <c r="P119" s="47" t="s">
        <v>541</v>
      </c>
      <c r="Q119" s="48">
        <v>8750</v>
      </c>
      <c r="R119" s="49" t="s">
        <v>4</v>
      </c>
      <c r="S119" s="48" t="s">
        <v>4</v>
      </c>
      <c r="T119" s="47" t="s">
        <v>525</v>
      </c>
    </row>
    <row r="120" spans="1:20">
      <c r="A120" s="46">
        <v>136675013138</v>
      </c>
      <c r="B120" s="44" t="s">
        <v>517</v>
      </c>
      <c r="C120" s="45">
        <v>45996</v>
      </c>
      <c r="D120" s="46">
        <v>54316038366</v>
      </c>
      <c r="E120" s="46">
        <v>2140410223796</v>
      </c>
      <c r="F120" s="47" t="s">
        <v>518</v>
      </c>
      <c r="G120" s="47" t="s">
        <v>519</v>
      </c>
      <c r="H120" s="47" t="s">
        <v>4</v>
      </c>
      <c r="I120" s="46" t="s">
        <v>4</v>
      </c>
      <c r="J120" s="48">
        <v>40.74</v>
      </c>
      <c r="K120" s="47" t="s">
        <v>520</v>
      </c>
      <c r="L120" s="47" t="s">
        <v>521</v>
      </c>
      <c r="M120" s="46" t="s">
        <v>522</v>
      </c>
      <c r="N120" s="47" t="s">
        <v>523</v>
      </c>
      <c r="O120" s="44" t="s">
        <v>4</v>
      </c>
      <c r="P120" s="47" t="s">
        <v>542</v>
      </c>
      <c r="Q120" s="48">
        <v>4200</v>
      </c>
      <c r="R120" s="49" t="s">
        <v>4</v>
      </c>
      <c r="S120" s="48" t="s">
        <v>4</v>
      </c>
      <c r="T120" s="47" t="s">
        <v>525</v>
      </c>
    </row>
    <row r="121" spans="1:20">
      <c r="A121" s="46">
        <v>136052254573</v>
      </c>
      <c r="B121" s="44" t="s">
        <v>517</v>
      </c>
      <c r="C121" s="45">
        <v>45996</v>
      </c>
      <c r="D121" s="46">
        <v>54316304943</v>
      </c>
      <c r="E121" s="46">
        <v>2140280862229</v>
      </c>
      <c r="F121" s="47" t="s">
        <v>529</v>
      </c>
      <c r="G121" s="47" t="s">
        <v>519</v>
      </c>
      <c r="H121" s="47" t="s">
        <v>4</v>
      </c>
      <c r="I121" s="46" t="s">
        <v>4</v>
      </c>
      <c r="J121" s="48">
        <v>188.64</v>
      </c>
      <c r="K121" s="47" t="s">
        <v>520</v>
      </c>
      <c r="L121" s="47" t="s">
        <v>530</v>
      </c>
      <c r="M121" s="46" t="s">
        <v>522</v>
      </c>
      <c r="N121" s="47" t="s">
        <v>523</v>
      </c>
      <c r="O121" s="44" t="s">
        <v>263</v>
      </c>
      <c r="P121" s="47" t="s">
        <v>531</v>
      </c>
      <c r="Q121" s="48">
        <v>4800</v>
      </c>
      <c r="R121" s="49" t="s">
        <v>4</v>
      </c>
      <c r="S121" s="48" t="s">
        <v>4</v>
      </c>
      <c r="T121" s="47" t="s">
        <v>525</v>
      </c>
    </row>
    <row r="122" spans="1:20">
      <c r="A122" s="46">
        <v>136676483834</v>
      </c>
      <c r="B122" s="44" t="s">
        <v>517</v>
      </c>
      <c r="C122" s="45">
        <v>45996</v>
      </c>
      <c r="D122" s="46">
        <v>54316557097</v>
      </c>
      <c r="E122" s="46">
        <v>2140285794967</v>
      </c>
      <c r="F122" s="47" t="s">
        <v>529</v>
      </c>
      <c r="G122" s="47" t="s">
        <v>519</v>
      </c>
      <c r="H122" s="47" t="s">
        <v>4</v>
      </c>
      <c r="I122" s="46" t="s">
        <v>4</v>
      </c>
      <c r="J122" s="48">
        <v>3091</v>
      </c>
      <c r="K122" s="47" t="s">
        <v>520</v>
      </c>
      <c r="L122" s="47" t="s">
        <v>530</v>
      </c>
      <c r="M122" s="46" t="s">
        <v>522</v>
      </c>
      <c r="N122" s="47" t="s">
        <v>523</v>
      </c>
      <c r="O122" s="44" t="s">
        <v>263</v>
      </c>
      <c r="P122" s="47" t="s">
        <v>531</v>
      </c>
      <c r="Q122" s="48">
        <v>27500</v>
      </c>
      <c r="R122" s="49" t="s">
        <v>4</v>
      </c>
      <c r="S122" s="48" t="s">
        <v>4</v>
      </c>
      <c r="T122" s="47" t="s">
        <v>525</v>
      </c>
    </row>
    <row r="123" spans="1:20">
      <c r="A123" s="46">
        <v>136676932768</v>
      </c>
      <c r="B123" s="44" t="s">
        <v>517</v>
      </c>
      <c r="C123" s="45">
        <v>45996</v>
      </c>
      <c r="D123" s="46">
        <v>54316690542</v>
      </c>
      <c r="E123" s="46">
        <v>2140288068169</v>
      </c>
      <c r="F123" s="47" t="s">
        <v>529</v>
      </c>
      <c r="G123" s="47" t="s">
        <v>519</v>
      </c>
      <c r="H123" s="47" t="s">
        <v>4</v>
      </c>
      <c r="I123" s="46" t="s">
        <v>4</v>
      </c>
      <c r="J123" s="48">
        <v>660.24</v>
      </c>
      <c r="K123" s="47" t="s">
        <v>520</v>
      </c>
      <c r="L123" s="47" t="s">
        <v>530</v>
      </c>
      <c r="M123" s="46" t="s">
        <v>522</v>
      </c>
      <c r="N123" s="47" t="s">
        <v>523</v>
      </c>
      <c r="O123" s="44" t="s">
        <v>263</v>
      </c>
      <c r="P123" s="47" t="s">
        <v>531</v>
      </c>
      <c r="Q123" s="48">
        <v>16800</v>
      </c>
      <c r="R123" s="49" t="s">
        <v>4</v>
      </c>
      <c r="S123" s="48" t="s">
        <v>4</v>
      </c>
      <c r="T123" s="47" t="s">
        <v>525</v>
      </c>
    </row>
    <row r="124" spans="1:20">
      <c r="A124" s="46">
        <v>136677967596</v>
      </c>
      <c r="B124" s="44" t="s">
        <v>517</v>
      </c>
      <c r="C124" s="45">
        <v>45996</v>
      </c>
      <c r="D124" s="46">
        <v>54317102666</v>
      </c>
      <c r="E124" s="46">
        <v>2140430630330</v>
      </c>
      <c r="F124" s="47" t="s">
        <v>526</v>
      </c>
      <c r="G124" s="47" t="s">
        <v>519</v>
      </c>
      <c r="H124" s="47" t="s">
        <v>4</v>
      </c>
      <c r="I124" s="46" t="s">
        <v>4</v>
      </c>
      <c r="J124" s="48">
        <v>152.29</v>
      </c>
      <c r="K124" s="47" t="s">
        <v>520</v>
      </c>
      <c r="L124" s="47" t="s">
        <v>521</v>
      </c>
      <c r="M124" s="46" t="s">
        <v>522</v>
      </c>
      <c r="N124" s="47" t="s">
        <v>523</v>
      </c>
      <c r="O124" s="44" t="s">
        <v>4</v>
      </c>
      <c r="P124" s="47" t="s">
        <v>527</v>
      </c>
      <c r="Q124" s="48">
        <v>15700</v>
      </c>
      <c r="R124" s="49" t="s">
        <v>4</v>
      </c>
      <c r="S124" s="48" t="s">
        <v>4</v>
      </c>
      <c r="T124" s="47" t="s">
        <v>4</v>
      </c>
    </row>
    <row r="125" spans="1:20">
      <c r="A125" s="46">
        <v>136058124483</v>
      </c>
      <c r="B125" s="44" t="s">
        <v>517</v>
      </c>
      <c r="C125" s="45">
        <v>45996</v>
      </c>
      <c r="D125" s="46">
        <v>54318304588</v>
      </c>
      <c r="E125" s="46">
        <v>2140319500745</v>
      </c>
      <c r="F125" s="47" t="s">
        <v>518</v>
      </c>
      <c r="G125" s="47" t="s">
        <v>519</v>
      </c>
      <c r="H125" s="47" t="s">
        <v>4</v>
      </c>
      <c r="I125" s="46" t="s">
        <v>4</v>
      </c>
      <c r="J125" s="48">
        <v>730.56</v>
      </c>
      <c r="K125" s="47" t="s">
        <v>520</v>
      </c>
      <c r="L125" s="47" t="s">
        <v>521</v>
      </c>
      <c r="M125" s="46" t="s">
        <v>522</v>
      </c>
      <c r="N125" s="47" t="s">
        <v>523</v>
      </c>
      <c r="O125" s="44" t="s">
        <v>4</v>
      </c>
      <c r="P125" s="47" t="s">
        <v>543</v>
      </c>
      <c r="Q125" s="48">
        <v>9600</v>
      </c>
      <c r="R125" s="49" t="s">
        <v>4</v>
      </c>
      <c r="S125" s="48" t="s">
        <v>4</v>
      </c>
      <c r="T125" s="47" t="s">
        <v>525</v>
      </c>
    </row>
    <row r="126" spans="1:20">
      <c r="A126" s="46">
        <v>136684362466</v>
      </c>
      <c r="B126" s="44" t="s">
        <v>517</v>
      </c>
      <c r="C126" s="45">
        <v>45996</v>
      </c>
      <c r="D126" s="46">
        <v>54319229269</v>
      </c>
      <c r="E126" s="46">
        <v>2140473046584</v>
      </c>
      <c r="F126" s="47" t="s">
        <v>518</v>
      </c>
      <c r="G126" s="47" t="s">
        <v>519</v>
      </c>
      <c r="H126" s="47" t="s">
        <v>4</v>
      </c>
      <c r="I126" s="46" t="s">
        <v>4</v>
      </c>
      <c r="J126" s="48">
        <v>266.75</v>
      </c>
      <c r="K126" s="47" t="s">
        <v>520</v>
      </c>
      <c r="L126" s="47" t="s">
        <v>521</v>
      </c>
      <c r="M126" s="46" t="s">
        <v>522</v>
      </c>
      <c r="N126" s="47" t="s">
        <v>523</v>
      </c>
      <c r="O126" s="44" t="s">
        <v>4</v>
      </c>
      <c r="P126" s="47" t="s">
        <v>544</v>
      </c>
      <c r="Q126" s="48">
        <v>27500</v>
      </c>
      <c r="R126" s="49" t="s">
        <v>4</v>
      </c>
      <c r="S126" s="48" t="s">
        <v>4</v>
      </c>
      <c r="T126" s="47" t="s">
        <v>525</v>
      </c>
    </row>
    <row r="127" spans="1:20">
      <c r="A127" s="46">
        <v>136684524618</v>
      </c>
      <c r="B127" s="44" t="s">
        <v>517</v>
      </c>
      <c r="C127" s="45">
        <v>45996</v>
      </c>
      <c r="D127" s="46">
        <v>54319289098</v>
      </c>
      <c r="E127" s="46">
        <v>2140339942795</v>
      </c>
      <c r="F127" s="47" t="s">
        <v>529</v>
      </c>
      <c r="G127" s="47" t="s">
        <v>519</v>
      </c>
      <c r="H127" s="47" t="s">
        <v>4</v>
      </c>
      <c r="I127" s="46" t="s">
        <v>4</v>
      </c>
      <c r="J127" s="48">
        <v>192.57</v>
      </c>
      <c r="K127" s="47" t="s">
        <v>520</v>
      </c>
      <c r="L127" s="47" t="s">
        <v>530</v>
      </c>
      <c r="M127" s="46" t="s">
        <v>522</v>
      </c>
      <c r="N127" s="47" t="s">
        <v>523</v>
      </c>
      <c r="O127" s="44" t="s">
        <v>263</v>
      </c>
      <c r="P127" s="47" t="s">
        <v>531</v>
      </c>
      <c r="Q127" s="48">
        <v>4900</v>
      </c>
      <c r="R127" s="49" t="s">
        <v>4</v>
      </c>
      <c r="S127" s="48" t="s">
        <v>4</v>
      </c>
      <c r="T127" s="47" t="s">
        <v>525</v>
      </c>
    </row>
    <row r="128" spans="1:20">
      <c r="A128" s="46">
        <v>136686063362</v>
      </c>
      <c r="B128" s="44" t="s">
        <v>517</v>
      </c>
      <c r="C128" s="45">
        <v>45996</v>
      </c>
      <c r="D128" s="46">
        <v>54319893641</v>
      </c>
      <c r="E128" s="46">
        <v>2140352041539</v>
      </c>
      <c r="F128" s="47" t="s">
        <v>526</v>
      </c>
      <c r="G128" s="47" t="s">
        <v>519</v>
      </c>
      <c r="H128" s="47" t="s">
        <v>4</v>
      </c>
      <c r="I128" s="46" t="s">
        <v>4</v>
      </c>
      <c r="J128" s="48">
        <v>95.06</v>
      </c>
      <c r="K128" s="47" t="s">
        <v>520</v>
      </c>
      <c r="L128" s="47" t="s">
        <v>521</v>
      </c>
      <c r="M128" s="46" t="s">
        <v>522</v>
      </c>
      <c r="N128" s="47" t="s">
        <v>523</v>
      </c>
      <c r="O128" s="44" t="s">
        <v>4</v>
      </c>
      <c r="P128" s="47" t="s">
        <v>527</v>
      </c>
      <c r="Q128" s="48">
        <v>9800</v>
      </c>
      <c r="R128" s="49" t="s">
        <v>4</v>
      </c>
      <c r="S128" s="48" t="s">
        <v>4</v>
      </c>
      <c r="T128" s="47" t="s">
        <v>4</v>
      </c>
    </row>
    <row r="129" spans="1:20">
      <c r="A129" s="46">
        <v>136689125144</v>
      </c>
      <c r="B129" s="44" t="s">
        <v>517</v>
      </c>
      <c r="C129" s="45">
        <v>45996</v>
      </c>
      <c r="D129" s="46">
        <v>54321034118</v>
      </c>
      <c r="E129" s="46">
        <v>2140506621836</v>
      </c>
      <c r="F129" s="47" t="s">
        <v>518</v>
      </c>
      <c r="G129" s="47" t="s">
        <v>519</v>
      </c>
      <c r="H129" s="47" t="s">
        <v>4</v>
      </c>
      <c r="I129" s="46" t="s">
        <v>4</v>
      </c>
      <c r="J129" s="48">
        <v>87.3</v>
      </c>
      <c r="K129" s="47" t="s">
        <v>520</v>
      </c>
      <c r="L129" s="47" t="s">
        <v>521</v>
      </c>
      <c r="M129" s="46" t="s">
        <v>522</v>
      </c>
      <c r="N129" s="47" t="s">
        <v>523</v>
      </c>
      <c r="O129" s="44" t="s">
        <v>4</v>
      </c>
      <c r="P129" s="47" t="s">
        <v>545</v>
      </c>
      <c r="Q129" s="48">
        <v>9000</v>
      </c>
      <c r="R129" s="49" t="s">
        <v>4</v>
      </c>
      <c r="S129" s="48" t="s">
        <v>4</v>
      </c>
      <c r="T129" s="47" t="s">
        <v>525</v>
      </c>
    </row>
    <row r="130" spans="1:20">
      <c r="A130" s="46">
        <v>136689207772</v>
      </c>
      <c r="B130" s="44" t="s">
        <v>517</v>
      </c>
      <c r="C130" s="45">
        <v>45996</v>
      </c>
      <c r="D130" s="46">
        <v>54321115339</v>
      </c>
      <c r="E130" s="46">
        <v>2140373467353</v>
      </c>
      <c r="F130" s="47" t="s">
        <v>529</v>
      </c>
      <c r="G130" s="47" t="s">
        <v>519</v>
      </c>
      <c r="H130" s="47" t="s">
        <v>4</v>
      </c>
      <c r="I130" s="46" t="s">
        <v>4</v>
      </c>
      <c r="J130" s="48">
        <v>1784.22</v>
      </c>
      <c r="K130" s="47" t="s">
        <v>520</v>
      </c>
      <c r="L130" s="47" t="s">
        <v>530</v>
      </c>
      <c r="M130" s="46" t="s">
        <v>522</v>
      </c>
      <c r="N130" s="47" t="s">
        <v>523</v>
      </c>
      <c r="O130" s="44" t="s">
        <v>263</v>
      </c>
      <c r="P130" s="47" t="s">
        <v>531</v>
      </c>
      <c r="Q130" s="48">
        <v>45400</v>
      </c>
      <c r="R130" s="49" t="s">
        <v>4</v>
      </c>
      <c r="S130" s="48" t="s">
        <v>4</v>
      </c>
      <c r="T130" s="47" t="s">
        <v>525</v>
      </c>
    </row>
    <row r="131" spans="1:20">
      <c r="A131" s="46">
        <v>136690556608</v>
      </c>
      <c r="B131" s="44" t="s">
        <v>517</v>
      </c>
      <c r="C131" s="45">
        <v>45996</v>
      </c>
      <c r="D131" s="46">
        <v>54321565799</v>
      </c>
      <c r="E131" s="46">
        <v>2140516516440</v>
      </c>
      <c r="F131" s="47" t="s">
        <v>529</v>
      </c>
      <c r="G131" s="47" t="s">
        <v>519</v>
      </c>
      <c r="H131" s="47" t="s">
        <v>4</v>
      </c>
      <c r="I131" s="46" t="s">
        <v>4</v>
      </c>
      <c r="J131" s="48">
        <v>666.14</v>
      </c>
      <c r="K131" s="47" t="s">
        <v>520</v>
      </c>
      <c r="L131" s="47" t="s">
        <v>530</v>
      </c>
      <c r="M131" s="46" t="s">
        <v>522</v>
      </c>
      <c r="N131" s="47" t="s">
        <v>523</v>
      </c>
      <c r="O131" s="44" t="s">
        <v>263</v>
      </c>
      <c r="P131" s="47" t="s">
        <v>531</v>
      </c>
      <c r="Q131" s="48">
        <v>16950</v>
      </c>
      <c r="R131" s="49" t="s">
        <v>4</v>
      </c>
      <c r="S131" s="48" t="s">
        <v>4</v>
      </c>
      <c r="T131" s="47" t="s">
        <v>525</v>
      </c>
    </row>
    <row r="132" spans="1:20">
      <c r="A132" s="46">
        <v>136067110391</v>
      </c>
      <c r="B132" s="44" t="s">
        <v>517</v>
      </c>
      <c r="C132" s="45">
        <v>45996</v>
      </c>
      <c r="D132" s="46">
        <v>54321601331</v>
      </c>
      <c r="E132" s="46">
        <v>2140517142034</v>
      </c>
      <c r="F132" s="47" t="s">
        <v>529</v>
      </c>
      <c r="G132" s="47" t="s">
        <v>519</v>
      </c>
      <c r="H132" s="47" t="s">
        <v>4</v>
      </c>
      <c r="I132" s="46" t="s">
        <v>4</v>
      </c>
      <c r="J132" s="48">
        <v>776.18</v>
      </c>
      <c r="K132" s="47" t="s">
        <v>520</v>
      </c>
      <c r="L132" s="47" t="s">
        <v>530</v>
      </c>
      <c r="M132" s="46" t="s">
        <v>522</v>
      </c>
      <c r="N132" s="47" t="s">
        <v>523</v>
      </c>
      <c r="O132" s="44" t="s">
        <v>263</v>
      </c>
      <c r="P132" s="47" t="s">
        <v>531</v>
      </c>
      <c r="Q132" s="48">
        <v>19750</v>
      </c>
      <c r="R132" s="49" t="s">
        <v>4</v>
      </c>
      <c r="S132" s="48" t="s">
        <v>4</v>
      </c>
      <c r="T132" s="47" t="s">
        <v>525</v>
      </c>
    </row>
    <row r="133" spans="1:20">
      <c r="A133" s="46">
        <v>136691246728</v>
      </c>
      <c r="B133" s="44" t="s">
        <v>517</v>
      </c>
      <c r="C133" s="45">
        <v>45996</v>
      </c>
      <c r="D133" s="46">
        <v>54321753227</v>
      </c>
      <c r="E133" s="46">
        <v>2140520880580</v>
      </c>
      <c r="F133" s="47" t="s">
        <v>518</v>
      </c>
      <c r="G133" s="47" t="s">
        <v>519</v>
      </c>
      <c r="H133" s="47" t="s">
        <v>4</v>
      </c>
      <c r="I133" s="46" t="s">
        <v>4</v>
      </c>
      <c r="J133" s="48">
        <v>499.55</v>
      </c>
      <c r="K133" s="47" t="s">
        <v>520</v>
      </c>
      <c r="L133" s="47" t="s">
        <v>521</v>
      </c>
      <c r="M133" s="46" t="s">
        <v>522</v>
      </c>
      <c r="N133" s="47" t="s">
        <v>523</v>
      </c>
      <c r="O133" s="44" t="s">
        <v>4</v>
      </c>
      <c r="P133" s="47" t="s">
        <v>546</v>
      </c>
      <c r="Q133" s="48">
        <v>51500</v>
      </c>
      <c r="R133" s="49" t="s">
        <v>4</v>
      </c>
      <c r="S133" s="48" t="s">
        <v>4</v>
      </c>
      <c r="T133" s="47" t="s">
        <v>525</v>
      </c>
    </row>
    <row r="134" spans="1:20">
      <c r="A134" s="46">
        <v>136067944241</v>
      </c>
      <c r="B134" s="44" t="s">
        <v>517</v>
      </c>
      <c r="C134" s="45">
        <v>45996</v>
      </c>
      <c r="D134" s="46">
        <v>54321926101</v>
      </c>
      <c r="E134" s="46">
        <v>2140389085063</v>
      </c>
      <c r="F134" s="47" t="s">
        <v>529</v>
      </c>
      <c r="G134" s="47" t="s">
        <v>519</v>
      </c>
      <c r="H134" s="47" t="s">
        <v>4</v>
      </c>
      <c r="I134" s="46" t="s">
        <v>4</v>
      </c>
      <c r="J134" s="48">
        <v>1103.45</v>
      </c>
      <c r="K134" s="47" t="s">
        <v>520</v>
      </c>
      <c r="L134" s="47" t="s">
        <v>530</v>
      </c>
      <c r="M134" s="46" t="s">
        <v>522</v>
      </c>
      <c r="N134" s="47" t="s">
        <v>523</v>
      </c>
      <c r="O134" s="44" t="s">
        <v>263</v>
      </c>
      <c r="P134" s="47" t="s">
        <v>531</v>
      </c>
      <c r="Q134" s="48">
        <v>14500</v>
      </c>
      <c r="R134" s="49" t="s">
        <v>4</v>
      </c>
      <c r="S134" s="48" t="s">
        <v>4</v>
      </c>
      <c r="T134" s="47" t="s">
        <v>525</v>
      </c>
    </row>
    <row r="135" spans="1:20">
      <c r="A135" s="46">
        <v>136693286622</v>
      </c>
      <c r="B135" s="44" t="s">
        <v>517</v>
      </c>
      <c r="C135" s="45">
        <v>45996</v>
      </c>
      <c r="D135" s="46">
        <v>54322589196</v>
      </c>
      <c r="E135" s="46">
        <v>2140536530800</v>
      </c>
      <c r="F135" s="47" t="s">
        <v>518</v>
      </c>
      <c r="G135" s="47" t="s">
        <v>519</v>
      </c>
      <c r="H135" s="47" t="s">
        <v>4</v>
      </c>
      <c r="I135" s="46" t="s">
        <v>4</v>
      </c>
      <c r="J135" s="48">
        <v>47.53</v>
      </c>
      <c r="K135" s="47" t="s">
        <v>520</v>
      </c>
      <c r="L135" s="47" t="s">
        <v>521</v>
      </c>
      <c r="M135" s="46" t="s">
        <v>522</v>
      </c>
      <c r="N135" s="47" t="s">
        <v>523</v>
      </c>
      <c r="O135" s="44" t="s">
        <v>4</v>
      </c>
      <c r="P135" s="47" t="s">
        <v>547</v>
      </c>
      <c r="Q135" s="48">
        <v>4900</v>
      </c>
      <c r="R135" s="49" t="s">
        <v>4</v>
      </c>
      <c r="S135" s="48" t="s">
        <v>4</v>
      </c>
      <c r="T135" s="47" t="s">
        <v>525</v>
      </c>
    </row>
    <row r="136" spans="1:20">
      <c r="A136" s="46">
        <v>136072576761</v>
      </c>
      <c r="B136" s="44" t="s">
        <v>517</v>
      </c>
      <c r="C136" s="45">
        <v>45996</v>
      </c>
      <c r="D136" s="46">
        <v>54323699026</v>
      </c>
      <c r="E136" s="46">
        <v>2140423970113</v>
      </c>
      <c r="F136" s="47" t="s">
        <v>518</v>
      </c>
      <c r="G136" s="47" t="s">
        <v>519</v>
      </c>
      <c r="H136" s="47" t="s">
        <v>4</v>
      </c>
      <c r="I136" s="46" t="s">
        <v>4</v>
      </c>
      <c r="J136" s="48">
        <v>250.26</v>
      </c>
      <c r="K136" s="47" t="s">
        <v>520</v>
      </c>
      <c r="L136" s="47" t="s">
        <v>521</v>
      </c>
      <c r="M136" s="46" t="s">
        <v>522</v>
      </c>
      <c r="N136" s="47" t="s">
        <v>523</v>
      </c>
      <c r="O136" s="44" t="s">
        <v>4</v>
      </c>
      <c r="P136" s="47" t="s">
        <v>548</v>
      </c>
      <c r="Q136" s="48">
        <v>25800</v>
      </c>
      <c r="R136" s="49" t="s">
        <v>4</v>
      </c>
      <c r="S136" s="48" t="s">
        <v>4</v>
      </c>
      <c r="T136" s="47" t="s">
        <v>525</v>
      </c>
    </row>
    <row r="137" spans="1:20">
      <c r="A137" s="46">
        <v>136697737900</v>
      </c>
      <c r="B137" s="44" t="s">
        <v>517</v>
      </c>
      <c r="C137" s="45">
        <v>45996</v>
      </c>
      <c r="D137" s="46">
        <v>54324381275</v>
      </c>
      <c r="E137" s="46">
        <v>2140436468917</v>
      </c>
      <c r="F137" s="47" t="s">
        <v>526</v>
      </c>
      <c r="G137" s="47" t="s">
        <v>519</v>
      </c>
      <c r="H137" s="47" t="s">
        <v>4</v>
      </c>
      <c r="I137" s="46" t="s">
        <v>4</v>
      </c>
      <c r="J137" s="48">
        <v>295.85000000000002</v>
      </c>
      <c r="K137" s="47" t="s">
        <v>520</v>
      </c>
      <c r="L137" s="47" t="s">
        <v>521</v>
      </c>
      <c r="M137" s="46" t="s">
        <v>522</v>
      </c>
      <c r="N137" s="47" t="s">
        <v>523</v>
      </c>
      <c r="O137" s="44" t="s">
        <v>4</v>
      </c>
      <c r="P137" s="47" t="s">
        <v>527</v>
      </c>
      <c r="Q137" s="48">
        <v>30500</v>
      </c>
      <c r="R137" s="49" t="s">
        <v>4</v>
      </c>
      <c r="S137" s="48" t="s">
        <v>4</v>
      </c>
      <c r="T137" s="47" t="s">
        <v>4</v>
      </c>
    </row>
    <row r="138" spans="1:20">
      <c r="A138" s="46">
        <v>136075632673</v>
      </c>
      <c r="B138" s="44" t="s">
        <v>517</v>
      </c>
      <c r="C138" s="45">
        <v>45996</v>
      </c>
      <c r="D138" s="46">
        <v>54324920616</v>
      </c>
      <c r="E138" s="46">
        <v>2140579141536</v>
      </c>
      <c r="F138" s="47" t="s">
        <v>518</v>
      </c>
      <c r="G138" s="47" t="s">
        <v>519</v>
      </c>
      <c r="H138" s="47" t="s">
        <v>4</v>
      </c>
      <c r="I138" s="46" t="s">
        <v>4</v>
      </c>
      <c r="J138" s="48">
        <v>633.41</v>
      </c>
      <c r="K138" s="47" t="s">
        <v>520</v>
      </c>
      <c r="L138" s="47" t="s">
        <v>521</v>
      </c>
      <c r="M138" s="46" t="s">
        <v>522</v>
      </c>
      <c r="N138" s="47" t="s">
        <v>523</v>
      </c>
      <c r="O138" s="44" t="s">
        <v>4</v>
      </c>
      <c r="P138" s="47" t="s">
        <v>549</v>
      </c>
      <c r="Q138" s="48">
        <v>65300</v>
      </c>
      <c r="R138" s="49" t="s">
        <v>4</v>
      </c>
      <c r="S138" s="48" t="s">
        <v>4</v>
      </c>
      <c r="T138" s="47" t="s">
        <v>525</v>
      </c>
    </row>
    <row r="139" spans="1:20">
      <c r="A139" s="46">
        <v>136699638344</v>
      </c>
      <c r="B139" s="44" t="s">
        <v>517</v>
      </c>
      <c r="C139" s="45">
        <v>45996</v>
      </c>
      <c r="D139" s="46">
        <v>54325071870</v>
      </c>
      <c r="E139" s="46">
        <v>2140581588054</v>
      </c>
      <c r="F139" s="47" t="s">
        <v>518</v>
      </c>
      <c r="G139" s="47" t="s">
        <v>519</v>
      </c>
      <c r="H139" s="47" t="s">
        <v>4</v>
      </c>
      <c r="I139" s="46" t="s">
        <v>4</v>
      </c>
      <c r="J139" s="48">
        <v>571.33000000000004</v>
      </c>
      <c r="K139" s="47" t="s">
        <v>520</v>
      </c>
      <c r="L139" s="47" t="s">
        <v>521</v>
      </c>
      <c r="M139" s="46" t="s">
        <v>522</v>
      </c>
      <c r="N139" s="47" t="s">
        <v>523</v>
      </c>
      <c r="O139" s="44" t="s">
        <v>4</v>
      </c>
      <c r="P139" s="47" t="s">
        <v>550</v>
      </c>
      <c r="Q139" s="48">
        <v>58900</v>
      </c>
      <c r="R139" s="49" t="s">
        <v>4</v>
      </c>
      <c r="S139" s="48" t="s">
        <v>4</v>
      </c>
      <c r="T139" s="47" t="s">
        <v>525</v>
      </c>
    </row>
    <row r="140" spans="1:20">
      <c r="A140" s="46">
        <v>136076832363</v>
      </c>
      <c r="B140" s="44" t="s">
        <v>517</v>
      </c>
      <c r="C140" s="45">
        <v>45996</v>
      </c>
      <c r="D140" s="46">
        <v>54325397642</v>
      </c>
      <c r="E140" s="46">
        <v>2140586672048</v>
      </c>
      <c r="F140" s="47" t="s">
        <v>526</v>
      </c>
      <c r="G140" s="47" t="s">
        <v>519</v>
      </c>
      <c r="H140" s="47" t="s">
        <v>4</v>
      </c>
      <c r="I140" s="46" t="s">
        <v>4</v>
      </c>
      <c r="J140" s="48">
        <v>316.22000000000003</v>
      </c>
      <c r="K140" s="47" t="s">
        <v>520</v>
      </c>
      <c r="L140" s="47" t="s">
        <v>521</v>
      </c>
      <c r="M140" s="46" t="s">
        <v>522</v>
      </c>
      <c r="N140" s="47" t="s">
        <v>523</v>
      </c>
      <c r="O140" s="44" t="s">
        <v>4</v>
      </c>
      <c r="P140" s="47" t="s">
        <v>527</v>
      </c>
      <c r="Q140" s="48">
        <v>32600</v>
      </c>
      <c r="R140" s="49" t="s">
        <v>4</v>
      </c>
      <c r="S140" s="48" t="s">
        <v>4</v>
      </c>
      <c r="T140" s="47" t="s">
        <v>4</v>
      </c>
    </row>
    <row r="141" spans="1:20">
      <c r="A141" s="46">
        <v>136078016419</v>
      </c>
      <c r="B141" s="44" t="s">
        <v>517</v>
      </c>
      <c r="C141" s="45">
        <v>45997</v>
      </c>
      <c r="D141" s="46">
        <v>54325958010</v>
      </c>
      <c r="E141" s="46">
        <v>2140594149104</v>
      </c>
      <c r="F141" s="47" t="s">
        <v>526</v>
      </c>
      <c r="G141" s="47" t="s">
        <v>519</v>
      </c>
      <c r="H141" s="47" t="s">
        <v>4</v>
      </c>
      <c r="I141" s="46" t="s">
        <v>4</v>
      </c>
      <c r="J141" s="48">
        <v>391.88</v>
      </c>
      <c r="K141" s="47" t="s">
        <v>520</v>
      </c>
      <c r="L141" s="47" t="s">
        <v>521</v>
      </c>
      <c r="M141" s="46" t="s">
        <v>522</v>
      </c>
      <c r="N141" s="47" t="s">
        <v>523</v>
      </c>
      <c r="O141" s="44" t="s">
        <v>4</v>
      </c>
      <c r="P141" s="47" t="s">
        <v>527</v>
      </c>
      <c r="Q141" s="48">
        <v>40400</v>
      </c>
      <c r="R141" s="49" t="s">
        <v>4</v>
      </c>
      <c r="S141" s="48" t="s">
        <v>4</v>
      </c>
      <c r="T141" s="47" t="s">
        <v>4</v>
      </c>
    </row>
    <row r="142" spans="1:20">
      <c r="A142" s="46">
        <v>136078826713</v>
      </c>
      <c r="B142" s="44" t="s">
        <v>517</v>
      </c>
      <c r="C142" s="45">
        <v>45997</v>
      </c>
      <c r="D142" s="46">
        <v>54326347600</v>
      </c>
      <c r="E142" s="46">
        <v>2140465380259</v>
      </c>
      <c r="F142" s="47" t="s">
        <v>518</v>
      </c>
      <c r="G142" s="47" t="s">
        <v>519</v>
      </c>
      <c r="H142" s="47" t="s">
        <v>4</v>
      </c>
      <c r="I142" s="46" t="s">
        <v>4</v>
      </c>
      <c r="J142" s="48">
        <v>371.51</v>
      </c>
      <c r="K142" s="47" t="s">
        <v>520</v>
      </c>
      <c r="L142" s="47" t="s">
        <v>521</v>
      </c>
      <c r="M142" s="46" t="s">
        <v>522</v>
      </c>
      <c r="N142" s="47" t="s">
        <v>523</v>
      </c>
      <c r="O142" s="44" t="s">
        <v>4</v>
      </c>
      <c r="P142" s="47" t="s">
        <v>551</v>
      </c>
      <c r="Q142" s="48">
        <v>38300</v>
      </c>
      <c r="R142" s="49" t="s">
        <v>4</v>
      </c>
      <c r="S142" s="48" t="s">
        <v>4</v>
      </c>
      <c r="T142" s="47" t="s">
        <v>525</v>
      </c>
    </row>
    <row r="143" spans="1:20">
      <c r="A143" s="46">
        <v>136703140262</v>
      </c>
      <c r="B143" s="44" t="s">
        <v>517</v>
      </c>
      <c r="C143" s="45">
        <v>45997</v>
      </c>
      <c r="D143" s="46">
        <v>54326746769</v>
      </c>
      <c r="E143" s="46">
        <v>2140604871074</v>
      </c>
      <c r="F143" s="47" t="s">
        <v>518</v>
      </c>
      <c r="G143" s="47" t="s">
        <v>519</v>
      </c>
      <c r="H143" s="47" t="s">
        <v>4</v>
      </c>
      <c r="I143" s="46" t="s">
        <v>4</v>
      </c>
      <c r="J143" s="48">
        <v>569.39</v>
      </c>
      <c r="K143" s="47" t="s">
        <v>520</v>
      </c>
      <c r="L143" s="47" t="s">
        <v>521</v>
      </c>
      <c r="M143" s="46" t="s">
        <v>522</v>
      </c>
      <c r="N143" s="47" t="s">
        <v>523</v>
      </c>
      <c r="O143" s="44" t="s">
        <v>4</v>
      </c>
      <c r="P143" s="47" t="s">
        <v>552</v>
      </c>
      <c r="Q143" s="48">
        <v>58700</v>
      </c>
      <c r="R143" s="49" t="s">
        <v>4</v>
      </c>
      <c r="S143" s="48" t="s">
        <v>4</v>
      </c>
      <c r="T143" s="47" t="s">
        <v>525</v>
      </c>
    </row>
    <row r="144" spans="1:20">
      <c r="A144" s="46">
        <v>136703920262</v>
      </c>
      <c r="B144" s="44" t="s">
        <v>517</v>
      </c>
      <c r="C144" s="45">
        <v>45997</v>
      </c>
      <c r="D144" s="46">
        <v>54327096502</v>
      </c>
      <c r="E144" s="46">
        <v>2140609461916</v>
      </c>
      <c r="F144" s="47" t="s">
        <v>526</v>
      </c>
      <c r="G144" s="47" t="s">
        <v>519</v>
      </c>
      <c r="H144" s="47" t="s">
        <v>4</v>
      </c>
      <c r="I144" s="46" t="s">
        <v>4</v>
      </c>
      <c r="J144" s="48">
        <v>423.89</v>
      </c>
      <c r="K144" s="47" t="s">
        <v>520</v>
      </c>
      <c r="L144" s="47" t="s">
        <v>521</v>
      </c>
      <c r="M144" s="46" t="s">
        <v>522</v>
      </c>
      <c r="N144" s="47" t="s">
        <v>523</v>
      </c>
      <c r="O144" s="44" t="s">
        <v>4</v>
      </c>
      <c r="P144" s="47" t="s">
        <v>527</v>
      </c>
      <c r="Q144" s="48">
        <v>43700</v>
      </c>
      <c r="R144" s="49" t="s">
        <v>4</v>
      </c>
      <c r="S144" s="48" t="s">
        <v>4</v>
      </c>
      <c r="T144" s="47" t="s">
        <v>4</v>
      </c>
    </row>
    <row r="145" spans="1:20">
      <c r="A145" s="46">
        <v>136704187344</v>
      </c>
      <c r="B145" s="44" t="s">
        <v>517</v>
      </c>
      <c r="C145" s="45">
        <v>45997</v>
      </c>
      <c r="D145" s="46">
        <v>54327246869</v>
      </c>
      <c r="E145" s="46">
        <v>2140611329626</v>
      </c>
      <c r="F145" s="47" t="s">
        <v>529</v>
      </c>
      <c r="G145" s="47" t="s">
        <v>519</v>
      </c>
      <c r="H145" s="47" t="s">
        <v>4</v>
      </c>
      <c r="I145" s="46" t="s">
        <v>4</v>
      </c>
      <c r="J145" s="48">
        <v>1712.25</v>
      </c>
      <c r="K145" s="47" t="s">
        <v>520</v>
      </c>
      <c r="L145" s="47" t="s">
        <v>530</v>
      </c>
      <c r="M145" s="46" t="s">
        <v>522</v>
      </c>
      <c r="N145" s="47" t="s">
        <v>523</v>
      </c>
      <c r="O145" s="44" t="s">
        <v>263</v>
      </c>
      <c r="P145" s="47" t="s">
        <v>531</v>
      </c>
      <c r="Q145" s="48">
        <v>23625</v>
      </c>
      <c r="R145" s="49" t="s">
        <v>4</v>
      </c>
      <c r="S145" s="48" t="s">
        <v>4</v>
      </c>
      <c r="T145" s="47" t="s">
        <v>525</v>
      </c>
    </row>
    <row r="146" spans="1:20">
      <c r="A146" s="46">
        <v>136080717447</v>
      </c>
      <c r="B146" s="44" t="s">
        <v>517</v>
      </c>
      <c r="C146" s="45">
        <v>45997</v>
      </c>
      <c r="D146" s="46">
        <v>54327293662</v>
      </c>
      <c r="E146" s="46">
        <v>2140612354642</v>
      </c>
      <c r="F146" s="47" t="s">
        <v>518</v>
      </c>
      <c r="G146" s="47" t="s">
        <v>519</v>
      </c>
      <c r="H146" s="47" t="s">
        <v>4</v>
      </c>
      <c r="I146" s="46" t="s">
        <v>4</v>
      </c>
      <c r="J146" s="48">
        <v>133.86000000000001</v>
      </c>
      <c r="K146" s="47" t="s">
        <v>520</v>
      </c>
      <c r="L146" s="47" t="s">
        <v>521</v>
      </c>
      <c r="M146" s="46" t="s">
        <v>522</v>
      </c>
      <c r="N146" s="47" t="s">
        <v>523</v>
      </c>
      <c r="O146" s="44" t="s">
        <v>4</v>
      </c>
      <c r="P146" s="47" t="s">
        <v>553</v>
      </c>
      <c r="Q146" s="48">
        <v>13800</v>
      </c>
      <c r="R146" s="49" t="s">
        <v>4</v>
      </c>
      <c r="S146" s="48" t="s">
        <v>4</v>
      </c>
      <c r="T146" s="47" t="s">
        <v>525</v>
      </c>
    </row>
    <row r="147" spans="1:20">
      <c r="A147" s="46">
        <v>136082008275</v>
      </c>
      <c r="B147" s="44" t="s">
        <v>517</v>
      </c>
      <c r="C147" s="45">
        <v>45997</v>
      </c>
      <c r="D147" s="46">
        <v>54327885006</v>
      </c>
      <c r="E147" s="46">
        <v>2140619365944</v>
      </c>
      <c r="F147" s="47" t="s">
        <v>518</v>
      </c>
      <c r="G147" s="47" t="s">
        <v>519</v>
      </c>
      <c r="H147" s="47" t="s">
        <v>4</v>
      </c>
      <c r="I147" s="46" t="s">
        <v>4</v>
      </c>
      <c r="J147" s="48">
        <v>251.23</v>
      </c>
      <c r="K147" s="47" t="s">
        <v>520</v>
      </c>
      <c r="L147" s="47" t="s">
        <v>521</v>
      </c>
      <c r="M147" s="46" t="s">
        <v>522</v>
      </c>
      <c r="N147" s="47" t="s">
        <v>523</v>
      </c>
      <c r="O147" s="44" t="s">
        <v>4</v>
      </c>
      <c r="P147" s="47" t="s">
        <v>554</v>
      </c>
      <c r="Q147" s="48">
        <v>25900</v>
      </c>
      <c r="R147" s="49" t="s">
        <v>4</v>
      </c>
      <c r="S147" s="48" t="s">
        <v>4</v>
      </c>
      <c r="T147" s="47" t="s">
        <v>525</v>
      </c>
    </row>
    <row r="148" spans="1:20">
      <c r="A148" s="46">
        <v>136082556343</v>
      </c>
      <c r="B148" s="44" t="s">
        <v>517</v>
      </c>
      <c r="C148" s="45">
        <v>45997</v>
      </c>
      <c r="D148" s="46">
        <v>54328170639</v>
      </c>
      <c r="E148" s="46">
        <v>2140488861521</v>
      </c>
      <c r="F148" s="47" t="s">
        <v>529</v>
      </c>
      <c r="G148" s="47" t="s">
        <v>519</v>
      </c>
      <c r="H148" s="47" t="s">
        <v>4</v>
      </c>
      <c r="I148" s="46" t="s">
        <v>4</v>
      </c>
      <c r="J148" s="48">
        <v>546.27</v>
      </c>
      <c r="K148" s="47" t="s">
        <v>520</v>
      </c>
      <c r="L148" s="47" t="s">
        <v>530</v>
      </c>
      <c r="M148" s="46" t="s">
        <v>522</v>
      </c>
      <c r="N148" s="47" t="s">
        <v>523</v>
      </c>
      <c r="O148" s="44" t="s">
        <v>263</v>
      </c>
      <c r="P148" s="47" t="s">
        <v>531</v>
      </c>
      <c r="Q148" s="48">
        <v>13900</v>
      </c>
      <c r="R148" s="49" t="s">
        <v>4</v>
      </c>
      <c r="S148" s="48" t="s">
        <v>4</v>
      </c>
      <c r="T148" s="47" t="s">
        <v>525</v>
      </c>
    </row>
    <row r="149" spans="1:20">
      <c r="A149" s="46">
        <v>136706179074</v>
      </c>
      <c r="B149" s="44" t="s">
        <v>517</v>
      </c>
      <c r="C149" s="45">
        <v>45997</v>
      </c>
      <c r="D149" s="46">
        <v>54328215765</v>
      </c>
      <c r="E149" s="46">
        <v>2140623667054</v>
      </c>
      <c r="F149" s="47" t="s">
        <v>518</v>
      </c>
      <c r="G149" s="47" t="s">
        <v>519</v>
      </c>
      <c r="H149" s="47" t="s">
        <v>4</v>
      </c>
      <c r="I149" s="46" t="s">
        <v>4</v>
      </c>
      <c r="J149" s="48">
        <v>934.11</v>
      </c>
      <c r="K149" s="47" t="s">
        <v>520</v>
      </c>
      <c r="L149" s="47" t="s">
        <v>521</v>
      </c>
      <c r="M149" s="46" t="s">
        <v>522</v>
      </c>
      <c r="N149" s="47" t="s">
        <v>523</v>
      </c>
      <c r="O149" s="44" t="s">
        <v>4</v>
      </c>
      <c r="P149" s="47" t="s">
        <v>555</v>
      </c>
      <c r="Q149" s="48">
        <v>96300</v>
      </c>
      <c r="R149" s="49" t="s">
        <v>4</v>
      </c>
      <c r="S149" s="48" t="s">
        <v>4</v>
      </c>
      <c r="T149" s="47" t="s">
        <v>525</v>
      </c>
    </row>
    <row r="150" spans="1:20">
      <c r="A150" s="46">
        <v>136706567546</v>
      </c>
      <c r="B150" s="44" t="s">
        <v>517</v>
      </c>
      <c r="C150" s="45">
        <v>45997</v>
      </c>
      <c r="D150" s="46">
        <v>54328435920</v>
      </c>
      <c r="E150" s="46">
        <v>2140626502818</v>
      </c>
      <c r="F150" s="47" t="s">
        <v>518</v>
      </c>
      <c r="G150" s="47" t="s">
        <v>519</v>
      </c>
      <c r="H150" s="47" t="s">
        <v>4</v>
      </c>
      <c r="I150" s="46" t="s">
        <v>4</v>
      </c>
      <c r="J150" s="48">
        <v>189.15</v>
      </c>
      <c r="K150" s="47" t="s">
        <v>520</v>
      </c>
      <c r="L150" s="47" t="s">
        <v>521</v>
      </c>
      <c r="M150" s="46" t="s">
        <v>522</v>
      </c>
      <c r="N150" s="47" t="s">
        <v>523</v>
      </c>
      <c r="O150" s="44" t="s">
        <v>4</v>
      </c>
      <c r="P150" s="47" t="s">
        <v>556</v>
      </c>
      <c r="Q150" s="48">
        <v>19500</v>
      </c>
      <c r="R150" s="49" t="s">
        <v>4</v>
      </c>
      <c r="S150" s="48" t="s">
        <v>4</v>
      </c>
      <c r="T150" s="47" t="s">
        <v>525</v>
      </c>
    </row>
    <row r="151" spans="1:20">
      <c r="A151" s="46">
        <v>136706595996</v>
      </c>
      <c r="B151" s="44" t="s">
        <v>517</v>
      </c>
      <c r="C151" s="45">
        <v>45997</v>
      </c>
      <c r="D151" s="46">
        <v>54328442960</v>
      </c>
      <c r="E151" s="46">
        <v>2140492528735</v>
      </c>
      <c r="F151" s="47" t="s">
        <v>518</v>
      </c>
      <c r="G151" s="47" t="s">
        <v>519</v>
      </c>
      <c r="H151" s="47" t="s">
        <v>4</v>
      </c>
      <c r="I151" s="46" t="s">
        <v>4</v>
      </c>
      <c r="J151" s="48">
        <v>831.29</v>
      </c>
      <c r="K151" s="47" t="s">
        <v>520</v>
      </c>
      <c r="L151" s="47" t="s">
        <v>521</v>
      </c>
      <c r="M151" s="46" t="s">
        <v>522</v>
      </c>
      <c r="N151" s="47" t="s">
        <v>523</v>
      </c>
      <c r="O151" s="44" t="s">
        <v>4</v>
      </c>
      <c r="P151" s="47" t="s">
        <v>557</v>
      </c>
      <c r="Q151" s="48">
        <v>85700</v>
      </c>
      <c r="R151" s="49" t="s">
        <v>4</v>
      </c>
      <c r="S151" s="48" t="s">
        <v>4</v>
      </c>
      <c r="T151" s="47" t="s">
        <v>525</v>
      </c>
    </row>
    <row r="152" spans="1:20">
      <c r="A152" s="46">
        <v>136083238703</v>
      </c>
      <c r="B152" s="44" t="s">
        <v>517</v>
      </c>
      <c r="C152" s="45">
        <v>45997</v>
      </c>
      <c r="D152" s="46">
        <v>54328467165</v>
      </c>
      <c r="E152" s="46">
        <v>2140492699295</v>
      </c>
      <c r="F152" s="47" t="s">
        <v>518</v>
      </c>
      <c r="G152" s="47" t="s">
        <v>519</v>
      </c>
      <c r="H152" s="47" t="s">
        <v>4</v>
      </c>
      <c r="I152" s="46" t="s">
        <v>4</v>
      </c>
      <c r="J152" s="48">
        <v>451.05</v>
      </c>
      <c r="K152" s="47" t="s">
        <v>520</v>
      </c>
      <c r="L152" s="47" t="s">
        <v>521</v>
      </c>
      <c r="M152" s="46" t="s">
        <v>522</v>
      </c>
      <c r="N152" s="47" t="s">
        <v>523</v>
      </c>
      <c r="O152" s="44" t="s">
        <v>4</v>
      </c>
      <c r="P152" s="47" t="s">
        <v>558</v>
      </c>
      <c r="Q152" s="48">
        <v>46500</v>
      </c>
      <c r="R152" s="49" t="s">
        <v>4</v>
      </c>
      <c r="S152" s="48" t="s">
        <v>4</v>
      </c>
      <c r="T152" s="47" t="s">
        <v>525</v>
      </c>
    </row>
    <row r="153" spans="1:20">
      <c r="A153" s="46">
        <v>136707102110</v>
      </c>
      <c r="B153" s="44" t="s">
        <v>517</v>
      </c>
      <c r="C153" s="45">
        <v>45997</v>
      </c>
      <c r="D153" s="46">
        <v>54328650943</v>
      </c>
      <c r="E153" s="46">
        <v>2140494984535</v>
      </c>
      <c r="F153" s="47" t="s">
        <v>518</v>
      </c>
      <c r="G153" s="47" t="s">
        <v>519</v>
      </c>
      <c r="H153" s="47" t="s">
        <v>4</v>
      </c>
      <c r="I153" s="46" t="s">
        <v>4</v>
      </c>
      <c r="J153" s="48">
        <v>196.91</v>
      </c>
      <c r="K153" s="47" t="s">
        <v>520</v>
      </c>
      <c r="L153" s="47" t="s">
        <v>521</v>
      </c>
      <c r="M153" s="46" t="s">
        <v>522</v>
      </c>
      <c r="N153" s="47" t="s">
        <v>523</v>
      </c>
      <c r="O153" s="44" t="s">
        <v>4</v>
      </c>
      <c r="P153" s="47" t="s">
        <v>559</v>
      </c>
      <c r="Q153" s="48">
        <v>20300</v>
      </c>
      <c r="R153" s="49" t="s">
        <v>4</v>
      </c>
      <c r="S153" s="48" t="s">
        <v>4</v>
      </c>
      <c r="T153" s="47" t="s">
        <v>525</v>
      </c>
    </row>
    <row r="154" spans="1:20">
      <c r="A154" s="46">
        <v>136707233790</v>
      </c>
      <c r="B154" s="44" t="s">
        <v>517</v>
      </c>
      <c r="C154" s="45">
        <v>45997</v>
      </c>
      <c r="D154" s="46">
        <v>54328762939</v>
      </c>
      <c r="E154" s="46">
        <v>2140630891088</v>
      </c>
      <c r="F154" s="47" t="s">
        <v>518</v>
      </c>
      <c r="G154" s="47" t="s">
        <v>519</v>
      </c>
      <c r="H154" s="47" t="s">
        <v>4</v>
      </c>
      <c r="I154" s="46" t="s">
        <v>4</v>
      </c>
      <c r="J154" s="48">
        <v>475.3</v>
      </c>
      <c r="K154" s="47" t="s">
        <v>520</v>
      </c>
      <c r="L154" s="47" t="s">
        <v>521</v>
      </c>
      <c r="M154" s="46" t="s">
        <v>522</v>
      </c>
      <c r="N154" s="47" t="s">
        <v>523</v>
      </c>
      <c r="O154" s="44" t="s">
        <v>4</v>
      </c>
      <c r="P154" s="47" t="s">
        <v>560</v>
      </c>
      <c r="Q154" s="48">
        <v>49000</v>
      </c>
      <c r="R154" s="49" t="s">
        <v>4</v>
      </c>
      <c r="S154" s="48" t="s">
        <v>4</v>
      </c>
      <c r="T154" s="47" t="s">
        <v>525</v>
      </c>
    </row>
    <row r="155" spans="1:20">
      <c r="A155" s="46">
        <v>136707892144</v>
      </c>
      <c r="B155" s="44" t="s">
        <v>517</v>
      </c>
      <c r="C155" s="45">
        <v>45997</v>
      </c>
      <c r="D155" s="46">
        <v>54329065874</v>
      </c>
      <c r="E155" s="46">
        <v>2140499284873</v>
      </c>
      <c r="F155" s="47" t="s">
        <v>526</v>
      </c>
      <c r="G155" s="47" t="s">
        <v>519</v>
      </c>
      <c r="H155" s="47" t="s">
        <v>4</v>
      </c>
      <c r="I155" s="46" t="s">
        <v>4</v>
      </c>
      <c r="J155" s="48">
        <v>527.67999999999995</v>
      </c>
      <c r="K155" s="47" t="s">
        <v>520</v>
      </c>
      <c r="L155" s="47" t="s">
        <v>521</v>
      </c>
      <c r="M155" s="46" t="s">
        <v>522</v>
      </c>
      <c r="N155" s="47" t="s">
        <v>523</v>
      </c>
      <c r="O155" s="44" t="s">
        <v>4</v>
      </c>
      <c r="P155" s="47" t="s">
        <v>527</v>
      </c>
      <c r="Q155" s="48">
        <v>54400</v>
      </c>
      <c r="R155" s="49" t="s">
        <v>4</v>
      </c>
      <c r="S155" s="48" t="s">
        <v>4</v>
      </c>
      <c r="T155" s="47" t="s">
        <v>4</v>
      </c>
    </row>
    <row r="156" spans="1:20">
      <c r="A156" s="46">
        <v>136708150316</v>
      </c>
      <c r="B156" s="44" t="s">
        <v>517</v>
      </c>
      <c r="C156" s="45">
        <v>45997</v>
      </c>
      <c r="D156" s="46">
        <v>54329213863</v>
      </c>
      <c r="E156" s="46">
        <v>2140501420387</v>
      </c>
      <c r="F156" s="47" t="s">
        <v>518</v>
      </c>
      <c r="G156" s="47" t="s">
        <v>519</v>
      </c>
      <c r="H156" s="47" t="s">
        <v>4</v>
      </c>
      <c r="I156" s="46" t="s">
        <v>4</v>
      </c>
      <c r="J156" s="48">
        <v>160.05000000000001</v>
      </c>
      <c r="K156" s="47" t="s">
        <v>520</v>
      </c>
      <c r="L156" s="47" t="s">
        <v>521</v>
      </c>
      <c r="M156" s="46" t="s">
        <v>522</v>
      </c>
      <c r="N156" s="47" t="s">
        <v>523</v>
      </c>
      <c r="O156" s="44" t="s">
        <v>4</v>
      </c>
      <c r="P156" s="47" t="s">
        <v>561</v>
      </c>
      <c r="Q156" s="48">
        <v>16500</v>
      </c>
      <c r="R156" s="49" t="s">
        <v>4</v>
      </c>
      <c r="S156" s="48" t="s">
        <v>4</v>
      </c>
      <c r="T156" s="47" t="s">
        <v>525</v>
      </c>
    </row>
    <row r="157" spans="1:20">
      <c r="A157" s="46">
        <v>136708166040</v>
      </c>
      <c r="B157" s="44" t="s">
        <v>517</v>
      </c>
      <c r="C157" s="45">
        <v>45997</v>
      </c>
      <c r="D157" s="46">
        <v>54329306613</v>
      </c>
      <c r="E157" s="46">
        <v>2140502182423</v>
      </c>
      <c r="F157" s="47" t="s">
        <v>562</v>
      </c>
      <c r="G157" s="47" t="s">
        <v>519</v>
      </c>
      <c r="H157" s="47" t="s">
        <v>4</v>
      </c>
      <c r="I157" s="46" t="s">
        <v>4</v>
      </c>
      <c r="J157" s="48">
        <v>228.2</v>
      </c>
      <c r="K157" s="47" t="s">
        <v>520</v>
      </c>
      <c r="L157" s="47" t="s">
        <v>521</v>
      </c>
      <c r="M157" s="46" t="s">
        <v>522</v>
      </c>
      <c r="N157" s="47" t="s">
        <v>523</v>
      </c>
      <c r="O157" s="44" t="s">
        <v>4</v>
      </c>
      <c r="P157" s="47" t="s">
        <v>563</v>
      </c>
      <c r="Q157" s="48">
        <v>14000</v>
      </c>
      <c r="R157" s="49" t="s">
        <v>4</v>
      </c>
      <c r="S157" s="48" t="s">
        <v>4</v>
      </c>
      <c r="T157" s="47" t="s">
        <v>525</v>
      </c>
    </row>
    <row r="158" spans="1:20">
      <c r="A158" s="46">
        <v>136085098461</v>
      </c>
      <c r="B158" s="44" t="s">
        <v>517</v>
      </c>
      <c r="C158" s="45">
        <v>45997</v>
      </c>
      <c r="D158" s="46">
        <v>54329447072</v>
      </c>
      <c r="E158" s="46">
        <v>2140638389104</v>
      </c>
      <c r="F158" s="47" t="s">
        <v>518</v>
      </c>
      <c r="G158" s="47" t="s">
        <v>519</v>
      </c>
      <c r="H158" s="47" t="s">
        <v>4</v>
      </c>
      <c r="I158" s="46" t="s">
        <v>4</v>
      </c>
      <c r="J158" s="48">
        <v>578.12</v>
      </c>
      <c r="K158" s="47" t="s">
        <v>520</v>
      </c>
      <c r="L158" s="47" t="s">
        <v>521</v>
      </c>
      <c r="M158" s="46" t="s">
        <v>522</v>
      </c>
      <c r="N158" s="47" t="s">
        <v>523</v>
      </c>
      <c r="O158" s="44" t="s">
        <v>4</v>
      </c>
      <c r="P158" s="47" t="s">
        <v>564</v>
      </c>
      <c r="Q158" s="48">
        <v>59600</v>
      </c>
      <c r="R158" s="49" t="s">
        <v>4</v>
      </c>
      <c r="S158" s="48" t="s">
        <v>4</v>
      </c>
      <c r="T158" s="47" t="s">
        <v>525</v>
      </c>
    </row>
    <row r="159" spans="1:20">
      <c r="A159" s="46">
        <v>136085255891</v>
      </c>
      <c r="B159" s="44" t="s">
        <v>517</v>
      </c>
      <c r="C159" s="45">
        <v>45997</v>
      </c>
      <c r="D159" s="46">
        <v>54329566683</v>
      </c>
      <c r="E159" s="46">
        <v>2140505691757</v>
      </c>
      <c r="F159" s="47" t="s">
        <v>529</v>
      </c>
      <c r="G159" s="47" t="s">
        <v>519</v>
      </c>
      <c r="H159" s="47" t="s">
        <v>4</v>
      </c>
      <c r="I159" s="46" t="s">
        <v>4</v>
      </c>
      <c r="J159" s="48">
        <v>345.84</v>
      </c>
      <c r="K159" s="47" t="s">
        <v>520</v>
      </c>
      <c r="L159" s="47" t="s">
        <v>530</v>
      </c>
      <c r="M159" s="46" t="s">
        <v>522</v>
      </c>
      <c r="N159" s="47" t="s">
        <v>523</v>
      </c>
      <c r="O159" s="44" t="s">
        <v>263</v>
      </c>
      <c r="P159" s="47" t="s">
        <v>531</v>
      </c>
      <c r="Q159" s="48">
        <v>8800</v>
      </c>
      <c r="R159" s="49" t="s">
        <v>4</v>
      </c>
      <c r="S159" s="48" t="s">
        <v>4</v>
      </c>
      <c r="T159" s="47" t="s">
        <v>525</v>
      </c>
    </row>
    <row r="160" spans="1:20">
      <c r="A160" s="46">
        <v>136709093234</v>
      </c>
      <c r="B160" s="44" t="s">
        <v>517</v>
      </c>
      <c r="C160" s="45">
        <v>45997</v>
      </c>
      <c r="D160" s="46">
        <v>54329702567</v>
      </c>
      <c r="E160" s="46">
        <v>2140641825866</v>
      </c>
      <c r="F160" s="47" t="s">
        <v>518</v>
      </c>
      <c r="G160" s="47" t="s">
        <v>519</v>
      </c>
      <c r="H160" s="47" t="s">
        <v>4</v>
      </c>
      <c r="I160" s="46" t="s">
        <v>4</v>
      </c>
      <c r="J160" s="48">
        <v>302.64</v>
      </c>
      <c r="K160" s="47" t="s">
        <v>520</v>
      </c>
      <c r="L160" s="47" t="s">
        <v>521</v>
      </c>
      <c r="M160" s="46" t="s">
        <v>522</v>
      </c>
      <c r="N160" s="47" t="s">
        <v>523</v>
      </c>
      <c r="O160" s="44" t="s">
        <v>4</v>
      </c>
      <c r="P160" s="47" t="s">
        <v>565</v>
      </c>
      <c r="Q160" s="48">
        <v>31200</v>
      </c>
      <c r="R160" s="49" t="s">
        <v>4</v>
      </c>
      <c r="S160" s="48" t="s">
        <v>4</v>
      </c>
      <c r="T160" s="47" t="s">
        <v>525</v>
      </c>
    </row>
    <row r="161" spans="1:20">
      <c r="A161" s="46">
        <v>136709325646</v>
      </c>
      <c r="B161" s="44" t="s">
        <v>517</v>
      </c>
      <c r="C161" s="45">
        <v>45997</v>
      </c>
      <c r="D161" s="46">
        <v>54329835617</v>
      </c>
      <c r="E161" s="46">
        <v>2140643411430</v>
      </c>
      <c r="F161" s="47" t="s">
        <v>518</v>
      </c>
      <c r="G161" s="47" t="s">
        <v>519</v>
      </c>
      <c r="H161" s="47" t="s">
        <v>4</v>
      </c>
      <c r="I161" s="46" t="s">
        <v>4</v>
      </c>
      <c r="J161" s="48">
        <v>174.6</v>
      </c>
      <c r="K161" s="47" t="s">
        <v>520</v>
      </c>
      <c r="L161" s="47" t="s">
        <v>521</v>
      </c>
      <c r="M161" s="46" t="s">
        <v>522</v>
      </c>
      <c r="N161" s="47" t="s">
        <v>523</v>
      </c>
      <c r="O161" s="44" t="s">
        <v>4</v>
      </c>
      <c r="P161" s="47" t="s">
        <v>566</v>
      </c>
      <c r="Q161" s="48">
        <v>18000</v>
      </c>
      <c r="R161" s="49" t="s">
        <v>4</v>
      </c>
      <c r="S161" s="48" t="s">
        <v>4</v>
      </c>
      <c r="T161" s="47" t="s">
        <v>525</v>
      </c>
    </row>
    <row r="162" spans="1:20">
      <c r="A162" s="46">
        <v>136709365352</v>
      </c>
      <c r="B162" s="44" t="s">
        <v>517</v>
      </c>
      <c r="C162" s="45">
        <v>45997</v>
      </c>
      <c r="D162" s="46">
        <v>54329839515</v>
      </c>
      <c r="E162" s="46">
        <v>2140509088063</v>
      </c>
      <c r="F162" s="47" t="s">
        <v>518</v>
      </c>
      <c r="G162" s="47" t="s">
        <v>519</v>
      </c>
      <c r="H162" s="47" t="s">
        <v>4</v>
      </c>
      <c r="I162" s="46" t="s">
        <v>4</v>
      </c>
      <c r="J162" s="48">
        <v>589.76</v>
      </c>
      <c r="K162" s="47" t="s">
        <v>520</v>
      </c>
      <c r="L162" s="47" t="s">
        <v>521</v>
      </c>
      <c r="M162" s="46" t="s">
        <v>522</v>
      </c>
      <c r="N162" s="47" t="s">
        <v>523</v>
      </c>
      <c r="O162" s="44" t="s">
        <v>4</v>
      </c>
      <c r="P162" s="47" t="s">
        <v>567</v>
      </c>
      <c r="Q162" s="48">
        <v>60800</v>
      </c>
      <c r="R162" s="49" t="s">
        <v>4</v>
      </c>
      <c r="S162" s="48" t="s">
        <v>4</v>
      </c>
      <c r="T162" s="47" t="s">
        <v>525</v>
      </c>
    </row>
    <row r="163" spans="1:20">
      <c r="A163" s="46">
        <v>136086050167</v>
      </c>
      <c r="B163" s="44" t="s">
        <v>517</v>
      </c>
      <c r="C163" s="45">
        <v>45997</v>
      </c>
      <c r="D163" s="46">
        <v>54329922529</v>
      </c>
      <c r="E163" s="46">
        <v>2140510327099</v>
      </c>
      <c r="F163" s="47" t="s">
        <v>518</v>
      </c>
      <c r="G163" s="47" t="s">
        <v>519</v>
      </c>
      <c r="H163" s="47" t="s">
        <v>4</v>
      </c>
      <c r="I163" s="46" t="s">
        <v>4</v>
      </c>
      <c r="J163" s="48">
        <v>105.73</v>
      </c>
      <c r="K163" s="47" t="s">
        <v>520</v>
      </c>
      <c r="L163" s="47" t="s">
        <v>521</v>
      </c>
      <c r="M163" s="46" t="s">
        <v>522</v>
      </c>
      <c r="N163" s="47" t="s">
        <v>523</v>
      </c>
      <c r="O163" s="44" t="s">
        <v>4</v>
      </c>
      <c r="P163" s="47" t="s">
        <v>568</v>
      </c>
      <c r="Q163" s="48">
        <v>10900</v>
      </c>
      <c r="R163" s="49" t="s">
        <v>4</v>
      </c>
      <c r="S163" s="48" t="s">
        <v>4</v>
      </c>
      <c r="T163" s="47" t="s">
        <v>525</v>
      </c>
    </row>
    <row r="164" spans="1:20">
      <c r="A164" s="46">
        <v>136086178973</v>
      </c>
      <c r="B164" s="44" t="s">
        <v>517</v>
      </c>
      <c r="C164" s="45">
        <v>45997</v>
      </c>
      <c r="D164" s="46">
        <v>54330010832</v>
      </c>
      <c r="E164" s="46">
        <v>2140645592124</v>
      </c>
      <c r="F164" s="47" t="s">
        <v>526</v>
      </c>
      <c r="G164" s="47" t="s">
        <v>519</v>
      </c>
      <c r="H164" s="47" t="s">
        <v>4</v>
      </c>
      <c r="I164" s="46" t="s">
        <v>4</v>
      </c>
      <c r="J164" s="48">
        <v>227.95</v>
      </c>
      <c r="K164" s="47" t="s">
        <v>520</v>
      </c>
      <c r="L164" s="47" t="s">
        <v>521</v>
      </c>
      <c r="M164" s="46" t="s">
        <v>522</v>
      </c>
      <c r="N164" s="47" t="s">
        <v>523</v>
      </c>
      <c r="O164" s="44" t="s">
        <v>4</v>
      </c>
      <c r="P164" s="47" t="s">
        <v>527</v>
      </c>
      <c r="Q164" s="48">
        <v>23500</v>
      </c>
      <c r="R164" s="49" t="s">
        <v>4</v>
      </c>
      <c r="S164" s="48" t="s">
        <v>4</v>
      </c>
      <c r="T164" s="47" t="s">
        <v>4</v>
      </c>
    </row>
    <row r="165" spans="1:20">
      <c r="A165" s="46">
        <v>136182589345</v>
      </c>
      <c r="B165" s="44" t="s">
        <v>517</v>
      </c>
      <c r="C165" s="45">
        <v>45997</v>
      </c>
      <c r="D165" s="46">
        <v>54369420642</v>
      </c>
      <c r="E165" s="46">
        <v>2141114799869</v>
      </c>
      <c r="F165" s="47" t="s">
        <v>529</v>
      </c>
      <c r="G165" s="47" t="s">
        <v>569</v>
      </c>
      <c r="H165" s="47" t="s">
        <v>570</v>
      </c>
      <c r="I165" s="46" t="s">
        <v>4</v>
      </c>
      <c r="J165" s="48">
        <v>0.59</v>
      </c>
      <c r="K165" s="47" t="s">
        <v>520</v>
      </c>
      <c r="L165" s="47" t="s">
        <v>530</v>
      </c>
      <c r="M165" s="46" t="s">
        <v>522</v>
      </c>
      <c r="N165" s="47" t="s">
        <v>523</v>
      </c>
      <c r="O165" s="44" t="s">
        <v>263</v>
      </c>
      <c r="P165" s="47" t="s">
        <v>531</v>
      </c>
      <c r="Q165" s="48">
        <v>15</v>
      </c>
      <c r="R165" s="49" t="s">
        <v>4</v>
      </c>
      <c r="S165" s="48" t="s">
        <v>4</v>
      </c>
      <c r="T165" s="47" t="s">
        <v>525</v>
      </c>
    </row>
    <row r="166" spans="1:20">
      <c r="A166" s="46">
        <v>136182589345</v>
      </c>
      <c r="B166" s="44" t="s">
        <v>517</v>
      </c>
      <c r="C166" s="45">
        <v>45997</v>
      </c>
      <c r="D166" s="46">
        <v>54369443202</v>
      </c>
      <c r="E166" s="46">
        <v>2141250206842</v>
      </c>
      <c r="F166" s="47" t="s">
        <v>571</v>
      </c>
      <c r="G166" s="47" t="s">
        <v>569</v>
      </c>
      <c r="H166" s="47" t="s">
        <v>4</v>
      </c>
      <c r="I166" s="46">
        <v>54369420642</v>
      </c>
      <c r="J166" s="48">
        <v>-0.59</v>
      </c>
      <c r="K166" s="47" t="s">
        <v>520</v>
      </c>
      <c r="L166" s="47" t="s">
        <v>530</v>
      </c>
      <c r="M166" s="46" t="s">
        <v>522</v>
      </c>
      <c r="N166" s="47" t="s">
        <v>523</v>
      </c>
      <c r="O166" s="44" t="s">
        <v>263</v>
      </c>
      <c r="P166" s="47" t="s">
        <v>531</v>
      </c>
      <c r="Q166" s="48">
        <v>15</v>
      </c>
      <c r="R166" s="49" t="s">
        <v>4</v>
      </c>
      <c r="S166" s="48" t="s">
        <v>4</v>
      </c>
      <c r="T166" s="47" t="s">
        <v>4</v>
      </c>
    </row>
    <row r="167" spans="1:20">
      <c r="A167" s="46">
        <v>136818536256</v>
      </c>
      <c r="B167" s="44" t="s">
        <v>517</v>
      </c>
      <c r="C167" s="45">
        <v>45997</v>
      </c>
      <c r="D167" s="46">
        <v>54373737196</v>
      </c>
      <c r="E167" s="46">
        <v>2141323381628</v>
      </c>
      <c r="F167" s="47" t="s">
        <v>529</v>
      </c>
      <c r="G167" s="47" t="s">
        <v>519</v>
      </c>
      <c r="H167" s="47" t="s">
        <v>4</v>
      </c>
      <c r="I167" s="46" t="s">
        <v>4</v>
      </c>
      <c r="J167" s="48">
        <v>330.12</v>
      </c>
      <c r="K167" s="47" t="s">
        <v>520</v>
      </c>
      <c r="L167" s="47" t="s">
        <v>530</v>
      </c>
      <c r="M167" s="46" t="s">
        <v>522</v>
      </c>
      <c r="N167" s="47" t="s">
        <v>523</v>
      </c>
      <c r="O167" s="44" t="s">
        <v>263</v>
      </c>
      <c r="P167" s="47" t="s">
        <v>531</v>
      </c>
      <c r="Q167" s="48">
        <v>8400</v>
      </c>
      <c r="R167" s="49" t="s">
        <v>4</v>
      </c>
      <c r="S167" s="48" t="s">
        <v>4</v>
      </c>
      <c r="T167" s="47" t="s">
        <v>525</v>
      </c>
    </row>
    <row r="168" spans="1:20">
      <c r="A168" s="46">
        <v>136197610809</v>
      </c>
      <c r="B168" s="44" t="s">
        <v>517</v>
      </c>
      <c r="C168" s="45">
        <v>45997</v>
      </c>
      <c r="D168" s="46">
        <v>54374890224</v>
      </c>
      <c r="E168" s="46">
        <v>2141209225393</v>
      </c>
      <c r="F168" s="47" t="s">
        <v>518</v>
      </c>
      <c r="G168" s="47" t="s">
        <v>519</v>
      </c>
      <c r="H168" s="47" t="s">
        <v>4</v>
      </c>
      <c r="I168" s="46" t="s">
        <v>4</v>
      </c>
      <c r="J168" s="48">
        <v>93.12</v>
      </c>
      <c r="K168" s="47" t="s">
        <v>520</v>
      </c>
      <c r="L168" s="47" t="s">
        <v>521</v>
      </c>
      <c r="M168" s="46" t="s">
        <v>522</v>
      </c>
      <c r="N168" s="47" t="s">
        <v>523</v>
      </c>
      <c r="O168" s="44" t="s">
        <v>4</v>
      </c>
      <c r="P168" s="47" t="s">
        <v>572</v>
      </c>
      <c r="Q168" s="48">
        <v>9600</v>
      </c>
      <c r="R168" s="49" t="s">
        <v>4</v>
      </c>
      <c r="S168" s="48" t="s">
        <v>4</v>
      </c>
      <c r="T168" s="47" t="s">
        <v>525</v>
      </c>
    </row>
    <row r="169" spans="1:20">
      <c r="A169" s="46">
        <v>136199301371</v>
      </c>
      <c r="B169" s="44" t="s">
        <v>517</v>
      </c>
      <c r="C169" s="45">
        <v>45997</v>
      </c>
      <c r="D169" s="46">
        <v>54375442463</v>
      </c>
      <c r="E169" s="46">
        <v>2141218766877</v>
      </c>
      <c r="F169" s="47" t="s">
        <v>526</v>
      </c>
      <c r="G169" s="47" t="s">
        <v>519</v>
      </c>
      <c r="H169" s="47" t="s">
        <v>4</v>
      </c>
      <c r="I169" s="46" t="s">
        <v>4</v>
      </c>
      <c r="J169" s="48">
        <v>120.28</v>
      </c>
      <c r="K169" s="47" t="s">
        <v>520</v>
      </c>
      <c r="L169" s="47" t="s">
        <v>521</v>
      </c>
      <c r="M169" s="46" t="s">
        <v>522</v>
      </c>
      <c r="N169" s="47" t="s">
        <v>523</v>
      </c>
      <c r="O169" s="44" t="s">
        <v>4</v>
      </c>
      <c r="P169" s="47" t="s">
        <v>527</v>
      </c>
      <c r="Q169" s="48">
        <v>12400</v>
      </c>
      <c r="R169" s="49" t="s">
        <v>4</v>
      </c>
      <c r="S169" s="48" t="s">
        <v>4</v>
      </c>
      <c r="T169" s="47" t="s">
        <v>4</v>
      </c>
    </row>
    <row r="170" spans="1:20">
      <c r="A170" s="46">
        <v>136825810056</v>
      </c>
      <c r="B170" s="44" t="s">
        <v>517</v>
      </c>
      <c r="C170" s="45">
        <v>45997</v>
      </c>
      <c r="D170" s="46">
        <v>54376312570</v>
      </c>
      <c r="E170" s="46">
        <v>2141233868771</v>
      </c>
      <c r="F170" s="47" t="s">
        <v>529</v>
      </c>
      <c r="G170" s="47" t="s">
        <v>519</v>
      </c>
      <c r="H170" s="47" t="s">
        <v>4</v>
      </c>
      <c r="I170" s="46" t="s">
        <v>4</v>
      </c>
      <c r="J170" s="48">
        <v>550.20000000000005</v>
      </c>
      <c r="K170" s="47" t="s">
        <v>520</v>
      </c>
      <c r="L170" s="47" t="s">
        <v>530</v>
      </c>
      <c r="M170" s="46" t="s">
        <v>522</v>
      </c>
      <c r="N170" s="47" t="s">
        <v>523</v>
      </c>
      <c r="O170" s="44" t="s">
        <v>263</v>
      </c>
      <c r="P170" s="47" t="s">
        <v>531</v>
      </c>
      <c r="Q170" s="48">
        <v>14000</v>
      </c>
      <c r="R170" s="49" t="s">
        <v>4</v>
      </c>
      <c r="S170" s="48" t="s">
        <v>4</v>
      </c>
      <c r="T170" s="47" t="s">
        <v>525</v>
      </c>
    </row>
    <row r="171" spans="1:20">
      <c r="A171" s="46">
        <v>136203880503</v>
      </c>
      <c r="B171" s="44" t="s">
        <v>517</v>
      </c>
      <c r="C171" s="45">
        <v>45997</v>
      </c>
      <c r="D171" s="46">
        <v>54377087389</v>
      </c>
      <c r="E171" s="46">
        <v>2141381422576</v>
      </c>
      <c r="F171" s="47" t="s">
        <v>529</v>
      </c>
      <c r="G171" s="47" t="s">
        <v>519</v>
      </c>
      <c r="H171" s="47" t="s">
        <v>4</v>
      </c>
      <c r="I171" s="46" t="s">
        <v>4</v>
      </c>
      <c r="J171" s="48">
        <v>935.34</v>
      </c>
      <c r="K171" s="47" t="s">
        <v>520</v>
      </c>
      <c r="L171" s="47" t="s">
        <v>530</v>
      </c>
      <c r="M171" s="46" t="s">
        <v>522</v>
      </c>
      <c r="N171" s="47" t="s">
        <v>523</v>
      </c>
      <c r="O171" s="44" t="s">
        <v>263</v>
      </c>
      <c r="P171" s="47" t="s">
        <v>531</v>
      </c>
      <c r="Q171" s="48">
        <v>23800</v>
      </c>
      <c r="R171" s="49" t="s">
        <v>4</v>
      </c>
      <c r="S171" s="48" t="s">
        <v>4</v>
      </c>
      <c r="T171" s="47" t="s">
        <v>525</v>
      </c>
    </row>
    <row r="172" spans="1:20">
      <c r="A172" s="46">
        <v>136204861051</v>
      </c>
      <c r="B172" s="44" t="s">
        <v>517</v>
      </c>
      <c r="C172" s="45">
        <v>45997</v>
      </c>
      <c r="D172" s="46">
        <v>54377548964</v>
      </c>
      <c r="E172" s="46">
        <v>2141254778707</v>
      </c>
      <c r="F172" s="47" t="s">
        <v>518</v>
      </c>
      <c r="G172" s="47" t="s">
        <v>519</v>
      </c>
      <c r="H172" s="47" t="s">
        <v>4</v>
      </c>
      <c r="I172" s="46" t="s">
        <v>4</v>
      </c>
      <c r="J172" s="48">
        <v>196.91</v>
      </c>
      <c r="K172" s="47" t="s">
        <v>520</v>
      </c>
      <c r="L172" s="47" t="s">
        <v>521</v>
      </c>
      <c r="M172" s="46" t="s">
        <v>522</v>
      </c>
      <c r="N172" s="47" t="s">
        <v>523</v>
      </c>
      <c r="O172" s="44" t="s">
        <v>4</v>
      </c>
      <c r="P172" s="47" t="s">
        <v>573</v>
      </c>
      <c r="Q172" s="48">
        <v>20300</v>
      </c>
      <c r="R172" s="49" t="s">
        <v>4</v>
      </c>
      <c r="S172" s="48" t="s">
        <v>4</v>
      </c>
      <c r="T172" s="47" t="s">
        <v>525</v>
      </c>
    </row>
    <row r="173" spans="1:20">
      <c r="A173" s="46">
        <v>136206758325</v>
      </c>
      <c r="B173" s="44" t="s">
        <v>517</v>
      </c>
      <c r="C173" s="45">
        <v>45997</v>
      </c>
      <c r="D173" s="46">
        <v>54378111063</v>
      </c>
      <c r="E173" s="46">
        <v>2141399296558</v>
      </c>
      <c r="F173" s="47" t="s">
        <v>562</v>
      </c>
      <c r="G173" s="47" t="s">
        <v>519</v>
      </c>
      <c r="H173" s="47" t="s">
        <v>4</v>
      </c>
      <c r="I173" s="46" t="s">
        <v>4</v>
      </c>
      <c r="J173" s="48">
        <v>6027.12</v>
      </c>
      <c r="K173" s="47" t="s">
        <v>520</v>
      </c>
      <c r="L173" s="47" t="s">
        <v>521</v>
      </c>
      <c r="M173" s="46" t="s">
        <v>522</v>
      </c>
      <c r="N173" s="47" t="s">
        <v>523</v>
      </c>
      <c r="O173" s="44" t="s">
        <v>4</v>
      </c>
      <c r="P173" s="47" t="s">
        <v>574</v>
      </c>
      <c r="Q173" s="48">
        <v>79200</v>
      </c>
      <c r="R173" s="49" t="s">
        <v>4</v>
      </c>
      <c r="S173" s="48" t="s">
        <v>4</v>
      </c>
      <c r="T173" s="47" t="s">
        <v>525</v>
      </c>
    </row>
    <row r="174" spans="1:20">
      <c r="A174" s="46">
        <v>136206659707</v>
      </c>
      <c r="B174" s="44" t="s">
        <v>517</v>
      </c>
      <c r="C174" s="45">
        <v>45997</v>
      </c>
      <c r="D174" s="46">
        <v>54378133113</v>
      </c>
      <c r="E174" s="46">
        <v>2141399850518</v>
      </c>
      <c r="F174" s="47" t="s">
        <v>518</v>
      </c>
      <c r="G174" s="47" t="s">
        <v>519</v>
      </c>
      <c r="H174" s="47" t="s">
        <v>4</v>
      </c>
      <c r="I174" s="46" t="s">
        <v>4</v>
      </c>
      <c r="J174" s="48">
        <v>347.26</v>
      </c>
      <c r="K174" s="47" t="s">
        <v>520</v>
      </c>
      <c r="L174" s="47" t="s">
        <v>521</v>
      </c>
      <c r="M174" s="46" t="s">
        <v>522</v>
      </c>
      <c r="N174" s="47" t="s">
        <v>523</v>
      </c>
      <c r="O174" s="44" t="s">
        <v>4</v>
      </c>
      <c r="P174" s="47" t="s">
        <v>575</v>
      </c>
      <c r="Q174" s="48">
        <v>35800</v>
      </c>
      <c r="R174" s="49" t="s">
        <v>4</v>
      </c>
      <c r="S174" s="48" t="s">
        <v>4</v>
      </c>
      <c r="T174" s="47" t="s">
        <v>525</v>
      </c>
    </row>
    <row r="175" spans="1:20">
      <c r="A175" s="46">
        <v>136830857486</v>
      </c>
      <c r="B175" s="44" t="s">
        <v>517</v>
      </c>
      <c r="C175" s="45">
        <v>45997</v>
      </c>
      <c r="D175" s="46">
        <v>54378187453</v>
      </c>
      <c r="E175" s="46">
        <v>2141265573371</v>
      </c>
      <c r="F175" s="47" t="s">
        <v>518</v>
      </c>
      <c r="G175" s="47" t="s">
        <v>519</v>
      </c>
      <c r="H175" s="47" t="s">
        <v>4</v>
      </c>
      <c r="I175" s="46" t="s">
        <v>4</v>
      </c>
      <c r="J175" s="48">
        <v>95.06</v>
      </c>
      <c r="K175" s="47" t="s">
        <v>520</v>
      </c>
      <c r="L175" s="47" t="s">
        <v>521</v>
      </c>
      <c r="M175" s="46" t="s">
        <v>522</v>
      </c>
      <c r="N175" s="47" t="s">
        <v>523</v>
      </c>
      <c r="O175" s="44" t="s">
        <v>4</v>
      </c>
      <c r="P175" s="47" t="s">
        <v>576</v>
      </c>
      <c r="Q175" s="48">
        <v>9800</v>
      </c>
      <c r="R175" s="49" t="s">
        <v>4</v>
      </c>
      <c r="S175" s="48" t="s">
        <v>4</v>
      </c>
      <c r="T175" s="47" t="s">
        <v>525</v>
      </c>
    </row>
    <row r="176" spans="1:20">
      <c r="A176" s="46">
        <v>136831622152</v>
      </c>
      <c r="B176" s="44" t="s">
        <v>517</v>
      </c>
      <c r="C176" s="45">
        <v>45997</v>
      </c>
      <c r="D176" s="46">
        <v>54378450255</v>
      </c>
      <c r="E176" s="46">
        <v>2141270163827</v>
      </c>
      <c r="F176" s="47" t="s">
        <v>529</v>
      </c>
      <c r="G176" s="47" t="s">
        <v>519</v>
      </c>
      <c r="H176" s="47" t="s">
        <v>4</v>
      </c>
      <c r="I176" s="46" t="s">
        <v>4</v>
      </c>
      <c r="J176" s="48">
        <v>1525.44</v>
      </c>
      <c r="K176" s="47" t="s">
        <v>520</v>
      </c>
      <c r="L176" s="47" t="s">
        <v>530</v>
      </c>
      <c r="M176" s="46" t="s">
        <v>522</v>
      </c>
      <c r="N176" s="47" t="s">
        <v>523</v>
      </c>
      <c r="O176" s="44" t="s">
        <v>263</v>
      </c>
      <c r="P176" s="47" t="s">
        <v>531</v>
      </c>
      <c r="Q176" s="48">
        <v>33600</v>
      </c>
      <c r="R176" s="49" t="s">
        <v>4</v>
      </c>
      <c r="S176" s="48" t="s">
        <v>4</v>
      </c>
      <c r="T176" s="47" t="s">
        <v>525</v>
      </c>
    </row>
    <row r="177" spans="1:20">
      <c r="A177" s="46">
        <v>136832417604</v>
      </c>
      <c r="B177" s="44" t="s">
        <v>517</v>
      </c>
      <c r="C177" s="45">
        <v>45997</v>
      </c>
      <c r="D177" s="46">
        <v>54378782535</v>
      </c>
      <c r="E177" s="46">
        <v>2141410455158</v>
      </c>
      <c r="F177" s="47" t="s">
        <v>529</v>
      </c>
      <c r="G177" s="47" t="s">
        <v>519</v>
      </c>
      <c r="H177" s="47" t="s">
        <v>4</v>
      </c>
      <c r="I177" s="46" t="s">
        <v>4</v>
      </c>
      <c r="J177" s="48">
        <v>385.14</v>
      </c>
      <c r="K177" s="47" t="s">
        <v>520</v>
      </c>
      <c r="L177" s="47" t="s">
        <v>530</v>
      </c>
      <c r="M177" s="46" t="s">
        <v>522</v>
      </c>
      <c r="N177" s="47" t="s">
        <v>523</v>
      </c>
      <c r="O177" s="44" t="s">
        <v>263</v>
      </c>
      <c r="P177" s="47" t="s">
        <v>531</v>
      </c>
      <c r="Q177" s="48">
        <v>9800</v>
      </c>
      <c r="R177" s="49" t="s">
        <v>4</v>
      </c>
      <c r="S177" s="48" t="s">
        <v>4</v>
      </c>
      <c r="T177" s="47" t="s">
        <v>525</v>
      </c>
    </row>
    <row r="178" spans="1:20">
      <c r="A178" s="46">
        <v>136832854604</v>
      </c>
      <c r="B178" s="44" t="s">
        <v>517</v>
      </c>
      <c r="C178" s="45">
        <v>45997</v>
      </c>
      <c r="D178" s="46">
        <v>54378885910</v>
      </c>
      <c r="E178" s="46">
        <v>2141411650724</v>
      </c>
      <c r="F178" s="47" t="s">
        <v>518</v>
      </c>
      <c r="G178" s="47" t="s">
        <v>519</v>
      </c>
      <c r="H178" s="47" t="s">
        <v>4</v>
      </c>
      <c r="I178" s="46" t="s">
        <v>4</v>
      </c>
      <c r="J178" s="48">
        <v>3492.99</v>
      </c>
      <c r="K178" s="47" t="s">
        <v>520</v>
      </c>
      <c r="L178" s="47" t="s">
        <v>521</v>
      </c>
      <c r="M178" s="46" t="s">
        <v>522</v>
      </c>
      <c r="N178" s="47" t="s">
        <v>523</v>
      </c>
      <c r="O178" s="44" t="s">
        <v>4</v>
      </c>
      <c r="P178" s="47" t="s">
        <v>577</v>
      </c>
      <c r="Q178" s="48">
        <v>45900</v>
      </c>
      <c r="R178" s="49" t="s">
        <v>4</v>
      </c>
      <c r="S178" s="48" t="s">
        <v>4</v>
      </c>
      <c r="T178" s="47" t="s">
        <v>525</v>
      </c>
    </row>
    <row r="179" spans="1:20">
      <c r="A179" s="46">
        <v>136833574628</v>
      </c>
      <c r="B179" s="44" t="s">
        <v>517</v>
      </c>
      <c r="C179" s="45">
        <v>45997</v>
      </c>
      <c r="D179" s="46">
        <v>54379084601</v>
      </c>
      <c r="E179" s="46">
        <v>2141415121210</v>
      </c>
      <c r="F179" s="47" t="s">
        <v>529</v>
      </c>
      <c r="G179" s="47" t="s">
        <v>519</v>
      </c>
      <c r="H179" s="47" t="s">
        <v>4</v>
      </c>
      <c r="I179" s="46" t="s">
        <v>4</v>
      </c>
      <c r="J179" s="48">
        <v>656.31</v>
      </c>
      <c r="K179" s="47" t="s">
        <v>520</v>
      </c>
      <c r="L179" s="47" t="s">
        <v>530</v>
      </c>
      <c r="M179" s="46" t="s">
        <v>522</v>
      </c>
      <c r="N179" s="47" t="s">
        <v>523</v>
      </c>
      <c r="O179" s="44" t="s">
        <v>263</v>
      </c>
      <c r="P179" s="47" t="s">
        <v>531</v>
      </c>
      <c r="Q179" s="48">
        <v>16700</v>
      </c>
      <c r="R179" s="49" t="s">
        <v>4</v>
      </c>
      <c r="S179" s="48" t="s">
        <v>4</v>
      </c>
      <c r="T179" s="47" t="s">
        <v>525</v>
      </c>
    </row>
    <row r="180" spans="1:20">
      <c r="A180" s="46">
        <v>136834634474</v>
      </c>
      <c r="B180" s="44" t="s">
        <v>517</v>
      </c>
      <c r="C180" s="45">
        <v>45997</v>
      </c>
      <c r="D180" s="46">
        <v>54379475104</v>
      </c>
      <c r="E180" s="46">
        <v>2141422001678</v>
      </c>
      <c r="F180" s="47" t="s">
        <v>518</v>
      </c>
      <c r="G180" s="47" t="s">
        <v>519</v>
      </c>
      <c r="H180" s="47" t="s">
        <v>4</v>
      </c>
      <c r="I180" s="46" t="s">
        <v>4</v>
      </c>
      <c r="J180" s="48">
        <v>549.99</v>
      </c>
      <c r="K180" s="47" t="s">
        <v>520</v>
      </c>
      <c r="L180" s="47" t="s">
        <v>521</v>
      </c>
      <c r="M180" s="46" t="s">
        <v>522</v>
      </c>
      <c r="N180" s="47" t="s">
        <v>523</v>
      </c>
      <c r="O180" s="44" t="s">
        <v>4</v>
      </c>
      <c r="P180" s="47" t="s">
        <v>578</v>
      </c>
      <c r="Q180" s="48">
        <v>56700</v>
      </c>
      <c r="R180" s="49" t="s">
        <v>4</v>
      </c>
      <c r="S180" s="48" t="s">
        <v>4</v>
      </c>
      <c r="T180" s="47" t="s">
        <v>525</v>
      </c>
    </row>
    <row r="181" spans="1:20">
      <c r="A181" s="46">
        <v>136210130003</v>
      </c>
      <c r="B181" s="44" t="s">
        <v>517</v>
      </c>
      <c r="C181" s="45">
        <v>45997</v>
      </c>
      <c r="D181" s="46">
        <v>54379527374</v>
      </c>
      <c r="E181" s="46">
        <v>2141422798656</v>
      </c>
      <c r="F181" s="47" t="s">
        <v>529</v>
      </c>
      <c r="G181" s="47" t="s">
        <v>519</v>
      </c>
      <c r="H181" s="47" t="s">
        <v>4</v>
      </c>
      <c r="I181" s="46" t="s">
        <v>4</v>
      </c>
      <c r="J181" s="48">
        <v>435.84</v>
      </c>
      <c r="K181" s="47" t="s">
        <v>520</v>
      </c>
      <c r="L181" s="47" t="s">
        <v>530</v>
      </c>
      <c r="M181" s="46" t="s">
        <v>522</v>
      </c>
      <c r="N181" s="47" t="s">
        <v>523</v>
      </c>
      <c r="O181" s="44" t="s">
        <v>263</v>
      </c>
      <c r="P181" s="47" t="s">
        <v>531</v>
      </c>
      <c r="Q181" s="48">
        <v>9600</v>
      </c>
      <c r="R181" s="49" t="s">
        <v>4</v>
      </c>
      <c r="S181" s="48" t="s">
        <v>4</v>
      </c>
      <c r="T181" s="47" t="s">
        <v>525</v>
      </c>
    </row>
    <row r="182" spans="1:20">
      <c r="A182" s="46">
        <v>136834993162</v>
      </c>
      <c r="B182" s="44" t="s">
        <v>517</v>
      </c>
      <c r="C182" s="45">
        <v>45997</v>
      </c>
      <c r="D182" s="46">
        <v>54379662017</v>
      </c>
      <c r="E182" s="46">
        <v>2141290994305</v>
      </c>
      <c r="F182" s="47" t="s">
        <v>518</v>
      </c>
      <c r="G182" s="47" t="s">
        <v>519</v>
      </c>
      <c r="H182" s="47" t="s">
        <v>4</v>
      </c>
      <c r="I182" s="46" t="s">
        <v>4</v>
      </c>
      <c r="J182" s="48">
        <v>279.36</v>
      </c>
      <c r="K182" s="47" t="s">
        <v>520</v>
      </c>
      <c r="L182" s="47" t="s">
        <v>521</v>
      </c>
      <c r="M182" s="46" t="s">
        <v>522</v>
      </c>
      <c r="N182" s="47" t="s">
        <v>523</v>
      </c>
      <c r="O182" s="44" t="s">
        <v>4</v>
      </c>
      <c r="P182" s="47" t="s">
        <v>579</v>
      </c>
      <c r="Q182" s="48">
        <v>28800</v>
      </c>
      <c r="R182" s="49" t="s">
        <v>4</v>
      </c>
      <c r="S182" s="48" t="s">
        <v>4</v>
      </c>
      <c r="T182" s="47" t="s">
        <v>525</v>
      </c>
    </row>
    <row r="183" spans="1:20">
      <c r="A183" s="46">
        <v>136211684499</v>
      </c>
      <c r="B183" s="44" t="s">
        <v>517</v>
      </c>
      <c r="C183" s="45">
        <v>45997</v>
      </c>
      <c r="D183" s="46">
        <v>54379890539</v>
      </c>
      <c r="E183" s="46">
        <v>2141294678859</v>
      </c>
      <c r="F183" s="47" t="s">
        <v>529</v>
      </c>
      <c r="G183" s="47" t="s">
        <v>519</v>
      </c>
      <c r="H183" s="47" t="s">
        <v>4</v>
      </c>
      <c r="I183" s="46" t="s">
        <v>4</v>
      </c>
      <c r="J183" s="48">
        <v>330.12</v>
      </c>
      <c r="K183" s="47" t="s">
        <v>520</v>
      </c>
      <c r="L183" s="47" t="s">
        <v>530</v>
      </c>
      <c r="M183" s="46" t="s">
        <v>522</v>
      </c>
      <c r="N183" s="47" t="s">
        <v>523</v>
      </c>
      <c r="O183" s="44" t="s">
        <v>263</v>
      </c>
      <c r="P183" s="47" t="s">
        <v>531</v>
      </c>
      <c r="Q183" s="48">
        <v>8400</v>
      </c>
      <c r="R183" s="49" t="s">
        <v>4</v>
      </c>
      <c r="S183" s="48" t="s">
        <v>4</v>
      </c>
      <c r="T183" s="47" t="s">
        <v>525</v>
      </c>
    </row>
    <row r="184" spans="1:20">
      <c r="A184" s="46">
        <v>136213897005</v>
      </c>
      <c r="B184" s="44" t="s">
        <v>517</v>
      </c>
      <c r="C184" s="45">
        <v>45997</v>
      </c>
      <c r="D184" s="46">
        <v>54380867297</v>
      </c>
      <c r="E184" s="46">
        <v>2141445771844</v>
      </c>
      <c r="F184" s="47" t="s">
        <v>518</v>
      </c>
      <c r="G184" s="47" t="s">
        <v>519</v>
      </c>
      <c r="H184" s="47" t="s">
        <v>4</v>
      </c>
      <c r="I184" s="46" t="s">
        <v>4</v>
      </c>
      <c r="J184" s="48">
        <v>277.42</v>
      </c>
      <c r="K184" s="47" t="s">
        <v>520</v>
      </c>
      <c r="L184" s="47" t="s">
        <v>521</v>
      </c>
      <c r="M184" s="46" t="s">
        <v>522</v>
      </c>
      <c r="N184" s="47" t="s">
        <v>523</v>
      </c>
      <c r="O184" s="44" t="s">
        <v>4</v>
      </c>
      <c r="P184" s="47" t="s">
        <v>580</v>
      </c>
      <c r="Q184" s="48">
        <v>28600</v>
      </c>
      <c r="R184" s="49" t="s">
        <v>4</v>
      </c>
      <c r="S184" s="48" t="s">
        <v>4</v>
      </c>
      <c r="T184" s="47" t="s">
        <v>525</v>
      </c>
    </row>
    <row r="185" spans="1:20">
      <c r="A185" s="46">
        <v>136838943248</v>
      </c>
      <c r="B185" s="44" t="s">
        <v>517</v>
      </c>
      <c r="C185" s="45">
        <v>45997</v>
      </c>
      <c r="D185" s="46">
        <v>54381083430</v>
      </c>
      <c r="E185" s="46">
        <v>2141449749994</v>
      </c>
      <c r="F185" s="47" t="s">
        <v>518</v>
      </c>
      <c r="G185" s="47" t="s">
        <v>519</v>
      </c>
      <c r="H185" s="47" t="s">
        <v>4</v>
      </c>
      <c r="I185" s="46" t="s">
        <v>4</v>
      </c>
      <c r="J185" s="48">
        <v>535.44000000000005</v>
      </c>
      <c r="K185" s="47" t="s">
        <v>520</v>
      </c>
      <c r="L185" s="47" t="s">
        <v>521</v>
      </c>
      <c r="M185" s="46" t="s">
        <v>522</v>
      </c>
      <c r="N185" s="47" t="s">
        <v>523</v>
      </c>
      <c r="O185" s="44" t="s">
        <v>4</v>
      </c>
      <c r="P185" s="47" t="s">
        <v>581</v>
      </c>
      <c r="Q185" s="48">
        <v>55200</v>
      </c>
      <c r="R185" s="49" t="s">
        <v>4</v>
      </c>
      <c r="S185" s="48" t="s">
        <v>4</v>
      </c>
      <c r="T185" s="47" t="s">
        <v>525</v>
      </c>
    </row>
    <row r="186" spans="1:20">
      <c r="A186" s="46">
        <v>136215527717</v>
      </c>
      <c r="B186" s="44" t="s">
        <v>517</v>
      </c>
      <c r="C186" s="45">
        <v>45997</v>
      </c>
      <c r="D186" s="46">
        <v>54381386457</v>
      </c>
      <c r="E186" s="46">
        <v>2141319820045</v>
      </c>
      <c r="F186" s="47" t="s">
        <v>518</v>
      </c>
      <c r="G186" s="47" t="s">
        <v>519</v>
      </c>
      <c r="H186" s="47" t="s">
        <v>4</v>
      </c>
      <c r="I186" s="46" t="s">
        <v>4</v>
      </c>
      <c r="J186" s="48">
        <v>95.06</v>
      </c>
      <c r="K186" s="47" t="s">
        <v>520</v>
      </c>
      <c r="L186" s="47" t="s">
        <v>521</v>
      </c>
      <c r="M186" s="46" t="s">
        <v>522</v>
      </c>
      <c r="N186" s="47" t="s">
        <v>523</v>
      </c>
      <c r="O186" s="44" t="s">
        <v>4</v>
      </c>
      <c r="P186" s="47" t="s">
        <v>582</v>
      </c>
      <c r="Q186" s="48">
        <v>9800</v>
      </c>
      <c r="R186" s="49" t="s">
        <v>4</v>
      </c>
      <c r="S186" s="48" t="s">
        <v>4</v>
      </c>
      <c r="T186" s="47" t="s">
        <v>525</v>
      </c>
    </row>
    <row r="187" spans="1:20">
      <c r="A187" s="46">
        <v>136216655895</v>
      </c>
      <c r="B187" s="44" t="s">
        <v>517</v>
      </c>
      <c r="C187" s="45">
        <v>45997</v>
      </c>
      <c r="D187" s="46">
        <v>54381822360</v>
      </c>
      <c r="E187" s="46">
        <v>2141327173397</v>
      </c>
      <c r="F187" s="47" t="s">
        <v>518</v>
      </c>
      <c r="G187" s="47" t="s">
        <v>519</v>
      </c>
      <c r="H187" s="47" t="s">
        <v>4</v>
      </c>
      <c r="I187" s="46" t="s">
        <v>4</v>
      </c>
      <c r="J187" s="48">
        <v>726.53</v>
      </c>
      <c r="K187" s="47" t="s">
        <v>520</v>
      </c>
      <c r="L187" s="47" t="s">
        <v>521</v>
      </c>
      <c r="M187" s="46" t="s">
        <v>522</v>
      </c>
      <c r="N187" s="47" t="s">
        <v>523</v>
      </c>
      <c r="O187" s="44" t="s">
        <v>4</v>
      </c>
      <c r="P187" s="47" t="s">
        <v>583</v>
      </c>
      <c r="Q187" s="48">
        <v>74900</v>
      </c>
      <c r="R187" s="49" t="s">
        <v>4</v>
      </c>
      <c r="S187" s="48" t="s">
        <v>4</v>
      </c>
      <c r="T187" s="47" t="s">
        <v>525</v>
      </c>
    </row>
    <row r="188" spans="1:20">
      <c r="A188" s="46">
        <v>136841338408</v>
      </c>
      <c r="B188" s="44" t="s">
        <v>517</v>
      </c>
      <c r="C188" s="45">
        <v>45997</v>
      </c>
      <c r="D188" s="46">
        <v>54381953102</v>
      </c>
      <c r="E188" s="46">
        <v>2141464075836</v>
      </c>
      <c r="F188" s="47" t="s">
        <v>529</v>
      </c>
      <c r="G188" s="47" t="s">
        <v>519</v>
      </c>
      <c r="H188" s="47" t="s">
        <v>4</v>
      </c>
      <c r="I188" s="46" t="s">
        <v>4</v>
      </c>
      <c r="J188" s="48">
        <v>2313.44</v>
      </c>
      <c r="K188" s="47" t="s">
        <v>520</v>
      </c>
      <c r="L188" s="47" t="s">
        <v>530</v>
      </c>
      <c r="M188" s="46" t="s">
        <v>522</v>
      </c>
      <c r="N188" s="47" t="s">
        <v>523</v>
      </c>
      <c r="O188" s="44" t="s">
        <v>263</v>
      </c>
      <c r="P188" s="47" t="s">
        <v>531</v>
      </c>
      <c r="Q188" s="48">
        <v>30400</v>
      </c>
      <c r="R188" s="49" t="s">
        <v>4</v>
      </c>
      <c r="S188" s="48" t="s">
        <v>4</v>
      </c>
      <c r="T188" s="47" t="s">
        <v>525</v>
      </c>
    </row>
    <row r="189" spans="1:20">
      <c r="A189" s="46">
        <v>136842377166</v>
      </c>
      <c r="B189" s="44" t="s">
        <v>517</v>
      </c>
      <c r="C189" s="45">
        <v>45997</v>
      </c>
      <c r="D189" s="46">
        <v>54382328455</v>
      </c>
      <c r="E189" s="46">
        <v>2141335583437</v>
      </c>
      <c r="F189" s="47" t="s">
        <v>518</v>
      </c>
      <c r="G189" s="47" t="s">
        <v>519</v>
      </c>
      <c r="H189" s="47" t="s">
        <v>4</v>
      </c>
      <c r="I189" s="46" t="s">
        <v>4</v>
      </c>
      <c r="J189" s="48">
        <v>445.23</v>
      </c>
      <c r="K189" s="47" t="s">
        <v>520</v>
      </c>
      <c r="L189" s="47" t="s">
        <v>521</v>
      </c>
      <c r="M189" s="46" t="s">
        <v>522</v>
      </c>
      <c r="N189" s="47" t="s">
        <v>523</v>
      </c>
      <c r="O189" s="44" t="s">
        <v>4</v>
      </c>
      <c r="P189" s="47" t="s">
        <v>584</v>
      </c>
      <c r="Q189" s="48">
        <v>45900</v>
      </c>
      <c r="R189" s="49" t="s">
        <v>4</v>
      </c>
      <c r="S189" s="48" t="s">
        <v>4</v>
      </c>
      <c r="T189" s="47" t="s">
        <v>525</v>
      </c>
    </row>
    <row r="190" spans="1:20">
      <c r="A190" s="46">
        <v>136218123829</v>
      </c>
      <c r="B190" s="44" t="s">
        <v>517</v>
      </c>
      <c r="C190" s="45">
        <v>45997</v>
      </c>
      <c r="D190" s="46">
        <v>54382477034</v>
      </c>
      <c r="E190" s="46">
        <v>2141337889939</v>
      </c>
      <c r="F190" s="47" t="s">
        <v>529</v>
      </c>
      <c r="G190" s="47" t="s">
        <v>519</v>
      </c>
      <c r="H190" s="47" t="s">
        <v>4</v>
      </c>
      <c r="I190" s="46" t="s">
        <v>4</v>
      </c>
      <c r="J190" s="48">
        <v>2693.94</v>
      </c>
      <c r="K190" s="47" t="s">
        <v>520</v>
      </c>
      <c r="L190" s="47" t="s">
        <v>530</v>
      </c>
      <c r="M190" s="46" t="s">
        <v>522</v>
      </c>
      <c r="N190" s="47" t="s">
        <v>523</v>
      </c>
      <c r="O190" s="44" t="s">
        <v>263</v>
      </c>
      <c r="P190" s="47" t="s">
        <v>531</v>
      </c>
      <c r="Q190" s="48">
        <v>35400</v>
      </c>
      <c r="R190" s="49" t="s">
        <v>4</v>
      </c>
      <c r="S190" s="48" t="s">
        <v>4</v>
      </c>
      <c r="T190" s="47" t="s">
        <v>525</v>
      </c>
    </row>
    <row r="191" spans="1:20">
      <c r="A191" s="46">
        <v>136218385685</v>
      </c>
      <c r="B191" s="44" t="s">
        <v>517</v>
      </c>
      <c r="C191" s="45">
        <v>45997</v>
      </c>
      <c r="D191" s="46">
        <v>54382565883</v>
      </c>
      <c r="E191" s="46">
        <v>2141473905092</v>
      </c>
      <c r="F191" s="47" t="s">
        <v>529</v>
      </c>
      <c r="G191" s="47" t="s">
        <v>519</v>
      </c>
      <c r="H191" s="47" t="s">
        <v>4</v>
      </c>
      <c r="I191" s="46" t="s">
        <v>4</v>
      </c>
      <c r="J191" s="48">
        <v>540.26</v>
      </c>
      <c r="K191" s="47" t="s">
        <v>520</v>
      </c>
      <c r="L191" s="47" t="s">
        <v>530</v>
      </c>
      <c r="M191" s="46" t="s">
        <v>522</v>
      </c>
      <c r="N191" s="47" t="s">
        <v>523</v>
      </c>
      <c r="O191" s="44" t="s">
        <v>263</v>
      </c>
      <c r="P191" s="47" t="s">
        <v>531</v>
      </c>
      <c r="Q191" s="48">
        <v>11900</v>
      </c>
      <c r="R191" s="49" t="s">
        <v>4</v>
      </c>
      <c r="S191" s="48" t="s">
        <v>4</v>
      </c>
      <c r="T191" s="47" t="s">
        <v>525</v>
      </c>
    </row>
    <row r="192" spans="1:20">
      <c r="A192" s="46">
        <v>136219156717</v>
      </c>
      <c r="B192" s="44" t="s">
        <v>517</v>
      </c>
      <c r="C192" s="45">
        <v>45997</v>
      </c>
      <c r="D192" s="46">
        <v>54382736556</v>
      </c>
      <c r="E192" s="46">
        <v>2141342392639</v>
      </c>
      <c r="F192" s="47" t="s">
        <v>518</v>
      </c>
      <c r="G192" s="47" t="s">
        <v>519</v>
      </c>
      <c r="H192" s="47" t="s">
        <v>4</v>
      </c>
      <c r="I192" s="46" t="s">
        <v>4</v>
      </c>
      <c r="J192" s="48">
        <v>299.73</v>
      </c>
      <c r="K192" s="47" t="s">
        <v>520</v>
      </c>
      <c r="L192" s="47" t="s">
        <v>521</v>
      </c>
      <c r="M192" s="46" t="s">
        <v>522</v>
      </c>
      <c r="N192" s="47" t="s">
        <v>523</v>
      </c>
      <c r="O192" s="44" t="s">
        <v>4</v>
      </c>
      <c r="P192" s="47" t="s">
        <v>585</v>
      </c>
      <c r="Q192" s="48">
        <v>30900</v>
      </c>
      <c r="R192" s="49" t="s">
        <v>4</v>
      </c>
      <c r="S192" s="48" t="s">
        <v>4</v>
      </c>
      <c r="T192" s="47" t="s">
        <v>525</v>
      </c>
    </row>
    <row r="193" spans="1:20">
      <c r="A193" s="46">
        <v>136219694583</v>
      </c>
      <c r="B193" s="44" t="s">
        <v>517</v>
      </c>
      <c r="C193" s="45">
        <v>45997</v>
      </c>
      <c r="D193" s="46">
        <v>54382887928</v>
      </c>
      <c r="E193" s="46">
        <v>2141479386176</v>
      </c>
      <c r="F193" s="47" t="s">
        <v>526</v>
      </c>
      <c r="G193" s="47" t="s">
        <v>519</v>
      </c>
      <c r="H193" s="47" t="s">
        <v>4</v>
      </c>
      <c r="I193" s="46" t="s">
        <v>4</v>
      </c>
      <c r="J193" s="48">
        <v>133.86000000000001</v>
      </c>
      <c r="K193" s="47" t="s">
        <v>520</v>
      </c>
      <c r="L193" s="47" t="s">
        <v>521</v>
      </c>
      <c r="M193" s="46" t="s">
        <v>522</v>
      </c>
      <c r="N193" s="47" t="s">
        <v>523</v>
      </c>
      <c r="O193" s="44" t="s">
        <v>4</v>
      </c>
      <c r="P193" s="47" t="s">
        <v>527</v>
      </c>
      <c r="Q193" s="48">
        <v>13800</v>
      </c>
      <c r="R193" s="49" t="s">
        <v>4</v>
      </c>
      <c r="S193" s="48" t="s">
        <v>4</v>
      </c>
      <c r="T193" s="47" t="s">
        <v>4</v>
      </c>
    </row>
    <row r="194" spans="1:20">
      <c r="A194" s="46">
        <v>136219721357</v>
      </c>
      <c r="B194" s="44" t="s">
        <v>517</v>
      </c>
      <c r="C194" s="45">
        <v>45997</v>
      </c>
      <c r="D194" s="46">
        <v>54382941041</v>
      </c>
      <c r="E194" s="46">
        <v>2141479938884</v>
      </c>
      <c r="F194" s="47" t="s">
        <v>518</v>
      </c>
      <c r="G194" s="47" t="s">
        <v>519</v>
      </c>
      <c r="H194" s="47" t="s">
        <v>4</v>
      </c>
      <c r="I194" s="46" t="s">
        <v>4</v>
      </c>
      <c r="J194" s="48">
        <v>459.78</v>
      </c>
      <c r="K194" s="47" t="s">
        <v>520</v>
      </c>
      <c r="L194" s="47" t="s">
        <v>521</v>
      </c>
      <c r="M194" s="46" t="s">
        <v>522</v>
      </c>
      <c r="N194" s="47" t="s">
        <v>523</v>
      </c>
      <c r="O194" s="44" t="s">
        <v>4</v>
      </c>
      <c r="P194" s="47" t="s">
        <v>586</v>
      </c>
      <c r="Q194" s="48">
        <v>47400</v>
      </c>
      <c r="R194" s="49" t="s">
        <v>4</v>
      </c>
      <c r="S194" s="48" t="s">
        <v>4</v>
      </c>
      <c r="T194" s="47" t="s">
        <v>525</v>
      </c>
    </row>
    <row r="195" spans="1:20">
      <c r="A195" s="46">
        <v>136220079091</v>
      </c>
      <c r="B195" s="44" t="s">
        <v>517</v>
      </c>
      <c r="C195" s="45">
        <v>45998</v>
      </c>
      <c r="D195" s="46">
        <v>54383063282</v>
      </c>
      <c r="E195" s="46">
        <v>2141482184502</v>
      </c>
      <c r="F195" s="47" t="s">
        <v>526</v>
      </c>
      <c r="G195" s="47" t="s">
        <v>519</v>
      </c>
      <c r="H195" s="47" t="s">
        <v>4</v>
      </c>
      <c r="I195" s="46" t="s">
        <v>4</v>
      </c>
      <c r="J195" s="48">
        <v>392.85</v>
      </c>
      <c r="K195" s="47" t="s">
        <v>520</v>
      </c>
      <c r="L195" s="47" t="s">
        <v>521</v>
      </c>
      <c r="M195" s="46" t="s">
        <v>522</v>
      </c>
      <c r="N195" s="47" t="s">
        <v>523</v>
      </c>
      <c r="O195" s="44" t="s">
        <v>4</v>
      </c>
      <c r="P195" s="47" t="s">
        <v>527</v>
      </c>
      <c r="Q195" s="48">
        <v>40500</v>
      </c>
      <c r="R195" s="49" t="s">
        <v>4</v>
      </c>
      <c r="S195" s="48" t="s">
        <v>4</v>
      </c>
      <c r="T195" s="47" t="s">
        <v>4</v>
      </c>
    </row>
    <row r="196" spans="1:20">
      <c r="A196" s="46">
        <v>136220272599</v>
      </c>
      <c r="B196" s="44" t="s">
        <v>517</v>
      </c>
      <c r="C196" s="45">
        <v>45998</v>
      </c>
      <c r="D196" s="46">
        <v>54383125092</v>
      </c>
      <c r="E196" s="46">
        <v>2141482861636</v>
      </c>
      <c r="F196" s="47" t="s">
        <v>529</v>
      </c>
      <c r="G196" s="47" t="s">
        <v>519</v>
      </c>
      <c r="H196" s="47" t="s">
        <v>4</v>
      </c>
      <c r="I196" s="46" t="s">
        <v>4</v>
      </c>
      <c r="J196" s="48">
        <v>3085.05</v>
      </c>
      <c r="K196" s="47" t="s">
        <v>520</v>
      </c>
      <c r="L196" s="47" t="s">
        <v>530</v>
      </c>
      <c r="M196" s="46" t="s">
        <v>522</v>
      </c>
      <c r="N196" s="47" t="s">
        <v>523</v>
      </c>
      <c r="O196" s="44" t="s">
        <v>263</v>
      </c>
      <c r="P196" s="47" t="s">
        <v>531</v>
      </c>
      <c r="Q196" s="48">
        <v>78500</v>
      </c>
      <c r="R196" s="49" t="s">
        <v>4</v>
      </c>
      <c r="S196" s="48" t="s">
        <v>4</v>
      </c>
      <c r="T196" s="47" t="s">
        <v>525</v>
      </c>
    </row>
    <row r="197" spans="1:20">
      <c r="A197" s="46">
        <v>136220557227</v>
      </c>
      <c r="B197" s="44" t="s">
        <v>517</v>
      </c>
      <c r="C197" s="45">
        <v>45998</v>
      </c>
      <c r="D197" s="46">
        <v>54383305410</v>
      </c>
      <c r="E197" s="46">
        <v>2141350774689</v>
      </c>
      <c r="F197" s="47" t="s">
        <v>518</v>
      </c>
      <c r="G197" s="47" t="s">
        <v>519</v>
      </c>
      <c r="H197" s="47" t="s">
        <v>4</v>
      </c>
      <c r="I197" s="46" t="s">
        <v>4</v>
      </c>
      <c r="J197" s="48">
        <v>393.82</v>
      </c>
      <c r="K197" s="47" t="s">
        <v>520</v>
      </c>
      <c r="L197" s="47" t="s">
        <v>521</v>
      </c>
      <c r="M197" s="46" t="s">
        <v>522</v>
      </c>
      <c r="N197" s="47" t="s">
        <v>523</v>
      </c>
      <c r="O197" s="44" t="s">
        <v>4</v>
      </c>
      <c r="P197" s="47" t="s">
        <v>587</v>
      </c>
      <c r="Q197" s="48">
        <v>40600</v>
      </c>
      <c r="R197" s="49" t="s">
        <v>4</v>
      </c>
      <c r="S197" s="48" t="s">
        <v>4</v>
      </c>
      <c r="T197" s="47" t="s">
        <v>525</v>
      </c>
    </row>
    <row r="198" spans="1:20">
      <c r="A198" s="46">
        <v>136220730559</v>
      </c>
      <c r="B198" s="44" t="s">
        <v>517</v>
      </c>
      <c r="C198" s="45">
        <v>45998</v>
      </c>
      <c r="D198" s="46">
        <v>54383335060</v>
      </c>
      <c r="E198" s="46">
        <v>2141351343025</v>
      </c>
      <c r="F198" s="47" t="s">
        <v>518</v>
      </c>
      <c r="G198" s="47" t="s">
        <v>519</v>
      </c>
      <c r="H198" s="47" t="s">
        <v>4</v>
      </c>
      <c r="I198" s="46" t="s">
        <v>4</v>
      </c>
      <c r="J198" s="48">
        <v>653.78</v>
      </c>
      <c r="K198" s="47" t="s">
        <v>520</v>
      </c>
      <c r="L198" s="47" t="s">
        <v>521</v>
      </c>
      <c r="M198" s="46" t="s">
        <v>522</v>
      </c>
      <c r="N198" s="47" t="s">
        <v>523</v>
      </c>
      <c r="O198" s="44" t="s">
        <v>4</v>
      </c>
      <c r="P198" s="47" t="s">
        <v>588</v>
      </c>
      <c r="Q198" s="48">
        <v>67400</v>
      </c>
      <c r="R198" s="49" t="s">
        <v>4</v>
      </c>
      <c r="S198" s="48" t="s">
        <v>4</v>
      </c>
      <c r="T198" s="47" t="s">
        <v>525</v>
      </c>
    </row>
    <row r="199" spans="1:20">
      <c r="A199" s="46">
        <v>136220865009</v>
      </c>
      <c r="B199" s="44" t="s">
        <v>517</v>
      </c>
      <c r="C199" s="45">
        <v>45998</v>
      </c>
      <c r="D199" s="46">
        <v>54383403063</v>
      </c>
      <c r="E199" s="46">
        <v>2141352750787</v>
      </c>
      <c r="F199" s="47" t="s">
        <v>562</v>
      </c>
      <c r="G199" s="47" t="s">
        <v>519</v>
      </c>
      <c r="H199" s="47" t="s">
        <v>4</v>
      </c>
      <c r="I199" s="46" t="s">
        <v>4</v>
      </c>
      <c r="J199" s="48">
        <v>1768.55</v>
      </c>
      <c r="K199" s="47" t="s">
        <v>520</v>
      </c>
      <c r="L199" s="47" t="s">
        <v>521</v>
      </c>
      <c r="M199" s="46" t="s">
        <v>522</v>
      </c>
      <c r="N199" s="47" t="s">
        <v>523</v>
      </c>
      <c r="O199" s="44" t="s">
        <v>4</v>
      </c>
      <c r="P199" s="47" t="s">
        <v>563</v>
      </c>
      <c r="Q199" s="48">
        <v>108500</v>
      </c>
      <c r="R199" s="49" t="s">
        <v>4</v>
      </c>
      <c r="S199" s="48" t="s">
        <v>4</v>
      </c>
      <c r="T199" s="47" t="s">
        <v>525</v>
      </c>
    </row>
    <row r="200" spans="1:20">
      <c r="A200" s="46">
        <v>136220881265</v>
      </c>
      <c r="B200" s="44" t="s">
        <v>517</v>
      </c>
      <c r="C200" s="45">
        <v>45998</v>
      </c>
      <c r="D200" s="46">
        <v>54383419542</v>
      </c>
      <c r="E200" s="46">
        <v>2141353086059</v>
      </c>
      <c r="F200" s="47" t="s">
        <v>518</v>
      </c>
      <c r="G200" s="47" t="s">
        <v>519</v>
      </c>
      <c r="H200" s="47" t="s">
        <v>4</v>
      </c>
      <c r="I200" s="46" t="s">
        <v>4</v>
      </c>
      <c r="J200" s="48">
        <v>47.53</v>
      </c>
      <c r="K200" s="47" t="s">
        <v>520</v>
      </c>
      <c r="L200" s="47" t="s">
        <v>521</v>
      </c>
      <c r="M200" s="46" t="s">
        <v>522</v>
      </c>
      <c r="N200" s="47" t="s">
        <v>523</v>
      </c>
      <c r="O200" s="44" t="s">
        <v>4</v>
      </c>
      <c r="P200" s="47" t="s">
        <v>589</v>
      </c>
      <c r="Q200" s="48">
        <v>4900</v>
      </c>
      <c r="R200" s="49" t="s">
        <v>4</v>
      </c>
      <c r="S200" s="48" t="s">
        <v>4</v>
      </c>
      <c r="T200" s="47" t="s">
        <v>525</v>
      </c>
    </row>
    <row r="201" spans="1:20">
      <c r="A201" s="46">
        <v>136221145509</v>
      </c>
      <c r="B201" s="44" t="s">
        <v>517</v>
      </c>
      <c r="C201" s="45">
        <v>45998</v>
      </c>
      <c r="D201" s="46">
        <v>54383576509</v>
      </c>
      <c r="E201" s="46">
        <v>2141490110972</v>
      </c>
      <c r="F201" s="47" t="s">
        <v>518</v>
      </c>
      <c r="G201" s="47" t="s">
        <v>519</v>
      </c>
      <c r="H201" s="47" t="s">
        <v>4</v>
      </c>
      <c r="I201" s="46" t="s">
        <v>4</v>
      </c>
      <c r="J201" s="48">
        <v>380.24</v>
      </c>
      <c r="K201" s="47" t="s">
        <v>520</v>
      </c>
      <c r="L201" s="47" t="s">
        <v>521</v>
      </c>
      <c r="M201" s="46" t="s">
        <v>522</v>
      </c>
      <c r="N201" s="47" t="s">
        <v>523</v>
      </c>
      <c r="O201" s="44" t="s">
        <v>4</v>
      </c>
      <c r="P201" s="47" t="s">
        <v>590</v>
      </c>
      <c r="Q201" s="48">
        <v>39200</v>
      </c>
      <c r="R201" s="49" t="s">
        <v>4</v>
      </c>
      <c r="S201" s="48" t="s">
        <v>4</v>
      </c>
      <c r="T201" s="47" t="s">
        <v>525</v>
      </c>
    </row>
    <row r="202" spans="1:20">
      <c r="A202" s="46">
        <v>136845876898</v>
      </c>
      <c r="B202" s="44" t="s">
        <v>517</v>
      </c>
      <c r="C202" s="45">
        <v>45998</v>
      </c>
      <c r="D202" s="46">
        <v>54383663439</v>
      </c>
      <c r="E202" s="46">
        <v>2141357276149</v>
      </c>
      <c r="F202" s="47" t="s">
        <v>518</v>
      </c>
      <c r="G202" s="47" t="s">
        <v>519</v>
      </c>
      <c r="H202" s="47" t="s">
        <v>4</v>
      </c>
      <c r="I202" s="46" t="s">
        <v>4</v>
      </c>
      <c r="J202" s="48">
        <v>97</v>
      </c>
      <c r="K202" s="47" t="s">
        <v>520</v>
      </c>
      <c r="L202" s="47" t="s">
        <v>521</v>
      </c>
      <c r="M202" s="46" t="s">
        <v>522</v>
      </c>
      <c r="N202" s="47" t="s">
        <v>523</v>
      </c>
      <c r="O202" s="44" t="s">
        <v>4</v>
      </c>
      <c r="P202" s="47" t="s">
        <v>591</v>
      </c>
      <c r="Q202" s="48">
        <v>10000</v>
      </c>
      <c r="R202" s="49" t="s">
        <v>4</v>
      </c>
      <c r="S202" s="48" t="s">
        <v>4</v>
      </c>
      <c r="T202" s="47" t="s">
        <v>525</v>
      </c>
    </row>
    <row r="203" spans="1:20">
      <c r="A203" s="46">
        <v>136221829339</v>
      </c>
      <c r="B203" s="44" t="s">
        <v>517</v>
      </c>
      <c r="C203" s="45">
        <v>45998</v>
      </c>
      <c r="D203" s="46">
        <v>54383887049</v>
      </c>
      <c r="E203" s="46">
        <v>2141494929354</v>
      </c>
      <c r="F203" s="47" t="s">
        <v>562</v>
      </c>
      <c r="G203" s="47" t="s">
        <v>519</v>
      </c>
      <c r="H203" s="47" t="s">
        <v>4</v>
      </c>
      <c r="I203" s="46" t="s">
        <v>4</v>
      </c>
      <c r="J203" s="48">
        <v>1092.0999999999999</v>
      </c>
      <c r="K203" s="47" t="s">
        <v>520</v>
      </c>
      <c r="L203" s="47" t="s">
        <v>521</v>
      </c>
      <c r="M203" s="46" t="s">
        <v>522</v>
      </c>
      <c r="N203" s="47" t="s">
        <v>523</v>
      </c>
      <c r="O203" s="44" t="s">
        <v>4</v>
      </c>
      <c r="P203" s="47" t="s">
        <v>592</v>
      </c>
      <c r="Q203" s="48">
        <v>67000</v>
      </c>
      <c r="R203" s="49" t="s">
        <v>4</v>
      </c>
      <c r="S203" s="48" t="s">
        <v>4</v>
      </c>
      <c r="T203" s="47" t="s">
        <v>525</v>
      </c>
    </row>
    <row r="204" spans="1:20">
      <c r="A204" s="46">
        <v>136222531101</v>
      </c>
      <c r="B204" s="44" t="s">
        <v>517</v>
      </c>
      <c r="C204" s="45">
        <v>45998</v>
      </c>
      <c r="D204" s="46">
        <v>54384134257</v>
      </c>
      <c r="E204" s="46">
        <v>2141364536227</v>
      </c>
      <c r="F204" s="47" t="s">
        <v>529</v>
      </c>
      <c r="G204" s="47" t="s">
        <v>519</v>
      </c>
      <c r="H204" s="47" t="s">
        <v>4</v>
      </c>
      <c r="I204" s="46" t="s">
        <v>4</v>
      </c>
      <c r="J204" s="48">
        <v>2743.14</v>
      </c>
      <c r="K204" s="47" t="s">
        <v>520</v>
      </c>
      <c r="L204" s="47" t="s">
        <v>530</v>
      </c>
      <c r="M204" s="46" t="s">
        <v>522</v>
      </c>
      <c r="N204" s="47" t="s">
        <v>523</v>
      </c>
      <c r="O204" s="44" t="s">
        <v>263</v>
      </c>
      <c r="P204" s="47" t="s">
        <v>531</v>
      </c>
      <c r="Q204" s="48">
        <v>69800</v>
      </c>
      <c r="R204" s="49" t="s">
        <v>4</v>
      </c>
      <c r="S204" s="48" t="s">
        <v>4</v>
      </c>
      <c r="T204" s="47" t="s">
        <v>525</v>
      </c>
    </row>
    <row r="205" spans="1:20">
      <c r="A205" s="46">
        <v>136847009092</v>
      </c>
      <c r="B205" s="44" t="s">
        <v>517</v>
      </c>
      <c r="C205" s="45">
        <v>45998</v>
      </c>
      <c r="D205" s="46">
        <v>54384175561</v>
      </c>
      <c r="E205" s="46">
        <v>2141364817289</v>
      </c>
      <c r="F205" s="47" t="s">
        <v>562</v>
      </c>
      <c r="G205" s="47" t="s">
        <v>519</v>
      </c>
      <c r="H205" s="47" t="s">
        <v>4</v>
      </c>
      <c r="I205" s="46" t="s">
        <v>4</v>
      </c>
      <c r="J205" s="48">
        <v>803.59</v>
      </c>
      <c r="K205" s="47" t="s">
        <v>520</v>
      </c>
      <c r="L205" s="47" t="s">
        <v>521</v>
      </c>
      <c r="M205" s="46" t="s">
        <v>522</v>
      </c>
      <c r="N205" s="47" t="s">
        <v>523</v>
      </c>
      <c r="O205" s="44" t="s">
        <v>4</v>
      </c>
      <c r="P205" s="47" t="s">
        <v>593</v>
      </c>
      <c r="Q205" s="48">
        <v>49300</v>
      </c>
      <c r="R205" s="49" t="s">
        <v>4</v>
      </c>
      <c r="S205" s="48" t="s">
        <v>4</v>
      </c>
      <c r="T205" s="47" t="s">
        <v>525</v>
      </c>
    </row>
    <row r="206" spans="1:20">
      <c r="A206" s="46">
        <v>136847414214</v>
      </c>
      <c r="B206" s="44" t="s">
        <v>517</v>
      </c>
      <c r="C206" s="45">
        <v>45998</v>
      </c>
      <c r="D206" s="46">
        <v>54384302547</v>
      </c>
      <c r="E206" s="46">
        <v>2141501952440</v>
      </c>
      <c r="F206" s="47" t="s">
        <v>529</v>
      </c>
      <c r="G206" s="47" t="s">
        <v>519</v>
      </c>
      <c r="H206" s="47" t="s">
        <v>4</v>
      </c>
      <c r="I206" s="46" t="s">
        <v>4</v>
      </c>
      <c r="J206" s="48">
        <v>4947.87</v>
      </c>
      <c r="K206" s="47" t="s">
        <v>520</v>
      </c>
      <c r="L206" s="47" t="s">
        <v>530</v>
      </c>
      <c r="M206" s="46" t="s">
        <v>522</v>
      </c>
      <c r="N206" s="47" t="s">
        <v>523</v>
      </c>
      <c r="O206" s="44" t="s">
        <v>263</v>
      </c>
      <c r="P206" s="47" t="s">
        <v>531</v>
      </c>
      <c r="Q206" s="48">
        <v>125900</v>
      </c>
      <c r="R206" s="49" t="s">
        <v>4</v>
      </c>
      <c r="S206" s="48" t="s">
        <v>4</v>
      </c>
      <c r="T206" s="47" t="s">
        <v>525</v>
      </c>
    </row>
    <row r="207" spans="1:20">
      <c r="A207" s="46">
        <v>136223253361</v>
      </c>
      <c r="B207" s="44" t="s">
        <v>517</v>
      </c>
      <c r="C207" s="45">
        <v>45998</v>
      </c>
      <c r="D207" s="46">
        <v>54384390417</v>
      </c>
      <c r="E207" s="46">
        <v>2141368525275</v>
      </c>
      <c r="F207" s="47" t="s">
        <v>518</v>
      </c>
      <c r="G207" s="47" t="s">
        <v>519</v>
      </c>
      <c r="H207" s="47" t="s">
        <v>4</v>
      </c>
      <c r="I207" s="46" t="s">
        <v>4</v>
      </c>
      <c r="J207" s="48">
        <v>388.97</v>
      </c>
      <c r="K207" s="47" t="s">
        <v>520</v>
      </c>
      <c r="L207" s="47" t="s">
        <v>521</v>
      </c>
      <c r="M207" s="46" t="s">
        <v>522</v>
      </c>
      <c r="N207" s="47" t="s">
        <v>523</v>
      </c>
      <c r="O207" s="44" t="s">
        <v>4</v>
      </c>
      <c r="P207" s="47" t="s">
        <v>594</v>
      </c>
      <c r="Q207" s="48">
        <v>40100</v>
      </c>
      <c r="R207" s="49" t="s">
        <v>4</v>
      </c>
      <c r="S207" s="48" t="s">
        <v>4</v>
      </c>
      <c r="T207" s="47" t="s">
        <v>525</v>
      </c>
    </row>
    <row r="208" spans="1:20">
      <c r="A208" s="46">
        <v>136223962251</v>
      </c>
      <c r="B208" s="44" t="s">
        <v>517</v>
      </c>
      <c r="C208" s="45">
        <v>45998</v>
      </c>
      <c r="D208" s="46">
        <v>54384567262</v>
      </c>
      <c r="E208" s="46">
        <v>2141505697508</v>
      </c>
      <c r="F208" s="47" t="s">
        <v>518</v>
      </c>
      <c r="G208" s="47" t="s">
        <v>519</v>
      </c>
      <c r="H208" s="47" t="s">
        <v>4</v>
      </c>
      <c r="I208" s="46" t="s">
        <v>4</v>
      </c>
      <c r="J208" s="48">
        <v>46.56</v>
      </c>
      <c r="K208" s="47" t="s">
        <v>520</v>
      </c>
      <c r="L208" s="47" t="s">
        <v>521</v>
      </c>
      <c r="M208" s="46" t="s">
        <v>522</v>
      </c>
      <c r="N208" s="47" t="s">
        <v>523</v>
      </c>
      <c r="O208" s="44" t="s">
        <v>4</v>
      </c>
      <c r="P208" s="47" t="s">
        <v>595</v>
      </c>
      <c r="Q208" s="48">
        <v>4800</v>
      </c>
      <c r="R208" s="49" t="s">
        <v>4</v>
      </c>
      <c r="S208" s="48" t="s">
        <v>4</v>
      </c>
      <c r="T208" s="47" t="s">
        <v>525</v>
      </c>
    </row>
    <row r="209" spans="1:20">
      <c r="A209" s="46">
        <v>136847902518</v>
      </c>
      <c r="B209" s="44" t="s">
        <v>517</v>
      </c>
      <c r="C209" s="45">
        <v>45998</v>
      </c>
      <c r="D209" s="46">
        <v>54384588220</v>
      </c>
      <c r="E209" s="46">
        <v>2141505963386</v>
      </c>
      <c r="F209" s="47" t="s">
        <v>526</v>
      </c>
      <c r="G209" s="47" t="s">
        <v>519</v>
      </c>
      <c r="H209" s="47" t="s">
        <v>4</v>
      </c>
      <c r="I209" s="46" t="s">
        <v>4</v>
      </c>
      <c r="J209" s="48">
        <v>339.5</v>
      </c>
      <c r="K209" s="47" t="s">
        <v>520</v>
      </c>
      <c r="L209" s="47" t="s">
        <v>521</v>
      </c>
      <c r="M209" s="46" t="s">
        <v>522</v>
      </c>
      <c r="N209" s="47" t="s">
        <v>523</v>
      </c>
      <c r="O209" s="44" t="s">
        <v>4</v>
      </c>
      <c r="P209" s="47" t="s">
        <v>527</v>
      </c>
      <c r="Q209" s="48">
        <v>35000</v>
      </c>
      <c r="R209" s="49" t="s">
        <v>4</v>
      </c>
      <c r="S209" s="48" t="s">
        <v>4</v>
      </c>
      <c r="T209" s="47" t="s">
        <v>4</v>
      </c>
    </row>
    <row r="210" spans="1:20">
      <c r="A210" s="46">
        <v>136848149164</v>
      </c>
      <c r="B210" s="44" t="s">
        <v>517</v>
      </c>
      <c r="C210" s="45">
        <v>45998</v>
      </c>
      <c r="D210" s="46">
        <v>54384727715</v>
      </c>
      <c r="E210" s="46">
        <v>2141373266153</v>
      </c>
      <c r="F210" s="47" t="s">
        <v>529</v>
      </c>
      <c r="G210" s="47" t="s">
        <v>519</v>
      </c>
      <c r="H210" s="47" t="s">
        <v>4</v>
      </c>
      <c r="I210" s="46" t="s">
        <v>4</v>
      </c>
      <c r="J210" s="48">
        <v>363.2</v>
      </c>
      <c r="K210" s="47" t="s">
        <v>520</v>
      </c>
      <c r="L210" s="47" t="s">
        <v>530</v>
      </c>
      <c r="M210" s="46" t="s">
        <v>522</v>
      </c>
      <c r="N210" s="47" t="s">
        <v>523</v>
      </c>
      <c r="O210" s="44" t="s">
        <v>263</v>
      </c>
      <c r="P210" s="47" t="s">
        <v>531</v>
      </c>
      <c r="Q210" s="48">
        <v>8000</v>
      </c>
      <c r="R210" s="49" t="s">
        <v>4</v>
      </c>
      <c r="S210" s="48" t="s">
        <v>4</v>
      </c>
      <c r="T210" s="47" t="s">
        <v>525</v>
      </c>
    </row>
    <row r="211" spans="1:20">
      <c r="A211" s="46">
        <v>136224880879</v>
      </c>
      <c r="B211" s="44" t="s">
        <v>517</v>
      </c>
      <c r="C211" s="45">
        <v>45998</v>
      </c>
      <c r="D211" s="46">
        <v>54385003421</v>
      </c>
      <c r="E211" s="46">
        <v>2141512408474</v>
      </c>
      <c r="F211" s="47" t="s">
        <v>529</v>
      </c>
      <c r="G211" s="47" t="s">
        <v>519</v>
      </c>
      <c r="H211" s="47" t="s">
        <v>4</v>
      </c>
      <c r="I211" s="46" t="s">
        <v>4</v>
      </c>
      <c r="J211" s="48">
        <v>1190.79</v>
      </c>
      <c r="K211" s="47" t="s">
        <v>520</v>
      </c>
      <c r="L211" s="47" t="s">
        <v>530</v>
      </c>
      <c r="M211" s="46" t="s">
        <v>522</v>
      </c>
      <c r="N211" s="47" t="s">
        <v>523</v>
      </c>
      <c r="O211" s="44" t="s">
        <v>263</v>
      </c>
      <c r="P211" s="47" t="s">
        <v>531</v>
      </c>
      <c r="Q211" s="48">
        <v>30300</v>
      </c>
      <c r="R211" s="49" t="s">
        <v>4</v>
      </c>
      <c r="S211" s="48" t="s">
        <v>4</v>
      </c>
      <c r="T211" s="47" t="s">
        <v>525</v>
      </c>
    </row>
    <row r="212" spans="1:20">
      <c r="A212" s="46">
        <v>136224867297</v>
      </c>
      <c r="B212" s="44" t="s">
        <v>517</v>
      </c>
      <c r="C212" s="45">
        <v>45998</v>
      </c>
      <c r="D212" s="46">
        <v>54385029017</v>
      </c>
      <c r="E212" s="46">
        <v>2141378039291</v>
      </c>
      <c r="F212" s="47" t="s">
        <v>529</v>
      </c>
      <c r="G212" s="47" t="s">
        <v>519</v>
      </c>
      <c r="H212" s="47" t="s">
        <v>4</v>
      </c>
      <c r="I212" s="46" t="s">
        <v>4</v>
      </c>
      <c r="J212" s="48">
        <v>717.32</v>
      </c>
      <c r="K212" s="47" t="s">
        <v>520</v>
      </c>
      <c r="L212" s="47" t="s">
        <v>530</v>
      </c>
      <c r="M212" s="46" t="s">
        <v>522</v>
      </c>
      <c r="N212" s="47" t="s">
        <v>523</v>
      </c>
      <c r="O212" s="44" t="s">
        <v>263</v>
      </c>
      <c r="P212" s="47" t="s">
        <v>531</v>
      </c>
      <c r="Q212" s="48">
        <v>15800</v>
      </c>
      <c r="R212" s="49" t="s">
        <v>4</v>
      </c>
      <c r="S212" s="48" t="s">
        <v>4</v>
      </c>
      <c r="T212" s="47" t="s">
        <v>525</v>
      </c>
    </row>
    <row r="213" spans="1:20">
      <c r="A213" s="46">
        <v>136849120260</v>
      </c>
      <c r="B213" s="44" t="s">
        <v>517</v>
      </c>
      <c r="C213" s="45">
        <v>45998</v>
      </c>
      <c r="D213" s="46">
        <v>54385059451</v>
      </c>
      <c r="E213" s="46">
        <v>2141378646753</v>
      </c>
      <c r="F213" s="47" t="s">
        <v>518</v>
      </c>
      <c r="G213" s="47" t="s">
        <v>519</v>
      </c>
      <c r="H213" s="47" t="s">
        <v>4</v>
      </c>
      <c r="I213" s="46" t="s">
        <v>4</v>
      </c>
      <c r="J213" s="48">
        <v>1245.48</v>
      </c>
      <c r="K213" s="47" t="s">
        <v>520</v>
      </c>
      <c r="L213" s="47" t="s">
        <v>521</v>
      </c>
      <c r="M213" s="46" t="s">
        <v>522</v>
      </c>
      <c r="N213" s="47" t="s">
        <v>523</v>
      </c>
      <c r="O213" s="44" t="s">
        <v>4</v>
      </c>
      <c r="P213" s="47" t="s">
        <v>596</v>
      </c>
      <c r="Q213" s="48">
        <v>128400</v>
      </c>
      <c r="R213" s="49" t="s">
        <v>4</v>
      </c>
      <c r="S213" s="48" t="s">
        <v>4</v>
      </c>
      <c r="T213" s="47" t="s">
        <v>525</v>
      </c>
    </row>
    <row r="214" spans="1:20">
      <c r="A214" s="46">
        <v>136849253616</v>
      </c>
      <c r="B214" s="44" t="s">
        <v>517</v>
      </c>
      <c r="C214" s="45">
        <v>45998</v>
      </c>
      <c r="D214" s="46">
        <v>54385169472</v>
      </c>
      <c r="E214" s="46">
        <v>2141514799342</v>
      </c>
      <c r="F214" s="47" t="s">
        <v>518</v>
      </c>
      <c r="G214" s="47" t="s">
        <v>519</v>
      </c>
      <c r="H214" s="47" t="s">
        <v>4</v>
      </c>
      <c r="I214" s="46" t="s">
        <v>4</v>
      </c>
      <c r="J214" s="48">
        <v>261.89999999999998</v>
      </c>
      <c r="K214" s="47" t="s">
        <v>520</v>
      </c>
      <c r="L214" s="47" t="s">
        <v>521</v>
      </c>
      <c r="M214" s="46" t="s">
        <v>522</v>
      </c>
      <c r="N214" s="47" t="s">
        <v>523</v>
      </c>
      <c r="O214" s="44" t="s">
        <v>4</v>
      </c>
      <c r="P214" s="47" t="s">
        <v>597</v>
      </c>
      <c r="Q214" s="48">
        <v>27000</v>
      </c>
      <c r="R214" s="49" t="s">
        <v>4</v>
      </c>
      <c r="S214" s="48" t="s">
        <v>4</v>
      </c>
      <c r="T214" s="47" t="s">
        <v>525</v>
      </c>
    </row>
    <row r="215" spans="1:20">
      <c r="A215" s="46">
        <v>136225228919</v>
      </c>
      <c r="B215" s="44" t="s">
        <v>517</v>
      </c>
      <c r="C215" s="45">
        <v>45998</v>
      </c>
      <c r="D215" s="46">
        <v>54385183116</v>
      </c>
      <c r="E215" s="46">
        <v>2141515323184</v>
      </c>
      <c r="F215" s="47" t="s">
        <v>529</v>
      </c>
      <c r="G215" s="47" t="s">
        <v>519</v>
      </c>
      <c r="H215" s="47" t="s">
        <v>4</v>
      </c>
      <c r="I215" s="46" t="s">
        <v>4</v>
      </c>
      <c r="J215" s="48">
        <v>730.98</v>
      </c>
      <c r="K215" s="47" t="s">
        <v>520</v>
      </c>
      <c r="L215" s="47" t="s">
        <v>530</v>
      </c>
      <c r="M215" s="46" t="s">
        <v>522</v>
      </c>
      <c r="N215" s="47" t="s">
        <v>523</v>
      </c>
      <c r="O215" s="44" t="s">
        <v>263</v>
      </c>
      <c r="P215" s="47" t="s">
        <v>531</v>
      </c>
      <c r="Q215" s="48">
        <v>18600</v>
      </c>
      <c r="R215" s="49" t="s">
        <v>4</v>
      </c>
      <c r="S215" s="48" t="s">
        <v>4</v>
      </c>
      <c r="T215" s="47" t="s">
        <v>525</v>
      </c>
    </row>
    <row r="216" spans="1:20">
      <c r="A216" s="46">
        <v>136225395513</v>
      </c>
      <c r="B216" s="44" t="s">
        <v>517</v>
      </c>
      <c r="C216" s="45">
        <v>45998</v>
      </c>
      <c r="D216" s="46">
        <v>54385280521</v>
      </c>
      <c r="E216" s="46">
        <v>2141382261271</v>
      </c>
      <c r="F216" s="47" t="s">
        <v>526</v>
      </c>
      <c r="G216" s="47" t="s">
        <v>519</v>
      </c>
      <c r="H216" s="47" t="s">
        <v>4</v>
      </c>
      <c r="I216" s="46" t="s">
        <v>4</v>
      </c>
      <c r="J216" s="48">
        <v>531.55999999999995</v>
      </c>
      <c r="K216" s="47" t="s">
        <v>520</v>
      </c>
      <c r="L216" s="47" t="s">
        <v>521</v>
      </c>
      <c r="M216" s="46" t="s">
        <v>522</v>
      </c>
      <c r="N216" s="47" t="s">
        <v>523</v>
      </c>
      <c r="O216" s="44" t="s">
        <v>4</v>
      </c>
      <c r="P216" s="47" t="s">
        <v>527</v>
      </c>
      <c r="Q216" s="48">
        <v>54800</v>
      </c>
      <c r="R216" s="49" t="s">
        <v>4</v>
      </c>
      <c r="S216" s="48" t="s">
        <v>4</v>
      </c>
      <c r="T216" s="47" t="s">
        <v>4</v>
      </c>
    </row>
    <row r="217" spans="1:20">
      <c r="A217" s="46">
        <v>136850043496</v>
      </c>
      <c r="B217" s="44" t="s">
        <v>517</v>
      </c>
      <c r="C217" s="45">
        <v>45998</v>
      </c>
      <c r="D217" s="46">
        <v>54385418732</v>
      </c>
      <c r="E217" s="46">
        <v>2141383769877</v>
      </c>
      <c r="F217" s="47" t="s">
        <v>518</v>
      </c>
      <c r="G217" s="47" t="s">
        <v>519</v>
      </c>
      <c r="H217" s="47" t="s">
        <v>4</v>
      </c>
      <c r="I217" s="46" t="s">
        <v>4</v>
      </c>
      <c r="J217" s="48">
        <v>79.540000000000006</v>
      </c>
      <c r="K217" s="47" t="s">
        <v>520</v>
      </c>
      <c r="L217" s="47" t="s">
        <v>521</v>
      </c>
      <c r="M217" s="46" t="s">
        <v>522</v>
      </c>
      <c r="N217" s="47" t="s">
        <v>523</v>
      </c>
      <c r="O217" s="44" t="s">
        <v>4</v>
      </c>
      <c r="P217" s="47" t="s">
        <v>598</v>
      </c>
      <c r="Q217" s="48">
        <v>8200</v>
      </c>
      <c r="R217" s="49" t="s">
        <v>4</v>
      </c>
      <c r="S217" s="48" t="s">
        <v>4</v>
      </c>
      <c r="T217" s="47" t="s">
        <v>525</v>
      </c>
    </row>
    <row r="218" spans="1:20">
      <c r="A218" s="46">
        <v>136225810367</v>
      </c>
      <c r="B218" s="44" t="s">
        <v>517</v>
      </c>
      <c r="C218" s="45">
        <v>45998</v>
      </c>
      <c r="D218" s="46">
        <v>54385437494</v>
      </c>
      <c r="E218" s="46">
        <v>2141384508603</v>
      </c>
      <c r="F218" s="47" t="s">
        <v>518</v>
      </c>
      <c r="G218" s="47" t="s">
        <v>519</v>
      </c>
      <c r="H218" s="47" t="s">
        <v>4</v>
      </c>
      <c r="I218" s="46" t="s">
        <v>4</v>
      </c>
      <c r="J218" s="48">
        <v>131.91999999999999</v>
      </c>
      <c r="K218" s="47" t="s">
        <v>520</v>
      </c>
      <c r="L218" s="47" t="s">
        <v>521</v>
      </c>
      <c r="M218" s="46" t="s">
        <v>522</v>
      </c>
      <c r="N218" s="47" t="s">
        <v>523</v>
      </c>
      <c r="O218" s="44" t="s">
        <v>4</v>
      </c>
      <c r="P218" s="47" t="s">
        <v>599</v>
      </c>
      <c r="Q218" s="48">
        <v>13600</v>
      </c>
      <c r="R218" s="49" t="s">
        <v>4</v>
      </c>
      <c r="S218" s="48" t="s">
        <v>4</v>
      </c>
      <c r="T218" s="47" t="s">
        <v>525</v>
      </c>
    </row>
    <row r="219" spans="1:20">
      <c r="A219" s="46">
        <v>136226252295</v>
      </c>
      <c r="B219" s="44" t="s">
        <v>517</v>
      </c>
      <c r="C219" s="45">
        <v>45998</v>
      </c>
      <c r="D219" s="46">
        <v>54385655761</v>
      </c>
      <c r="E219" s="46">
        <v>2141522326670</v>
      </c>
      <c r="F219" s="47" t="s">
        <v>518</v>
      </c>
      <c r="G219" s="47" t="s">
        <v>519</v>
      </c>
      <c r="H219" s="47" t="s">
        <v>4</v>
      </c>
      <c r="I219" s="46" t="s">
        <v>4</v>
      </c>
      <c r="J219" s="48">
        <v>387.03</v>
      </c>
      <c r="K219" s="47" t="s">
        <v>520</v>
      </c>
      <c r="L219" s="47" t="s">
        <v>521</v>
      </c>
      <c r="M219" s="46" t="s">
        <v>522</v>
      </c>
      <c r="N219" s="47" t="s">
        <v>523</v>
      </c>
      <c r="O219" s="44" t="s">
        <v>4</v>
      </c>
      <c r="P219" s="47" t="s">
        <v>600</v>
      </c>
      <c r="Q219" s="48">
        <v>39900</v>
      </c>
      <c r="R219" s="49" t="s">
        <v>4</v>
      </c>
      <c r="S219" s="48" t="s">
        <v>4</v>
      </c>
      <c r="T219" s="47" t="s">
        <v>525</v>
      </c>
    </row>
    <row r="220" spans="1:20">
      <c r="A220" s="46">
        <v>136851154852</v>
      </c>
      <c r="B220" s="44" t="s">
        <v>517</v>
      </c>
      <c r="C220" s="45">
        <v>45998</v>
      </c>
      <c r="D220" s="46">
        <v>54385885627</v>
      </c>
      <c r="E220" s="46">
        <v>2141390899707</v>
      </c>
      <c r="F220" s="47" t="s">
        <v>529</v>
      </c>
      <c r="G220" s="47" t="s">
        <v>519</v>
      </c>
      <c r="H220" s="47" t="s">
        <v>4</v>
      </c>
      <c r="I220" s="46" t="s">
        <v>4</v>
      </c>
      <c r="J220" s="48">
        <v>1255.6500000000001</v>
      </c>
      <c r="K220" s="47" t="s">
        <v>520</v>
      </c>
      <c r="L220" s="47" t="s">
        <v>530</v>
      </c>
      <c r="M220" s="46" t="s">
        <v>522</v>
      </c>
      <c r="N220" s="47" t="s">
        <v>523</v>
      </c>
      <c r="O220" s="44" t="s">
        <v>263</v>
      </c>
      <c r="P220" s="47" t="s">
        <v>531</v>
      </c>
      <c r="Q220" s="48">
        <v>16500</v>
      </c>
      <c r="R220" s="49" t="s">
        <v>4</v>
      </c>
      <c r="S220" s="48" t="s">
        <v>4</v>
      </c>
      <c r="T220" s="47" t="s">
        <v>525</v>
      </c>
    </row>
    <row r="221" spans="1:20">
      <c r="A221" s="46">
        <v>136851820766</v>
      </c>
      <c r="B221" s="44" t="s">
        <v>517</v>
      </c>
      <c r="C221" s="45">
        <v>45998</v>
      </c>
      <c r="D221" s="46">
        <v>54386212008</v>
      </c>
      <c r="E221" s="46">
        <v>2141396156661</v>
      </c>
      <c r="F221" s="47" t="s">
        <v>526</v>
      </c>
      <c r="G221" s="47" t="s">
        <v>519</v>
      </c>
      <c r="H221" s="47" t="s">
        <v>4</v>
      </c>
      <c r="I221" s="46" t="s">
        <v>4</v>
      </c>
      <c r="J221" s="48">
        <v>106.7</v>
      </c>
      <c r="K221" s="47" t="s">
        <v>520</v>
      </c>
      <c r="L221" s="47" t="s">
        <v>521</v>
      </c>
      <c r="M221" s="46" t="s">
        <v>522</v>
      </c>
      <c r="N221" s="47" t="s">
        <v>523</v>
      </c>
      <c r="O221" s="44" t="s">
        <v>4</v>
      </c>
      <c r="P221" s="47" t="s">
        <v>527</v>
      </c>
      <c r="Q221" s="48">
        <v>11000</v>
      </c>
      <c r="R221" s="49" t="s">
        <v>4</v>
      </c>
      <c r="S221" s="48" t="s">
        <v>4</v>
      </c>
      <c r="T221" s="47" t="s">
        <v>4</v>
      </c>
    </row>
    <row r="222" spans="1:20">
      <c r="A222" s="46">
        <v>136228392459</v>
      </c>
      <c r="B222" s="44" t="s">
        <v>517</v>
      </c>
      <c r="C222" s="45">
        <v>45998</v>
      </c>
      <c r="D222" s="46">
        <v>54386415524</v>
      </c>
      <c r="E222" s="46">
        <v>2141399427829</v>
      </c>
      <c r="F222" s="47" t="s">
        <v>529</v>
      </c>
      <c r="G222" s="47" t="s">
        <v>519</v>
      </c>
      <c r="H222" s="47" t="s">
        <v>4</v>
      </c>
      <c r="I222" s="46" t="s">
        <v>4</v>
      </c>
      <c r="J222" s="48">
        <v>377.28</v>
      </c>
      <c r="K222" s="47" t="s">
        <v>520</v>
      </c>
      <c r="L222" s="47" t="s">
        <v>530</v>
      </c>
      <c r="M222" s="46" t="s">
        <v>522</v>
      </c>
      <c r="N222" s="47" t="s">
        <v>523</v>
      </c>
      <c r="O222" s="44" t="s">
        <v>263</v>
      </c>
      <c r="P222" s="47" t="s">
        <v>531</v>
      </c>
      <c r="Q222" s="48">
        <v>9600</v>
      </c>
      <c r="R222" s="49" t="s">
        <v>4</v>
      </c>
      <c r="S222" s="48" t="s">
        <v>4</v>
      </c>
      <c r="T222" s="47" t="s">
        <v>525</v>
      </c>
    </row>
    <row r="223" spans="1:20">
      <c r="A223" s="46">
        <v>136852498300</v>
      </c>
      <c r="B223" s="44" t="s">
        <v>517</v>
      </c>
      <c r="C223" s="45">
        <v>45998</v>
      </c>
      <c r="D223" s="46">
        <v>54386472524</v>
      </c>
      <c r="E223" s="46">
        <v>2141400760631</v>
      </c>
      <c r="F223" s="47" t="s">
        <v>518</v>
      </c>
      <c r="G223" s="47" t="s">
        <v>519</v>
      </c>
      <c r="H223" s="47" t="s">
        <v>4</v>
      </c>
      <c r="I223" s="46" t="s">
        <v>4</v>
      </c>
      <c r="J223" s="48">
        <v>493.73</v>
      </c>
      <c r="K223" s="47" t="s">
        <v>520</v>
      </c>
      <c r="L223" s="47" t="s">
        <v>521</v>
      </c>
      <c r="M223" s="46" t="s">
        <v>522</v>
      </c>
      <c r="N223" s="47" t="s">
        <v>523</v>
      </c>
      <c r="O223" s="44" t="s">
        <v>4</v>
      </c>
      <c r="P223" s="47" t="s">
        <v>601</v>
      </c>
      <c r="Q223" s="48">
        <v>50900</v>
      </c>
      <c r="R223" s="49" t="s">
        <v>4</v>
      </c>
      <c r="S223" s="48" t="s">
        <v>4</v>
      </c>
      <c r="T223" s="47" t="s">
        <v>525</v>
      </c>
    </row>
    <row r="224" spans="1:20">
      <c r="A224" s="46">
        <v>136852538278</v>
      </c>
      <c r="B224" s="44" t="s">
        <v>517</v>
      </c>
      <c r="C224" s="45">
        <v>45998</v>
      </c>
      <c r="D224" s="46">
        <v>54386481719</v>
      </c>
      <c r="E224" s="46">
        <v>2141400798783</v>
      </c>
      <c r="F224" s="47" t="s">
        <v>526</v>
      </c>
      <c r="G224" s="47" t="s">
        <v>519</v>
      </c>
      <c r="H224" s="47" t="s">
        <v>4</v>
      </c>
      <c r="I224" s="46" t="s">
        <v>4</v>
      </c>
      <c r="J224" s="48">
        <v>388</v>
      </c>
      <c r="K224" s="47" t="s">
        <v>520</v>
      </c>
      <c r="L224" s="47" t="s">
        <v>521</v>
      </c>
      <c r="M224" s="46" t="s">
        <v>522</v>
      </c>
      <c r="N224" s="47" t="s">
        <v>523</v>
      </c>
      <c r="O224" s="44" t="s">
        <v>4</v>
      </c>
      <c r="P224" s="47" t="s">
        <v>527</v>
      </c>
      <c r="Q224" s="48">
        <v>40000</v>
      </c>
      <c r="R224" s="49" t="s">
        <v>4</v>
      </c>
      <c r="S224" s="48" t="s">
        <v>4</v>
      </c>
      <c r="T224" s="47" t="s">
        <v>4</v>
      </c>
    </row>
    <row r="225" spans="1:20">
      <c r="A225" s="46">
        <v>136852576368</v>
      </c>
      <c r="B225" s="44" t="s">
        <v>517</v>
      </c>
      <c r="C225" s="45">
        <v>45998</v>
      </c>
      <c r="D225" s="46">
        <v>54386517287</v>
      </c>
      <c r="E225" s="46">
        <v>2141535922188</v>
      </c>
      <c r="F225" s="47" t="s">
        <v>518</v>
      </c>
      <c r="G225" s="47" t="s">
        <v>519</v>
      </c>
      <c r="H225" s="47" t="s">
        <v>4</v>
      </c>
      <c r="I225" s="46" t="s">
        <v>4</v>
      </c>
      <c r="J225" s="48">
        <v>227.95</v>
      </c>
      <c r="K225" s="47" t="s">
        <v>520</v>
      </c>
      <c r="L225" s="47" t="s">
        <v>521</v>
      </c>
      <c r="M225" s="46" t="s">
        <v>522</v>
      </c>
      <c r="N225" s="47" t="s">
        <v>523</v>
      </c>
      <c r="O225" s="44" t="s">
        <v>4</v>
      </c>
      <c r="P225" s="47" t="s">
        <v>602</v>
      </c>
      <c r="Q225" s="48">
        <v>23500</v>
      </c>
      <c r="R225" s="49" t="s">
        <v>4</v>
      </c>
      <c r="S225" s="48" t="s">
        <v>4</v>
      </c>
      <c r="T225" s="47" t="s">
        <v>525</v>
      </c>
    </row>
    <row r="226" spans="1:20">
      <c r="A226" s="46">
        <v>136228863049</v>
      </c>
      <c r="B226" s="44" t="s">
        <v>517</v>
      </c>
      <c r="C226" s="45">
        <v>45998</v>
      </c>
      <c r="D226" s="46">
        <v>54386672819</v>
      </c>
      <c r="E226" s="46">
        <v>2141403512749</v>
      </c>
      <c r="F226" s="47" t="s">
        <v>526</v>
      </c>
      <c r="G226" s="47" t="s">
        <v>519</v>
      </c>
      <c r="H226" s="47" t="s">
        <v>4</v>
      </c>
      <c r="I226" s="46" t="s">
        <v>4</v>
      </c>
      <c r="J226" s="48">
        <v>226.98</v>
      </c>
      <c r="K226" s="47" t="s">
        <v>520</v>
      </c>
      <c r="L226" s="47" t="s">
        <v>521</v>
      </c>
      <c r="M226" s="46" t="s">
        <v>522</v>
      </c>
      <c r="N226" s="47" t="s">
        <v>523</v>
      </c>
      <c r="O226" s="44" t="s">
        <v>4</v>
      </c>
      <c r="P226" s="47" t="s">
        <v>527</v>
      </c>
      <c r="Q226" s="48">
        <v>23400</v>
      </c>
      <c r="R226" s="49" t="s">
        <v>4</v>
      </c>
      <c r="S226" s="48" t="s">
        <v>4</v>
      </c>
      <c r="T226" s="47" t="s">
        <v>4</v>
      </c>
    </row>
    <row r="227" spans="1:20">
      <c r="A227" s="46">
        <v>136853004650</v>
      </c>
      <c r="B227" s="44" t="s">
        <v>517</v>
      </c>
      <c r="C227" s="45">
        <v>45998</v>
      </c>
      <c r="D227" s="46">
        <v>54386747109</v>
      </c>
      <c r="E227" s="46">
        <v>2141539084194</v>
      </c>
      <c r="F227" s="47" t="s">
        <v>529</v>
      </c>
      <c r="G227" s="47" t="s">
        <v>519</v>
      </c>
      <c r="H227" s="47" t="s">
        <v>4</v>
      </c>
      <c r="I227" s="46" t="s">
        <v>4</v>
      </c>
      <c r="J227" s="48">
        <v>503.04</v>
      </c>
      <c r="K227" s="47" t="s">
        <v>520</v>
      </c>
      <c r="L227" s="47" t="s">
        <v>530</v>
      </c>
      <c r="M227" s="46" t="s">
        <v>522</v>
      </c>
      <c r="N227" s="47" t="s">
        <v>523</v>
      </c>
      <c r="O227" s="44" t="s">
        <v>263</v>
      </c>
      <c r="P227" s="47" t="s">
        <v>531</v>
      </c>
      <c r="Q227" s="48">
        <v>12800</v>
      </c>
      <c r="R227" s="49" t="s">
        <v>4</v>
      </c>
      <c r="S227" s="48" t="s">
        <v>4</v>
      </c>
      <c r="T227" s="47" t="s">
        <v>525</v>
      </c>
    </row>
    <row r="228" spans="1:20">
      <c r="A228" s="46">
        <v>136229026095</v>
      </c>
      <c r="B228" s="44" t="s">
        <v>517</v>
      </c>
      <c r="C228" s="45">
        <v>45998</v>
      </c>
      <c r="D228" s="46">
        <v>54386870631</v>
      </c>
      <c r="E228" s="46">
        <v>2141540605982</v>
      </c>
      <c r="F228" s="47" t="s">
        <v>526</v>
      </c>
      <c r="G228" s="47" t="s">
        <v>519</v>
      </c>
      <c r="H228" s="47" t="s">
        <v>4</v>
      </c>
      <c r="I228" s="46" t="s">
        <v>4</v>
      </c>
      <c r="J228" s="48">
        <v>106.7</v>
      </c>
      <c r="K228" s="47" t="s">
        <v>520</v>
      </c>
      <c r="L228" s="47" t="s">
        <v>521</v>
      </c>
      <c r="M228" s="46" t="s">
        <v>522</v>
      </c>
      <c r="N228" s="47" t="s">
        <v>523</v>
      </c>
      <c r="O228" s="44" t="s">
        <v>4</v>
      </c>
      <c r="P228" s="47" t="s">
        <v>527</v>
      </c>
      <c r="Q228" s="48">
        <v>11000</v>
      </c>
      <c r="R228" s="49" t="s">
        <v>4</v>
      </c>
      <c r="S228" s="48" t="s">
        <v>4</v>
      </c>
      <c r="T228" s="47" t="s">
        <v>4</v>
      </c>
    </row>
    <row r="229" spans="1:20">
      <c r="A229" s="46">
        <v>136853330906</v>
      </c>
      <c r="B229" s="44" t="s">
        <v>517</v>
      </c>
      <c r="C229" s="45">
        <v>45998</v>
      </c>
      <c r="D229" s="46">
        <v>54386883678</v>
      </c>
      <c r="E229" s="46">
        <v>2141541071696</v>
      </c>
      <c r="F229" s="47" t="s">
        <v>518</v>
      </c>
      <c r="G229" s="47" t="s">
        <v>519</v>
      </c>
      <c r="H229" s="47" t="s">
        <v>4</v>
      </c>
      <c r="I229" s="46" t="s">
        <v>4</v>
      </c>
      <c r="J229" s="48">
        <v>1834.01</v>
      </c>
      <c r="K229" s="47" t="s">
        <v>520</v>
      </c>
      <c r="L229" s="47" t="s">
        <v>521</v>
      </c>
      <c r="M229" s="46" t="s">
        <v>522</v>
      </c>
      <c r="N229" s="47" t="s">
        <v>523</v>
      </c>
      <c r="O229" s="44" t="s">
        <v>4</v>
      </c>
      <c r="P229" s="47" t="s">
        <v>603</v>
      </c>
      <c r="Q229" s="48">
        <v>24100</v>
      </c>
      <c r="R229" s="49" t="s">
        <v>4</v>
      </c>
      <c r="S229" s="48" t="s">
        <v>4</v>
      </c>
      <c r="T229" s="47" t="s">
        <v>525</v>
      </c>
    </row>
    <row r="230" spans="1:20">
      <c r="A230" s="46">
        <v>136853257216</v>
      </c>
      <c r="B230" s="44" t="s">
        <v>517</v>
      </c>
      <c r="C230" s="45">
        <v>45998</v>
      </c>
      <c r="D230" s="46">
        <v>54386909219</v>
      </c>
      <c r="E230" s="46">
        <v>2141540830384</v>
      </c>
      <c r="F230" s="47" t="s">
        <v>529</v>
      </c>
      <c r="G230" s="47" t="s">
        <v>519</v>
      </c>
      <c r="H230" s="47" t="s">
        <v>4</v>
      </c>
      <c r="I230" s="46" t="s">
        <v>4</v>
      </c>
      <c r="J230" s="48">
        <v>377.28</v>
      </c>
      <c r="K230" s="47" t="s">
        <v>520</v>
      </c>
      <c r="L230" s="47" t="s">
        <v>530</v>
      </c>
      <c r="M230" s="46" t="s">
        <v>522</v>
      </c>
      <c r="N230" s="47" t="s">
        <v>523</v>
      </c>
      <c r="O230" s="44" t="s">
        <v>263</v>
      </c>
      <c r="P230" s="47" t="s">
        <v>531</v>
      </c>
      <c r="Q230" s="48">
        <v>9600</v>
      </c>
      <c r="R230" s="49" t="s">
        <v>4</v>
      </c>
      <c r="S230" s="48" t="s">
        <v>4</v>
      </c>
      <c r="T230" s="47" t="s">
        <v>525</v>
      </c>
    </row>
    <row r="231" spans="1:20">
      <c r="A231" s="46">
        <v>136853412720</v>
      </c>
      <c r="B231" s="44" t="s">
        <v>517</v>
      </c>
      <c r="C231" s="45">
        <v>45998</v>
      </c>
      <c r="D231" s="46">
        <v>54386947179</v>
      </c>
      <c r="E231" s="46">
        <v>2141406826841</v>
      </c>
      <c r="F231" s="47" t="s">
        <v>518</v>
      </c>
      <c r="G231" s="47" t="s">
        <v>519</v>
      </c>
      <c r="H231" s="47" t="s">
        <v>4</v>
      </c>
      <c r="I231" s="46" t="s">
        <v>4</v>
      </c>
      <c r="J231" s="48">
        <v>86.33</v>
      </c>
      <c r="K231" s="47" t="s">
        <v>520</v>
      </c>
      <c r="L231" s="47" t="s">
        <v>521</v>
      </c>
      <c r="M231" s="46" t="s">
        <v>522</v>
      </c>
      <c r="N231" s="47" t="s">
        <v>523</v>
      </c>
      <c r="O231" s="44" t="s">
        <v>4</v>
      </c>
      <c r="P231" s="47" t="s">
        <v>604</v>
      </c>
      <c r="Q231" s="48">
        <v>8900</v>
      </c>
      <c r="R231" s="49" t="s">
        <v>4</v>
      </c>
      <c r="S231" s="48" t="s">
        <v>4</v>
      </c>
      <c r="T231" s="47" t="s">
        <v>525</v>
      </c>
    </row>
    <row r="232" spans="1:20">
      <c r="A232" s="46">
        <v>136853256074</v>
      </c>
      <c r="B232" s="44" t="s">
        <v>517</v>
      </c>
      <c r="C232" s="45">
        <v>45998</v>
      </c>
      <c r="D232" s="46">
        <v>54386951180</v>
      </c>
      <c r="E232" s="46">
        <v>2141407065131</v>
      </c>
      <c r="F232" s="47" t="s">
        <v>526</v>
      </c>
      <c r="G232" s="47" t="s">
        <v>519</v>
      </c>
      <c r="H232" s="47" t="s">
        <v>4</v>
      </c>
      <c r="I232" s="46" t="s">
        <v>4</v>
      </c>
      <c r="J232" s="48">
        <v>44.62</v>
      </c>
      <c r="K232" s="47" t="s">
        <v>520</v>
      </c>
      <c r="L232" s="47" t="s">
        <v>521</v>
      </c>
      <c r="M232" s="46" t="s">
        <v>522</v>
      </c>
      <c r="N232" s="47" t="s">
        <v>523</v>
      </c>
      <c r="O232" s="44" t="s">
        <v>4</v>
      </c>
      <c r="P232" s="47" t="s">
        <v>527</v>
      </c>
      <c r="Q232" s="48">
        <v>4600</v>
      </c>
      <c r="R232" s="49" t="s">
        <v>4</v>
      </c>
      <c r="S232" s="48" t="s">
        <v>4</v>
      </c>
      <c r="T232" s="47" t="s">
        <v>4</v>
      </c>
    </row>
    <row r="233" spans="1:20">
      <c r="A233" s="46">
        <v>136853572472</v>
      </c>
      <c r="B233" s="44" t="s">
        <v>517</v>
      </c>
      <c r="C233" s="45">
        <v>45998</v>
      </c>
      <c r="D233" s="46">
        <v>54386998403</v>
      </c>
      <c r="E233" s="46">
        <v>2141541953938</v>
      </c>
      <c r="F233" s="47" t="s">
        <v>526</v>
      </c>
      <c r="G233" s="47" t="s">
        <v>519</v>
      </c>
      <c r="H233" s="47" t="s">
        <v>4</v>
      </c>
      <c r="I233" s="46" t="s">
        <v>4</v>
      </c>
      <c r="J233" s="48">
        <v>230.86</v>
      </c>
      <c r="K233" s="47" t="s">
        <v>520</v>
      </c>
      <c r="L233" s="47" t="s">
        <v>521</v>
      </c>
      <c r="M233" s="46" t="s">
        <v>522</v>
      </c>
      <c r="N233" s="47" t="s">
        <v>523</v>
      </c>
      <c r="O233" s="44" t="s">
        <v>4</v>
      </c>
      <c r="P233" s="47" t="s">
        <v>527</v>
      </c>
      <c r="Q233" s="48">
        <v>23800</v>
      </c>
      <c r="R233" s="49" t="s">
        <v>4</v>
      </c>
      <c r="S233" s="48" t="s">
        <v>4</v>
      </c>
      <c r="T233" s="47" t="s">
        <v>4</v>
      </c>
    </row>
    <row r="234" spans="1:20">
      <c r="A234" s="46">
        <v>136229366917</v>
      </c>
      <c r="B234" s="44" t="s">
        <v>517</v>
      </c>
      <c r="C234" s="45">
        <v>45998</v>
      </c>
      <c r="D234" s="46">
        <v>54387017221</v>
      </c>
      <c r="E234" s="46">
        <v>2141542106204</v>
      </c>
      <c r="F234" s="47" t="s">
        <v>529</v>
      </c>
      <c r="G234" s="47" t="s">
        <v>519</v>
      </c>
      <c r="H234" s="47" t="s">
        <v>4</v>
      </c>
      <c r="I234" s="46" t="s">
        <v>4</v>
      </c>
      <c r="J234" s="48">
        <v>762.42</v>
      </c>
      <c r="K234" s="47" t="s">
        <v>520</v>
      </c>
      <c r="L234" s="47" t="s">
        <v>530</v>
      </c>
      <c r="M234" s="46" t="s">
        <v>522</v>
      </c>
      <c r="N234" s="47" t="s">
        <v>523</v>
      </c>
      <c r="O234" s="44" t="s">
        <v>263</v>
      </c>
      <c r="P234" s="47" t="s">
        <v>531</v>
      </c>
      <c r="Q234" s="48">
        <v>19400</v>
      </c>
      <c r="R234" s="49" t="s">
        <v>4</v>
      </c>
      <c r="S234" s="48" t="s">
        <v>4</v>
      </c>
      <c r="T234" s="47" t="s">
        <v>525</v>
      </c>
    </row>
    <row r="235" spans="1:20">
      <c r="A235" s="46">
        <v>136307742213</v>
      </c>
      <c r="B235" s="44" t="s">
        <v>517</v>
      </c>
      <c r="C235" s="45">
        <v>45998</v>
      </c>
      <c r="D235" s="46">
        <v>54422340104</v>
      </c>
      <c r="E235" s="46">
        <v>2142045455352</v>
      </c>
      <c r="F235" s="47" t="s">
        <v>518</v>
      </c>
      <c r="G235" s="47" t="s">
        <v>519</v>
      </c>
      <c r="H235" s="47" t="s">
        <v>4</v>
      </c>
      <c r="I235" s="46" t="s">
        <v>4</v>
      </c>
      <c r="J235" s="48">
        <v>137.74</v>
      </c>
      <c r="K235" s="47" t="s">
        <v>520</v>
      </c>
      <c r="L235" s="47" t="s">
        <v>521</v>
      </c>
      <c r="M235" s="46" t="s">
        <v>522</v>
      </c>
      <c r="N235" s="47" t="s">
        <v>523</v>
      </c>
      <c r="O235" s="44" t="s">
        <v>4</v>
      </c>
      <c r="P235" s="47" t="s">
        <v>605</v>
      </c>
      <c r="Q235" s="48">
        <v>14200</v>
      </c>
      <c r="R235" s="49" t="s">
        <v>4</v>
      </c>
      <c r="S235" s="48" t="s">
        <v>4</v>
      </c>
      <c r="T235" s="47" t="s">
        <v>525</v>
      </c>
    </row>
    <row r="236" spans="1:20">
      <c r="A236" s="46">
        <v>136932804102</v>
      </c>
      <c r="B236" s="44" t="s">
        <v>517</v>
      </c>
      <c r="C236" s="45">
        <v>45998</v>
      </c>
      <c r="D236" s="46">
        <v>54422480537</v>
      </c>
      <c r="E236" s="46">
        <v>2141912493797</v>
      </c>
      <c r="F236" s="47" t="s">
        <v>518</v>
      </c>
      <c r="G236" s="47" t="s">
        <v>519</v>
      </c>
      <c r="H236" s="47" t="s">
        <v>4</v>
      </c>
      <c r="I236" s="46" t="s">
        <v>4</v>
      </c>
      <c r="J236" s="48">
        <v>190.12</v>
      </c>
      <c r="K236" s="47" t="s">
        <v>520</v>
      </c>
      <c r="L236" s="47" t="s">
        <v>521</v>
      </c>
      <c r="M236" s="46" t="s">
        <v>522</v>
      </c>
      <c r="N236" s="47" t="s">
        <v>523</v>
      </c>
      <c r="O236" s="44" t="s">
        <v>4</v>
      </c>
      <c r="P236" s="47" t="s">
        <v>606</v>
      </c>
      <c r="Q236" s="48">
        <v>19600</v>
      </c>
      <c r="R236" s="49" t="s">
        <v>4</v>
      </c>
      <c r="S236" s="48" t="s">
        <v>4</v>
      </c>
      <c r="T236" s="47" t="s">
        <v>525</v>
      </c>
    </row>
    <row r="237" spans="1:20">
      <c r="A237" s="46">
        <v>136308302633</v>
      </c>
      <c r="B237" s="44" t="s">
        <v>517</v>
      </c>
      <c r="C237" s="45">
        <v>45998</v>
      </c>
      <c r="D237" s="46">
        <v>54422562262</v>
      </c>
      <c r="E237" s="46">
        <v>2141914365329</v>
      </c>
      <c r="F237" s="47" t="s">
        <v>518</v>
      </c>
      <c r="G237" s="47" t="s">
        <v>519</v>
      </c>
      <c r="H237" s="47" t="s">
        <v>4</v>
      </c>
      <c r="I237" s="46" t="s">
        <v>4</v>
      </c>
      <c r="J237" s="48">
        <v>140.65</v>
      </c>
      <c r="K237" s="47" t="s">
        <v>520</v>
      </c>
      <c r="L237" s="47" t="s">
        <v>521</v>
      </c>
      <c r="M237" s="46" t="s">
        <v>522</v>
      </c>
      <c r="N237" s="47" t="s">
        <v>523</v>
      </c>
      <c r="O237" s="44" t="s">
        <v>4</v>
      </c>
      <c r="P237" s="47" t="s">
        <v>607</v>
      </c>
      <c r="Q237" s="48">
        <v>14500</v>
      </c>
      <c r="R237" s="49" t="s">
        <v>4</v>
      </c>
      <c r="S237" s="48" t="s">
        <v>4</v>
      </c>
      <c r="T237" s="47" t="s">
        <v>525</v>
      </c>
    </row>
    <row r="238" spans="1:20">
      <c r="A238" s="46">
        <v>136310829977</v>
      </c>
      <c r="B238" s="44" t="s">
        <v>517</v>
      </c>
      <c r="C238" s="45">
        <v>45998</v>
      </c>
      <c r="D238" s="46">
        <v>54423642843</v>
      </c>
      <c r="E238" s="46">
        <v>2141930359317</v>
      </c>
      <c r="F238" s="47" t="s">
        <v>518</v>
      </c>
      <c r="G238" s="47" t="s">
        <v>519</v>
      </c>
      <c r="H238" s="47" t="s">
        <v>4</v>
      </c>
      <c r="I238" s="46" t="s">
        <v>4</v>
      </c>
      <c r="J238" s="48">
        <v>112.52</v>
      </c>
      <c r="K238" s="47" t="s">
        <v>520</v>
      </c>
      <c r="L238" s="47" t="s">
        <v>521</v>
      </c>
      <c r="M238" s="46" t="s">
        <v>522</v>
      </c>
      <c r="N238" s="47" t="s">
        <v>523</v>
      </c>
      <c r="O238" s="44" t="s">
        <v>4</v>
      </c>
      <c r="P238" s="47" t="s">
        <v>608</v>
      </c>
      <c r="Q238" s="48">
        <v>11600</v>
      </c>
      <c r="R238" s="49" t="s">
        <v>4</v>
      </c>
      <c r="S238" s="48" t="s">
        <v>4</v>
      </c>
      <c r="T238" s="47" t="s">
        <v>525</v>
      </c>
    </row>
    <row r="239" spans="1:20">
      <c r="A239" s="46">
        <v>136311573047</v>
      </c>
      <c r="B239" s="44" t="s">
        <v>517</v>
      </c>
      <c r="C239" s="45">
        <v>45998</v>
      </c>
      <c r="D239" s="46">
        <v>54423950709</v>
      </c>
      <c r="E239" s="46">
        <v>2142069952532</v>
      </c>
      <c r="F239" s="47" t="s">
        <v>518</v>
      </c>
      <c r="G239" s="47" t="s">
        <v>519</v>
      </c>
      <c r="H239" s="47" t="s">
        <v>4</v>
      </c>
      <c r="I239" s="46" t="s">
        <v>4</v>
      </c>
      <c r="J239" s="48">
        <v>282.27</v>
      </c>
      <c r="K239" s="47" t="s">
        <v>520</v>
      </c>
      <c r="L239" s="47" t="s">
        <v>521</v>
      </c>
      <c r="M239" s="46" t="s">
        <v>522</v>
      </c>
      <c r="N239" s="47" t="s">
        <v>523</v>
      </c>
      <c r="O239" s="44" t="s">
        <v>4</v>
      </c>
      <c r="P239" s="47" t="s">
        <v>609</v>
      </c>
      <c r="Q239" s="48">
        <v>29100</v>
      </c>
      <c r="R239" s="49" t="s">
        <v>4</v>
      </c>
      <c r="S239" s="48" t="s">
        <v>4</v>
      </c>
      <c r="T239" s="47" t="s">
        <v>525</v>
      </c>
    </row>
    <row r="240" spans="1:20">
      <c r="A240" s="46">
        <v>136936831094</v>
      </c>
      <c r="B240" s="44" t="s">
        <v>517</v>
      </c>
      <c r="C240" s="45">
        <v>45998</v>
      </c>
      <c r="D240" s="46">
        <v>54424237030</v>
      </c>
      <c r="E240" s="46">
        <v>2142073989590</v>
      </c>
      <c r="F240" s="47" t="s">
        <v>518</v>
      </c>
      <c r="G240" s="47" t="s">
        <v>519</v>
      </c>
      <c r="H240" s="47" t="s">
        <v>4</v>
      </c>
      <c r="I240" s="46" t="s">
        <v>4</v>
      </c>
      <c r="J240" s="48">
        <v>95.06</v>
      </c>
      <c r="K240" s="47" t="s">
        <v>520</v>
      </c>
      <c r="L240" s="47" t="s">
        <v>521</v>
      </c>
      <c r="M240" s="46" t="s">
        <v>522</v>
      </c>
      <c r="N240" s="47" t="s">
        <v>523</v>
      </c>
      <c r="O240" s="44" t="s">
        <v>4</v>
      </c>
      <c r="P240" s="47" t="s">
        <v>610</v>
      </c>
      <c r="Q240" s="48">
        <v>9800</v>
      </c>
      <c r="R240" s="49" t="s">
        <v>4</v>
      </c>
      <c r="S240" s="48" t="s">
        <v>4</v>
      </c>
      <c r="T240" s="47" t="s">
        <v>525</v>
      </c>
    </row>
    <row r="241" spans="1:20">
      <c r="A241" s="46">
        <v>136941329056</v>
      </c>
      <c r="B241" s="44" t="s">
        <v>517</v>
      </c>
      <c r="C241" s="45">
        <v>45998</v>
      </c>
      <c r="D241" s="46">
        <v>54426101909</v>
      </c>
      <c r="E241" s="46">
        <v>2142103088742</v>
      </c>
      <c r="F241" s="47" t="s">
        <v>529</v>
      </c>
      <c r="G241" s="47" t="s">
        <v>519</v>
      </c>
      <c r="H241" s="47" t="s">
        <v>4</v>
      </c>
      <c r="I241" s="46" t="s">
        <v>4</v>
      </c>
      <c r="J241" s="48">
        <v>381.36</v>
      </c>
      <c r="K241" s="47" t="s">
        <v>520</v>
      </c>
      <c r="L241" s="47" t="s">
        <v>530</v>
      </c>
      <c r="M241" s="46" t="s">
        <v>522</v>
      </c>
      <c r="N241" s="47" t="s">
        <v>523</v>
      </c>
      <c r="O241" s="44" t="s">
        <v>263</v>
      </c>
      <c r="P241" s="47" t="s">
        <v>531</v>
      </c>
      <c r="Q241" s="48">
        <v>8400</v>
      </c>
      <c r="R241" s="49" t="s">
        <v>4</v>
      </c>
      <c r="S241" s="48" t="s">
        <v>4</v>
      </c>
      <c r="T241" s="47" t="s">
        <v>525</v>
      </c>
    </row>
    <row r="242" spans="1:20">
      <c r="A242" s="46">
        <v>136317195527</v>
      </c>
      <c r="B242" s="44" t="s">
        <v>517</v>
      </c>
      <c r="C242" s="45">
        <v>45998</v>
      </c>
      <c r="D242" s="46">
        <v>54426257719</v>
      </c>
      <c r="E242" s="46">
        <v>2141970488355</v>
      </c>
      <c r="F242" s="47" t="s">
        <v>518</v>
      </c>
      <c r="G242" s="47" t="s">
        <v>519</v>
      </c>
      <c r="H242" s="47" t="s">
        <v>4</v>
      </c>
      <c r="I242" s="46" t="s">
        <v>4</v>
      </c>
      <c r="J242" s="48">
        <v>1312.73</v>
      </c>
      <c r="K242" s="47" t="s">
        <v>520</v>
      </c>
      <c r="L242" s="47" t="s">
        <v>521</v>
      </c>
      <c r="M242" s="46" t="s">
        <v>522</v>
      </c>
      <c r="N242" s="47" t="s">
        <v>523</v>
      </c>
      <c r="O242" s="44" t="s">
        <v>4</v>
      </c>
      <c r="P242" s="47" t="s">
        <v>611</v>
      </c>
      <c r="Q242" s="48">
        <v>17250</v>
      </c>
      <c r="R242" s="49" t="s">
        <v>4</v>
      </c>
      <c r="S242" s="48" t="s">
        <v>4</v>
      </c>
      <c r="T242" s="47" t="s">
        <v>525</v>
      </c>
    </row>
    <row r="243" spans="1:20">
      <c r="A243" s="46">
        <v>136319101835</v>
      </c>
      <c r="B243" s="44" t="s">
        <v>517</v>
      </c>
      <c r="C243" s="45">
        <v>45998</v>
      </c>
      <c r="D243" s="46">
        <v>54427103564</v>
      </c>
      <c r="E243" s="46">
        <v>2141983443549</v>
      </c>
      <c r="F243" s="47" t="s">
        <v>518</v>
      </c>
      <c r="G243" s="47" t="s">
        <v>519</v>
      </c>
      <c r="H243" s="47" t="s">
        <v>4</v>
      </c>
      <c r="I243" s="46" t="s">
        <v>4</v>
      </c>
      <c r="J243" s="48">
        <v>93.12</v>
      </c>
      <c r="K243" s="47" t="s">
        <v>520</v>
      </c>
      <c r="L243" s="47" t="s">
        <v>521</v>
      </c>
      <c r="M243" s="46" t="s">
        <v>522</v>
      </c>
      <c r="N243" s="47" t="s">
        <v>523</v>
      </c>
      <c r="O243" s="44" t="s">
        <v>4</v>
      </c>
      <c r="P243" s="47" t="s">
        <v>612</v>
      </c>
      <c r="Q243" s="48">
        <v>9600</v>
      </c>
      <c r="R243" s="49" t="s">
        <v>4</v>
      </c>
      <c r="S243" s="48" t="s">
        <v>4</v>
      </c>
      <c r="T243" s="47" t="s">
        <v>525</v>
      </c>
    </row>
    <row r="244" spans="1:20">
      <c r="A244" s="46">
        <v>136943872826</v>
      </c>
      <c r="B244" s="44" t="s">
        <v>517</v>
      </c>
      <c r="C244" s="45">
        <v>45998</v>
      </c>
      <c r="D244" s="46">
        <v>54427141911</v>
      </c>
      <c r="E244" s="46">
        <v>2141983955293</v>
      </c>
      <c r="F244" s="47" t="s">
        <v>518</v>
      </c>
      <c r="G244" s="47" t="s">
        <v>519</v>
      </c>
      <c r="H244" s="47" t="s">
        <v>4</v>
      </c>
      <c r="I244" s="46" t="s">
        <v>4</v>
      </c>
      <c r="J244" s="48">
        <v>273.54000000000002</v>
      </c>
      <c r="K244" s="47" t="s">
        <v>520</v>
      </c>
      <c r="L244" s="47" t="s">
        <v>521</v>
      </c>
      <c r="M244" s="46" t="s">
        <v>522</v>
      </c>
      <c r="N244" s="47" t="s">
        <v>523</v>
      </c>
      <c r="O244" s="44" t="s">
        <v>4</v>
      </c>
      <c r="P244" s="47" t="s">
        <v>613</v>
      </c>
      <c r="Q244" s="48">
        <v>28200</v>
      </c>
      <c r="R244" s="49" t="s">
        <v>4</v>
      </c>
      <c r="S244" s="48" t="s">
        <v>4</v>
      </c>
      <c r="T244" s="47" t="s">
        <v>525</v>
      </c>
    </row>
    <row r="245" spans="1:20">
      <c r="A245" s="46">
        <v>136944124048</v>
      </c>
      <c r="B245" s="44" t="s">
        <v>517</v>
      </c>
      <c r="C245" s="45">
        <v>45998</v>
      </c>
      <c r="D245" s="46">
        <v>54427293862</v>
      </c>
      <c r="E245" s="46">
        <v>2141986345123</v>
      </c>
      <c r="F245" s="47" t="s">
        <v>518</v>
      </c>
      <c r="G245" s="47" t="s">
        <v>519</v>
      </c>
      <c r="H245" s="47" t="s">
        <v>4</v>
      </c>
      <c r="I245" s="46" t="s">
        <v>4</v>
      </c>
      <c r="J245" s="48">
        <v>86.33</v>
      </c>
      <c r="K245" s="47" t="s">
        <v>520</v>
      </c>
      <c r="L245" s="47" t="s">
        <v>521</v>
      </c>
      <c r="M245" s="46" t="s">
        <v>522</v>
      </c>
      <c r="N245" s="47" t="s">
        <v>523</v>
      </c>
      <c r="O245" s="44" t="s">
        <v>4</v>
      </c>
      <c r="P245" s="47" t="s">
        <v>614</v>
      </c>
      <c r="Q245" s="48">
        <v>8900</v>
      </c>
      <c r="R245" s="49" t="s">
        <v>4</v>
      </c>
      <c r="S245" s="48" t="s">
        <v>4</v>
      </c>
      <c r="T245" s="47" t="s">
        <v>525</v>
      </c>
    </row>
    <row r="246" spans="1:20">
      <c r="A246" s="46">
        <v>136319916303</v>
      </c>
      <c r="B246" s="44" t="s">
        <v>517</v>
      </c>
      <c r="C246" s="45">
        <v>45998</v>
      </c>
      <c r="D246" s="46">
        <v>54427359702</v>
      </c>
      <c r="E246" s="46">
        <v>2141987069831</v>
      </c>
      <c r="F246" s="47" t="s">
        <v>518</v>
      </c>
      <c r="G246" s="47" t="s">
        <v>519</v>
      </c>
      <c r="H246" s="47" t="s">
        <v>4</v>
      </c>
      <c r="I246" s="46" t="s">
        <v>4</v>
      </c>
      <c r="J246" s="48">
        <v>609.16</v>
      </c>
      <c r="K246" s="47" t="s">
        <v>520</v>
      </c>
      <c r="L246" s="47" t="s">
        <v>521</v>
      </c>
      <c r="M246" s="46" t="s">
        <v>522</v>
      </c>
      <c r="N246" s="47" t="s">
        <v>523</v>
      </c>
      <c r="O246" s="44" t="s">
        <v>4</v>
      </c>
      <c r="P246" s="47" t="s">
        <v>615</v>
      </c>
      <c r="Q246" s="48">
        <v>62800</v>
      </c>
      <c r="R246" s="49" t="s">
        <v>4</v>
      </c>
      <c r="S246" s="48" t="s">
        <v>4</v>
      </c>
      <c r="T246" s="47" t="s">
        <v>525</v>
      </c>
    </row>
    <row r="247" spans="1:20">
      <c r="A247" s="46">
        <v>136319893937</v>
      </c>
      <c r="B247" s="44" t="s">
        <v>517</v>
      </c>
      <c r="C247" s="45">
        <v>45998</v>
      </c>
      <c r="D247" s="46">
        <v>54427387985</v>
      </c>
      <c r="E247" s="46">
        <v>2142122814678</v>
      </c>
      <c r="F247" s="47" t="s">
        <v>529</v>
      </c>
      <c r="G247" s="47" t="s">
        <v>519</v>
      </c>
      <c r="H247" s="47" t="s">
        <v>4</v>
      </c>
      <c r="I247" s="46" t="s">
        <v>4</v>
      </c>
      <c r="J247" s="48">
        <v>8474.9599999999991</v>
      </c>
      <c r="K247" s="47" t="s">
        <v>520</v>
      </c>
      <c r="L247" s="47" t="s">
        <v>530</v>
      </c>
      <c r="M247" s="46" t="s">
        <v>522</v>
      </c>
      <c r="N247" s="47" t="s">
        <v>523</v>
      </c>
      <c r="O247" s="44" t="s">
        <v>263</v>
      </c>
      <c r="P247" s="47" t="s">
        <v>531</v>
      </c>
      <c r="Q247" s="48">
        <v>75400</v>
      </c>
      <c r="R247" s="49" t="s">
        <v>4</v>
      </c>
      <c r="S247" s="48" t="s">
        <v>4</v>
      </c>
      <c r="T247" s="47" t="s">
        <v>525</v>
      </c>
    </row>
    <row r="248" spans="1:20">
      <c r="A248" s="46">
        <v>136320927381</v>
      </c>
      <c r="B248" s="44" t="s">
        <v>517</v>
      </c>
      <c r="C248" s="45">
        <v>45998</v>
      </c>
      <c r="D248" s="46">
        <v>54427838251</v>
      </c>
      <c r="E248" s="46">
        <v>2142129777800</v>
      </c>
      <c r="F248" s="47" t="s">
        <v>529</v>
      </c>
      <c r="G248" s="47" t="s">
        <v>519</v>
      </c>
      <c r="H248" s="47" t="s">
        <v>4</v>
      </c>
      <c r="I248" s="46" t="s">
        <v>4</v>
      </c>
      <c r="J248" s="48">
        <v>1226.1600000000001</v>
      </c>
      <c r="K248" s="47" t="s">
        <v>520</v>
      </c>
      <c r="L248" s="47" t="s">
        <v>530</v>
      </c>
      <c r="M248" s="46" t="s">
        <v>522</v>
      </c>
      <c r="N248" s="47" t="s">
        <v>523</v>
      </c>
      <c r="O248" s="44" t="s">
        <v>263</v>
      </c>
      <c r="P248" s="47" t="s">
        <v>531</v>
      </c>
      <c r="Q248" s="48">
        <v>31200</v>
      </c>
      <c r="R248" s="49" t="s">
        <v>4</v>
      </c>
      <c r="S248" s="48" t="s">
        <v>4</v>
      </c>
      <c r="T248" s="47" t="s">
        <v>525</v>
      </c>
    </row>
    <row r="249" spans="1:20">
      <c r="A249" s="46">
        <v>136321148165</v>
      </c>
      <c r="B249" s="44" t="s">
        <v>517</v>
      </c>
      <c r="C249" s="45">
        <v>45998</v>
      </c>
      <c r="D249" s="46">
        <v>54427914563</v>
      </c>
      <c r="E249" s="46">
        <v>2142130834388</v>
      </c>
      <c r="F249" s="47" t="s">
        <v>518</v>
      </c>
      <c r="G249" s="47" t="s">
        <v>519</v>
      </c>
      <c r="H249" s="47" t="s">
        <v>4</v>
      </c>
      <c r="I249" s="46" t="s">
        <v>4</v>
      </c>
      <c r="J249" s="48">
        <v>93.12</v>
      </c>
      <c r="K249" s="47" t="s">
        <v>520</v>
      </c>
      <c r="L249" s="47" t="s">
        <v>521</v>
      </c>
      <c r="M249" s="46" t="s">
        <v>522</v>
      </c>
      <c r="N249" s="47" t="s">
        <v>523</v>
      </c>
      <c r="O249" s="44" t="s">
        <v>4</v>
      </c>
      <c r="P249" s="47" t="s">
        <v>616</v>
      </c>
      <c r="Q249" s="48">
        <v>9600</v>
      </c>
      <c r="R249" s="49" t="s">
        <v>4</v>
      </c>
      <c r="S249" s="48" t="s">
        <v>4</v>
      </c>
      <c r="T249" s="47" t="s">
        <v>525</v>
      </c>
    </row>
    <row r="250" spans="1:20">
      <c r="A250" s="46">
        <v>136945689714</v>
      </c>
      <c r="B250" s="44" t="s">
        <v>517</v>
      </c>
      <c r="C250" s="45">
        <v>45998</v>
      </c>
      <c r="D250" s="46">
        <v>54427920389</v>
      </c>
      <c r="E250" s="46">
        <v>2141995997725</v>
      </c>
      <c r="F250" s="47" t="s">
        <v>518</v>
      </c>
      <c r="G250" s="47" t="s">
        <v>519</v>
      </c>
      <c r="H250" s="47" t="s">
        <v>4</v>
      </c>
      <c r="I250" s="46" t="s">
        <v>4</v>
      </c>
      <c r="J250" s="48">
        <v>440.38</v>
      </c>
      <c r="K250" s="47" t="s">
        <v>520</v>
      </c>
      <c r="L250" s="47" t="s">
        <v>521</v>
      </c>
      <c r="M250" s="46" t="s">
        <v>522</v>
      </c>
      <c r="N250" s="47" t="s">
        <v>523</v>
      </c>
      <c r="O250" s="44" t="s">
        <v>4</v>
      </c>
      <c r="P250" s="47" t="s">
        <v>617</v>
      </c>
      <c r="Q250" s="48">
        <v>45400</v>
      </c>
      <c r="R250" s="49" t="s">
        <v>4</v>
      </c>
      <c r="S250" s="48" t="s">
        <v>4</v>
      </c>
      <c r="T250" s="47" t="s">
        <v>525</v>
      </c>
    </row>
    <row r="251" spans="1:20">
      <c r="A251" s="46">
        <v>136321226061</v>
      </c>
      <c r="B251" s="44" t="s">
        <v>517</v>
      </c>
      <c r="C251" s="45">
        <v>45998</v>
      </c>
      <c r="D251" s="46">
        <v>54427997912</v>
      </c>
      <c r="E251" s="46">
        <v>2141996882157</v>
      </c>
      <c r="F251" s="47" t="s">
        <v>518</v>
      </c>
      <c r="G251" s="47" t="s">
        <v>519</v>
      </c>
      <c r="H251" s="47" t="s">
        <v>4</v>
      </c>
      <c r="I251" s="46" t="s">
        <v>4</v>
      </c>
      <c r="J251" s="48">
        <v>448.14</v>
      </c>
      <c r="K251" s="47" t="s">
        <v>520</v>
      </c>
      <c r="L251" s="47" t="s">
        <v>521</v>
      </c>
      <c r="M251" s="46" t="s">
        <v>522</v>
      </c>
      <c r="N251" s="47" t="s">
        <v>523</v>
      </c>
      <c r="O251" s="44" t="s">
        <v>4</v>
      </c>
      <c r="P251" s="47" t="s">
        <v>618</v>
      </c>
      <c r="Q251" s="48">
        <v>46200</v>
      </c>
      <c r="R251" s="49" t="s">
        <v>4</v>
      </c>
      <c r="S251" s="48" t="s">
        <v>4</v>
      </c>
      <c r="T251" s="47" t="s">
        <v>525</v>
      </c>
    </row>
    <row r="252" spans="1:20">
      <c r="A252" s="46">
        <v>136946176762</v>
      </c>
      <c r="B252" s="44" t="s">
        <v>517</v>
      </c>
      <c r="C252" s="45">
        <v>45998</v>
      </c>
      <c r="D252" s="46">
        <v>54428065497</v>
      </c>
      <c r="E252" s="46">
        <v>2141998025367</v>
      </c>
      <c r="F252" s="47" t="s">
        <v>529</v>
      </c>
      <c r="G252" s="47" t="s">
        <v>519</v>
      </c>
      <c r="H252" s="47" t="s">
        <v>4</v>
      </c>
      <c r="I252" s="46" t="s">
        <v>4</v>
      </c>
      <c r="J252" s="48">
        <v>3187.23</v>
      </c>
      <c r="K252" s="47" t="s">
        <v>520</v>
      </c>
      <c r="L252" s="47" t="s">
        <v>530</v>
      </c>
      <c r="M252" s="46" t="s">
        <v>522</v>
      </c>
      <c r="N252" s="47" t="s">
        <v>523</v>
      </c>
      <c r="O252" s="44" t="s">
        <v>263</v>
      </c>
      <c r="P252" s="47" t="s">
        <v>531</v>
      </c>
      <c r="Q252" s="48">
        <v>81100</v>
      </c>
      <c r="R252" s="49" t="s">
        <v>4</v>
      </c>
      <c r="S252" s="48" t="s">
        <v>4</v>
      </c>
      <c r="T252" s="47" t="s">
        <v>525</v>
      </c>
    </row>
    <row r="253" spans="1:20">
      <c r="A253" s="46">
        <v>136946271262</v>
      </c>
      <c r="B253" s="44" t="s">
        <v>517</v>
      </c>
      <c r="C253" s="45">
        <v>45998</v>
      </c>
      <c r="D253" s="46">
        <v>54428128921</v>
      </c>
      <c r="E253" s="46">
        <v>2141999052609</v>
      </c>
      <c r="F253" s="47" t="s">
        <v>518</v>
      </c>
      <c r="G253" s="47" t="s">
        <v>519</v>
      </c>
      <c r="H253" s="47" t="s">
        <v>4</v>
      </c>
      <c r="I253" s="46" t="s">
        <v>4</v>
      </c>
      <c r="J253" s="48">
        <v>46.56</v>
      </c>
      <c r="K253" s="47" t="s">
        <v>520</v>
      </c>
      <c r="L253" s="47" t="s">
        <v>521</v>
      </c>
      <c r="M253" s="46" t="s">
        <v>522</v>
      </c>
      <c r="N253" s="47" t="s">
        <v>523</v>
      </c>
      <c r="O253" s="44" t="s">
        <v>4</v>
      </c>
      <c r="P253" s="47" t="s">
        <v>619</v>
      </c>
      <c r="Q253" s="48">
        <v>4800</v>
      </c>
      <c r="R253" s="49" t="s">
        <v>4</v>
      </c>
      <c r="S253" s="48" t="s">
        <v>4</v>
      </c>
      <c r="T253" s="47" t="s">
        <v>525</v>
      </c>
    </row>
    <row r="254" spans="1:20">
      <c r="A254" s="46">
        <v>136321853917</v>
      </c>
      <c r="B254" s="44" t="s">
        <v>517</v>
      </c>
      <c r="C254" s="45">
        <v>45998</v>
      </c>
      <c r="D254" s="46">
        <v>54428255651</v>
      </c>
      <c r="E254" s="46">
        <v>2142136061046</v>
      </c>
      <c r="F254" s="47" t="s">
        <v>529</v>
      </c>
      <c r="G254" s="47" t="s">
        <v>519</v>
      </c>
      <c r="H254" s="47" t="s">
        <v>4</v>
      </c>
      <c r="I254" s="46" t="s">
        <v>4</v>
      </c>
      <c r="J254" s="48">
        <v>1650.6</v>
      </c>
      <c r="K254" s="47" t="s">
        <v>520</v>
      </c>
      <c r="L254" s="47" t="s">
        <v>530</v>
      </c>
      <c r="M254" s="46" t="s">
        <v>522</v>
      </c>
      <c r="N254" s="47" t="s">
        <v>523</v>
      </c>
      <c r="O254" s="44" t="s">
        <v>263</v>
      </c>
      <c r="P254" s="47" t="s">
        <v>531</v>
      </c>
      <c r="Q254" s="48">
        <v>42000</v>
      </c>
      <c r="R254" s="49" t="s">
        <v>4</v>
      </c>
      <c r="S254" s="48" t="s">
        <v>4</v>
      </c>
      <c r="T254" s="47" t="s">
        <v>525</v>
      </c>
    </row>
    <row r="255" spans="1:20">
      <c r="A255" s="46">
        <v>136948433642</v>
      </c>
      <c r="B255" s="44" t="s">
        <v>517</v>
      </c>
      <c r="C255" s="45">
        <v>45998</v>
      </c>
      <c r="D255" s="46">
        <v>54429039704</v>
      </c>
      <c r="E255" s="46">
        <v>2142148881260</v>
      </c>
      <c r="F255" s="47" t="s">
        <v>518</v>
      </c>
      <c r="G255" s="47" t="s">
        <v>519</v>
      </c>
      <c r="H255" s="47" t="s">
        <v>4</v>
      </c>
      <c r="I255" s="46" t="s">
        <v>4</v>
      </c>
      <c r="J255" s="48">
        <v>294.88</v>
      </c>
      <c r="K255" s="47" t="s">
        <v>520</v>
      </c>
      <c r="L255" s="47" t="s">
        <v>521</v>
      </c>
      <c r="M255" s="46" t="s">
        <v>522</v>
      </c>
      <c r="N255" s="47" t="s">
        <v>523</v>
      </c>
      <c r="O255" s="44" t="s">
        <v>4</v>
      </c>
      <c r="P255" s="47" t="s">
        <v>620</v>
      </c>
      <c r="Q255" s="48">
        <v>30400</v>
      </c>
      <c r="R255" s="49" t="s">
        <v>4</v>
      </c>
      <c r="S255" s="48" t="s">
        <v>4</v>
      </c>
      <c r="T255" s="47" t="s">
        <v>525</v>
      </c>
    </row>
    <row r="256" spans="1:20">
      <c r="A256" s="46">
        <v>136324281207</v>
      </c>
      <c r="B256" s="44" t="s">
        <v>517</v>
      </c>
      <c r="C256" s="45">
        <v>45998</v>
      </c>
      <c r="D256" s="46">
        <v>54429254463</v>
      </c>
      <c r="E256" s="46">
        <v>2142016473513</v>
      </c>
      <c r="F256" s="47" t="s">
        <v>529</v>
      </c>
      <c r="G256" s="47" t="s">
        <v>519</v>
      </c>
      <c r="H256" s="47" t="s">
        <v>4</v>
      </c>
      <c r="I256" s="46" t="s">
        <v>4</v>
      </c>
      <c r="J256" s="48">
        <v>1560.21</v>
      </c>
      <c r="K256" s="47" t="s">
        <v>520</v>
      </c>
      <c r="L256" s="47" t="s">
        <v>530</v>
      </c>
      <c r="M256" s="46" t="s">
        <v>522</v>
      </c>
      <c r="N256" s="47" t="s">
        <v>523</v>
      </c>
      <c r="O256" s="44" t="s">
        <v>263</v>
      </c>
      <c r="P256" s="47" t="s">
        <v>531</v>
      </c>
      <c r="Q256" s="48">
        <v>39700</v>
      </c>
      <c r="R256" s="49" t="s">
        <v>4</v>
      </c>
      <c r="S256" s="48" t="s">
        <v>4</v>
      </c>
      <c r="T256" s="47" t="s">
        <v>525</v>
      </c>
    </row>
    <row r="257" spans="1:20">
      <c r="A257" s="46">
        <v>136324541637</v>
      </c>
      <c r="B257" s="44" t="s">
        <v>517</v>
      </c>
      <c r="C257" s="45">
        <v>45998</v>
      </c>
      <c r="D257" s="46">
        <v>54429358990</v>
      </c>
      <c r="E257" s="46">
        <v>2142153538770</v>
      </c>
      <c r="F257" s="47" t="s">
        <v>529</v>
      </c>
      <c r="G257" s="47" t="s">
        <v>519</v>
      </c>
      <c r="H257" s="47" t="s">
        <v>4</v>
      </c>
      <c r="I257" s="46" t="s">
        <v>4</v>
      </c>
      <c r="J257" s="48">
        <v>1509.12</v>
      </c>
      <c r="K257" s="47" t="s">
        <v>520</v>
      </c>
      <c r="L257" s="47" t="s">
        <v>530</v>
      </c>
      <c r="M257" s="46" t="s">
        <v>522</v>
      </c>
      <c r="N257" s="47" t="s">
        <v>523</v>
      </c>
      <c r="O257" s="44" t="s">
        <v>263</v>
      </c>
      <c r="P257" s="47" t="s">
        <v>531</v>
      </c>
      <c r="Q257" s="48">
        <v>38400</v>
      </c>
      <c r="R257" s="49" t="s">
        <v>4</v>
      </c>
      <c r="S257" s="48" t="s">
        <v>4</v>
      </c>
      <c r="T257" s="47" t="s">
        <v>525</v>
      </c>
    </row>
    <row r="258" spans="1:20">
      <c r="A258" s="46">
        <v>136324797799</v>
      </c>
      <c r="B258" s="44" t="s">
        <v>517</v>
      </c>
      <c r="C258" s="45">
        <v>45998</v>
      </c>
      <c r="D258" s="46">
        <v>54429453046</v>
      </c>
      <c r="E258" s="46">
        <v>2142020071231</v>
      </c>
      <c r="F258" s="47" t="s">
        <v>529</v>
      </c>
      <c r="G258" s="47" t="s">
        <v>519</v>
      </c>
      <c r="H258" s="47" t="s">
        <v>4</v>
      </c>
      <c r="I258" s="46" t="s">
        <v>4</v>
      </c>
      <c r="J258" s="48">
        <v>3066.83</v>
      </c>
      <c r="K258" s="47" t="s">
        <v>520</v>
      </c>
      <c r="L258" s="47" t="s">
        <v>530</v>
      </c>
      <c r="M258" s="46" t="s">
        <v>522</v>
      </c>
      <c r="N258" s="47" t="s">
        <v>523</v>
      </c>
      <c r="O258" s="44" t="s">
        <v>263</v>
      </c>
      <c r="P258" s="47" t="s">
        <v>531</v>
      </c>
      <c r="Q258" s="48">
        <v>40300</v>
      </c>
      <c r="R258" s="49" t="s">
        <v>4</v>
      </c>
      <c r="S258" s="48" t="s">
        <v>4</v>
      </c>
      <c r="T258" s="47" t="s">
        <v>525</v>
      </c>
    </row>
    <row r="259" spans="1:20">
      <c r="A259" s="46">
        <v>136325278171</v>
      </c>
      <c r="B259" s="44" t="s">
        <v>517</v>
      </c>
      <c r="C259" s="45">
        <v>45998</v>
      </c>
      <c r="D259" s="46">
        <v>54429586415</v>
      </c>
      <c r="E259" s="46">
        <v>2142022164697</v>
      </c>
      <c r="F259" s="47" t="s">
        <v>529</v>
      </c>
      <c r="G259" s="47" t="s">
        <v>519</v>
      </c>
      <c r="H259" s="47" t="s">
        <v>4</v>
      </c>
      <c r="I259" s="46" t="s">
        <v>4</v>
      </c>
      <c r="J259" s="48">
        <v>385.14</v>
      </c>
      <c r="K259" s="47" t="s">
        <v>520</v>
      </c>
      <c r="L259" s="47" t="s">
        <v>530</v>
      </c>
      <c r="M259" s="46" t="s">
        <v>522</v>
      </c>
      <c r="N259" s="47" t="s">
        <v>523</v>
      </c>
      <c r="O259" s="44" t="s">
        <v>263</v>
      </c>
      <c r="P259" s="47" t="s">
        <v>531</v>
      </c>
      <c r="Q259" s="48">
        <v>9800</v>
      </c>
      <c r="R259" s="49" t="s">
        <v>4</v>
      </c>
      <c r="S259" s="48" t="s">
        <v>4</v>
      </c>
      <c r="T259" s="47" t="s">
        <v>525</v>
      </c>
    </row>
    <row r="260" spans="1:20">
      <c r="A260" s="46">
        <v>136950108244</v>
      </c>
      <c r="B260" s="44" t="s">
        <v>517</v>
      </c>
      <c r="C260" s="45">
        <v>45998</v>
      </c>
      <c r="D260" s="46">
        <v>54429700710</v>
      </c>
      <c r="E260" s="46">
        <v>2142023974249</v>
      </c>
      <c r="F260" s="47" t="s">
        <v>518</v>
      </c>
      <c r="G260" s="47" t="s">
        <v>519</v>
      </c>
      <c r="H260" s="47" t="s">
        <v>4</v>
      </c>
      <c r="I260" s="46" t="s">
        <v>4</v>
      </c>
      <c r="J260" s="48">
        <v>99.91</v>
      </c>
      <c r="K260" s="47" t="s">
        <v>520</v>
      </c>
      <c r="L260" s="47" t="s">
        <v>521</v>
      </c>
      <c r="M260" s="46" t="s">
        <v>522</v>
      </c>
      <c r="N260" s="47" t="s">
        <v>523</v>
      </c>
      <c r="O260" s="44" t="s">
        <v>4</v>
      </c>
      <c r="P260" s="47" t="s">
        <v>621</v>
      </c>
      <c r="Q260" s="48">
        <v>10300</v>
      </c>
      <c r="R260" s="49" t="s">
        <v>4</v>
      </c>
      <c r="S260" s="48" t="s">
        <v>4</v>
      </c>
      <c r="T260" s="47" t="s">
        <v>525</v>
      </c>
    </row>
    <row r="261" spans="1:20">
      <c r="A261" s="46">
        <v>136326087677</v>
      </c>
      <c r="B261" s="44" t="s">
        <v>517</v>
      </c>
      <c r="C261" s="45">
        <v>45998</v>
      </c>
      <c r="D261" s="46">
        <v>54429954971</v>
      </c>
      <c r="E261" s="46">
        <v>2142162559602</v>
      </c>
      <c r="F261" s="47" t="s">
        <v>518</v>
      </c>
      <c r="G261" s="47" t="s">
        <v>519</v>
      </c>
      <c r="H261" s="47" t="s">
        <v>4</v>
      </c>
      <c r="I261" s="46" t="s">
        <v>4</v>
      </c>
      <c r="J261" s="48">
        <v>361.81</v>
      </c>
      <c r="K261" s="47" t="s">
        <v>520</v>
      </c>
      <c r="L261" s="47" t="s">
        <v>521</v>
      </c>
      <c r="M261" s="46" t="s">
        <v>522</v>
      </c>
      <c r="N261" s="47" t="s">
        <v>523</v>
      </c>
      <c r="O261" s="44" t="s">
        <v>4</v>
      </c>
      <c r="P261" s="47" t="s">
        <v>622</v>
      </c>
      <c r="Q261" s="48">
        <v>37300</v>
      </c>
      <c r="R261" s="49" t="s">
        <v>4</v>
      </c>
      <c r="S261" s="48" t="s">
        <v>4</v>
      </c>
      <c r="T261" s="47" t="s">
        <v>525</v>
      </c>
    </row>
    <row r="262" spans="1:20">
      <c r="A262" s="46">
        <v>136326212539</v>
      </c>
      <c r="B262" s="44" t="s">
        <v>517</v>
      </c>
      <c r="C262" s="45">
        <v>45998</v>
      </c>
      <c r="D262" s="46">
        <v>54429961663</v>
      </c>
      <c r="E262" s="46">
        <v>2142162983878</v>
      </c>
      <c r="F262" s="47" t="s">
        <v>529</v>
      </c>
      <c r="G262" s="47" t="s">
        <v>519</v>
      </c>
      <c r="H262" s="47" t="s">
        <v>4</v>
      </c>
      <c r="I262" s="46" t="s">
        <v>4</v>
      </c>
      <c r="J262" s="48">
        <v>1375.5</v>
      </c>
      <c r="K262" s="47" t="s">
        <v>520</v>
      </c>
      <c r="L262" s="47" t="s">
        <v>530</v>
      </c>
      <c r="M262" s="46" t="s">
        <v>522</v>
      </c>
      <c r="N262" s="47" t="s">
        <v>523</v>
      </c>
      <c r="O262" s="44" t="s">
        <v>263</v>
      </c>
      <c r="P262" s="47" t="s">
        <v>531</v>
      </c>
      <c r="Q262" s="48">
        <v>35000</v>
      </c>
      <c r="R262" s="49" t="s">
        <v>4</v>
      </c>
      <c r="S262" s="48" t="s">
        <v>4</v>
      </c>
      <c r="T262" s="47" t="s">
        <v>525</v>
      </c>
    </row>
    <row r="263" spans="1:20">
      <c r="A263" s="46">
        <v>136950669354</v>
      </c>
      <c r="B263" s="44" t="s">
        <v>517</v>
      </c>
      <c r="C263" s="45">
        <v>45998</v>
      </c>
      <c r="D263" s="46">
        <v>54429979200</v>
      </c>
      <c r="E263" s="46">
        <v>2142028108617</v>
      </c>
      <c r="F263" s="47" t="s">
        <v>529</v>
      </c>
      <c r="G263" s="47" t="s">
        <v>519</v>
      </c>
      <c r="H263" s="47" t="s">
        <v>4</v>
      </c>
      <c r="I263" s="46" t="s">
        <v>4</v>
      </c>
      <c r="J263" s="48">
        <v>1438.38</v>
      </c>
      <c r="K263" s="47" t="s">
        <v>520</v>
      </c>
      <c r="L263" s="47" t="s">
        <v>530</v>
      </c>
      <c r="M263" s="46" t="s">
        <v>522</v>
      </c>
      <c r="N263" s="47" t="s">
        <v>523</v>
      </c>
      <c r="O263" s="44" t="s">
        <v>263</v>
      </c>
      <c r="P263" s="47" t="s">
        <v>531</v>
      </c>
      <c r="Q263" s="48">
        <v>36600</v>
      </c>
      <c r="R263" s="49" t="s">
        <v>4</v>
      </c>
      <c r="S263" s="48" t="s">
        <v>4</v>
      </c>
      <c r="T263" s="47" t="s">
        <v>525</v>
      </c>
    </row>
    <row r="264" spans="1:20">
      <c r="A264" s="46">
        <v>136951233398</v>
      </c>
      <c r="B264" s="44" t="s">
        <v>517</v>
      </c>
      <c r="C264" s="45">
        <v>45998</v>
      </c>
      <c r="D264" s="46">
        <v>54430161841</v>
      </c>
      <c r="E264" s="46">
        <v>2142166315164</v>
      </c>
      <c r="F264" s="47" t="s">
        <v>518</v>
      </c>
      <c r="G264" s="47" t="s">
        <v>519</v>
      </c>
      <c r="H264" s="47" t="s">
        <v>4</v>
      </c>
      <c r="I264" s="46" t="s">
        <v>4</v>
      </c>
      <c r="J264" s="48">
        <v>592.66999999999996</v>
      </c>
      <c r="K264" s="47" t="s">
        <v>520</v>
      </c>
      <c r="L264" s="47" t="s">
        <v>521</v>
      </c>
      <c r="M264" s="46" t="s">
        <v>522</v>
      </c>
      <c r="N264" s="47" t="s">
        <v>523</v>
      </c>
      <c r="O264" s="44" t="s">
        <v>4</v>
      </c>
      <c r="P264" s="47" t="s">
        <v>623</v>
      </c>
      <c r="Q264" s="48">
        <v>61100</v>
      </c>
      <c r="R264" s="49" t="s">
        <v>4</v>
      </c>
      <c r="S264" s="48" t="s">
        <v>4</v>
      </c>
      <c r="T264" s="47" t="s">
        <v>525</v>
      </c>
    </row>
    <row r="265" spans="1:20">
      <c r="A265" s="46">
        <v>136326731001</v>
      </c>
      <c r="B265" s="44" t="s">
        <v>517</v>
      </c>
      <c r="C265" s="45">
        <v>45998</v>
      </c>
      <c r="D265" s="46">
        <v>54430236043</v>
      </c>
      <c r="E265" s="46">
        <v>2142032167073</v>
      </c>
      <c r="F265" s="47" t="s">
        <v>526</v>
      </c>
      <c r="G265" s="47" t="s">
        <v>519</v>
      </c>
      <c r="H265" s="47" t="s">
        <v>4</v>
      </c>
      <c r="I265" s="46" t="s">
        <v>4</v>
      </c>
      <c r="J265" s="48">
        <v>115.43</v>
      </c>
      <c r="K265" s="47" t="s">
        <v>520</v>
      </c>
      <c r="L265" s="47" t="s">
        <v>521</v>
      </c>
      <c r="M265" s="46" t="s">
        <v>522</v>
      </c>
      <c r="N265" s="47" t="s">
        <v>523</v>
      </c>
      <c r="O265" s="44" t="s">
        <v>4</v>
      </c>
      <c r="P265" s="47" t="s">
        <v>527</v>
      </c>
      <c r="Q265" s="48">
        <v>11900</v>
      </c>
      <c r="R265" s="49" t="s">
        <v>4</v>
      </c>
      <c r="S265" s="48" t="s">
        <v>4</v>
      </c>
      <c r="T265" s="47" t="s">
        <v>4</v>
      </c>
    </row>
    <row r="266" spans="1:20">
      <c r="A266" s="46">
        <v>136951857762</v>
      </c>
      <c r="B266" s="44" t="s">
        <v>517</v>
      </c>
      <c r="C266" s="45">
        <v>45998</v>
      </c>
      <c r="D266" s="46">
        <v>54430392019</v>
      </c>
      <c r="E266" s="46">
        <v>2142170062616</v>
      </c>
      <c r="F266" s="47" t="s">
        <v>562</v>
      </c>
      <c r="G266" s="47" t="s">
        <v>519</v>
      </c>
      <c r="H266" s="47" t="s">
        <v>4</v>
      </c>
      <c r="I266" s="46" t="s">
        <v>4</v>
      </c>
      <c r="J266" s="48">
        <v>661.78</v>
      </c>
      <c r="K266" s="47" t="s">
        <v>520</v>
      </c>
      <c r="L266" s="47" t="s">
        <v>521</v>
      </c>
      <c r="M266" s="46" t="s">
        <v>522</v>
      </c>
      <c r="N266" s="47" t="s">
        <v>523</v>
      </c>
      <c r="O266" s="44" t="s">
        <v>4</v>
      </c>
      <c r="P266" s="47" t="s">
        <v>563</v>
      </c>
      <c r="Q266" s="48">
        <v>40600</v>
      </c>
      <c r="R266" s="49" t="s">
        <v>4</v>
      </c>
      <c r="S266" s="48" t="s">
        <v>4</v>
      </c>
      <c r="T266" s="47" t="s">
        <v>525</v>
      </c>
    </row>
    <row r="267" spans="1:20">
      <c r="A267" s="46">
        <v>136327286571</v>
      </c>
      <c r="B267" s="44" t="s">
        <v>517</v>
      </c>
      <c r="C267" s="45">
        <v>45998</v>
      </c>
      <c r="D267" s="46">
        <v>54430442912</v>
      </c>
      <c r="E267" s="46">
        <v>2142035688739</v>
      </c>
      <c r="F267" s="47" t="s">
        <v>518</v>
      </c>
      <c r="G267" s="47" t="s">
        <v>519</v>
      </c>
      <c r="H267" s="47" t="s">
        <v>4</v>
      </c>
      <c r="I267" s="46" t="s">
        <v>4</v>
      </c>
      <c r="J267" s="48">
        <v>193.03</v>
      </c>
      <c r="K267" s="47" t="s">
        <v>520</v>
      </c>
      <c r="L267" s="47" t="s">
        <v>521</v>
      </c>
      <c r="M267" s="46" t="s">
        <v>522</v>
      </c>
      <c r="N267" s="47" t="s">
        <v>523</v>
      </c>
      <c r="O267" s="44" t="s">
        <v>4</v>
      </c>
      <c r="P267" s="47" t="s">
        <v>624</v>
      </c>
      <c r="Q267" s="48">
        <v>19900</v>
      </c>
      <c r="R267" s="49" t="s">
        <v>4</v>
      </c>
      <c r="S267" s="48" t="s">
        <v>4</v>
      </c>
      <c r="T267" s="47" t="s">
        <v>525</v>
      </c>
    </row>
    <row r="268" spans="1:20">
      <c r="A268" s="46">
        <v>136952258442</v>
      </c>
      <c r="B268" s="44" t="s">
        <v>517</v>
      </c>
      <c r="C268" s="45">
        <v>45998</v>
      </c>
      <c r="D268" s="46">
        <v>54430584935</v>
      </c>
      <c r="E268" s="46">
        <v>2142172345774</v>
      </c>
      <c r="F268" s="47" t="s">
        <v>518</v>
      </c>
      <c r="G268" s="47" t="s">
        <v>519</v>
      </c>
      <c r="H268" s="47" t="s">
        <v>4</v>
      </c>
      <c r="I268" s="46" t="s">
        <v>4</v>
      </c>
      <c r="J268" s="48">
        <v>473.36</v>
      </c>
      <c r="K268" s="47" t="s">
        <v>520</v>
      </c>
      <c r="L268" s="47" t="s">
        <v>521</v>
      </c>
      <c r="M268" s="46" t="s">
        <v>522</v>
      </c>
      <c r="N268" s="47" t="s">
        <v>523</v>
      </c>
      <c r="O268" s="44" t="s">
        <v>4</v>
      </c>
      <c r="P268" s="47" t="s">
        <v>625</v>
      </c>
      <c r="Q268" s="48">
        <v>48800</v>
      </c>
      <c r="R268" s="49" t="s">
        <v>4</v>
      </c>
      <c r="S268" s="48" t="s">
        <v>4</v>
      </c>
      <c r="T268" s="47" t="s">
        <v>525</v>
      </c>
    </row>
    <row r="269" spans="1:20">
      <c r="A269" s="46">
        <v>136952289620</v>
      </c>
      <c r="B269" s="44" t="s">
        <v>517</v>
      </c>
      <c r="C269" s="45">
        <v>45998</v>
      </c>
      <c r="D269" s="46">
        <v>54430619949</v>
      </c>
      <c r="E269" s="46">
        <v>2142038097535</v>
      </c>
      <c r="F269" s="47" t="s">
        <v>518</v>
      </c>
      <c r="G269" s="47" t="s">
        <v>519</v>
      </c>
      <c r="H269" s="47" t="s">
        <v>4</v>
      </c>
      <c r="I269" s="46" t="s">
        <v>4</v>
      </c>
      <c r="J269" s="48">
        <v>47.53</v>
      </c>
      <c r="K269" s="47" t="s">
        <v>520</v>
      </c>
      <c r="L269" s="47" t="s">
        <v>521</v>
      </c>
      <c r="M269" s="46" t="s">
        <v>522</v>
      </c>
      <c r="N269" s="47" t="s">
        <v>523</v>
      </c>
      <c r="O269" s="44" t="s">
        <v>4</v>
      </c>
      <c r="P269" s="47" t="s">
        <v>626</v>
      </c>
      <c r="Q269" s="48">
        <v>4900</v>
      </c>
      <c r="R269" s="49" t="s">
        <v>4</v>
      </c>
      <c r="S269" s="48" t="s">
        <v>4</v>
      </c>
      <c r="T269" s="47" t="s">
        <v>525</v>
      </c>
    </row>
    <row r="270" spans="1:20">
      <c r="A270" s="46">
        <v>136328449873</v>
      </c>
      <c r="B270" s="44" t="s">
        <v>517</v>
      </c>
      <c r="C270" s="45">
        <v>45998</v>
      </c>
      <c r="D270" s="46">
        <v>54430940006</v>
      </c>
      <c r="E270" s="46">
        <v>2142043107931</v>
      </c>
      <c r="F270" s="47" t="s">
        <v>518</v>
      </c>
      <c r="G270" s="47" t="s">
        <v>519</v>
      </c>
      <c r="H270" s="47" t="s">
        <v>4</v>
      </c>
      <c r="I270" s="46" t="s">
        <v>4</v>
      </c>
      <c r="J270" s="48">
        <v>1407.47</v>
      </c>
      <c r="K270" s="47" t="s">
        <v>520</v>
      </c>
      <c r="L270" s="47" t="s">
        <v>521</v>
      </c>
      <c r="M270" s="46" t="s">
        <v>522</v>
      </c>
      <c r="N270" s="47" t="s">
        <v>523</v>
      </c>
      <c r="O270" s="44" t="s">
        <v>4</v>
      </c>
      <c r="P270" s="47" t="s">
        <v>627</v>
      </c>
      <c r="Q270" s="48">
        <v>145100</v>
      </c>
      <c r="R270" s="49" t="s">
        <v>4</v>
      </c>
      <c r="S270" s="48" t="s">
        <v>4</v>
      </c>
      <c r="T270" s="47" t="s">
        <v>525</v>
      </c>
    </row>
    <row r="271" spans="1:20">
      <c r="A271" s="46">
        <v>136328990057</v>
      </c>
      <c r="B271" s="44" t="s">
        <v>517</v>
      </c>
      <c r="C271" s="45">
        <v>45998</v>
      </c>
      <c r="D271" s="46">
        <v>54431219101</v>
      </c>
      <c r="E271" s="46">
        <v>2142047174397</v>
      </c>
      <c r="F271" s="47" t="s">
        <v>529</v>
      </c>
      <c r="G271" s="47" t="s">
        <v>519</v>
      </c>
      <c r="H271" s="47" t="s">
        <v>4</v>
      </c>
      <c r="I271" s="46" t="s">
        <v>4</v>
      </c>
      <c r="J271" s="48">
        <v>2228.31</v>
      </c>
      <c r="K271" s="47" t="s">
        <v>520</v>
      </c>
      <c r="L271" s="47" t="s">
        <v>530</v>
      </c>
      <c r="M271" s="46" t="s">
        <v>522</v>
      </c>
      <c r="N271" s="47" t="s">
        <v>523</v>
      </c>
      <c r="O271" s="44" t="s">
        <v>263</v>
      </c>
      <c r="P271" s="47" t="s">
        <v>531</v>
      </c>
      <c r="Q271" s="48">
        <v>56700</v>
      </c>
      <c r="R271" s="49" t="s">
        <v>4</v>
      </c>
      <c r="S271" s="48" t="s">
        <v>4</v>
      </c>
      <c r="T271" s="47" t="s">
        <v>525</v>
      </c>
    </row>
    <row r="272" spans="1:20">
      <c r="A272" s="46">
        <v>136953884316</v>
      </c>
      <c r="B272" s="44" t="s">
        <v>517</v>
      </c>
      <c r="C272" s="45">
        <v>45998</v>
      </c>
      <c r="D272" s="46">
        <v>54431226200</v>
      </c>
      <c r="E272" s="46">
        <v>2142047415507</v>
      </c>
      <c r="F272" s="47" t="s">
        <v>529</v>
      </c>
      <c r="G272" s="47" t="s">
        <v>519</v>
      </c>
      <c r="H272" s="47" t="s">
        <v>4</v>
      </c>
      <c r="I272" s="46" t="s">
        <v>4</v>
      </c>
      <c r="J272" s="48">
        <v>1886.4</v>
      </c>
      <c r="K272" s="47" t="s">
        <v>520</v>
      </c>
      <c r="L272" s="47" t="s">
        <v>530</v>
      </c>
      <c r="M272" s="46" t="s">
        <v>522</v>
      </c>
      <c r="N272" s="47" t="s">
        <v>523</v>
      </c>
      <c r="O272" s="44" t="s">
        <v>263</v>
      </c>
      <c r="P272" s="47" t="s">
        <v>531</v>
      </c>
      <c r="Q272" s="48">
        <v>48000</v>
      </c>
      <c r="R272" s="49" t="s">
        <v>4</v>
      </c>
      <c r="S272" s="48" t="s">
        <v>4</v>
      </c>
      <c r="T272" s="47" t="s">
        <v>525</v>
      </c>
    </row>
    <row r="273" spans="1:20">
      <c r="A273" s="46">
        <v>136329284763</v>
      </c>
      <c r="B273" s="44" t="s">
        <v>517</v>
      </c>
      <c r="C273" s="45">
        <v>45998</v>
      </c>
      <c r="D273" s="46">
        <v>54431303345</v>
      </c>
      <c r="E273" s="46">
        <v>2142183612912</v>
      </c>
      <c r="F273" s="47" t="s">
        <v>518</v>
      </c>
      <c r="G273" s="47" t="s">
        <v>519</v>
      </c>
      <c r="H273" s="47" t="s">
        <v>4</v>
      </c>
      <c r="I273" s="46" t="s">
        <v>4</v>
      </c>
      <c r="J273" s="48">
        <v>327.86</v>
      </c>
      <c r="K273" s="47" t="s">
        <v>520</v>
      </c>
      <c r="L273" s="47" t="s">
        <v>521</v>
      </c>
      <c r="M273" s="46" t="s">
        <v>522</v>
      </c>
      <c r="N273" s="47" t="s">
        <v>523</v>
      </c>
      <c r="O273" s="44" t="s">
        <v>4</v>
      </c>
      <c r="P273" s="47" t="s">
        <v>628</v>
      </c>
      <c r="Q273" s="48">
        <v>33800</v>
      </c>
      <c r="R273" s="49" t="s">
        <v>4</v>
      </c>
      <c r="S273" s="48" t="s">
        <v>4</v>
      </c>
      <c r="T273" s="47" t="s">
        <v>525</v>
      </c>
    </row>
    <row r="274" spans="1:20">
      <c r="A274" s="46">
        <v>136954494152</v>
      </c>
      <c r="B274" s="44" t="s">
        <v>517</v>
      </c>
      <c r="C274" s="45">
        <v>45999</v>
      </c>
      <c r="D274" s="46">
        <v>54431546026</v>
      </c>
      <c r="E274" s="46">
        <v>2142051529153</v>
      </c>
      <c r="F274" s="47" t="s">
        <v>529</v>
      </c>
      <c r="G274" s="47" t="s">
        <v>519</v>
      </c>
      <c r="H274" s="47" t="s">
        <v>4</v>
      </c>
      <c r="I274" s="46" t="s">
        <v>4</v>
      </c>
      <c r="J274" s="48">
        <v>1131.8399999999999</v>
      </c>
      <c r="K274" s="47" t="s">
        <v>520</v>
      </c>
      <c r="L274" s="47" t="s">
        <v>530</v>
      </c>
      <c r="M274" s="46" t="s">
        <v>522</v>
      </c>
      <c r="N274" s="47" t="s">
        <v>523</v>
      </c>
      <c r="O274" s="44" t="s">
        <v>263</v>
      </c>
      <c r="P274" s="47" t="s">
        <v>531</v>
      </c>
      <c r="Q274" s="48">
        <v>28800</v>
      </c>
      <c r="R274" s="49" t="s">
        <v>4</v>
      </c>
      <c r="S274" s="48" t="s">
        <v>4</v>
      </c>
      <c r="T274" s="47" t="s">
        <v>525</v>
      </c>
    </row>
    <row r="275" spans="1:20">
      <c r="A275" s="46">
        <v>136330599489</v>
      </c>
      <c r="B275" s="44" t="s">
        <v>517</v>
      </c>
      <c r="C275" s="45">
        <v>45999</v>
      </c>
      <c r="D275" s="46">
        <v>54431794215</v>
      </c>
      <c r="E275" s="46">
        <v>2142056138037</v>
      </c>
      <c r="F275" s="47" t="s">
        <v>518</v>
      </c>
      <c r="G275" s="47" t="s">
        <v>519</v>
      </c>
      <c r="H275" s="47" t="s">
        <v>4</v>
      </c>
      <c r="I275" s="46" t="s">
        <v>4</v>
      </c>
      <c r="J275" s="48">
        <v>736.23</v>
      </c>
      <c r="K275" s="47" t="s">
        <v>520</v>
      </c>
      <c r="L275" s="47" t="s">
        <v>521</v>
      </c>
      <c r="M275" s="46" t="s">
        <v>522</v>
      </c>
      <c r="N275" s="47" t="s">
        <v>523</v>
      </c>
      <c r="O275" s="44" t="s">
        <v>4</v>
      </c>
      <c r="P275" s="47" t="s">
        <v>629</v>
      </c>
      <c r="Q275" s="48">
        <v>75900</v>
      </c>
      <c r="R275" s="49" t="s">
        <v>4</v>
      </c>
      <c r="S275" s="48" t="s">
        <v>4</v>
      </c>
      <c r="T275" s="47" t="s">
        <v>525</v>
      </c>
    </row>
    <row r="276" spans="1:20">
      <c r="A276" s="46">
        <v>136330605015</v>
      </c>
      <c r="B276" s="44" t="s">
        <v>517</v>
      </c>
      <c r="C276" s="45">
        <v>45999</v>
      </c>
      <c r="D276" s="46">
        <v>54431811629</v>
      </c>
      <c r="E276" s="46">
        <v>2142055949293</v>
      </c>
      <c r="F276" s="47" t="s">
        <v>529</v>
      </c>
      <c r="G276" s="47" t="s">
        <v>519</v>
      </c>
      <c r="H276" s="47" t="s">
        <v>4</v>
      </c>
      <c r="I276" s="46" t="s">
        <v>4</v>
      </c>
      <c r="J276" s="48">
        <v>894.38</v>
      </c>
      <c r="K276" s="47" t="s">
        <v>520</v>
      </c>
      <c r="L276" s="47" t="s">
        <v>530</v>
      </c>
      <c r="M276" s="46" t="s">
        <v>522</v>
      </c>
      <c r="N276" s="47" t="s">
        <v>523</v>
      </c>
      <c r="O276" s="44" t="s">
        <v>263</v>
      </c>
      <c r="P276" s="47" t="s">
        <v>531</v>
      </c>
      <c r="Q276" s="48">
        <v>19700</v>
      </c>
      <c r="R276" s="49" t="s">
        <v>4</v>
      </c>
      <c r="S276" s="48" t="s">
        <v>4</v>
      </c>
      <c r="T276" s="47" t="s">
        <v>525</v>
      </c>
    </row>
    <row r="277" spans="1:20">
      <c r="A277" s="46">
        <v>136330783263</v>
      </c>
      <c r="B277" s="44" t="s">
        <v>517</v>
      </c>
      <c r="C277" s="45">
        <v>45999</v>
      </c>
      <c r="D277" s="46">
        <v>54431910676</v>
      </c>
      <c r="E277" s="46">
        <v>2142192512026</v>
      </c>
      <c r="F277" s="47" t="s">
        <v>529</v>
      </c>
      <c r="G277" s="47" t="s">
        <v>519</v>
      </c>
      <c r="H277" s="47" t="s">
        <v>4</v>
      </c>
      <c r="I277" s="46" t="s">
        <v>4</v>
      </c>
      <c r="J277" s="48">
        <v>432.3</v>
      </c>
      <c r="K277" s="47" t="s">
        <v>520</v>
      </c>
      <c r="L277" s="47" t="s">
        <v>530</v>
      </c>
      <c r="M277" s="46" t="s">
        <v>522</v>
      </c>
      <c r="N277" s="47" t="s">
        <v>523</v>
      </c>
      <c r="O277" s="44" t="s">
        <v>263</v>
      </c>
      <c r="P277" s="47" t="s">
        <v>531</v>
      </c>
      <c r="Q277" s="48">
        <v>11000</v>
      </c>
      <c r="R277" s="49" t="s">
        <v>4</v>
      </c>
      <c r="S277" s="48" t="s">
        <v>4</v>
      </c>
      <c r="T277" s="47" t="s">
        <v>525</v>
      </c>
    </row>
    <row r="278" spans="1:20">
      <c r="A278" s="46">
        <v>136330964239</v>
      </c>
      <c r="B278" s="44" t="s">
        <v>517</v>
      </c>
      <c r="C278" s="45">
        <v>45999</v>
      </c>
      <c r="D278" s="46">
        <v>54431961895</v>
      </c>
      <c r="E278" s="46">
        <v>2142058784881</v>
      </c>
      <c r="F278" s="47" t="s">
        <v>518</v>
      </c>
      <c r="G278" s="47" t="s">
        <v>519</v>
      </c>
      <c r="H278" s="47" t="s">
        <v>4</v>
      </c>
      <c r="I278" s="46" t="s">
        <v>4</v>
      </c>
      <c r="J278" s="48">
        <v>576.17999999999995</v>
      </c>
      <c r="K278" s="47" t="s">
        <v>520</v>
      </c>
      <c r="L278" s="47" t="s">
        <v>521</v>
      </c>
      <c r="M278" s="46" t="s">
        <v>522</v>
      </c>
      <c r="N278" s="47" t="s">
        <v>523</v>
      </c>
      <c r="O278" s="44" t="s">
        <v>4</v>
      </c>
      <c r="P278" s="47" t="s">
        <v>630</v>
      </c>
      <c r="Q278" s="48">
        <v>59400</v>
      </c>
      <c r="R278" s="49" t="s">
        <v>4</v>
      </c>
      <c r="S278" s="48" t="s">
        <v>4</v>
      </c>
      <c r="T278" s="47" t="s">
        <v>525</v>
      </c>
    </row>
    <row r="279" spans="1:20">
      <c r="A279" s="46">
        <v>136955923120</v>
      </c>
      <c r="B279" s="44" t="s">
        <v>517</v>
      </c>
      <c r="C279" s="45">
        <v>45999</v>
      </c>
      <c r="D279" s="46">
        <v>54432097238</v>
      </c>
      <c r="E279" s="46">
        <v>2142195739358</v>
      </c>
      <c r="F279" s="47" t="s">
        <v>562</v>
      </c>
      <c r="G279" s="47" t="s">
        <v>519</v>
      </c>
      <c r="H279" s="47" t="s">
        <v>4</v>
      </c>
      <c r="I279" s="46" t="s">
        <v>4</v>
      </c>
      <c r="J279" s="48">
        <v>722.95</v>
      </c>
      <c r="K279" s="47" t="s">
        <v>520</v>
      </c>
      <c r="L279" s="47" t="s">
        <v>521</v>
      </c>
      <c r="M279" s="46" t="s">
        <v>522</v>
      </c>
      <c r="N279" s="47" t="s">
        <v>523</v>
      </c>
      <c r="O279" s="44" t="s">
        <v>4</v>
      </c>
      <c r="P279" s="47" t="s">
        <v>563</v>
      </c>
      <c r="Q279" s="48">
        <v>9500</v>
      </c>
      <c r="R279" s="49" t="s">
        <v>4</v>
      </c>
      <c r="S279" s="48" t="s">
        <v>4</v>
      </c>
      <c r="T279" s="47" t="s">
        <v>525</v>
      </c>
    </row>
    <row r="280" spans="1:20">
      <c r="A280" s="46">
        <v>136331418449</v>
      </c>
      <c r="B280" s="44" t="s">
        <v>517</v>
      </c>
      <c r="C280" s="45">
        <v>45999</v>
      </c>
      <c r="D280" s="46">
        <v>54432198120</v>
      </c>
      <c r="E280" s="46">
        <v>2142062098411</v>
      </c>
      <c r="F280" s="47" t="s">
        <v>529</v>
      </c>
      <c r="G280" s="47" t="s">
        <v>519</v>
      </c>
      <c r="H280" s="47" t="s">
        <v>4</v>
      </c>
      <c r="I280" s="46" t="s">
        <v>4</v>
      </c>
      <c r="J280" s="48">
        <v>2569.64</v>
      </c>
      <c r="K280" s="47" t="s">
        <v>520</v>
      </c>
      <c r="L280" s="47" t="s">
        <v>530</v>
      </c>
      <c r="M280" s="46" t="s">
        <v>522</v>
      </c>
      <c r="N280" s="47" t="s">
        <v>523</v>
      </c>
      <c r="O280" s="44" t="s">
        <v>263</v>
      </c>
      <c r="P280" s="47" t="s">
        <v>531</v>
      </c>
      <c r="Q280" s="48">
        <v>56600</v>
      </c>
      <c r="R280" s="49" t="s">
        <v>4</v>
      </c>
      <c r="S280" s="48" t="s">
        <v>4</v>
      </c>
      <c r="T280" s="47" t="s">
        <v>525</v>
      </c>
    </row>
    <row r="281" spans="1:20">
      <c r="A281" s="46">
        <v>136331423567</v>
      </c>
      <c r="B281" s="44" t="s">
        <v>517</v>
      </c>
      <c r="C281" s="45">
        <v>45999</v>
      </c>
      <c r="D281" s="46">
        <v>54432256219</v>
      </c>
      <c r="E281" s="46">
        <v>2142063010071</v>
      </c>
      <c r="F281" s="47" t="s">
        <v>526</v>
      </c>
      <c r="G281" s="47" t="s">
        <v>519</v>
      </c>
      <c r="H281" s="47" t="s">
        <v>4</v>
      </c>
      <c r="I281" s="46" t="s">
        <v>4</v>
      </c>
      <c r="J281" s="48">
        <v>428.74</v>
      </c>
      <c r="K281" s="47" t="s">
        <v>520</v>
      </c>
      <c r="L281" s="47" t="s">
        <v>521</v>
      </c>
      <c r="M281" s="46" t="s">
        <v>522</v>
      </c>
      <c r="N281" s="47" t="s">
        <v>523</v>
      </c>
      <c r="O281" s="44" t="s">
        <v>4</v>
      </c>
      <c r="P281" s="47" t="s">
        <v>527</v>
      </c>
      <c r="Q281" s="48">
        <v>44200</v>
      </c>
      <c r="R281" s="49" t="s">
        <v>4</v>
      </c>
      <c r="S281" s="48" t="s">
        <v>4</v>
      </c>
      <c r="T281" s="47" t="s">
        <v>4</v>
      </c>
    </row>
    <row r="282" spans="1:20">
      <c r="A282" s="46">
        <v>136956632996</v>
      </c>
      <c r="B282" s="44" t="s">
        <v>517</v>
      </c>
      <c r="C282" s="45">
        <v>45999</v>
      </c>
      <c r="D282" s="46">
        <v>54432461496</v>
      </c>
      <c r="E282" s="46">
        <v>2142201199900</v>
      </c>
      <c r="F282" s="47" t="s">
        <v>518</v>
      </c>
      <c r="G282" s="47" t="s">
        <v>519</v>
      </c>
      <c r="H282" s="47" t="s">
        <v>4</v>
      </c>
      <c r="I282" s="46" t="s">
        <v>4</v>
      </c>
      <c r="J282" s="48">
        <v>1039.6600000000001</v>
      </c>
      <c r="K282" s="47" t="s">
        <v>520</v>
      </c>
      <c r="L282" s="47" t="s">
        <v>521</v>
      </c>
      <c r="M282" s="46" t="s">
        <v>522</v>
      </c>
      <c r="N282" s="47" t="s">
        <v>523</v>
      </c>
      <c r="O282" s="44" t="s">
        <v>4</v>
      </c>
      <c r="P282" s="47" t="s">
        <v>631</v>
      </c>
      <c r="Q282" s="48">
        <v>22900</v>
      </c>
      <c r="R282" s="49" t="s">
        <v>4</v>
      </c>
      <c r="S282" s="48" t="s">
        <v>4</v>
      </c>
      <c r="T282" s="47" t="s">
        <v>525</v>
      </c>
    </row>
    <row r="283" spans="1:20">
      <c r="A283" s="46">
        <v>136956816280</v>
      </c>
      <c r="B283" s="44" t="s">
        <v>517</v>
      </c>
      <c r="C283" s="45">
        <v>45999</v>
      </c>
      <c r="D283" s="46">
        <v>54432544163</v>
      </c>
      <c r="E283" s="46">
        <v>2142067320709</v>
      </c>
      <c r="F283" s="47" t="s">
        <v>529</v>
      </c>
      <c r="G283" s="47" t="s">
        <v>519</v>
      </c>
      <c r="H283" s="47" t="s">
        <v>4</v>
      </c>
      <c r="I283" s="46" t="s">
        <v>4</v>
      </c>
      <c r="J283" s="48">
        <v>1750.3</v>
      </c>
      <c r="K283" s="47" t="s">
        <v>520</v>
      </c>
      <c r="L283" s="47" t="s">
        <v>530</v>
      </c>
      <c r="M283" s="46" t="s">
        <v>522</v>
      </c>
      <c r="N283" s="47" t="s">
        <v>523</v>
      </c>
      <c r="O283" s="44" t="s">
        <v>263</v>
      </c>
      <c r="P283" s="47" t="s">
        <v>531</v>
      </c>
      <c r="Q283" s="48">
        <v>23000</v>
      </c>
      <c r="R283" s="49" t="s">
        <v>4</v>
      </c>
      <c r="S283" s="48" t="s">
        <v>4</v>
      </c>
      <c r="T283" s="47" t="s">
        <v>525</v>
      </c>
    </row>
    <row r="284" spans="1:20">
      <c r="A284" s="46">
        <v>136956905972</v>
      </c>
      <c r="B284" s="44" t="s">
        <v>517</v>
      </c>
      <c r="C284" s="45">
        <v>45999</v>
      </c>
      <c r="D284" s="46">
        <v>54432623976</v>
      </c>
      <c r="E284" s="46">
        <v>2142203944796</v>
      </c>
      <c r="F284" s="47" t="s">
        <v>518</v>
      </c>
      <c r="G284" s="47" t="s">
        <v>519</v>
      </c>
      <c r="H284" s="47" t="s">
        <v>4</v>
      </c>
      <c r="I284" s="46" t="s">
        <v>4</v>
      </c>
      <c r="J284" s="48">
        <v>424.86</v>
      </c>
      <c r="K284" s="47" t="s">
        <v>520</v>
      </c>
      <c r="L284" s="47" t="s">
        <v>521</v>
      </c>
      <c r="M284" s="46" t="s">
        <v>522</v>
      </c>
      <c r="N284" s="47" t="s">
        <v>523</v>
      </c>
      <c r="O284" s="44" t="s">
        <v>4</v>
      </c>
      <c r="P284" s="47" t="s">
        <v>632</v>
      </c>
      <c r="Q284" s="48">
        <v>43800</v>
      </c>
      <c r="R284" s="49" t="s">
        <v>4</v>
      </c>
      <c r="S284" s="48" t="s">
        <v>4</v>
      </c>
      <c r="T284" s="47" t="s">
        <v>525</v>
      </c>
    </row>
    <row r="285" spans="1:20">
      <c r="A285" s="46">
        <v>136332882027</v>
      </c>
      <c r="B285" s="44" t="s">
        <v>517</v>
      </c>
      <c r="C285" s="45">
        <v>45999</v>
      </c>
      <c r="D285" s="46">
        <v>54432879299</v>
      </c>
      <c r="E285" s="46">
        <v>2142071896133</v>
      </c>
      <c r="F285" s="47" t="s">
        <v>529</v>
      </c>
      <c r="G285" s="47" t="s">
        <v>519</v>
      </c>
      <c r="H285" s="47" t="s">
        <v>4</v>
      </c>
      <c r="I285" s="46" t="s">
        <v>4</v>
      </c>
      <c r="J285" s="48">
        <v>3179.37</v>
      </c>
      <c r="K285" s="47" t="s">
        <v>520</v>
      </c>
      <c r="L285" s="47" t="s">
        <v>530</v>
      </c>
      <c r="M285" s="46" t="s">
        <v>522</v>
      </c>
      <c r="N285" s="47" t="s">
        <v>523</v>
      </c>
      <c r="O285" s="44" t="s">
        <v>263</v>
      </c>
      <c r="P285" s="47" t="s">
        <v>531</v>
      </c>
      <c r="Q285" s="48">
        <v>80900</v>
      </c>
      <c r="R285" s="49" t="s">
        <v>4</v>
      </c>
      <c r="S285" s="48" t="s">
        <v>4</v>
      </c>
      <c r="T285" s="47" t="s">
        <v>525</v>
      </c>
    </row>
    <row r="286" spans="1:20">
      <c r="A286" s="46">
        <v>136958169118</v>
      </c>
      <c r="B286" s="44" t="s">
        <v>517</v>
      </c>
      <c r="C286" s="45">
        <v>45999</v>
      </c>
      <c r="D286" s="46">
        <v>54433114141</v>
      </c>
      <c r="E286" s="46">
        <v>2142075720837</v>
      </c>
      <c r="F286" s="47" t="s">
        <v>518</v>
      </c>
      <c r="G286" s="47" t="s">
        <v>519</v>
      </c>
      <c r="H286" s="47" t="s">
        <v>4</v>
      </c>
      <c r="I286" s="46" t="s">
        <v>4</v>
      </c>
      <c r="J286" s="48">
        <v>592.66999999999996</v>
      </c>
      <c r="K286" s="47" t="s">
        <v>520</v>
      </c>
      <c r="L286" s="47" t="s">
        <v>521</v>
      </c>
      <c r="M286" s="46" t="s">
        <v>522</v>
      </c>
      <c r="N286" s="47" t="s">
        <v>523</v>
      </c>
      <c r="O286" s="44" t="s">
        <v>4</v>
      </c>
      <c r="P286" s="47" t="s">
        <v>633</v>
      </c>
      <c r="Q286" s="48">
        <v>61100</v>
      </c>
      <c r="R286" s="49" t="s">
        <v>4</v>
      </c>
      <c r="S286" s="48" t="s">
        <v>4</v>
      </c>
      <c r="T286" s="47" t="s">
        <v>525</v>
      </c>
    </row>
    <row r="287" spans="1:20">
      <c r="A287" s="46">
        <v>136333515769</v>
      </c>
      <c r="B287" s="44" t="s">
        <v>517</v>
      </c>
      <c r="C287" s="45">
        <v>45999</v>
      </c>
      <c r="D287" s="46">
        <v>54433131682</v>
      </c>
      <c r="E287" s="46">
        <v>2142210963532</v>
      </c>
      <c r="F287" s="47" t="s">
        <v>529</v>
      </c>
      <c r="G287" s="47" t="s">
        <v>519</v>
      </c>
      <c r="H287" s="47" t="s">
        <v>4</v>
      </c>
      <c r="I287" s="46" t="s">
        <v>4</v>
      </c>
      <c r="J287" s="48">
        <v>136.19999999999999</v>
      </c>
      <c r="K287" s="47" t="s">
        <v>520</v>
      </c>
      <c r="L287" s="47" t="s">
        <v>530</v>
      </c>
      <c r="M287" s="46" t="s">
        <v>522</v>
      </c>
      <c r="N287" s="47" t="s">
        <v>523</v>
      </c>
      <c r="O287" s="44" t="s">
        <v>263</v>
      </c>
      <c r="P287" s="47" t="s">
        <v>531</v>
      </c>
      <c r="Q287" s="48">
        <v>3000</v>
      </c>
      <c r="R287" s="49" t="s">
        <v>4</v>
      </c>
      <c r="S287" s="48" t="s">
        <v>4</v>
      </c>
      <c r="T287" s="47" t="s">
        <v>525</v>
      </c>
    </row>
    <row r="288" spans="1:20">
      <c r="A288" s="46">
        <v>136333640811</v>
      </c>
      <c r="B288" s="44" t="s">
        <v>517</v>
      </c>
      <c r="C288" s="45">
        <v>45999</v>
      </c>
      <c r="D288" s="46">
        <v>54433163821</v>
      </c>
      <c r="E288" s="46">
        <v>2142076090917</v>
      </c>
      <c r="F288" s="47" t="s">
        <v>529</v>
      </c>
      <c r="G288" s="47" t="s">
        <v>519</v>
      </c>
      <c r="H288" s="47" t="s">
        <v>4</v>
      </c>
      <c r="I288" s="46" t="s">
        <v>4</v>
      </c>
      <c r="J288" s="48">
        <v>404.06</v>
      </c>
      <c r="K288" s="47" t="s">
        <v>520</v>
      </c>
      <c r="L288" s="47" t="s">
        <v>530</v>
      </c>
      <c r="M288" s="46" t="s">
        <v>522</v>
      </c>
      <c r="N288" s="47" t="s">
        <v>523</v>
      </c>
      <c r="O288" s="44" t="s">
        <v>263</v>
      </c>
      <c r="P288" s="47" t="s">
        <v>531</v>
      </c>
      <c r="Q288" s="48">
        <v>8900</v>
      </c>
      <c r="R288" s="49" t="s">
        <v>4</v>
      </c>
      <c r="S288" s="48" t="s">
        <v>4</v>
      </c>
      <c r="T288" s="47" t="s">
        <v>525</v>
      </c>
    </row>
    <row r="289" spans="1:20">
      <c r="A289" s="46">
        <v>136333603887</v>
      </c>
      <c r="B289" s="44" t="s">
        <v>517</v>
      </c>
      <c r="C289" s="45">
        <v>45999</v>
      </c>
      <c r="D289" s="46">
        <v>54433199489</v>
      </c>
      <c r="E289" s="46">
        <v>2142076441365</v>
      </c>
      <c r="F289" s="47" t="s">
        <v>518</v>
      </c>
      <c r="G289" s="47" t="s">
        <v>519</v>
      </c>
      <c r="H289" s="47" t="s">
        <v>4</v>
      </c>
      <c r="I289" s="46" t="s">
        <v>4</v>
      </c>
      <c r="J289" s="48">
        <v>317.19</v>
      </c>
      <c r="K289" s="47" t="s">
        <v>520</v>
      </c>
      <c r="L289" s="47" t="s">
        <v>521</v>
      </c>
      <c r="M289" s="46" t="s">
        <v>522</v>
      </c>
      <c r="N289" s="47" t="s">
        <v>523</v>
      </c>
      <c r="O289" s="44" t="s">
        <v>4</v>
      </c>
      <c r="P289" s="47" t="s">
        <v>634</v>
      </c>
      <c r="Q289" s="48">
        <v>32700</v>
      </c>
      <c r="R289" s="49" t="s">
        <v>4</v>
      </c>
      <c r="S289" s="48" t="s">
        <v>4</v>
      </c>
      <c r="T289" s="47" t="s">
        <v>525</v>
      </c>
    </row>
    <row r="290" spans="1:20">
      <c r="A290" s="46">
        <v>136333850811</v>
      </c>
      <c r="B290" s="44" t="s">
        <v>517</v>
      </c>
      <c r="C290" s="45">
        <v>45999</v>
      </c>
      <c r="D290" s="46">
        <v>54433229613</v>
      </c>
      <c r="E290" s="46">
        <v>2142212084950</v>
      </c>
      <c r="F290" s="47" t="s">
        <v>526</v>
      </c>
      <c r="G290" s="47" t="s">
        <v>519</v>
      </c>
      <c r="H290" s="47" t="s">
        <v>4</v>
      </c>
      <c r="I290" s="46" t="s">
        <v>4</v>
      </c>
      <c r="J290" s="48">
        <v>118.34</v>
      </c>
      <c r="K290" s="47" t="s">
        <v>520</v>
      </c>
      <c r="L290" s="47" t="s">
        <v>521</v>
      </c>
      <c r="M290" s="46" t="s">
        <v>522</v>
      </c>
      <c r="N290" s="47" t="s">
        <v>523</v>
      </c>
      <c r="O290" s="44" t="s">
        <v>4</v>
      </c>
      <c r="P290" s="47" t="s">
        <v>527</v>
      </c>
      <c r="Q290" s="48">
        <v>12200</v>
      </c>
      <c r="R290" s="49" t="s">
        <v>4</v>
      </c>
      <c r="S290" s="48" t="s">
        <v>4</v>
      </c>
      <c r="T290" s="47" t="s">
        <v>4</v>
      </c>
    </row>
    <row r="291" spans="1:20">
      <c r="A291" s="46">
        <v>136334028143</v>
      </c>
      <c r="B291" s="44" t="s">
        <v>517</v>
      </c>
      <c r="C291" s="45">
        <v>45999</v>
      </c>
      <c r="D291" s="46">
        <v>54433271908</v>
      </c>
      <c r="E291" s="46">
        <v>2142077652077</v>
      </c>
      <c r="F291" s="47" t="s">
        <v>518</v>
      </c>
      <c r="G291" s="47" t="s">
        <v>519</v>
      </c>
      <c r="H291" s="47" t="s">
        <v>4</v>
      </c>
      <c r="I291" s="46" t="s">
        <v>4</v>
      </c>
      <c r="J291" s="48">
        <v>468.51</v>
      </c>
      <c r="K291" s="47" t="s">
        <v>520</v>
      </c>
      <c r="L291" s="47" t="s">
        <v>521</v>
      </c>
      <c r="M291" s="46" t="s">
        <v>522</v>
      </c>
      <c r="N291" s="47" t="s">
        <v>523</v>
      </c>
      <c r="O291" s="44" t="s">
        <v>4</v>
      </c>
      <c r="P291" s="47" t="s">
        <v>635</v>
      </c>
      <c r="Q291" s="48">
        <v>48300</v>
      </c>
      <c r="R291" s="49" t="s">
        <v>4</v>
      </c>
      <c r="S291" s="48" t="s">
        <v>4</v>
      </c>
      <c r="T291" s="47" t="s">
        <v>525</v>
      </c>
    </row>
    <row r="292" spans="1:20">
      <c r="A292" s="46">
        <v>136958415842</v>
      </c>
      <c r="B292" s="44" t="s">
        <v>517</v>
      </c>
      <c r="C292" s="45">
        <v>45999</v>
      </c>
      <c r="D292" s="46">
        <v>54433284897</v>
      </c>
      <c r="E292" s="46">
        <v>2142078022043</v>
      </c>
      <c r="F292" s="47" t="s">
        <v>518</v>
      </c>
      <c r="G292" s="47" t="s">
        <v>519</v>
      </c>
      <c r="H292" s="47" t="s">
        <v>4</v>
      </c>
      <c r="I292" s="46" t="s">
        <v>4</v>
      </c>
      <c r="J292" s="48">
        <v>176.54</v>
      </c>
      <c r="K292" s="47" t="s">
        <v>520</v>
      </c>
      <c r="L292" s="47" t="s">
        <v>521</v>
      </c>
      <c r="M292" s="46" t="s">
        <v>522</v>
      </c>
      <c r="N292" s="47" t="s">
        <v>523</v>
      </c>
      <c r="O292" s="44" t="s">
        <v>4</v>
      </c>
      <c r="P292" s="47" t="s">
        <v>636</v>
      </c>
      <c r="Q292" s="48">
        <v>18200</v>
      </c>
      <c r="R292" s="49" t="s">
        <v>4</v>
      </c>
      <c r="S292" s="48" t="s">
        <v>4</v>
      </c>
      <c r="T292" s="47" t="s">
        <v>525</v>
      </c>
    </row>
    <row r="293" spans="1:20">
      <c r="A293" s="46">
        <v>136334135265</v>
      </c>
      <c r="B293" s="44" t="s">
        <v>517</v>
      </c>
      <c r="C293" s="45">
        <v>45999</v>
      </c>
      <c r="D293" s="46">
        <v>54433364651</v>
      </c>
      <c r="E293" s="46">
        <v>2142214008674</v>
      </c>
      <c r="F293" s="47" t="s">
        <v>518</v>
      </c>
      <c r="G293" s="47" t="s">
        <v>519</v>
      </c>
      <c r="H293" s="47" t="s">
        <v>4</v>
      </c>
      <c r="I293" s="46" t="s">
        <v>4</v>
      </c>
      <c r="J293" s="48">
        <v>291</v>
      </c>
      <c r="K293" s="47" t="s">
        <v>520</v>
      </c>
      <c r="L293" s="47" t="s">
        <v>521</v>
      </c>
      <c r="M293" s="46" t="s">
        <v>522</v>
      </c>
      <c r="N293" s="47" t="s">
        <v>523</v>
      </c>
      <c r="O293" s="44" t="s">
        <v>4</v>
      </c>
      <c r="P293" s="47" t="s">
        <v>637</v>
      </c>
      <c r="Q293" s="48">
        <v>30000</v>
      </c>
      <c r="R293" s="49" t="s">
        <v>4</v>
      </c>
      <c r="S293" s="48" t="s">
        <v>4</v>
      </c>
      <c r="T293" s="47" t="s">
        <v>525</v>
      </c>
    </row>
    <row r="294" spans="1:20">
      <c r="A294" s="46">
        <v>136334261105</v>
      </c>
      <c r="B294" s="44" t="s">
        <v>517</v>
      </c>
      <c r="C294" s="45">
        <v>45999</v>
      </c>
      <c r="D294" s="46">
        <v>54433410070</v>
      </c>
      <c r="E294" s="46">
        <v>2142215177208</v>
      </c>
      <c r="F294" s="47" t="s">
        <v>518</v>
      </c>
      <c r="G294" s="47" t="s">
        <v>519</v>
      </c>
      <c r="H294" s="47" t="s">
        <v>4</v>
      </c>
      <c r="I294" s="46" t="s">
        <v>4</v>
      </c>
      <c r="J294" s="48">
        <v>76.63</v>
      </c>
      <c r="K294" s="47" t="s">
        <v>520</v>
      </c>
      <c r="L294" s="47" t="s">
        <v>521</v>
      </c>
      <c r="M294" s="46" t="s">
        <v>522</v>
      </c>
      <c r="N294" s="47" t="s">
        <v>523</v>
      </c>
      <c r="O294" s="44" t="s">
        <v>4</v>
      </c>
      <c r="P294" s="47" t="s">
        <v>638</v>
      </c>
      <c r="Q294" s="48">
        <v>7900</v>
      </c>
      <c r="R294" s="49" t="s">
        <v>4</v>
      </c>
      <c r="S294" s="48" t="s">
        <v>4</v>
      </c>
      <c r="T294" s="47" t="s">
        <v>525</v>
      </c>
    </row>
    <row r="295" spans="1:20">
      <c r="A295" s="46">
        <v>136334273453</v>
      </c>
      <c r="B295" s="44" t="s">
        <v>517</v>
      </c>
      <c r="C295" s="45">
        <v>45999</v>
      </c>
      <c r="D295" s="46">
        <v>54433427311</v>
      </c>
      <c r="E295" s="46">
        <v>2142215475580</v>
      </c>
      <c r="F295" s="47" t="s">
        <v>526</v>
      </c>
      <c r="G295" s="47" t="s">
        <v>519</v>
      </c>
      <c r="H295" s="47" t="s">
        <v>4</v>
      </c>
      <c r="I295" s="46" t="s">
        <v>4</v>
      </c>
      <c r="J295" s="48">
        <v>153.26</v>
      </c>
      <c r="K295" s="47" t="s">
        <v>520</v>
      </c>
      <c r="L295" s="47" t="s">
        <v>521</v>
      </c>
      <c r="M295" s="46" t="s">
        <v>522</v>
      </c>
      <c r="N295" s="47" t="s">
        <v>523</v>
      </c>
      <c r="O295" s="44" t="s">
        <v>4</v>
      </c>
      <c r="P295" s="47" t="s">
        <v>527</v>
      </c>
      <c r="Q295" s="48">
        <v>15800</v>
      </c>
      <c r="R295" s="49" t="s">
        <v>4</v>
      </c>
      <c r="S295" s="48" t="s">
        <v>4</v>
      </c>
      <c r="T295" s="47" t="s">
        <v>4</v>
      </c>
    </row>
    <row r="296" spans="1:20">
      <c r="A296" s="46">
        <v>136958889094</v>
      </c>
      <c r="B296" s="44" t="s">
        <v>517</v>
      </c>
      <c r="C296" s="45">
        <v>45999</v>
      </c>
      <c r="D296" s="46">
        <v>54433439904</v>
      </c>
      <c r="E296" s="46">
        <v>2142081003891</v>
      </c>
      <c r="F296" s="47" t="s">
        <v>518</v>
      </c>
      <c r="G296" s="47" t="s">
        <v>519</v>
      </c>
      <c r="H296" s="47" t="s">
        <v>4</v>
      </c>
      <c r="I296" s="46" t="s">
        <v>4</v>
      </c>
      <c r="J296" s="48">
        <v>195.94</v>
      </c>
      <c r="K296" s="47" t="s">
        <v>520</v>
      </c>
      <c r="L296" s="47" t="s">
        <v>521</v>
      </c>
      <c r="M296" s="46" t="s">
        <v>522</v>
      </c>
      <c r="N296" s="47" t="s">
        <v>523</v>
      </c>
      <c r="O296" s="44" t="s">
        <v>4</v>
      </c>
      <c r="P296" s="47" t="s">
        <v>639</v>
      </c>
      <c r="Q296" s="48">
        <v>20200</v>
      </c>
      <c r="R296" s="49" t="s">
        <v>4</v>
      </c>
      <c r="S296" s="48" t="s">
        <v>4</v>
      </c>
      <c r="T296" s="47" t="s">
        <v>525</v>
      </c>
    </row>
    <row r="297" spans="1:20">
      <c r="A297" s="46">
        <v>136958915420</v>
      </c>
      <c r="B297" s="44" t="s">
        <v>517</v>
      </c>
      <c r="C297" s="45">
        <v>45999</v>
      </c>
      <c r="D297" s="46">
        <v>54433475156</v>
      </c>
      <c r="E297" s="46">
        <v>2142216675136</v>
      </c>
      <c r="F297" s="47" t="s">
        <v>518</v>
      </c>
      <c r="G297" s="47" t="s">
        <v>519</v>
      </c>
      <c r="H297" s="47" t="s">
        <v>4</v>
      </c>
      <c r="I297" s="46" t="s">
        <v>4</v>
      </c>
      <c r="J297" s="48">
        <v>92.15</v>
      </c>
      <c r="K297" s="47" t="s">
        <v>520</v>
      </c>
      <c r="L297" s="47" t="s">
        <v>521</v>
      </c>
      <c r="M297" s="46" t="s">
        <v>522</v>
      </c>
      <c r="N297" s="47" t="s">
        <v>523</v>
      </c>
      <c r="O297" s="44" t="s">
        <v>4</v>
      </c>
      <c r="P297" s="47" t="s">
        <v>4</v>
      </c>
      <c r="Q297" s="48">
        <v>9500</v>
      </c>
      <c r="R297" s="49" t="s">
        <v>4</v>
      </c>
      <c r="S297" s="48" t="s">
        <v>4</v>
      </c>
      <c r="T297" s="47" t="s">
        <v>525</v>
      </c>
    </row>
    <row r="298" spans="1:20">
      <c r="A298" s="46">
        <v>136334494425</v>
      </c>
      <c r="B298" s="44" t="s">
        <v>517</v>
      </c>
      <c r="C298" s="45">
        <v>45999</v>
      </c>
      <c r="D298" s="46">
        <v>54433491888</v>
      </c>
      <c r="E298" s="46">
        <v>2142082429127</v>
      </c>
      <c r="F298" s="47" t="s">
        <v>518</v>
      </c>
      <c r="G298" s="47" t="s">
        <v>519</v>
      </c>
      <c r="H298" s="47" t="s">
        <v>4</v>
      </c>
      <c r="I298" s="46" t="s">
        <v>4</v>
      </c>
      <c r="J298" s="48">
        <v>254.14</v>
      </c>
      <c r="K298" s="47" t="s">
        <v>520</v>
      </c>
      <c r="L298" s="47" t="s">
        <v>521</v>
      </c>
      <c r="M298" s="46" t="s">
        <v>522</v>
      </c>
      <c r="N298" s="47" t="s">
        <v>523</v>
      </c>
      <c r="O298" s="44" t="s">
        <v>4</v>
      </c>
      <c r="P298" s="47" t="s">
        <v>640</v>
      </c>
      <c r="Q298" s="48">
        <v>26200</v>
      </c>
      <c r="R298" s="49" t="s">
        <v>4</v>
      </c>
      <c r="S298" s="48" t="s">
        <v>4</v>
      </c>
      <c r="T298" s="47" t="s">
        <v>525</v>
      </c>
    </row>
    <row r="299" spans="1:20">
      <c r="A299" s="46">
        <v>136959425226</v>
      </c>
      <c r="B299" s="44" t="s">
        <v>517</v>
      </c>
      <c r="C299" s="45">
        <v>45999</v>
      </c>
      <c r="D299" s="46">
        <v>54433646458</v>
      </c>
      <c r="E299" s="46">
        <v>2142084680755</v>
      </c>
      <c r="F299" s="47" t="s">
        <v>518</v>
      </c>
      <c r="G299" s="47" t="s">
        <v>519</v>
      </c>
      <c r="H299" s="47" t="s">
        <v>4</v>
      </c>
      <c r="I299" s="46" t="s">
        <v>4</v>
      </c>
      <c r="J299" s="48">
        <v>162.96</v>
      </c>
      <c r="K299" s="47" t="s">
        <v>520</v>
      </c>
      <c r="L299" s="47" t="s">
        <v>521</v>
      </c>
      <c r="M299" s="46" t="s">
        <v>522</v>
      </c>
      <c r="N299" s="47" t="s">
        <v>523</v>
      </c>
      <c r="O299" s="44" t="s">
        <v>4</v>
      </c>
      <c r="P299" s="47" t="s">
        <v>641</v>
      </c>
      <c r="Q299" s="48">
        <v>16800</v>
      </c>
      <c r="R299" s="49" t="s">
        <v>4</v>
      </c>
      <c r="S299" s="48" t="s">
        <v>4</v>
      </c>
      <c r="T299" s="47" t="s">
        <v>525</v>
      </c>
    </row>
    <row r="300" spans="1:20">
      <c r="A300" s="46">
        <v>136334778599</v>
      </c>
      <c r="B300" s="44" t="s">
        <v>517</v>
      </c>
      <c r="C300" s="45">
        <v>45999</v>
      </c>
      <c r="D300" s="46">
        <v>54433678408</v>
      </c>
      <c r="E300" s="46">
        <v>2142085024945</v>
      </c>
      <c r="F300" s="47" t="s">
        <v>529</v>
      </c>
      <c r="G300" s="47" t="s">
        <v>519</v>
      </c>
      <c r="H300" s="47" t="s">
        <v>4</v>
      </c>
      <c r="I300" s="46" t="s">
        <v>4</v>
      </c>
      <c r="J300" s="48">
        <v>4017.9</v>
      </c>
      <c r="K300" s="47" t="s">
        <v>520</v>
      </c>
      <c r="L300" s="47" t="s">
        <v>530</v>
      </c>
      <c r="M300" s="46" t="s">
        <v>522</v>
      </c>
      <c r="N300" s="47" t="s">
        <v>523</v>
      </c>
      <c r="O300" s="44" t="s">
        <v>263</v>
      </c>
      <c r="P300" s="47" t="s">
        <v>531</v>
      </c>
      <c r="Q300" s="48">
        <v>88500</v>
      </c>
      <c r="R300" s="49" t="s">
        <v>4</v>
      </c>
      <c r="S300" s="48" t="s">
        <v>4</v>
      </c>
      <c r="T300" s="47" t="s">
        <v>525</v>
      </c>
    </row>
    <row r="301" spans="1:20">
      <c r="A301" s="46">
        <v>136959531074</v>
      </c>
      <c r="B301" s="44" t="s">
        <v>517</v>
      </c>
      <c r="C301" s="45">
        <v>45999</v>
      </c>
      <c r="D301" s="46">
        <v>54433704477</v>
      </c>
      <c r="E301" s="46">
        <v>2142220712364</v>
      </c>
      <c r="F301" s="47" t="s">
        <v>526</v>
      </c>
      <c r="G301" s="47" t="s">
        <v>519</v>
      </c>
      <c r="H301" s="47" t="s">
        <v>4</v>
      </c>
      <c r="I301" s="46" t="s">
        <v>4</v>
      </c>
      <c r="J301" s="48">
        <v>205.64</v>
      </c>
      <c r="K301" s="47" t="s">
        <v>520</v>
      </c>
      <c r="L301" s="47" t="s">
        <v>521</v>
      </c>
      <c r="M301" s="46" t="s">
        <v>522</v>
      </c>
      <c r="N301" s="47" t="s">
        <v>523</v>
      </c>
      <c r="O301" s="44" t="s">
        <v>4</v>
      </c>
      <c r="P301" s="47" t="s">
        <v>527</v>
      </c>
      <c r="Q301" s="48">
        <v>21200</v>
      </c>
      <c r="R301" s="49" t="s">
        <v>4</v>
      </c>
      <c r="S301" s="48" t="s">
        <v>4</v>
      </c>
      <c r="T301" s="47" t="s">
        <v>4</v>
      </c>
    </row>
    <row r="302" spans="1:20">
      <c r="A302" s="46">
        <v>136334764081</v>
      </c>
      <c r="B302" s="44" t="s">
        <v>517</v>
      </c>
      <c r="C302" s="45">
        <v>45999</v>
      </c>
      <c r="D302" s="46">
        <v>54433738199</v>
      </c>
      <c r="E302" s="46">
        <v>2142221247044</v>
      </c>
      <c r="F302" s="47" t="s">
        <v>518</v>
      </c>
      <c r="G302" s="47" t="s">
        <v>519</v>
      </c>
      <c r="H302" s="47" t="s">
        <v>4</v>
      </c>
      <c r="I302" s="46" t="s">
        <v>4</v>
      </c>
      <c r="J302" s="48">
        <v>279.36</v>
      </c>
      <c r="K302" s="47" t="s">
        <v>520</v>
      </c>
      <c r="L302" s="47" t="s">
        <v>521</v>
      </c>
      <c r="M302" s="46" t="s">
        <v>522</v>
      </c>
      <c r="N302" s="47" t="s">
        <v>523</v>
      </c>
      <c r="O302" s="44" t="s">
        <v>4</v>
      </c>
      <c r="P302" s="47" t="s">
        <v>642</v>
      </c>
      <c r="Q302" s="48">
        <v>28800</v>
      </c>
      <c r="R302" s="49" t="s">
        <v>4</v>
      </c>
      <c r="S302" s="48" t="s">
        <v>4</v>
      </c>
      <c r="T302" s="47" t="s">
        <v>525</v>
      </c>
    </row>
    <row r="303" spans="1:20">
      <c r="A303" s="46">
        <v>136334940399</v>
      </c>
      <c r="B303" s="44" t="s">
        <v>517</v>
      </c>
      <c r="C303" s="45">
        <v>45999</v>
      </c>
      <c r="D303" s="46">
        <v>54433777215</v>
      </c>
      <c r="E303" s="46">
        <v>2142221740274</v>
      </c>
      <c r="F303" s="47" t="s">
        <v>518</v>
      </c>
      <c r="G303" s="47" t="s">
        <v>519</v>
      </c>
      <c r="H303" s="47" t="s">
        <v>4</v>
      </c>
      <c r="I303" s="46" t="s">
        <v>4</v>
      </c>
      <c r="J303" s="48">
        <v>351.14</v>
      </c>
      <c r="K303" s="47" t="s">
        <v>520</v>
      </c>
      <c r="L303" s="47" t="s">
        <v>521</v>
      </c>
      <c r="M303" s="46" t="s">
        <v>522</v>
      </c>
      <c r="N303" s="47" t="s">
        <v>523</v>
      </c>
      <c r="O303" s="44" t="s">
        <v>4</v>
      </c>
      <c r="P303" s="47" t="s">
        <v>643</v>
      </c>
      <c r="Q303" s="48">
        <v>36200</v>
      </c>
      <c r="R303" s="49" t="s">
        <v>4</v>
      </c>
      <c r="S303" s="48" t="s">
        <v>4</v>
      </c>
      <c r="T303" s="47" t="s">
        <v>525</v>
      </c>
    </row>
    <row r="304" spans="1:20">
      <c r="A304" s="46">
        <v>136959626564</v>
      </c>
      <c r="B304" s="44" t="s">
        <v>517</v>
      </c>
      <c r="C304" s="45">
        <v>45999</v>
      </c>
      <c r="D304" s="46">
        <v>54433777434</v>
      </c>
      <c r="E304" s="46">
        <v>2142086756039</v>
      </c>
      <c r="F304" s="47" t="s">
        <v>529</v>
      </c>
      <c r="G304" s="47" t="s">
        <v>519</v>
      </c>
      <c r="H304" s="47" t="s">
        <v>4</v>
      </c>
      <c r="I304" s="46" t="s">
        <v>4</v>
      </c>
      <c r="J304" s="48">
        <v>754.56</v>
      </c>
      <c r="K304" s="47" t="s">
        <v>520</v>
      </c>
      <c r="L304" s="47" t="s">
        <v>530</v>
      </c>
      <c r="M304" s="46" t="s">
        <v>522</v>
      </c>
      <c r="N304" s="47" t="s">
        <v>523</v>
      </c>
      <c r="O304" s="44" t="s">
        <v>263</v>
      </c>
      <c r="P304" s="47" t="s">
        <v>531</v>
      </c>
      <c r="Q304" s="48">
        <v>19200</v>
      </c>
      <c r="R304" s="49" t="s">
        <v>4</v>
      </c>
      <c r="S304" s="48" t="s">
        <v>4</v>
      </c>
      <c r="T304" s="47" t="s">
        <v>525</v>
      </c>
    </row>
    <row r="305" spans="1:20">
      <c r="A305" s="46">
        <v>136334877837</v>
      </c>
      <c r="B305" s="44" t="s">
        <v>517</v>
      </c>
      <c r="C305" s="45">
        <v>45999</v>
      </c>
      <c r="D305" s="46">
        <v>54433798168</v>
      </c>
      <c r="E305" s="46">
        <v>2142086848599</v>
      </c>
      <c r="F305" s="47" t="s">
        <v>518</v>
      </c>
      <c r="G305" s="47" t="s">
        <v>519</v>
      </c>
      <c r="H305" s="47" t="s">
        <v>4</v>
      </c>
      <c r="I305" s="46" t="s">
        <v>4</v>
      </c>
      <c r="J305" s="48">
        <v>142.59</v>
      </c>
      <c r="K305" s="47" t="s">
        <v>520</v>
      </c>
      <c r="L305" s="47" t="s">
        <v>521</v>
      </c>
      <c r="M305" s="46" t="s">
        <v>522</v>
      </c>
      <c r="N305" s="47" t="s">
        <v>523</v>
      </c>
      <c r="O305" s="44" t="s">
        <v>4</v>
      </c>
      <c r="P305" s="47" t="s">
        <v>644</v>
      </c>
      <c r="Q305" s="48">
        <v>14700</v>
      </c>
      <c r="R305" s="49" t="s">
        <v>4</v>
      </c>
      <c r="S305" s="48" t="s">
        <v>4</v>
      </c>
      <c r="T305" s="47" t="s">
        <v>525</v>
      </c>
    </row>
    <row r="306" spans="1:20">
      <c r="A306" s="46">
        <v>136335038561</v>
      </c>
      <c r="B306" s="44" t="s">
        <v>517</v>
      </c>
      <c r="C306" s="45">
        <v>45999</v>
      </c>
      <c r="D306" s="46">
        <v>54433814252</v>
      </c>
      <c r="E306" s="46">
        <v>2142222514236</v>
      </c>
      <c r="F306" s="47" t="s">
        <v>518</v>
      </c>
      <c r="G306" s="47" t="s">
        <v>519</v>
      </c>
      <c r="H306" s="47" t="s">
        <v>4</v>
      </c>
      <c r="I306" s="46" t="s">
        <v>4</v>
      </c>
      <c r="J306" s="48">
        <v>201.76</v>
      </c>
      <c r="K306" s="47" t="s">
        <v>520</v>
      </c>
      <c r="L306" s="47" t="s">
        <v>521</v>
      </c>
      <c r="M306" s="46" t="s">
        <v>522</v>
      </c>
      <c r="N306" s="47" t="s">
        <v>523</v>
      </c>
      <c r="O306" s="44" t="s">
        <v>4</v>
      </c>
      <c r="P306" s="47" t="s">
        <v>645</v>
      </c>
      <c r="Q306" s="48">
        <v>20800</v>
      </c>
      <c r="R306" s="49" t="s">
        <v>4</v>
      </c>
      <c r="S306" s="48" t="s">
        <v>4</v>
      </c>
      <c r="T306" s="47" t="s">
        <v>525</v>
      </c>
    </row>
    <row r="307" spans="1:20">
      <c r="A307" s="46">
        <v>136335028573</v>
      </c>
      <c r="B307" s="44" t="s">
        <v>517</v>
      </c>
      <c r="C307" s="45">
        <v>45999</v>
      </c>
      <c r="D307" s="46">
        <v>54433827035</v>
      </c>
      <c r="E307" s="46">
        <v>2142222446942</v>
      </c>
      <c r="F307" s="47" t="s">
        <v>518</v>
      </c>
      <c r="G307" s="47" t="s">
        <v>519</v>
      </c>
      <c r="H307" s="47" t="s">
        <v>4</v>
      </c>
      <c r="I307" s="46" t="s">
        <v>4</v>
      </c>
      <c r="J307" s="48">
        <v>102.82</v>
      </c>
      <c r="K307" s="47" t="s">
        <v>520</v>
      </c>
      <c r="L307" s="47" t="s">
        <v>521</v>
      </c>
      <c r="M307" s="46" t="s">
        <v>522</v>
      </c>
      <c r="N307" s="47" t="s">
        <v>523</v>
      </c>
      <c r="O307" s="44" t="s">
        <v>4</v>
      </c>
      <c r="P307" s="47" t="s">
        <v>646</v>
      </c>
      <c r="Q307" s="48">
        <v>10600</v>
      </c>
      <c r="R307" s="49" t="s">
        <v>4</v>
      </c>
      <c r="S307" s="48" t="s">
        <v>4</v>
      </c>
      <c r="T307" s="47" t="s">
        <v>525</v>
      </c>
    </row>
    <row r="308" spans="1:20">
      <c r="A308" s="46">
        <v>136959665908</v>
      </c>
      <c r="B308" s="44" t="s">
        <v>517</v>
      </c>
      <c r="C308" s="45">
        <v>45999</v>
      </c>
      <c r="D308" s="46">
        <v>54433877353</v>
      </c>
      <c r="E308" s="46">
        <v>2142088011385</v>
      </c>
      <c r="F308" s="47" t="s">
        <v>518</v>
      </c>
      <c r="G308" s="47" t="s">
        <v>519</v>
      </c>
      <c r="H308" s="47" t="s">
        <v>4</v>
      </c>
      <c r="I308" s="46" t="s">
        <v>4</v>
      </c>
      <c r="J308" s="48">
        <v>148.41</v>
      </c>
      <c r="K308" s="47" t="s">
        <v>520</v>
      </c>
      <c r="L308" s="47" t="s">
        <v>521</v>
      </c>
      <c r="M308" s="46" t="s">
        <v>522</v>
      </c>
      <c r="N308" s="47" t="s">
        <v>523</v>
      </c>
      <c r="O308" s="44" t="s">
        <v>4</v>
      </c>
      <c r="P308" s="47" t="s">
        <v>647</v>
      </c>
      <c r="Q308" s="48">
        <v>15300</v>
      </c>
      <c r="R308" s="49" t="s">
        <v>4</v>
      </c>
      <c r="S308" s="48" t="s">
        <v>4</v>
      </c>
      <c r="T308" s="47" t="s">
        <v>525</v>
      </c>
    </row>
    <row r="309" spans="1:20">
      <c r="A309" s="46">
        <v>136959788742</v>
      </c>
      <c r="B309" s="44" t="s">
        <v>517</v>
      </c>
      <c r="C309" s="45">
        <v>45999</v>
      </c>
      <c r="D309" s="46">
        <v>54433894243</v>
      </c>
      <c r="E309" s="46">
        <v>2142089115585</v>
      </c>
      <c r="F309" s="47" t="s">
        <v>529</v>
      </c>
      <c r="G309" s="47" t="s">
        <v>519</v>
      </c>
      <c r="H309" s="47" t="s">
        <v>4</v>
      </c>
      <c r="I309" s="46" t="s">
        <v>4</v>
      </c>
      <c r="J309" s="48">
        <v>837.1</v>
      </c>
      <c r="K309" s="47" t="s">
        <v>520</v>
      </c>
      <c r="L309" s="47" t="s">
        <v>530</v>
      </c>
      <c r="M309" s="46" t="s">
        <v>522</v>
      </c>
      <c r="N309" s="47" t="s">
        <v>523</v>
      </c>
      <c r="O309" s="44" t="s">
        <v>263</v>
      </c>
      <c r="P309" s="47" t="s">
        <v>531</v>
      </c>
      <c r="Q309" s="48">
        <v>11000</v>
      </c>
      <c r="R309" s="49" t="s">
        <v>4</v>
      </c>
      <c r="S309" s="48" t="s">
        <v>4</v>
      </c>
      <c r="T309" s="47" t="s">
        <v>525</v>
      </c>
    </row>
    <row r="310" spans="1:20">
      <c r="A310" s="46">
        <v>136740668549</v>
      </c>
      <c r="B310" s="44" t="s">
        <v>517</v>
      </c>
      <c r="C310" s="45">
        <v>46001</v>
      </c>
      <c r="D310" s="46">
        <v>54598187971</v>
      </c>
      <c r="E310" s="46">
        <v>2144843003675</v>
      </c>
      <c r="F310" s="47" t="s">
        <v>518</v>
      </c>
      <c r="G310" s="47" t="s">
        <v>519</v>
      </c>
      <c r="H310" s="47" t="s">
        <v>4</v>
      </c>
      <c r="I310" s="46" t="s">
        <v>4</v>
      </c>
      <c r="J310" s="48">
        <v>40.74</v>
      </c>
      <c r="K310" s="47" t="s">
        <v>520</v>
      </c>
      <c r="L310" s="47" t="s">
        <v>521</v>
      </c>
      <c r="M310" s="46" t="s">
        <v>522</v>
      </c>
      <c r="N310" s="47" t="s">
        <v>523</v>
      </c>
      <c r="O310" s="44" t="s">
        <v>4</v>
      </c>
      <c r="P310" s="47" t="s">
        <v>648</v>
      </c>
      <c r="Q310" s="48">
        <v>4200</v>
      </c>
      <c r="R310" s="49" t="s">
        <v>4</v>
      </c>
      <c r="S310" s="48" t="s">
        <v>4</v>
      </c>
      <c r="T310" s="47" t="s">
        <v>525</v>
      </c>
    </row>
    <row r="311" spans="1:20">
      <c r="A311" s="46">
        <v>137373870662</v>
      </c>
      <c r="B311" s="44" t="s">
        <v>517</v>
      </c>
      <c r="C311" s="45">
        <v>46001</v>
      </c>
      <c r="D311" s="46">
        <v>54599061746</v>
      </c>
      <c r="E311" s="46">
        <v>2144860113781</v>
      </c>
      <c r="F311" s="47" t="s">
        <v>529</v>
      </c>
      <c r="G311" s="47" t="s">
        <v>519</v>
      </c>
      <c r="H311" s="47" t="s">
        <v>4</v>
      </c>
      <c r="I311" s="46" t="s">
        <v>4</v>
      </c>
      <c r="J311" s="48">
        <v>1222.23</v>
      </c>
      <c r="K311" s="47" t="s">
        <v>520</v>
      </c>
      <c r="L311" s="47" t="s">
        <v>530</v>
      </c>
      <c r="M311" s="46" t="s">
        <v>522</v>
      </c>
      <c r="N311" s="47" t="s">
        <v>523</v>
      </c>
      <c r="O311" s="44" t="s">
        <v>263</v>
      </c>
      <c r="P311" s="47" t="s">
        <v>531</v>
      </c>
      <c r="Q311" s="48">
        <v>31100</v>
      </c>
      <c r="R311" s="49" t="s">
        <v>4</v>
      </c>
      <c r="S311" s="48" t="s">
        <v>4</v>
      </c>
      <c r="T311" s="47" t="s">
        <v>525</v>
      </c>
    </row>
    <row r="312" spans="1:20">
      <c r="A312" s="46">
        <v>136743127343</v>
      </c>
      <c r="B312" s="44" t="s">
        <v>517</v>
      </c>
      <c r="C312" s="45">
        <v>46001</v>
      </c>
      <c r="D312" s="46">
        <v>54599199133</v>
      </c>
      <c r="E312" s="46">
        <v>2144862528267</v>
      </c>
      <c r="F312" s="47" t="s">
        <v>526</v>
      </c>
      <c r="G312" s="47" t="s">
        <v>519</v>
      </c>
      <c r="H312" s="47" t="s">
        <v>4</v>
      </c>
      <c r="I312" s="46" t="s">
        <v>4</v>
      </c>
      <c r="J312" s="48">
        <v>94.09</v>
      </c>
      <c r="K312" s="47" t="s">
        <v>520</v>
      </c>
      <c r="L312" s="47" t="s">
        <v>521</v>
      </c>
      <c r="M312" s="46" t="s">
        <v>522</v>
      </c>
      <c r="N312" s="47" t="s">
        <v>523</v>
      </c>
      <c r="O312" s="44" t="s">
        <v>4</v>
      </c>
      <c r="P312" s="47" t="s">
        <v>527</v>
      </c>
      <c r="Q312" s="48">
        <v>9700</v>
      </c>
      <c r="R312" s="49" t="s">
        <v>4</v>
      </c>
      <c r="S312" s="48" t="s">
        <v>4</v>
      </c>
      <c r="T312" s="47" t="s">
        <v>4</v>
      </c>
    </row>
    <row r="313" spans="1:20">
      <c r="A313" s="46">
        <v>136743612291</v>
      </c>
      <c r="B313" s="44" t="s">
        <v>517</v>
      </c>
      <c r="C313" s="45">
        <v>46001</v>
      </c>
      <c r="D313" s="46">
        <v>54599337351</v>
      </c>
      <c r="E313" s="46">
        <v>2145004873136</v>
      </c>
      <c r="F313" s="47" t="s">
        <v>529</v>
      </c>
      <c r="G313" s="47" t="s">
        <v>519</v>
      </c>
      <c r="H313" s="47" t="s">
        <v>4</v>
      </c>
      <c r="I313" s="46" t="s">
        <v>4</v>
      </c>
      <c r="J313" s="48">
        <v>1797.84</v>
      </c>
      <c r="K313" s="47" t="s">
        <v>520</v>
      </c>
      <c r="L313" s="47" t="s">
        <v>530</v>
      </c>
      <c r="M313" s="46" t="s">
        <v>522</v>
      </c>
      <c r="N313" s="47" t="s">
        <v>523</v>
      </c>
      <c r="O313" s="44" t="s">
        <v>263</v>
      </c>
      <c r="P313" s="47" t="s">
        <v>531</v>
      </c>
      <c r="Q313" s="48">
        <v>39600</v>
      </c>
      <c r="R313" s="49" t="s">
        <v>4</v>
      </c>
      <c r="S313" s="48" t="s">
        <v>4</v>
      </c>
      <c r="T313" s="47" t="s">
        <v>525</v>
      </c>
    </row>
    <row r="314" spans="1:20">
      <c r="A314" s="46">
        <v>136750250721</v>
      </c>
      <c r="B314" s="44" t="s">
        <v>517</v>
      </c>
      <c r="C314" s="45">
        <v>46001</v>
      </c>
      <c r="D314" s="46">
        <v>54602084611</v>
      </c>
      <c r="E314" s="46">
        <v>2144914497129</v>
      </c>
      <c r="F314" s="47" t="s">
        <v>518</v>
      </c>
      <c r="G314" s="47" t="s">
        <v>519</v>
      </c>
      <c r="H314" s="47" t="s">
        <v>4</v>
      </c>
      <c r="I314" s="46" t="s">
        <v>4</v>
      </c>
      <c r="J314" s="48">
        <v>251.22</v>
      </c>
      <c r="K314" s="47" t="s">
        <v>520</v>
      </c>
      <c r="L314" s="47" t="s">
        <v>521</v>
      </c>
      <c r="M314" s="46" t="s">
        <v>522</v>
      </c>
      <c r="N314" s="47" t="s">
        <v>523</v>
      </c>
      <c r="O314" s="44" t="s">
        <v>4</v>
      </c>
      <c r="P314" s="47" t="s">
        <v>649</v>
      </c>
      <c r="Q314" s="48">
        <v>25899</v>
      </c>
      <c r="R314" s="49" t="s">
        <v>4</v>
      </c>
      <c r="S314" s="48" t="s">
        <v>4</v>
      </c>
      <c r="T314" s="47" t="s">
        <v>525</v>
      </c>
    </row>
    <row r="315" spans="1:20">
      <c r="A315" s="46">
        <v>137381613934</v>
      </c>
      <c r="B315" s="44" t="s">
        <v>517</v>
      </c>
      <c r="C315" s="45">
        <v>46001</v>
      </c>
      <c r="D315" s="46">
        <v>54602316978</v>
      </c>
      <c r="E315" s="46">
        <v>2145058734626</v>
      </c>
      <c r="F315" s="47" t="s">
        <v>526</v>
      </c>
      <c r="G315" s="47" t="s">
        <v>519</v>
      </c>
      <c r="H315" s="47" t="s">
        <v>4</v>
      </c>
      <c r="I315" s="46" t="s">
        <v>4</v>
      </c>
      <c r="J315" s="48">
        <v>401.56</v>
      </c>
      <c r="K315" s="47" t="s">
        <v>520</v>
      </c>
      <c r="L315" s="47" t="s">
        <v>521</v>
      </c>
      <c r="M315" s="46" t="s">
        <v>522</v>
      </c>
      <c r="N315" s="47" t="s">
        <v>523</v>
      </c>
      <c r="O315" s="44" t="s">
        <v>4</v>
      </c>
      <c r="P315" s="47" t="s">
        <v>527</v>
      </c>
      <c r="Q315" s="48">
        <v>41398</v>
      </c>
      <c r="R315" s="49" t="s">
        <v>4</v>
      </c>
      <c r="S315" s="48" t="s">
        <v>4</v>
      </c>
      <c r="T315" s="47" t="s">
        <v>4</v>
      </c>
    </row>
    <row r="316" spans="1:20">
      <c r="A316" s="46">
        <v>136751051819</v>
      </c>
      <c r="B316" s="44" t="s">
        <v>517</v>
      </c>
      <c r="C316" s="45">
        <v>46001</v>
      </c>
      <c r="D316" s="46">
        <v>54602455614</v>
      </c>
      <c r="E316" s="46">
        <v>2145061144074</v>
      </c>
      <c r="F316" s="47" t="s">
        <v>529</v>
      </c>
      <c r="G316" s="47" t="s">
        <v>519</v>
      </c>
      <c r="H316" s="47" t="s">
        <v>4</v>
      </c>
      <c r="I316" s="46" t="s">
        <v>4</v>
      </c>
      <c r="J316" s="48">
        <v>5783.82</v>
      </c>
      <c r="K316" s="47" t="s">
        <v>520</v>
      </c>
      <c r="L316" s="47" t="s">
        <v>530</v>
      </c>
      <c r="M316" s="46" t="s">
        <v>522</v>
      </c>
      <c r="N316" s="47" t="s">
        <v>523</v>
      </c>
      <c r="O316" s="44" t="s">
        <v>263</v>
      </c>
      <c r="P316" s="47" t="s">
        <v>531</v>
      </c>
      <c r="Q316" s="48">
        <v>127397</v>
      </c>
      <c r="R316" s="49" t="s">
        <v>4</v>
      </c>
      <c r="S316" s="48" t="s">
        <v>4</v>
      </c>
      <c r="T316" s="47" t="s">
        <v>525</v>
      </c>
    </row>
    <row r="317" spans="1:20">
      <c r="A317" s="46">
        <v>136751554233</v>
      </c>
      <c r="B317" s="44" t="s">
        <v>517</v>
      </c>
      <c r="C317" s="45">
        <v>46001</v>
      </c>
      <c r="D317" s="46">
        <v>54602614575</v>
      </c>
      <c r="E317" s="46">
        <v>2144924623139</v>
      </c>
      <c r="F317" s="47" t="s">
        <v>518</v>
      </c>
      <c r="G317" s="47" t="s">
        <v>519</v>
      </c>
      <c r="H317" s="47" t="s">
        <v>4</v>
      </c>
      <c r="I317" s="46" t="s">
        <v>4</v>
      </c>
      <c r="J317" s="48">
        <v>552.9</v>
      </c>
      <c r="K317" s="47" t="s">
        <v>520</v>
      </c>
      <c r="L317" s="47" t="s">
        <v>521</v>
      </c>
      <c r="M317" s="46" t="s">
        <v>522</v>
      </c>
      <c r="N317" s="47" t="s">
        <v>523</v>
      </c>
      <c r="O317" s="44" t="s">
        <v>4</v>
      </c>
      <c r="P317" s="47" t="s">
        <v>549</v>
      </c>
      <c r="Q317" s="48">
        <v>57000</v>
      </c>
      <c r="R317" s="49" t="s">
        <v>4</v>
      </c>
      <c r="S317" s="48" t="s">
        <v>4</v>
      </c>
      <c r="T317" s="47" t="s">
        <v>525</v>
      </c>
    </row>
    <row r="318" spans="1:20">
      <c r="A318" s="46">
        <v>137382793626</v>
      </c>
      <c r="B318" s="44" t="s">
        <v>517</v>
      </c>
      <c r="C318" s="45">
        <v>46001</v>
      </c>
      <c r="D318" s="46">
        <v>54602763415</v>
      </c>
      <c r="E318" s="46">
        <v>2144927407969</v>
      </c>
      <c r="F318" s="47" t="s">
        <v>529</v>
      </c>
      <c r="G318" s="47" t="s">
        <v>519</v>
      </c>
      <c r="H318" s="47" t="s">
        <v>4</v>
      </c>
      <c r="I318" s="46" t="s">
        <v>4</v>
      </c>
      <c r="J318" s="48">
        <v>2424.81</v>
      </c>
      <c r="K318" s="47" t="s">
        <v>520</v>
      </c>
      <c r="L318" s="47" t="s">
        <v>530</v>
      </c>
      <c r="M318" s="46" t="s">
        <v>522</v>
      </c>
      <c r="N318" s="47" t="s">
        <v>523</v>
      </c>
      <c r="O318" s="44" t="s">
        <v>263</v>
      </c>
      <c r="P318" s="47" t="s">
        <v>531</v>
      </c>
      <c r="Q318" s="48">
        <v>61700</v>
      </c>
      <c r="R318" s="49" t="s">
        <v>4</v>
      </c>
      <c r="S318" s="48" t="s">
        <v>4</v>
      </c>
      <c r="T318" s="47" t="s">
        <v>525</v>
      </c>
    </row>
    <row r="319" spans="1:20">
      <c r="A319" s="46">
        <v>136752846325</v>
      </c>
      <c r="B319" s="44" t="s">
        <v>517</v>
      </c>
      <c r="C319" s="45">
        <v>46001</v>
      </c>
      <c r="D319" s="46">
        <v>54603152353</v>
      </c>
      <c r="E319" s="46">
        <v>2145074116418</v>
      </c>
      <c r="F319" s="47" t="s">
        <v>529</v>
      </c>
      <c r="G319" s="47" t="s">
        <v>519</v>
      </c>
      <c r="H319" s="47" t="s">
        <v>4</v>
      </c>
      <c r="I319" s="46" t="s">
        <v>4</v>
      </c>
      <c r="J319" s="48">
        <v>2078.81</v>
      </c>
      <c r="K319" s="47" t="s">
        <v>520</v>
      </c>
      <c r="L319" s="47" t="s">
        <v>530</v>
      </c>
      <c r="M319" s="46" t="s">
        <v>522</v>
      </c>
      <c r="N319" s="47" t="s">
        <v>523</v>
      </c>
      <c r="O319" s="44" t="s">
        <v>263</v>
      </c>
      <c r="P319" s="47" t="s">
        <v>531</v>
      </c>
      <c r="Q319" s="48">
        <v>52896</v>
      </c>
      <c r="R319" s="49" t="s">
        <v>4</v>
      </c>
      <c r="S319" s="48" t="s">
        <v>4</v>
      </c>
      <c r="T319" s="47" t="s">
        <v>525</v>
      </c>
    </row>
    <row r="320" spans="1:20">
      <c r="A320" s="46">
        <v>136754028045</v>
      </c>
      <c r="B320" s="44" t="s">
        <v>517</v>
      </c>
      <c r="C320" s="45">
        <v>46001</v>
      </c>
      <c r="D320" s="46">
        <v>54603714501</v>
      </c>
      <c r="E320" s="46">
        <v>2144944486153</v>
      </c>
      <c r="F320" s="47" t="s">
        <v>529</v>
      </c>
      <c r="G320" s="47" t="s">
        <v>519</v>
      </c>
      <c r="H320" s="47" t="s">
        <v>4</v>
      </c>
      <c r="I320" s="46" t="s">
        <v>4</v>
      </c>
      <c r="J320" s="48">
        <v>1564.06</v>
      </c>
      <c r="K320" s="47" t="s">
        <v>520</v>
      </c>
      <c r="L320" s="47" t="s">
        <v>530</v>
      </c>
      <c r="M320" s="46" t="s">
        <v>522</v>
      </c>
      <c r="N320" s="47" t="s">
        <v>523</v>
      </c>
      <c r="O320" s="44" t="s">
        <v>263</v>
      </c>
      <c r="P320" s="47" t="s">
        <v>531</v>
      </c>
      <c r="Q320" s="48">
        <v>39798</v>
      </c>
      <c r="R320" s="49" t="s">
        <v>4</v>
      </c>
      <c r="S320" s="48" t="s">
        <v>4</v>
      </c>
      <c r="T320" s="47" t="s">
        <v>525</v>
      </c>
    </row>
    <row r="321" spans="1:20">
      <c r="A321" s="46">
        <v>136754376295</v>
      </c>
      <c r="B321" s="44" t="s">
        <v>517</v>
      </c>
      <c r="C321" s="45">
        <v>46001</v>
      </c>
      <c r="D321" s="46">
        <v>54603805748</v>
      </c>
      <c r="E321" s="46">
        <v>2145086139106</v>
      </c>
      <c r="F321" s="47" t="s">
        <v>529</v>
      </c>
      <c r="G321" s="47" t="s">
        <v>519</v>
      </c>
      <c r="H321" s="47" t="s">
        <v>4</v>
      </c>
      <c r="I321" s="46" t="s">
        <v>4</v>
      </c>
      <c r="J321" s="48">
        <v>377.28</v>
      </c>
      <c r="K321" s="47" t="s">
        <v>520</v>
      </c>
      <c r="L321" s="47" t="s">
        <v>530</v>
      </c>
      <c r="M321" s="46" t="s">
        <v>522</v>
      </c>
      <c r="N321" s="47" t="s">
        <v>523</v>
      </c>
      <c r="O321" s="44" t="s">
        <v>263</v>
      </c>
      <c r="P321" s="47" t="s">
        <v>531</v>
      </c>
      <c r="Q321" s="48">
        <v>9600</v>
      </c>
      <c r="R321" s="49" t="s">
        <v>4</v>
      </c>
      <c r="S321" s="48" t="s">
        <v>4</v>
      </c>
      <c r="T321" s="47" t="s">
        <v>525</v>
      </c>
    </row>
    <row r="322" spans="1:20">
      <c r="A322" s="46">
        <v>136754357781</v>
      </c>
      <c r="B322" s="44" t="s">
        <v>517</v>
      </c>
      <c r="C322" s="45">
        <v>46001</v>
      </c>
      <c r="D322" s="46">
        <v>54603863044</v>
      </c>
      <c r="E322" s="46">
        <v>2144946682059</v>
      </c>
      <c r="F322" s="47" t="s">
        <v>518</v>
      </c>
      <c r="G322" s="47" t="s">
        <v>519</v>
      </c>
      <c r="H322" s="47" t="s">
        <v>4</v>
      </c>
      <c r="I322" s="46" t="s">
        <v>4</v>
      </c>
      <c r="J322" s="48">
        <v>358.9</v>
      </c>
      <c r="K322" s="47" t="s">
        <v>520</v>
      </c>
      <c r="L322" s="47" t="s">
        <v>521</v>
      </c>
      <c r="M322" s="46" t="s">
        <v>522</v>
      </c>
      <c r="N322" s="47" t="s">
        <v>523</v>
      </c>
      <c r="O322" s="44" t="s">
        <v>4</v>
      </c>
      <c r="P322" s="47" t="s">
        <v>650</v>
      </c>
      <c r="Q322" s="48">
        <v>37000</v>
      </c>
      <c r="R322" s="49" t="s">
        <v>4</v>
      </c>
      <c r="S322" s="48" t="s">
        <v>4</v>
      </c>
      <c r="T322" s="47" t="s">
        <v>525</v>
      </c>
    </row>
    <row r="323" spans="1:20">
      <c r="A323" s="46">
        <v>136756050703</v>
      </c>
      <c r="B323" s="44" t="s">
        <v>517</v>
      </c>
      <c r="C323" s="45">
        <v>46001</v>
      </c>
      <c r="D323" s="46">
        <v>54604538797</v>
      </c>
      <c r="E323" s="46">
        <v>2145096946220</v>
      </c>
      <c r="F323" s="47" t="s">
        <v>518</v>
      </c>
      <c r="G323" s="47" t="s">
        <v>519</v>
      </c>
      <c r="H323" s="47" t="s">
        <v>4</v>
      </c>
      <c r="I323" s="46" t="s">
        <v>4</v>
      </c>
      <c r="J323" s="48">
        <v>393.82</v>
      </c>
      <c r="K323" s="47" t="s">
        <v>520</v>
      </c>
      <c r="L323" s="47" t="s">
        <v>521</v>
      </c>
      <c r="M323" s="46" t="s">
        <v>522</v>
      </c>
      <c r="N323" s="47" t="s">
        <v>523</v>
      </c>
      <c r="O323" s="44" t="s">
        <v>4</v>
      </c>
      <c r="P323" s="47" t="s">
        <v>651</v>
      </c>
      <c r="Q323" s="48">
        <v>40600</v>
      </c>
      <c r="R323" s="49" t="s">
        <v>4</v>
      </c>
      <c r="S323" s="48" t="s">
        <v>4</v>
      </c>
      <c r="T323" s="47" t="s">
        <v>525</v>
      </c>
    </row>
    <row r="324" spans="1:20">
      <c r="A324" s="46">
        <v>137387028658</v>
      </c>
      <c r="B324" s="44" t="s">
        <v>517</v>
      </c>
      <c r="C324" s="45">
        <v>46001</v>
      </c>
      <c r="D324" s="46">
        <v>54604616571</v>
      </c>
      <c r="E324" s="46">
        <v>2145097660830</v>
      </c>
      <c r="F324" s="47" t="s">
        <v>526</v>
      </c>
      <c r="G324" s="47" t="s">
        <v>519</v>
      </c>
      <c r="H324" s="47" t="s">
        <v>4</v>
      </c>
      <c r="I324" s="46" t="s">
        <v>4</v>
      </c>
      <c r="J324" s="48">
        <v>517.98</v>
      </c>
      <c r="K324" s="47" t="s">
        <v>520</v>
      </c>
      <c r="L324" s="47" t="s">
        <v>521</v>
      </c>
      <c r="M324" s="46" t="s">
        <v>522</v>
      </c>
      <c r="N324" s="47" t="s">
        <v>523</v>
      </c>
      <c r="O324" s="44" t="s">
        <v>4</v>
      </c>
      <c r="P324" s="47" t="s">
        <v>527</v>
      </c>
      <c r="Q324" s="48">
        <v>53400</v>
      </c>
      <c r="R324" s="49" t="s">
        <v>4</v>
      </c>
      <c r="S324" s="48" t="s">
        <v>4</v>
      </c>
      <c r="T324" s="47" t="s">
        <v>4</v>
      </c>
    </row>
    <row r="325" spans="1:20">
      <c r="A325" s="46">
        <v>137388651946</v>
      </c>
      <c r="B325" s="44" t="s">
        <v>517</v>
      </c>
      <c r="C325" s="45">
        <v>46002</v>
      </c>
      <c r="D325" s="46">
        <v>54605476613</v>
      </c>
      <c r="E325" s="46">
        <v>2145108586614</v>
      </c>
      <c r="F325" s="47" t="s">
        <v>562</v>
      </c>
      <c r="G325" s="47" t="s">
        <v>519</v>
      </c>
      <c r="H325" s="47" t="s">
        <v>4</v>
      </c>
      <c r="I325" s="46" t="s">
        <v>4</v>
      </c>
      <c r="J325" s="48">
        <v>374.9</v>
      </c>
      <c r="K325" s="47" t="s">
        <v>520</v>
      </c>
      <c r="L325" s="47" t="s">
        <v>521</v>
      </c>
      <c r="M325" s="46" t="s">
        <v>522</v>
      </c>
      <c r="N325" s="47" t="s">
        <v>523</v>
      </c>
      <c r="O325" s="44" t="s">
        <v>4</v>
      </c>
      <c r="P325" s="47" t="s">
        <v>563</v>
      </c>
      <c r="Q325" s="48">
        <v>23000</v>
      </c>
      <c r="R325" s="49" t="s">
        <v>4</v>
      </c>
      <c r="S325" s="48" t="s">
        <v>4</v>
      </c>
      <c r="T325" s="47" t="s">
        <v>525</v>
      </c>
    </row>
    <row r="326" spans="1:20">
      <c r="A326" s="46">
        <v>136758090307</v>
      </c>
      <c r="B326" s="44" t="s">
        <v>517</v>
      </c>
      <c r="C326" s="45">
        <v>46002</v>
      </c>
      <c r="D326" s="46">
        <v>54605532647</v>
      </c>
      <c r="E326" s="46">
        <v>2145109712366</v>
      </c>
      <c r="F326" s="47" t="s">
        <v>518</v>
      </c>
      <c r="G326" s="47" t="s">
        <v>519</v>
      </c>
      <c r="H326" s="47" t="s">
        <v>4</v>
      </c>
      <c r="I326" s="46" t="s">
        <v>4</v>
      </c>
      <c r="J326" s="48">
        <v>81.48</v>
      </c>
      <c r="K326" s="47" t="s">
        <v>520</v>
      </c>
      <c r="L326" s="47" t="s">
        <v>521</v>
      </c>
      <c r="M326" s="46" t="s">
        <v>522</v>
      </c>
      <c r="N326" s="47" t="s">
        <v>523</v>
      </c>
      <c r="O326" s="44" t="s">
        <v>4</v>
      </c>
      <c r="P326" s="47" t="s">
        <v>652</v>
      </c>
      <c r="Q326" s="48">
        <v>8400</v>
      </c>
      <c r="R326" s="49" t="s">
        <v>4</v>
      </c>
      <c r="S326" s="48" t="s">
        <v>4</v>
      </c>
      <c r="T326" s="47" t="s">
        <v>525</v>
      </c>
    </row>
    <row r="327" spans="1:20">
      <c r="A327" s="46">
        <v>137389146058</v>
      </c>
      <c r="B327" s="44" t="s">
        <v>517</v>
      </c>
      <c r="C327" s="45">
        <v>46002</v>
      </c>
      <c r="D327" s="46">
        <v>54605757400</v>
      </c>
      <c r="E327" s="46">
        <v>2145112394656</v>
      </c>
      <c r="F327" s="47" t="s">
        <v>518</v>
      </c>
      <c r="G327" s="47" t="s">
        <v>519</v>
      </c>
      <c r="H327" s="47" t="s">
        <v>4</v>
      </c>
      <c r="I327" s="46" t="s">
        <v>4</v>
      </c>
      <c r="J327" s="48">
        <v>465.56</v>
      </c>
      <c r="K327" s="47" t="s">
        <v>520</v>
      </c>
      <c r="L327" s="47" t="s">
        <v>521</v>
      </c>
      <c r="M327" s="46" t="s">
        <v>522</v>
      </c>
      <c r="N327" s="47" t="s">
        <v>523</v>
      </c>
      <c r="O327" s="44" t="s">
        <v>4</v>
      </c>
      <c r="P327" s="47" t="s">
        <v>653</v>
      </c>
      <c r="Q327" s="48">
        <v>47996</v>
      </c>
      <c r="R327" s="49" t="s">
        <v>4</v>
      </c>
      <c r="S327" s="48" t="s">
        <v>4</v>
      </c>
      <c r="T327" s="47" t="s">
        <v>525</v>
      </c>
    </row>
    <row r="328" spans="1:20">
      <c r="A328" s="46">
        <v>136759600983</v>
      </c>
      <c r="B328" s="44" t="s">
        <v>517</v>
      </c>
      <c r="C328" s="45">
        <v>46002</v>
      </c>
      <c r="D328" s="46">
        <v>54606462200</v>
      </c>
      <c r="E328" s="46">
        <v>2145121809822</v>
      </c>
      <c r="F328" s="47" t="s">
        <v>518</v>
      </c>
      <c r="G328" s="47" t="s">
        <v>519</v>
      </c>
      <c r="H328" s="47" t="s">
        <v>4</v>
      </c>
      <c r="I328" s="46" t="s">
        <v>4</v>
      </c>
      <c r="J328" s="48">
        <v>647.96</v>
      </c>
      <c r="K328" s="47" t="s">
        <v>520</v>
      </c>
      <c r="L328" s="47" t="s">
        <v>521</v>
      </c>
      <c r="M328" s="46" t="s">
        <v>522</v>
      </c>
      <c r="N328" s="47" t="s">
        <v>523</v>
      </c>
      <c r="O328" s="44" t="s">
        <v>4</v>
      </c>
      <c r="P328" s="47" t="s">
        <v>654</v>
      </c>
      <c r="Q328" s="48">
        <v>66800</v>
      </c>
      <c r="R328" s="49" t="s">
        <v>4</v>
      </c>
      <c r="S328" s="48" t="s">
        <v>4</v>
      </c>
      <c r="T328" s="47" t="s">
        <v>525</v>
      </c>
    </row>
    <row r="329" spans="1:20">
      <c r="A329" s="46">
        <v>137392666128</v>
      </c>
      <c r="B329" s="44" t="s">
        <v>517</v>
      </c>
      <c r="C329" s="45">
        <v>46002</v>
      </c>
      <c r="D329" s="46">
        <v>54607730314</v>
      </c>
      <c r="E329" s="46">
        <v>2145140108550</v>
      </c>
      <c r="F329" s="47" t="s">
        <v>518</v>
      </c>
      <c r="G329" s="47" t="s">
        <v>519</v>
      </c>
      <c r="H329" s="47" t="s">
        <v>4</v>
      </c>
      <c r="I329" s="46" t="s">
        <v>4</v>
      </c>
      <c r="J329" s="48">
        <v>150.35</v>
      </c>
      <c r="K329" s="47" t="s">
        <v>520</v>
      </c>
      <c r="L329" s="47" t="s">
        <v>521</v>
      </c>
      <c r="M329" s="46" t="s">
        <v>522</v>
      </c>
      <c r="N329" s="47" t="s">
        <v>523</v>
      </c>
      <c r="O329" s="44" t="s">
        <v>4</v>
      </c>
      <c r="P329" s="47" t="s">
        <v>655</v>
      </c>
      <c r="Q329" s="48">
        <v>15500</v>
      </c>
      <c r="R329" s="49" t="s">
        <v>4</v>
      </c>
      <c r="S329" s="48" t="s">
        <v>4</v>
      </c>
      <c r="T329" s="47" t="s">
        <v>525</v>
      </c>
    </row>
    <row r="330" spans="1:20">
      <c r="A330" s="46">
        <v>136761788097</v>
      </c>
      <c r="B330" s="44" t="s">
        <v>517</v>
      </c>
      <c r="C330" s="45">
        <v>46002</v>
      </c>
      <c r="D330" s="46">
        <v>54607915551</v>
      </c>
      <c r="E330" s="46">
        <v>2145143399120</v>
      </c>
      <c r="F330" s="47" t="s">
        <v>529</v>
      </c>
      <c r="G330" s="47" t="s">
        <v>519</v>
      </c>
      <c r="H330" s="47" t="s">
        <v>4</v>
      </c>
      <c r="I330" s="46" t="s">
        <v>4</v>
      </c>
      <c r="J330" s="48">
        <v>668.1</v>
      </c>
      <c r="K330" s="47" t="s">
        <v>520</v>
      </c>
      <c r="L330" s="47" t="s">
        <v>530</v>
      </c>
      <c r="M330" s="46" t="s">
        <v>522</v>
      </c>
      <c r="N330" s="47" t="s">
        <v>523</v>
      </c>
      <c r="O330" s="44" t="s">
        <v>263</v>
      </c>
      <c r="P330" s="47" t="s">
        <v>531</v>
      </c>
      <c r="Q330" s="48">
        <v>17000</v>
      </c>
      <c r="R330" s="49" t="s">
        <v>4</v>
      </c>
      <c r="S330" s="48" t="s">
        <v>4</v>
      </c>
      <c r="T330" s="47" t="s">
        <v>525</v>
      </c>
    </row>
    <row r="331" spans="1:20">
      <c r="A331" s="46">
        <v>136762890073</v>
      </c>
      <c r="B331" s="44" t="s">
        <v>517</v>
      </c>
      <c r="C331" s="45">
        <v>46002</v>
      </c>
      <c r="D331" s="46">
        <v>54608559734</v>
      </c>
      <c r="E331" s="46">
        <v>2145154686346</v>
      </c>
      <c r="F331" s="47" t="s">
        <v>529</v>
      </c>
      <c r="G331" s="47" t="s">
        <v>519</v>
      </c>
      <c r="H331" s="47" t="s">
        <v>4</v>
      </c>
      <c r="I331" s="46" t="s">
        <v>4</v>
      </c>
      <c r="J331" s="48">
        <v>1100.4000000000001</v>
      </c>
      <c r="K331" s="47" t="s">
        <v>520</v>
      </c>
      <c r="L331" s="47" t="s">
        <v>530</v>
      </c>
      <c r="M331" s="46" t="s">
        <v>522</v>
      </c>
      <c r="N331" s="47" t="s">
        <v>523</v>
      </c>
      <c r="O331" s="44" t="s">
        <v>263</v>
      </c>
      <c r="P331" s="47" t="s">
        <v>531</v>
      </c>
      <c r="Q331" s="48">
        <v>28000</v>
      </c>
      <c r="R331" s="49" t="s">
        <v>4</v>
      </c>
      <c r="S331" s="48" t="s">
        <v>4</v>
      </c>
      <c r="T331" s="47" t="s">
        <v>525</v>
      </c>
    </row>
    <row r="332" spans="1:20">
      <c r="A332" s="46">
        <v>136763077907</v>
      </c>
      <c r="B332" s="44" t="s">
        <v>517</v>
      </c>
      <c r="C332" s="45">
        <v>46002</v>
      </c>
      <c r="D332" s="46">
        <v>54608672935</v>
      </c>
      <c r="E332" s="46">
        <v>2145156334412</v>
      </c>
      <c r="F332" s="47" t="s">
        <v>518</v>
      </c>
      <c r="G332" s="47" t="s">
        <v>519</v>
      </c>
      <c r="H332" s="47" t="s">
        <v>4</v>
      </c>
      <c r="I332" s="46" t="s">
        <v>4</v>
      </c>
      <c r="J332" s="48">
        <v>197.88</v>
      </c>
      <c r="K332" s="47" t="s">
        <v>520</v>
      </c>
      <c r="L332" s="47" t="s">
        <v>521</v>
      </c>
      <c r="M332" s="46" t="s">
        <v>522</v>
      </c>
      <c r="N332" s="47" t="s">
        <v>523</v>
      </c>
      <c r="O332" s="44" t="s">
        <v>4</v>
      </c>
      <c r="P332" s="47" t="s">
        <v>656</v>
      </c>
      <c r="Q332" s="48">
        <v>20400</v>
      </c>
      <c r="R332" s="49" t="s">
        <v>4</v>
      </c>
      <c r="S332" s="48" t="s">
        <v>4</v>
      </c>
      <c r="T332" s="47" t="s">
        <v>525</v>
      </c>
    </row>
    <row r="333" spans="1:20">
      <c r="A333" s="46">
        <v>136763246569</v>
      </c>
      <c r="B333" s="44" t="s">
        <v>517</v>
      </c>
      <c r="C333" s="45">
        <v>46002</v>
      </c>
      <c r="D333" s="46">
        <v>54608738244</v>
      </c>
      <c r="E333" s="46">
        <v>2145016664763</v>
      </c>
      <c r="F333" s="47" t="s">
        <v>518</v>
      </c>
      <c r="G333" s="47" t="s">
        <v>519</v>
      </c>
      <c r="H333" s="47" t="s">
        <v>4</v>
      </c>
      <c r="I333" s="46" t="s">
        <v>4</v>
      </c>
      <c r="J333" s="48">
        <v>183.33</v>
      </c>
      <c r="K333" s="47" t="s">
        <v>520</v>
      </c>
      <c r="L333" s="47" t="s">
        <v>521</v>
      </c>
      <c r="M333" s="46" t="s">
        <v>522</v>
      </c>
      <c r="N333" s="47" t="s">
        <v>523</v>
      </c>
      <c r="O333" s="44" t="s">
        <v>4</v>
      </c>
      <c r="P333" s="47" t="s">
        <v>657</v>
      </c>
      <c r="Q333" s="48">
        <v>18900</v>
      </c>
      <c r="R333" s="49" t="s">
        <v>4</v>
      </c>
      <c r="S333" s="48" t="s">
        <v>4</v>
      </c>
      <c r="T333" s="47" t="s">
        <v>525</v>
      </c>
    </row>
    <row r="334" spans="1:20">
      <c r="A334" s="46">
        <v>136763251849</v>
      </c>
      <c r="B334" s="44" t="s">
        <v>517</v>
      </c>
      <c r="C334" s="45">
        <v>46002</v>
      </c>
      <c r="D334" s="46">
        <v>54608857305</v>
      </c>
      <c r="E334" s="46">
        <v>2145158409944</v>
      </c>
      <c r="F334" s="47" t="s">
        <v>518</v>
      </c>
      <c r="G334" s="47" t="s">
        <v>519</v>
      </c>
      <c r="H334" s="47" t="s">
        <v>4</v>
      </c>
      <c r="I334" s="46" t="s">
        <v>4</v>
      </c>
      <c r="J334" s="48">
        <v>888.5</v>
      </c>
      <c r="K334" s="47" t="s">
        <v>520</v>
      </c>
      <c r="L334" s="47" t="s">
        <v>521</v>
      </c>
      <c r="M334" s="46" t="s">
        <v>522</v>
      </c>
      <c r="N334" s="47" t="s">
        <v>523</v>
      </c>
      <c r="O334" s="44" t="s">
        <v>4</v>
      </c>
      <c r="P334" s="47" t="s">
        <v>658</v>
      </c>
      <c r="Q334" s="48">
        <v>91598</v>
      </c>
      <c r="R334" s="49" t="s">
        <v>4</v>
      </c>
      <c r="S334" s="48" t="s">
        <v>4</v>
      </c>
      <c r="T334" s="47" t="s">
        <v>525</v>
      </c>
    </row>
    <row r="335" spans="1:20">
      <c r="A335" s="46">
        <v>137504808854</v>
      </c>
      <c r="B335" s="44" t="s">
        <v>517</v>
      </c>
      <c r="C335" s="45">
        <v>46002</v>
      </c>
      <c r="D335" s="46">
        <v>54653103834</v>
      </c>
      <c r="E335" s="46">
        <v>2145893585544</v>
      </c>
      <c r="F335" s="47" t="s">
        <v>518</v>
      </c>
      <c r="G335" s="47" t="s">
        <v>519</v>
      </c>
      <c r="H335" s="47" t="s">
        <v>4</v>
      </c>
      <c r="I335" s="46" t="s">
        <v>4</v>
      </c>
      <c r="J335" s="48">
        <v>162.96</v>
      </c>
      <c r="K335" s="47" t="s">
        <v>520</v>
      </c>
      <c r="L335" s="47" t="s">
        <v>521</v>
      </c>
      <c r="M335" s="46" t="s">
        <v>522</v>
      </c>
      <c r="N335" s="47" t="s">
        <v>523</v>
      </c>
      <c r="O335" s="44" t="s">
        <v>4</v>
      </c>
      <c r="P335" s="47" t="s">
        <v>659</v>
      </c>
      <c r="Q335" s="48">
        <v>16800</v>
      </c>
      <c r="R335" s="49" t="s">
        <v>4</v>
      </c>
      <c r="S335" s="48" t="s">
        <v>4</v>
      </c>
      <c r="T335" s="47" t="s">
        <v>525</v>
      </c>
    </row>
    <row r="336" spans="1:20">
      <c r="A336" s="46">
        <v>137505117298</v>
      </c>
      <c r="B336" s="44" t="s">
        <v>517</v>
      </c>
      <c r="C336" s="45">
        <v>46002</v>
      </c>
      <c r="D336" s="46">
        <v>54653273382</v>
      </c>
      <c r="E336" s="46">
        <v>2145895864320</v>
      </c>
      <c r="F336" s="47" t="s">
        <v>529</v>
      </c>
      <c r="G336" s="47" t="s">
        <v>519</v>
      </c>
      <c r="H336" s="47" t="s">
        <v>4</v>
      </c>
      <c r="I336" s="46" t="s">
        <v>4</v>
      </c>
      <c r="J336" s="48">
        <v>463.08</v>
      </c>
      <c r="K336" s="47" t="s">
        <v>520</v>
      </c>
      <c r="L336" s="47" t="s">
        <v>530</v>
      </c>
      <c r="M336" s="46" t="s">
        <v>660</v>
      </c>
      <c r="N336" s="47" t="s">
        <v>661</v>
      </c>
      <c r="O336" s="44" t="s">
        <v>263</v>
      </c>
      <c r="P336" s="47" t="s">
        <v>531</v>
      </c>
      <c r="Q336" s="48">
        <v>10200</v>
      </c>
      <c r="R336" s="49" t="s">
        <v>4</v>
      </c>
      <c r="S336" s="48" t="s">
        <v>4</v>
      </c>
      <c r="T336" s="47" t="s">
        <v>525</v>
      </c>
    </row>
    <row r="337" spans="1:20">
      <c r="A337" s="46">
        <v>137509141570</v>
      </c>
      <c r="B337" s="44" t="s">
        <v>517</v>
      </c>
      <c r="C337" s="45">
        <v>46002</v>
      </c>
      <c r="D337" s="46">
        <v>54654939959</v>
      </c>
      <c r="E337" s="46">
        <v>2145779686285</v>
      </c>
      <c r="F337" s="47" t="s">
        <v>526</v>
      </c>
      <c r="G337" s="47" t="s">
        <v>519</v>
      </c>
      <c r="H337" s="47" t="s">
        <v>4</v>
      </c>
      <c r="I337" s="46" t="s">
        <v>4</v>
      </c>
      <c r="J337" s="48">
        <v>85.36</v>
      </c>
      <c r="K337" s="47" t="s">
        <v>520</v>
      </c>
      <c r="L337" s="47" t="s">
        <v>521</v>
      </c>
      <c r="M337" s="46" t="s">
        <v>660</v>
      </c>
      <c r="N337" s="47" t="s">
        <v>661</v>
      </c>
      <c r="O337" s="44" t="s">
        <v>4</v>
      </c>
      <c r="P337" s="47" t="s">
        <v>527</v>
      </c>
      <c r="Q337" s="48">
        <v>8800</v>
      </c>
      <c r="R337" s="49" t="s">
        <v>4</v>
      </c>
      <c r="S337" s="48" t="s">
        <v>4</v>
      </c>
      <c r="T337" s="47" t="s">
        <v>4</v>
      </c>
    </row>
    <row r="338" spans="1:20">
      <c r="A338" s="46">
        <v>137514965726</v>
      </c>
      <c r="B338" s="44" t="s">
        <v>517</v>
      </c>
      <c r="C338" s="45">
        <v>46002</v>
      </c>
      <c r="D338" s="46">
        <v>54657225883</v>
      </c>
      <c r="E338" s="46">
        <v>2145816673081</v>
      </c>
      <c r="F338" s="47" t="s">
        <v>529</v>
      </c>
      <c r="G338" s="47" t="s">
        <v>519</v>
      </c>
      <c r="H338" s="47" t="s">
        <v>4</v>
      </c>
      <c r="I338" s="46" t="s">
        <v>4</v>
      </c>
      <c r="J338" s="48">
        <v>1719.72</v>
      </c>
      <c r="K338" s="47" t="s">
        <v>520</v>
      </c>
      <c r="L338" s="47" t="s">
        <v>530</v>
      </c>
      <c r="M338" s="46" t="s">
        <v>660</v>
      </c>
      <c r="N338" s="47" t="s">
        <v>661</v>
      </c>
      <c r="O338" s="44" t="s">
        <v>263</v>
      </c>
      <c r="P338" s="47" t="s">
        <v>531</v>
      </c>
      <c r="Q338" s="48">
        <v>15300</v>
      </c>
      <c r="R338" s="49" t="s">
        <v>4</v>
      </c>
      <c r="S338" s="48" t="s">
        <v>4</v>
      </c>
      <c r="T338" s="47" t="s">
        <v>525</v>
      </c>
    </row>
    <row r="339" spans="1:20">
      <c r="A339" s="46">
        <v>137516316134</v>
      </c>
      <c r="B339" s="44" t="s">
        <v>517</v>
      </c>
      <c r="C339" s="45">
        <v>46002</v>
      </c>
      <c r="D339" s="46">
        <v>54657672426</v>
      </c>
      <c r="E339" s="46">
        <v>2145966973800</v>
      </c>
      <c r="F339" s="47" t="s">
        <v>529</v>
      </c>
      <c r="G339" s="47" t="s">
        <v>519</v>
      </c>
      <c r="H339" s="47" t="s">
        <v>4</v>
      </c>
      <c r="I339" s="46" t="s">
        <v>4</v>
      </c>
      <c r="J339" s="48">
        <v>2062.31</v>
      </c>
      <c r="K339" s="47" t="s">
        <v>520</v>
      </c>
      <c r="L339" s="47" t="s">
        <v>530</v>
      </c>
      <c r="M339" s="46" t="s">
        <v>522</v>
      </c>
      <c r="N339" s="47" t="s">
        <v>523</v>
      </c>
      <c r="O339" s="44" t="s">
        <v>263</v>
      </c>
      <c r="P339" s="47" t="s">
        <v>531</v>
      </c>
      <c r="Q339" s="48">
        <v>27100</v>
      </c>
      <c r="R339" s="49" t="s">
        <v>4</v>
      </c>
      <c r="S339" s="48" t="s">
        <v>4</v>
      </c>
      <c r="T339" s="47" t="s">
        <v>525</v>
      </c>
    </row>
    <row r="340" spans="1:20">
      <c r="A340" s="46">
        <v>137517341310</v>
      </c>
      <c r="B340" s="44" t="s">
        <v>517</v>
      </c>
      <c r="C340" s="45">
        <v>46002</v>
      </c>
      <c r="D340" s="46">
        <v>54658138925</v>
      </c>
      <c r="E340" s="46">
        <v>2145975455832</v>
      </c>
      <c r="F340" s="47" t="s">
        <v>529</v>
      </c>
      <c r="G340" s="47" t="s">
        <v>519</v>
      </c>
      <c r="H340" s="47" t="s">
        <v>4</v>
      </c>
      <c r="I340" s="46" t="s">
        <v>4</v>
      </c>
      <c r="J340" s="48">
        <v>644.67999999999995</v>
      </c>
      <c r="K340" s="47" t="s">
        <v>520</v>
      </c>
      <c r="L340" s="47" t="s">
        <v>530</v>
      </c>
      <c r="M340" s="46" t="s">
        <v>660</v>
      </c>
      <c r="N340" s="47" t="s">
        <v>661</v>
      </c>
      <c r="O340" s="44" t="s">
        <v>263</v>
      </c>
      <c r="P340" s="47" t="s">
        <v>531</v>
      </c>
      <c r="Q340" s="48">
        <v>14200</v>
      </c>
      <c r="R340" s="49" t="s">
        <v>4</v>
      </c>
      <c r="S340" s="48" t="s">
        <v>4</v>
      </c>
      <c r="T340" s="47" t="s">
        <v>525</v>
      </c>
    </row>
    <row r="341" spans="1:20">
      <c r="A341" s="46">
        <v>136888436805</v>
      </c>
      <c r="B341" s="44" t="s">
        <v>517</v>
      </c>
      <c r="C341" s="45">
        <v>46002</v>
      </c>
      <c r="D341" s="46">
        <v>54659599863</v>
      </c>
      <c r="E341" s="46">
        <v>2146001860618</v>
      </c>
      <c r="F341" s="47" t="s">
        <v>529</v>
      </c>
      <c r="G341" s="47" t="s">
        <v>519</v>
      </c>
      <c r="H341" s="47" t="s">
        <v>4</v>
      </c>
      <c r="I341" s="46" t="s">
        <v>4</v>
      </c>
      <c r="J341" s="48">
        <v>2119.39</v>
      </c>
      <c r="K341" s="47" t="s">
        <v>520</v>
      </c>
      <c r="L341" s="47" t="s">
        <v>530</v>
      </c>
      <c r="M341" s="46" t="s">
        <v>660</v>
      </c>
      <c r="N341" s="47" t="s">
        <v>661</v>
      </c>
      <c r="O341" s="44" t="s">
        <v>263</v>
      </c>
      <c r="P341" s="47" t="s">
        <v>531</v>
      </c>
      <c r="Q341" s="48">
        <v>27850</v>
      </c>
      <c r="R341" s="49" t="s">
        <v>4</v>
      </c>
      <c r="S341" s="48" t="s">
        <v>4</v>
      </c>
      <c r="T341" s="47" t="s">
        <v>525</v>
      </c>
    </row>
    <row r="342" spans="1:20">
      <c r="A342" s="46">
        <v>137521468712</v>
      </c>
      <c r="B342" s="44" t="s">
        <v>517</v>
      </c>
      <c r="C342" s="45">
        <v>46002</v>
      </c>
      <c r="D342" s="46">
        <v>54659703759</v>
      </c>
      <c r="E342" s="46">
        <v>2146003950626</v>
      </c>
      <c r="F342" s="47" t="s">
        <v>518</v>
      </c>
      <c r="G342" s="47" t="s">
        <v>519</v>
      </c>
      <c r="H342" s="47" t="s">
        <v>4</v>
      </c>
      <c r="I342" s="46" t="s">
        <v>4</v>
      </c>
      <c r="J342" s="48">
        <v>202.73</v>
      </c>
      <c r="K342" s="47" t="s">
        <v>520</v>
      </c>
      <c r="L342" s="47" t="s">
        <v>521</v>
      </c>
      <c r="M342" s="46" t="s">
        <v>522</v>
      </c>
      <c r="N342" s="47" t="s">
        <v>523</v>
      </c>
      <c r="O342" s="44" t="s">
        <v>4</v>
      </c>
      <c r="P342" s="47" t="s">
        <v>662</v>
      </c>
      <c r="Q342" s="48">
        <v>20900</v>
      </c>
      <c r="R342" s="49" t="s">
        <v>4</v>
      </c>
      <c r="S342" s="48" t="s">
        <v>4</v>
      </c>
      <c r="T342" s="47" t="s">
        <v>525</v>
      </c>
    </row>
    <row r="343" spans="1:20">
      <c r="A343" s="46">
        <v>137523926554</v>
      </c>
      <c r="B343" s="44" t="s">
        <v>517</v>
      </c>
      <c r="C343" s="45">
        <v>46002</v>
      </c>
      <c r="D343" s="46">
        <v>54660568331</v>
      </c>
      <c r="E343" s="46">
        <v>2145877773573</v>
      </c>
      <c r="F343" s="47" t="s">
        <v>518</v>
      </c>
      <c r="G343" s="47" t="s">
        <v>519</v>
      </c>
      <c r="H343" s="47" t="s">
        <v>4</v>
      </c>
      <c r="I343" s="46" t="s">
        <v>4</v>
      </c>
      <c r="J343" s="48">
        <v>284.20999999999998</v>
      </c>
      <c r="K343" s="47" t="s">
        <v>520</v>
      </c>
      <c r="L343" s="47" t="s">
        <v>521</v>
      </c>
      <c r="M343" s="46" t="s">
        <v>522</v>
      </c>
      <c r="N343" s="47" t="s">
        <v>523</v>
      </c>
      <c r="O343" s="44" t="s">
        <v>4</v>
      </c>
      <c r="P343" s="47" t="s">
        <v>663</v>
      </c>
      <c r="Q343" s="48">
        <v>29300</v>
      </c>
      <c r="R343" s="49" t="s">
        <v>4</v>
      </c>
      <c r="S343" s="48" t="s">
        <v>4</v>
      </c>
      <c r="T343" s="47" t="s">
        <v>525</v>
      </c>
    </row>
    <row r="344" spans="1:20">
      <c r="A344" s="46">
        <v>136890753563</v>
      </c>
      <c r="B344" s="44" t="s">
        <v>517</v>
      </c>
      <c r="C344" s="45">
        <v>46002</v>
      </c>
      <c r="D344" s="46">
        <v>54660609146</v>
      </c>
      <c r="E344" s="46">
        <v>2145878629381</v>
      </c>
      <c r="F344" s="47" t="s">
        <v>529</v>
      </c>
      <c r="G344" s="47" t="s">
        <v>519</v>
      </c>
      <c r="H344" s="47" t="s">
        <v>4</v>
      </c>
      <c r="I344" s="46" t="s">
        <v>4</v>
      </c>
      <c r="J344" s="48">
        <v>872.46</v>
      </c>
      <c r="K344" s="47" t="s">
        <v>520</v>
      </c>
      <c r="L344" s="47" t="s">
        <v>530</v>
      </c>
      <c r="M344" s="46" t="s">
        <v>660</v>
      </c>
      <c r="N344" s="47" t="s">
        <v>661</v>
      </c>
      <c r="O344" s="44" t="s">
        <v>263</v>
      </c>
      <c r="P344" s="47" t="s">
        <v>531</v>
      </c>
      <c r="Q344" s="48">
        <v>22200</v>
      </c>
      <c r="R344" s="49" t="s">
        <v>4</v>
      </c>
      <c r="S344" s="48" t="s">
        <v>4</v>
      </c>
      <c r="T344" s="47" t="s">
        <v>525</v>
      </c>
    </row>
    <row r="345" spans="1:20">
      <c r="A345" s="46">
        <v>136893462517</v>
      </c>
      <c r="B345" s="44" t="s">
        <v>517</v>
      </c>
      <c r="C345" s="45">
        <v>46002</v>
      </c>
      <c r="D345" s="46">
        <v>54661564283</v>
      </c>
      <c r="E345" s="46">
        <v>2146039904356</v>
      </c>
      <c r="F345" s="47" t="s">
        <v>529</v>
      </c>
      <c r="G345" s="47" t="s">
        <v>519</v>
      </c>
      <c r="H345" s="47" t="s">
        <v>4</v>
      </c>
      <c r="I345" s="46" t="s">
        <v>4</v>
      </c>
      <c r="J345" s="48">
        <v>487.32</v>
      </c>
      <c r="K345" s="47" t="s">
        <v>520</v>
      </c>
      <c r="L345" s="47" t="s">
        <v>530</v>
      </c>
      <c r="M345" s="46" t="s">
        <v>660</v>
      </c>
      <c r="N345" s="47" t="s">
        <v>661</v>
      </c>
      <c r="O345" s="44" t="s">
        <v>263</v>
      </c>
      <c r="P345" s="47" t="s">
        <v>531</v>
      </c>
      <c r="Q345" s="48">
        <v>12400</v>
      </c>
      <c r="R345" s="49" t="s">
        <v>4</v>
      </c>
      <c r="S345" s="48" t="s">
        <v>4</v>
      </c>
      <c r="T345" s="47" t="s">
        <v>525</v>
      </c>
    </row>
    <row r="346" spans="1:20">
      <c r="A346" s="46">
        <v>136893538091</v>
      </c>
      <c r="B346" s="44" t="s">
        <v>517</v>
      </c>
      <c r="C346" s="45">
        <v>46002</v>
      </c>
      <c r="D346" s="46">
        <v>54661659790</v>
      </c>
      <c r="E346" s="46">
        <v>2145899374679</v>
      </c>
      <c r="F346" s="47" t="s">
        <v>518</v>
      </c>
      <c r="G346" s="47" t="s">
        <v>519</v>
      </c>
      <c r="H346" s="47" t="s">
        <v>4</v>
      </c>
      <c r="I346" s="46" t="s">
        <v>4</v>
      </c>
      <c r="J346" s="48">
        <v>103.79</v>
      </c>
      <c r="K346" s="47" t="s">
        <v>520</v>
      </c>
      <c r="L346" s="47" t="s">
        <v>521</v>
      </c>
      <c r="M346" s="46" t="s">
        <v>522</v>
      </c>
      <c r="N346" s="47" t="s">
        <v>523</v>
      </c>
      <c r="O346" s="44" t="s">
        <v>4</v>
      </c>
      <c r="P346" s="47" t="s">
        <v>664</v>
      </c>
      <c r="Q346" s="48">
        <v>10700</v>
      </c>
      <c r="R346" s="49" t="s">
        <v>4</v>
      </c>
      <c r="S346" s="48" t="s">
        <v>4</v>
      </c>
      <c r="T346" s="47" t="s">
        <v>525</v>
      </c>
    </row>
    <row r="347" spans="1:20">
      <c r="A347" s="46">
        <v>136894464427</v>
      </c>
      <c r="B347" s="44" t="s">
        <v>517</v>
      </c>
      <c r="C347" s="45">
        <v>46002</v>
      </c>
      <c r="D347" s="46">
        <v>54662016571</v>
      </c>
      <c r="E347" s="46">
        <v>2145905312867</v>
      </c>
      <c r="F347" s="47" t="s">
        <v>518</v>
      </c>
      <c r="G347" s="47" t="s">
        <v>519</v>
      </c>
      <c r="H347" s="47" t="s">
        <v>4</v>
      </c>
      <c r="I347" s="46" t="s">
        <v>4</v>
      </c>
      <c r="J347" s="48">
        <v>46.56</v>
      </c>
      <c r="K347" s="47" t="s">
        <v>520</v>
      </c>
      <c r="L347" s="47" t="s">
        <v>521</v>
      </c>
      <c r="M347" s="46" t="s">
        <v>522</v>
      </c>
      <c r="N347" s="47" t="s">
        <v>523</v>
      </c>
      <c r="O347" s="44" t="s">
        <v>4</v>
      </c>
      <c r="P347" s="47" t="s">
        <v>665</v>
      </c>
      <c r="Q347" s="48">
        <v>4800</v>
      </c>
      <c r="R347" s="49" t="s">
        <v>4</v>
      </c>
      <c r="S347" s="48" t="s">
        <v>4</v>
      </c>
      <c r="T347" s="47" t="s">
        <v>525</v>
      </c>
    </row>
    <row r="348" spans="1:20">
      <c r="A348" s="46">
        <v>136894824195</v>
      </c>
      <c r="B348" s="44" t="s">
        <v>517</v>
      </c>
      <c r="C348" s="45">
        <v>46002</v>
      </c>
      <c r="D348" s="46">
        <v>54662165233</v>
      </c>
      <c r="E348" s="46">
        <v>2145907943089</v>
      </c>
      <c r="F348" s="47" t="s">
        <v>518</v>
      </c>
      <c r="G348" s="47" t="s">
        <v>519</v>
      </c>
      <c r="H348" s="47" t="s">
        <v>4</v>
      </c>
      <c r="I348" s="46" t="s">
        <v>4</v>
      </c>
      <c r="J348" s="48">
        <v>332.71</v>
      </c>
      <c r="K348" s="47" t="s">
        <v>520</v>
      </c>
      <c r="L348" s="47" t="s">
        <v>521</v>
      </c>
      <c r="M348" s="46" t="s">
        <v>522</v>
      </c>
      <c r="N348" s="47" t="s">
        <v>523</v>
      </c>
      <c r="O348" s="44" t="s">
        <v>4</v>
      </c>
      <c r="P348" s="47" t="s">
        <v>666</v>
      </c>
      <c r="Q348" s="48">
        <v>34300</v>
      </c>
      <c r="R348" s="49" t="s">
        <v>4</v>
      </c>
      <c r="S348" s="48" t="s">
        <v>4</v>
      </c>
      <c r="T348" s="47" t="s">
        <v>525</v>
      </c>
    </row>
    <row r="349" spans="1:20">
      <c r="A349" s="46">
        <v>137530279132</v>
      </c>
      <c r="B349" s="44" t="s">
        <v>517</v>
      </c>
      <c r="C349" s="45">
        <v>46002</v>
      </c>
      <c r="D349" s="46">
        <v>54663232418</v>
      </c>
      <c r="E349" s="46">
        <v>2145926833123</v>
      </c>
      <c r="F349" s="47" t="s">
        <v>518</v>
      </c>
      <c r="G349" s="47" t="s">
        <v>519</v>
      </c>
      <c r="H349" s="47" t="s">
        <v>4</v>
      </c>
      <c r="I349" s="46" t="s">
        <v>4</v>
      </c>
      <c r="J349" s="48">
        <v>40.74</v>
      </c>
      <c r="K349" s="47" t="s">
        <v>520</v>
      </c>
      <c r="L349" s="47" t="s">
        <v>521</v>
      </c>
      <c r="M349" s="46" t="s">
        <v>522</v>
      </c>
      <c r="N349" s="47" t="s">
        <v>523</v>
      </c>
      <c r="O349" s="44" t="s">
        <v>4</v>
      </c>
      <c r="P349" s="47" t="s">
        <v>667</v>
      </c>
      <c r="Q349" s="48">
        <v>4200</v>
      </c>
      <c r="R349" s="49" t="s">
        <v>4</v>
      </c>
      <c r="S349" s="48" t="s">
        <v>4</v>
      </c>
      <c r="T349" s="47" t="s">
        <v>525</v>
      </c>
    </row>
    <row r="350" spans="1:20">
      <c r="A350" s="46">
        <v>136898510177</v>
      </c>
      <c r="B350" s="44" t="s">
        <v>517</v>
      </c>
      <c r="C350" s="45">
        <v>46002</v>
      </c>
      <c r="D350" s="46">
        <v>54663677506</v>
      </c>
      <c r="E350" s="46">
        <v>2146078071156</v>
      </c>
      <c r="F350" s="47" t="s">
        <v>529</v>
      </c>
      <c r="G350" s="47" t="s">
        <v>519</v>
      </c>
      <c r="H350" s="47" t="s">
        <v>4</v>
      </c>
      <c r="I350" s="46" t="s">
        <v>4</v>
      </c>
      <c r="J350" s="48">
        <v>1426.59</v>
      </c>
      <c r="K350" s="47" t="s">
        <v>520</v>
      </c>
      <c r="L350" s="47" t="s">
        <v>530</v>
      </c>
      <c r="M350" s="46" t="s">
        <v>660</v>
      </c>
      <c r="N350" s="47" t="s">
        <v>661</v>
      </c>
      <c r="O350" s="44" t="s">
        <v>263</v>
      </c>
      <c r="P350" s="47" t="s">
        <v>531</v>
      </c>
      <c r="Q350" s="48">
        <v>36300</v>
      </c>
      <c r="R350" s="49" t="s">
        <v>4</v>
      </c>
      <c r="S350" s="48" t="s">
        <v>4</v>
      </c>
      <c r="T350" s="47" t="s">
        <v>525</v>
      </c>
    </row>
    <row r="351" spans="1:20">
      <c r="A351" s="46">
        <v>136898457817</v>
      </c>
      <c r="B351" s="44" t="s">
        <v>517</v>
      </c>
      <c r="C351" s="45">
        <v>46002</v>
      </c>
      <c r="D351" s="46">
        <v>54663738785</v>
      </c>
      <c r="E351" s="46">
        <v>2146079395930</v>
      </c>
      <c r="F351" s="47" t="s">
        <v>529</v>
      </c>
      <c r="G351" s="47" t="s">
        <v>519</v>
      </c>
      <c r="H351" s="47" t="s">
        <v>4</v>
      </c>
      <c r="I351" s="46" t="s">
        <v>4</v>
      </c>
      <c r="J351" s="48">
        <v>217.92</v>
      </c>
      <c r="K351" s="47" t="s">
        <v>520</v>
      </c>
      <c r="L351" s="47" t="s">
        <v>530</v>
      </c>
      <c r="M351" s="46" t="s">
        <v>522</v>
      </c>
      <c r="N351" s="47" t="s">
        <v>523</v>
      </c>
      <c r="O351" s="44" t="s">
        <v>263</v>
      </c>
      <c r="P351" s="47" t="s">
        <v>531</v>
      </c>
      <c r="Q351" s="48">
        <v>4800</v>
      </c>
      <c r="R351" s="49" t="s">
        <v>4</v>
      </c>
      <c r="S351" s="48" t="s">
        <v>4</v>
      </c>
      <c r="T351" s="47" t="s">
        <v>525</v>
      </c>
    </row>
    <row r="352" spans="1:20">
      <c r="A352" s="46">
        <v>137531931628</v>
      </c>
      <c r="B352" s="44" t="s">
        <v>517</v>
      </c>
      <c r="C352" s="45">
        <v>46002</v>
      </c>
      <c r="D352" s="46">
        <v>54663881049</v>
      </c>
      <c r="E352" s="46">
        <v>2145940304311</v>
      </c>
      <c r="F352" s="47" t="s">
        <v>518</v>
      </c>
      <c r="G352" s="47" t="s">
        <v>519</v>
      </c>
      <c r="H352" s="47" t="s">
        <v>4</v>
      </c>
      <c r="I352" s="46" t="s">
        <v>4</v>
      </c>
      <c r="J352" s="48">
        <v>69.84</v>
      </c>
      <c r="K352" s="47" t="s">
        <v>520</v>
      </c>
      <c r="L352" s="47" t="s">
        <v>521</v>
      </c>
      <c r="M352" s="46" t="s">
        <v>522</v>
      </c>
      <c r="N352" s="47" t="s">
        <v>523</v>
      </c>
      <c r="O352" s="44" t="s">
        <v>4</v>
      </c>
      <c r="P352" s="47" t="s">
        <v>668</v>
      </c>
      <c r="Q352" s="48">
        <v>7200</v>
      </c>
      <c r="R352" s="49" t="s">
        <v>4</v>
      </c>
      <c r="S352" s="48" t="s">
        <v>4</v>
      </c>
      <c r="T352" s="47" t="s">
        <v>525</v>
      </c>
    </row>
    <row r="353" spans="1:20">
      <c r="A353" s="46">
        <v>137533326606</v>
      </c>
      <c r="B353" s="44" t="s">
        <v>517</v>
      </c>
      <c r="C353" s="45">
        <v>46002</v>
      </c>
      <c r="D353" s="46">
        <v>54664399753</v>
      </c>
      <c r="E353" s="46">
        <v>2145950782495</v>
      </c>
      <c r="F353" s="47" t="s">
        <v>529</v>
      </c>
      <c r="G353" s="47" t="s">
        <v>519</v>
      </c>
      <c r="H353" s="47" t="s">
        <v>4</v>
      </c>
      <c r="I353" s="46" t="s">
        <v>4</v>
      </c>
      <c r="J353" s="48">
        <v>1354.58</v>
      </c>
      <c r="K353" s="47" t="s">
        <v>520</v>
      </c>
      <c r="L353" s="47" t="s">
        <v>530</v>
      </c>
      <c r="M353" s="46" t="s">
        <v>522</v>
      </c>
      <c r="N353" s="47" t="s">
        <v>523</v>
      </c>
      <c r="O353" s="44" t="s">
        <v>263</v>
      </c>
      <c r="P353" s="47" t="s">
        <v>531</v>
      </c>
      <c r="Q353" s="48">
        <v>17800</v>
      </c>
      <c r="R353" s="49" t="s">
        <v>4</v>
      </c>
      <c r="S353" s="48" t="s">
        <v>4</v>
      </c>
      <c r="T353" s="47" t="s">
        <v>525</v>
      </c>
    </row>
    <row r="354" spans="1:20">
      <c r="A354" s="46">
        <v>136900364237</v>
      </c>
      <c r="B354" s="44" t="s">
        <v>517</v>
      </c>
      <c r="C354" s="45">
        <v>46002</v>
      </c>
      <c r="D354" s="46">
        <v>54664443033</v>
      </c>
      <c r="E354" s="46">
        <v>2145951727695</v>
      </c>
      <c r="F354" s="47" t="s">
        <v>518</v>
      </c>
      <c r="G354" s="47" t="s">
        <v>519</v>
      </c>
      <c r="H354" s="47" t="s">
        <v>4</v>
      </c>
      <c r="I354" s="46" t="s">
        <v>4</v>
      </c>
      <c r="J354" s="48">
        <v>93.12</v>
      </c>
      <c r="K354" s="47" t="s">
        <v>520</v>
      </c>
      <c r="L354" s="47" t="s">
        <v>521</v>
      </c>
      <c r="M354" s="46" t="s">
        <v>522</v>
      </c>
      <c r="N354" s="47" t="s">
        <v>523</v>
      </c>
      <c r="O354" s="44" t="s">
        <v>4</v>
      </c>
      <c r="P354" s="47" t="s">
        <v>669</v>
      </c>
      <c r="Q354" s="48">
        <v>9600</v>
      </c>
      <c r="R354" s="49" t="s">
        <v>4</v>
      </c>
      <c r="S354" s="48" t="s">
        <v>4</v>
      </c>
      <c r="T354" s="47" t="s">
        <v>525</v>
      </c>
    </row>
    <row r="355" spans="1:20">
      <c r="A355" s="46">
        <v>137533431786</v>
      </c>
      <c r="B355" s="44" t="s">
        <v>517</v>
      </c>
      <c r="C355" s="45">
        <v>46002</v>
      </c>
      <c r="D355" s="46">
        <v>54664528703</v>
      </c>
      <c r="E355" s="46">
        <v>2145953213629</v>
      </c>
      <c r="F355" s="47" t="s">
        <v>518</v>
      </c>
      <c r="G355" s="47" t="s">
        <v>519</v>
      </c>
      <c r="H355" s="47" t="s">
        <v>4</v>
      </c>
      <c r="I355" s="46" t="s">
        <v>4</v>
      </c>
      <c r="J355" s="48">
        <v>46.56</v>
      </c>
      <c r="K355" s="47" t="s">
        <v>520</v>
      </c>
      <c r="L355" s="47" t="s">
        <v>521</v>
      </c>
      <c r="M355" s="46" t="s">
        <v>522</v>
      </c>
      <c r="N355" s="47" t="s">
        <v>523</v>
      </c>
      <c r="O355" s="44" t="s">
        <v>4</v>
      </c>
      <c r="P355" s="47" t="s">
        <v>670</v>
      </c>
      <c r="Q355" s="48">
        <v>4800</v>
      </c>
      <c r="R355" s="49" t="s">
        <v>4</v>
      </c>
      <c r="S355" s="48" t="s">
        <v>4</v>
      </c>
      <c r="T355" s="47" t="s">
        <v>525</v>
      </c>
    </row>
    <row r="356" spans="1:20">
      <c r="A356" s="46">
        <v>136901010631</v>
      </c>
      <c r="B356" s="44" t="s">
        <v>517</v>
      </c>
      <c r="C356" s="45">
        <v>46002</v>
      </c>
      <c r="D356" s="46">
        <v>54664709711</v>
      </c>
      <c r="E356" s="46">
        <v>2145956485877</v>
      </c>
      <c r="F356" s="47" t="s">
        <v>518</v>
      </c>
      <c r="G356" s="47" t="s">
        <v>519</v>
      </c>
      <c r="H356" s="47" t="s">
        <v>4</v>
      </c>
      <c r="I356" s="46" t="s">
        <v>4</v>
      </c>
      <c r="J356" s="48">
        <v>106.7</v>
      </c>
      <c r="K356" s="47" t="s">
        <v>520</v>
      </c>
      <c r="L356" s="47" t="s">
        <v>521</v>
      </c>
      <c r="M356" s="46" t="s">
        <v>522</v>
      </c>
      <c r="N356" s="47" t="s">
        <v>523</v>
      </c>
      <c r="O356" s="44" t="s">
        <v>4</v>
      </c>
      <c r="P356" s="47" t="s">
        <v>667</v>
      </c>
      <c r="Q356" s="48">
        <v>11000</v>
      </c>
      <c r="R356" s="49" t="s">
        <v>4</v>
      </c>
      <c r="S356" s="48" t="s">
        <v>4</v>
      </c>
      <c r="T356" s="47" t="s">
        <v>525</v>
      </c>
    </row>
    <row r="357" spans="1:20">
      <c r="A357" s="46">
        <v>136901033757</v>
      </c>
      <c r="B357" s="44" t="s">
        <v>517</v>
      </c>
      <c r="C357" s="45">
        <v>46002</v>
      </c>
      <c r="D357" s="46">
        <v>54664790154</v>
      </c>
      <c r="E357" s="46">
        <v>2145957932019</v>
      </c>
      <c r="F357" s="47" t="s">
        <v>529</v>
      </c>
      <c r="G357" s="47" t="s">
        <v>519</v>
      </c>
      <c r="H357" s="47" t="s">
        <v>4</v>
      </c>
      <c r="I357" s="46" t="s">
        <v>4</v>
      </c>
      <c r="J357" s="48">
        <v>365.28</v>
      </c>
      <c r="K357" s="47" t="s">
        <v>520</v>
      </c>
      <c r="L357" s="47" t="s">
        <v>530</v>
      </c>
      <c r="M357" s="46" t="s">
        <v>522</v>
      </c>
      <c r="N357" s="47" t="s">
        <v>523</v>
      </c>
      <c r="O357" s="44" t="s">
        <v>263</v>
      </c>
      <c r="P357" s="47" t="s">
        <v>531</v>
      </c>
      <c r="Q357" s="48">
        <v>4800</v>
      </c>
      <c r="R357" s="49" t="s">
        <v>4</v>
      </c>
      <c r="S357" s="48" t="s">
        <v>4</v>
      </c>
      <c r="T357" s="47" t="s">
        <v>525</v>
      </c>
    </row>
    <row r="358" spans="1:20">
      <c r="A358" s="46">
        <v>136901169545</v>
      </c>
      <c r="B358" s="44" t="s">
        <v>517</v>
      </c>
      <c r="C358" s="45">
        <v>46002</v>
      </c>
      <c r="D358" s="46">
        <v>54664845652</v>
      </c>
      <c r="E358" s="46">
        <v>2145958691947</v>
      </c>
      <c r="F358" s="47" t="s">
        <v>518</v>
      </c>
      <c r="G358" s="47" t="s">
        <v>519</v>
      </c>
      <c r="H358" s="47" t="s">
        <v>4</v>
      </c>
      <c r="I358" s="46" t="s">
        <v>4</v>
      </c>
      <c r="J358" s="48">
        <v>92.15</v>
      </c>
      <c r="K358" s="47" t="s">
        <v>520</v>
      </c>
      <c r="L358" s="47" t="s">
        <v>521</v>
      </c>
      <c r="M358" s="46" t="s">
        <v>522</v>
      </c>
      <c r="N358" s="47" t="s">
        <v>523</v>
      </c>
      <c r="O358" s="44" t="s">
        <v>4</v>
      </c>
      <c r="P358" s="47" t="s">
        <v>671</v>
      </c>
      <c r="Q358" s="48">
        <v>9500</v>
      </c>
      <c r="R358" s="49" t="s">
        <v>4</v>
      </c>
      <c r="S358" s="48" t="s">
        <v>4</v>
      </c>
      <c r="T358" s="47" t="s">
        <v>525</v>
      </c>
    </row>
    <row r="359" spans="1:20">
      <c r="A359" s="46">
        <v>136901524811</v>
      </c>
      <c r="B359" s="44" t="s">
        <v>517</v>
      </c>
      <c r="C359" s="45">
        <v>46002</v>
      </c>
      <c r="D359" s="46">
        <v>54664926271</v>
      </c>
      <c r="E359" s="46">
        <v>2146102579696</v>
      </c>
      <c r="F359" s="47" t="s">
        <v>526</v>
      </c>
      <c r="G359" s="47" t="s">
        <v>519</v>
      </c>
      <c r="H359" s="47" t="s">
        <v>4</v>
      </c>
      <c r="I359" s="46" t="s">
        <v>4</v>
      </c>
      <c r="J359" s="48">
        <v>131.91999999999999</v>
      </c>
      <c r="K359" s="47" t="s">
        <v>520</v>
      </c>
      <c r="L359" s="47" t="s">
        <v>521</v>
      </c>
      <c r="M359" s="46" t="s">
        <v>522</v>
      </c>
      <c r="N359" s="47" t="s">
        <v>523</v>
      </c>
      <c r="O359" s="44" t="s">
        <v>4</v>
      </c>
      <c r="P359" s="47" t="s">
        <v>527</v>
      </c>
      <c r="Q359" s="48">
        <v>13600</v>
      </c>
      <c r="R359" s="49" t="s">
        <v>4</v>
      </c>
      <c r="S359" s="48" t="s">
        <v>4</v>
      </c>
      <c r="T359" s="47" t="s">
        <v>4</v>
      </c>
    </row>
    <row r="360" spans="1:20">
      <c r="A360" s="46">
        <v>137534515306</v>
      </c>
      <c r="B360" s="44" t="s">
        <v>517</v>
      </c>
      <c r="C360" s="45">
        <v>46002</v>
      </c>
      <c r="D360" s="46">
        <v>54664991043</v>
      </c>
      <c r="E360" s="46">
        <v>2145961648343</v>
      </c>
      <c r="F360" s="47" t="s">
        <v>518</v>
      </c>
      <c r="G360" s="47" t="s">
        <v>519</v>
      </c>
      <c r="H360" s="47" t="s">
        <v>4</v>
      </c>
      <c r="I360" s="46" t="s">
        <v>4</v>
      </c>
      <c r="J360" s="48">
        <v>42.68</v>
      </c>
      <c r="K360" s="47" t="s">
        <v>520</v>
      </c>
      <c r="L360" s="47" t="s">
        <v>521</v>
      </c>
      <c r="M360" s="46" t="s">
        <v>522</v>
      </c>
      <c r="N360" s="47" t="s">
        <v>523</v>
      </c>
      <c r="O360" s="44" t="s">
        <v>4</v>
      </c>
      <c r="P360" s="47" t="s">
        <v>672</v>
      </c>
      <c r="Q360" s="48">
        <v>4400</v>
      </c>
      <c r="R360" s="49" t="s">
        <v>4</v>
      </c>
      <c r="S360" s="48" t="s">
        <v>4</v>
      </c>
      <c r="T360" s="47" t="s">
        <v>525</v>
      </c>
    </row>
    <row r="361" spans="1:20">
      <c r="A361" s="46">
        <v>136901930449</v>
      </c>
      <c r="B361" s="44" t="s">
        <v>517</v>
      </c>
      <c r="C361" s="45">
        <v>46002</v>
      </c>
      <c r="D361" s="46">
        <v>54665070278</v>
      </c>
      <c r="E361" s="46">
        <v>2145963127713</v>
      </c>
      <c r="F361" s="47" t="s">
        <v>518</v>
      </c>
      <c r="G361" s="47" t="s">
        <v>519</v>
      </c>
      <c r="H361" s="47" t="s">
        <v>4</v>
      </c>
      <c r="I361" s="46" t="s">
        <v>4</v>
      </c>
      <c r="J361" s="48">
        <v>47.53</v>
      </c>
      <c r="K361" s="47" t="s">
        <v>520</v>
      </c>
      <c r="L361" s="47" t="s">
        <v>521</v>
      </c>
      <c r="M361" s="46" t="s">
        <v>522</v>
      </c>
      <c r="N361" s="47" t="s">
        <v>523</v>
      </c>
      <c r="O361" s="44" t="s">
        <v>4</v>
      </c>
      <c r="P361" s="47" t="s">
        <v>673</v>
      </c>
      <c r="Q361" s="48">
        <v>4900</v>
      </c>
      <c r="R361" s="49" t="s">
        <v>4</v>
      </c>
      <c r="S361" s="48" t="s">
        <v>4</v>
      </c>
      <c r="T361" s="47" t="s">
        <v>525</v>
      </c>
    </row>
    <row r="362" spans="1:20">
      <c r="A362" s="46">
        <v>136901875985</v>
      </c>
      <c r="B362" s="44" t="s">
        <v>517</v>
      </c>
      <c r="C362" s="45">
        <v>46002</v>
      </c>
      <c r="D362" s="46">
        <v>54665147871</v>
      </c>
      <c r="E362" s="46">
        <v>2145964328135</v>
      </c>
      <c r="F362" s="47" t="s">
        <v>518</v>
      </c>
      <c r="G362" s="47" t="s">
        <v>519</v>
      </c>
      <c r="H362" s="47" t="s">
        <v>4</v>
      </c>
      <c r="I362" s="46" t="s">
        <v>4</v>
      </c>
      <c r="J362" s="48">
        <v>106.7</v>
      </c>
      <c r="K362" s="47" t="s">
        <v>520</v>
      </c>
      <c r="L362" s="47" t="s">
        <v>521</v>
      </c>
      <c r="M362" s="46" t="s">
        <v>522</v>
      </c>
      <c r="N362" s="47" t="s">
        <v>523</v>
      </c>
      <c r="O362" s="44" t="s">
        <v>4</v>
      </c>
      <c r="P362" s="47" t="s">
        <v>674</v>
      </c>
      <c r="Q362" s="48">
        <v>11000</v>
      </c>
      <c r="R362" s="49" t="s">
        <v>4</v>
      </c>
      <c r="S362" s="48" t="s">
        <v>4</v>
      </c>
      <c r="T362" s="47" t="s">
        <v>525</v>
      </c>
    </row>
    <row r="363" spans="1:20">
      <c r="A363" s="46">
        <v>136902227587</v>
      </c>
      <c r="B363" s="44" t="s">
        <v>517</v>
      </c>
      <c r="C363" s="45">
        <v>46002</v>
      </c>
      <c r="D363" s="46">
        <v>54665287151</v>
      </c>
      <c r="E363" s="46">
        <v>2146109057796</v>
      </c>
      <c r="F363" s="47" t="s">
        <v>518</v>
      </c>
      <c r="G363" s="47" t="s">
        <v>519</v>
      </c>
      <c r="H363" s="47" t="s">
        <v>4</v>
      </c>
      <c r="I363" s="46" t="s">
        <v>4</v>
      </c>
      <c r="J363" s="48">
        <v>715.34</v>
      </c>
      <c r="K363" s="47" t="s">
        <v>520</v>
      </c>
      <c r="L363" s="47" t="s">
        <v>521</v>
      </c>
      <c r="M363" s="46" t="s">
        <v>522</v>
      </c>
      <c r="N363" s="47" t="s">
        <v>523</v>
      </c>
      <c r="O363" s="44" t="s">
        <v>4</v>
      </c>
      <c r="P363" s="47" t="s">
        <v>675</v>
      </c>
      <c r="Q363" s="48">
        <v>9400</v>
      </c>
      <c r="R363" s="49" t="s">
        <v>4</v>
      </c>
      <c r="S363" s="48" t="s">
        <v>4</v>
      </c>
      <c r="T363" s="47" t="s">
        <v>525</v>
      </c>
    </row>
    <row r="364" spans="1:20">
      <c r="A364" s="46">
        <v>137535694252</v>
      </c>
      <c r="B364" s="44" t="s">
        <v>517</v>
      </c>
      <c r="C364" s="45">
        <v>46002</v>
      </c>
      <c r="D364" s="46">
        <v>54665438033</v>
      </c>
      <c r="E364" s="46">
        <v>2146111565056</v>
      </c>
      <c r="F364" s="47" t="s">
        <v>518</v>
      </c>
      <c r="G364" s="47" t="s">
        <v>519</v>
      </c>
      <c r="H364" s="47" t="s">
        <v>4</v>
      </c>
      <c r="I364" s="46" t="s">
        <v>4</v>
      </c>
      <c r="J364" s="48">
        <v>46.56</v>
      </c>
      <c r="K364" s="47" t="s">
        <v>520</v>
      </c>
      <c r="L364" s="47" t="s">
        <v>521</v>
      </c>
      <c r="M364" s="46" t="s">
        <v>522</v>
      </c>
      <c r="N364" s="47" t="s">
        <v>523</v>
      </c>
      <c r="O364" s="44" t="s">
        <v>4</v>
      </c>
      <c r="P364" s="47" t="s">
        <v>676</v>
      </c>
      <c r="Q364" s="48">
        <v>4800</v>
      </c>
      <c r="R364" s="49" t="s">
        <v>4</v>
      </c>
      <c r="S364" s="48" t="s">
        <v>4</v>
      </c>
      <c r="T364" s="47" t="s">
        <v>525</v>
      </c>
    </row>
    <row r="365" spans="1:20">
      <c r="A365" s="46">
        <v>136902790397</v>
      </c>
      <c r="B365" s="44" t="s">
        <v>517</v>
      </c>
      <c r="C365" s="45">
        <v>46002</v>
      </c>
      <c r="D365" s="46">
        <v>54665471962</v>
      </c>
      <c r="E365" s="46">
        <v>2146112492978</v>
      </c>
      <c r="F365" s="47" t="s">
        <v>518</v>
      </c>
      <c r="G365" s="47" t="s">
        <v>519</v>
      </c>
      <c r="H365" s="47" t="s">
        <v>4</v>
      </c>
      <c r="I365" s="46" t="s">
        <v>4</v>
      </c>
      <c r="J365" s="48">
        <v>46.56</v>
      </c>
      <c r="K365" s="47" t="s">
        <v>520</v>
      </c>
      <c r="L365" s="47" t="s">
        <v>521</v>
      </c>
      <c r="M365" s="46" t="s">
        <v>522</v>
      </c>
      <c r="N365" s="47" t="s">
        <v>523</v>
      </c>
      <c r="O365" s="44" t="s">
        <v>4</v>
      </c>
      <c r="P365" s="47" t="s">
        <v>677</v>
      </c>
      <c r="Q365" s="48">
        <v>4800</v>
      </c>
      <c r="R365" s="49" t="s">
        <v>4</v>
      </c>
      <c r="S365" s="48" t="s">
        <v>4</v>
      </c>
      <c r="T365" s="47" t="s">
        <v>525</v>
      </c>
    </row>
    <row r="366" spans="1:20">
      <c r="A366" s="46">
        <v>136903070923</v>
      </c>
      <c r="B366" s="44" t="s">
        <v>517</v>
      </c>
      <c r="C366" s="45">
        <v>46002</v>
      </c>
      <c r="D366" s="46">
        <v>54665658835</v>
      </c>
      <c r="E366" s="46">
        <v>2146115695546</v>
      </c>
      <c r="F366" s="47" t="s">
        <v>518</v>
      </c>
      <c r="G366" s="47" t="s">
        <v>519</v>
      </c>
      <c r="H366" s="47" t="s">
        <v>4</v>
      </c>
      <c r="I366" s="46" t="s">
        <v>4</v>
      </c>
      <c r="J366" s="48">
        <v>46.56</v>
      </c>
      <c r="K366" s="47" t="s">
        <v>520</v>
      </c>
      <c r="L366" s="47" t="s">
        <v>521</v>
      </c>
      <c r="M366" s="46" t="s">
        <v>522</v>
      </c>
      <c r="N366" s="47" t="s">
        <v>523</v>
      </c>
      <c r="O366" s="44" t="s">
        <v>4</v>
      </c>
      <c r="P366" s="47" t="s">
        <v>678</v>
      </c>
      <c r="Q366" s="48">
        <v>4800</v>
      </c>
      <c r="R366" s="49" t="s">
        <v>4</v>
      </c>
      <c r="S366" s="48" t="s">
        <v>4</v>
      </c>
      <c r="T366" s="47" t="s">
        <v>525</v>
      </c>
    </row>
    <row r="367" spans="1:20">
      <c r="A367" s="46">
        <v>137536620552</v>
      </c>
      <c r="B367" s="44" t="s">
        <v>517</v>
      </c>
      <c r="C367" s="45">
        <v>46002</v>
      </c>
      <c r="D367" s="46">
        <v>54665800541</v>
      </c>
      <c r="E367" s="46">
        <v>2146118309178</v>
      </c>
      <c r="F367" s="47" t="s">
        <v>518</v>
      </c>
      <c r="G367" s="47" t="s">
        <v>519</v>
      </c>
      <c r="H367" s="47" t="s">
        <v>4</v>
      </c>
      <c r="I367" s="46" t="s">
        <v>4</v>
      </c>
      <c r="J367" s="48">
        <v>365.69</v>
      </c>
      <c r="K367" s="47" t="s">
        <v>520</v>
      </c>
      <c r="L367" s="47" t="s">
        <v>521</v>
      </c>
      <c r="M367" s="46" t="s">
        <v>522</v>
      </c>
      <c r="N367" s="47" t="s">
        <v>523</v>
      </c>
      <c r="O367" s="44" t="s">
        <v>4</v>
      </c>
      <c r="P367" s="47" t="s">
        <v>679</v>
      </c>
      <c r="Q367" s="48">
        <v>37700</v>
      </c>
      <c r="R367" s="49" t="s">
        <v>4</v>
      </c>
      <c r="S367" s="48" t="s">
        <v>4</v>
      </c>
      <c r="T367" s="47" t="s">
        <v>525</v>
      </c>
    </row>
    <row r="368" spans="1:20">
      <c r="A368" s="46">
        <v>137536970538</v>
      </c>
      <c r="B368" s="44" t="s">
        <v>517</v>
      </c>
      <c r="C368" s="45">
        <v>46002</v>
      </c>
      <c r="D368" s="46">
        <v>54665928372</v>
      </c>
      <c r="E368" s="46">
        <v>2145978453877</v>
      </c>
      <c r="F368" s="47" t="s">
        <v>529</v>
      </c>
      <c r="G368" s="47" t="s">
        <v>519</v>
      </c>
      <c r="H368" s="47" t="s">
        <v>4</v>
      </c>
      <c r="I368" s="46" t="s">
        <v>4</v>
      </c>
      <c r="J368" s="48">
        <v>272.39999999999998</v>
      </c>
      <c r="K368" s="47" t="s">
        <v>520</v>
      </c>
      <c r="L368" s="47" t="s">
        <v>530</v>
      </c>
      <c r="M368" s="46" t="s">
        <v>522</v>
      </c>
      <c r="N368" s="47" t="s">
        <v>523</v>
      </c>
      <c r="O368" s="44" t="s">
        <v>263</v>
      </c>
      <c r="P368" s="47" t="s">
        <v>531</v>
      </c>
      <c r="Q368" s="48">
        <v>6000</v>
      </c>
      <c r="R368" s="49" t="s">
        <v>4</v>
      </c>
      <c r="S368" s="48" t="s">
        <v>4</v>
      </c>
      <c r="T368" s="47" t="s">
        <v>525</v>
      </c>
    </row>
    <row r="369" spans="1:20">
      <c r="A369" s="46">
        <v>136903665553</v>
      </c>
      <c r="B369" s="44" t="s">
        <v>517</v>
      </c>
      <c r="C369" s="45">
        <v>46002</v>
      </c>
      <c r="D369" s="46">
        <v>54665985861</v>
      </c>
      <c r="E369" s="46">
        <v>2145979446499</v>
      </c>
      <c r="F369" s="47" t="s">
        <v>526</v>
      </c>
      <c r="G369" s="47" t="s">
        <v>519</v>
      </c>
      <c r="H369" s="47" t="s">
        <v>4</v>
      </c>
      <c r="I369" s="46" t="s">
        <v>4</v>
      </c>
      <c r="J369" s="48">
        <v>376.85</v>
      </c>
      <c r="K369" s="47" t="s">
        <v>520</v>
      </c>
      <c r="L369" s="47" t="s">
        <v>521</v>
      </c>
      <c r="M369" s="46" t="s">
        <v>660</v>
      </c>
      <c r="N369" s="47" t="s">
        <v>661</v>
      </c>
      <c r="O369" s="44" t="s">
        <v>4</v>
      </c>
      <c r="P369" s="47" t="s">
        <v>527</v>
      </c>
      <c r="Q369" s="48">
        <v>38850</v>
      </c>
      <c r="R369" s="49" t="s">
        <v>4</v>
      </c>
      <c r="S369" s="48" t="s">
        <v>4</v>
      </c>
      <c r="T369" s="47" t="s">
        <v>4</v>
      </c>
    </row>
    <row r="370" spans="1:20">
      <c r="A370" s="46">
        <v>136903852707</v>
      </c>
      <c r="B370" s="44" t="s">
        <v>517</v>
      </c>
      <c r="C370" s="45">
        <v>46002</v>
      </c>
      <c r="D370" s="46">
        <v>54666017509</v>
      </c>
      <c r="E370" s="46">
        <v>2146121997278</v>
      </c>
      <c r="F370" s="47" t="s">
        <v>529</v>
      </c>
      <c r="G370" s="47" t="s">
        <v>519</v>
      </c>
      <c r="H370" s="47" t="s">
        <v>4</v>
      </c>
      <c r="I370" s="46" t="s">
        <v>4</v>
      </c>
      <c r="J370" s="48">
        <v>3246.1</v>
      </c>
      <c r="K370" s="47" t="s">
        <v>520</v>
      </c>
      <c r="L370" s="47" t="s">
        <v>530</v>
      </c>
      <c r="M370" s="46" t="s">
        <v>522</v>
      </c>
      <c r="N370" s="47" t="s">
        <v>523</v>
      </c>
      <c r="O370" s="44" t="s">
        <v>263</v>
      </c>
      <c r="P370" s="47" t="s">
        <v>531</v>
      </c>
      <c r="Q370" s="48">
        <v>71500</v>
      </c>
      <c r="R370" s="49" t="s">
        <v>4</v>
      </c>
      <c r="S370" s="48" t="s">
        <v>4</v>
      </c>
      <c r="T370" s="47" t="s">
        <v>525</v>
      </c>
    </row>
    <row r="371" spans="1:20">
      <c r="A371" s="46">
        <v>136903944835</v>
      </c>
      <c r="B371" s="44" t="s">
        <v>517</v>
      </c>
      <c r="C371" s="45">
        <v>46002</v>
      </c>
      <c r="D371" s="46">
        <v>54666050680</v>
      </c>
      <c r="E371" s="46">
        <v>2145980749745</v>
      </c>
      <c r="F371" s="47" t="s">
        <v>526</v>
      </c>
      <c r="G371" s="47" t="s">
        <v>519</v>
      </c>
      <c r="H371" s="47" t="s">
        <v>4</v>
      </c>
      <c r="I371" s="46" t="s">
        <v>4</v>
      </c>
      <c r="J371" s="48">
        <v>506.34</v>
      </c>
      <c r="K371" s="47" t="s">
        <v>520</v>
      </c>
      <c r="L371" s="47" t="s">
        <v>521</v>
      </c>
      <c r="M371" s="46" t="s">
        <v>522</v>
      </c>
      <c r="N371" s="47" t="s">
        <v>523</v>
      </c>
      <c r="O371" s="44" t="s">
        <v>4</v>
      </c>
      <c r="P371" s="47" t="s">
        <v>527</v>
      </c>
      <c r="Q371" s="48">
        <v>52200</v>
      </c>
      <c r="R371" s="49" t="s">
        <v>4</v>
      </c>
      <c r="S371" s="48" t="s">
        <v>4</v>
      </c>
      <c r="T371" s="47" t="s">
        <v>4</v>
      </c>
    </row>
    <row r="372" spans="1:20">
      <c r="A372" s="46">
        <v>136903887707</v>
      </c>
      <c r="B372" s="44" t="s">
        <v>517</v>
      </c>
      <c r="C372" s="45">
        <v>46002</v>
      </c>
      <c r="D372" s="46">
        <v>54666086680</v>
      </c>
      <c r="E372" s="46">
        <v>2146123306546</v>
      </c>
      <c r="F372" s="47" t="s">
        <v>518</v>
      </c>
      <c r="G372" s="47" t="s">
        <v>519</v>
      </c>
      <c r="H372" s="47" t="s">
        <v>4</v>
      </c>
      <c r="I372" s="46" t="s">
        <v>4</v>
      </c>
      <c r="J372" s="48">
        <v>46.56</v>
      </c>
      <c r="K372" s="47" t="s">
        <v>520</v>
      </c>
      <c r="L372" s="47" t="s">
        <v>521</v>
      </c>
      <c r="M372" s="46" t="s">
        <v>522</v>
      </c>
      <c r="N372" s="47" t="s">
        <v>523</v>
      </c>
      <c r="O372" s="44" t="s">
        <v>4</v>
      </c>
      <c r="P372" s="47" t="s">
        <v>680</v>
      </c>
      <c r="Q372" s="48">
        <v>4800</v>
      </c>
      <c r="R372" s="49" t="s">
        <v>4</v>
      </c>
      <c r="S372" s="48" t="s">
        <v>4</v>
      </c>
      <c r="T372" s="47" t="s">
        <v>525</v>
      </c>
    </row>
    <row r="373" spans="1:20">
      <c r="A373" s="46">
        <v>136904114823</v>
      </c>
      <c r="B373" s="44" t="s">
        <v>517</v>
      </c>
      <c r="C373" s="45">
        <v>46002</v>
      </c>
      <c r="D373" s="46">
        <v>54666103405</v>
      </c>
      <c r="E373" s="46">
        <v>2146124270970</v>
      </c>
      <c r="F373" s="47" t="s">
        <v>526</v>
      </c>
      <c r="G373" s="47" t="s">
        <v>519</v>
      </c>
      <c r="H373" s="47" t="s">
        <v>4</v>
      </c>
      <c r="I373" s="46" t="s">
        <v>4</v>
      </c>
      <c r="J373" s="48">
        <v>40.74</v>
      </c>
      <c r="K373" s="47" t="s">
        <v>520</v>
      </c>
      <c r="L373" s="47" t="s">
        <v>521</v>
      </c>
      <c r="M373" s="46" t="s">
        <v>522</v>
      </c>
      <c r="N373" s="47" t="s">
        <v>523</v>
      </c>
      <c r="O373" s="44" t="s">
        <v>4</v>
      </c>
      <c r="P373" s="47" t="s">
        <v>527</v>
      </c>
      <c r="Q373" s="48">
        <v>4200</v>
      </c>
      <c r="R373" s="49" t="s">
        <v>4</v>
      </c>
      <c r="S373" s="48" t="s">
        <v>4</v>
      </c>
      <c r="T373" s="47" t="s">
        <v>4</v>
      </c>
    </row>
    <row r="374" spans="1:20">
      <c r="A374" s="46">
        <v>136904069765</v>
      </c>
      <c r="B374" s="44" t="s">
        <v>517</v>
      </c>
      <c r="C374" s="45">
        <v>46002</v>
      </c>
      <c r="D374" s="46">
        <v>54666170296</v>
      </c>
      <c r="E374" s="46">
        <v>2145982767677</v>
      </c>
      <c r="F374" s="47" t="s">
        <v>526</v>
      </c>
      <c r="G374" s="47" t="s">
        <v>519</v>
      </c>
      <c r="H374" s="47" t="s">
        <v>4</v>
      </c>
      <c r="I374" s="46" t="s">
        <v>4</v>
      </c>
      <c r="J374" s="48">
        <v>581.03</v>
      </c>
      <c r="K374" s="47" t="s">
        <v>520</v>
      </c>
      <c r="L374" s="47" t="s">
        <v>521</v>
      </c>
      <c r="M374" s="46" t="s">
        <v>522</v>
      </c>
      <c r="N374" s="47" t="s">
        <v>523</v>
      </c>
      <c r="O374" s="44" t="s">
        <v>4</v>
      </c>
      <c r="P374" s="47" t="s">
        <v>527</v>
      </c>
      <c r="Q374" s="48">
        <v>59900</v>
      </c>
      <c r="R374" s="49" t="s">
        <v>4</v>
      </c>
      <c r="S374" s="48" t="s">
        <v>4</v>
      </c>
      <c r="T374" s="47" t="s">
        <v>4</v>
      </c>
    </row>
    <row r="375" spans="1:20">
      <c r="A375" s="46">
        <v>136904745081</v>
      </c>
      <c r="B375" s="44" t="s">
        <v>517</v>
      </c>
      <c r="C375" s="45">
        <v>46002</v>
      </c>
      <c r="D375" s="46">
        <v>54666384046</v>
      </c>
      <c r="E375" s="46">
        <v>2145987040063</v>
      </c>
      <c r="F375" s="47" t="s">
        <v>518</v>
      </c>
      <c r="G375" s="47" t="s">
        <v>519</v>
      </c>
      <c r="H375" s="47" t="s">
        <v>4</v>
      </c>
      <c r="I375" s="46" t="s">
        <v>4</v>
      </c>
      <c r="J375" s="48">
        <v>46.56</v>
      </c>
      <c r="K375" s="47" t="s">
        <v>520</v>
      </c>
      <c r="L375" s="47" t="s">
        <v>521</v>
      </c>
      <c r="M375" s="46" t="s">
        <v>522</v>
      </c>
      <c r="N375" s="47" t="s">
        <v>523</v>
      </c>
      <c r="O375" s="44" t="s">
        <v>4</v>
      </c>
      <c r="P375" s="47" t="s">
        <v>681</v>
      </c>
      <c r="Q375" s="48">
        <v>4800</v>
      </c>
      <c r="R375" s="49" t="s">
        <v>4</v>
      </c>
      <c r="S375" s="48" t="s">
        <v>4</v>
      </c>
      <c r="T375" s="47" t="s">
        <v>525</v>
      </c>
    </row>
    <row r="376" spans="1:20">
      <c r="A376" s="46">
        <v>137538383964</v>
      </c>
      <c r="B376" s="44" t="s">
        <v>517</v>
      </c>
      <c r="C376" s="45">
        <v>46002</v>
      </c>
      <c r="D376" s="46">
        <v>54666703854</v>
      </c>
      <c r="E376" s="46">
        <v>2145992846933</v>
      </c>
      <c r="F376" s="47" t="s">
        <v>529</v>
      </c>
      <c r="G376" s="47" t="s">
        <v>519</v>
      </c>
      <c r="H376" s="47" t="s">
        <v>4</v>
      </c>
      <c r="I376" s="46" t="s">
        <v>4</v>
      </c>
      <c r="J376" s="48">
        <v>3030.03</v>
      </c>
      <c r="K376" s="47" t="s">
        <v>520</v>
      </c>
      <c r="L376" s="47" t="s">
        <v>530</v>
      </c>
      <c r="M376" s="46" t="s">
        <v>522</v>
      </c>
      <c r="N376" s="47" t="s">
        <v>523</v>
      </c>
      <c r="O376" s="44" t="s">
        <v>263</v>
      </c>
      <c r="P376" s="47" t="s">
        <v>531</v>
      </c>
      <c r="Q376" s="48">
        <v>77100</v>
      </c>
      <c r="R376" s="49" t="s">
        <v>4</v>
      </c>
      <c r="S376" s="48" t="s">
        <v>4</v>
      </c>
      <c r="T376" s="47" t="s">
        <v>525</v>
      </c>
    </row>
    <row r="377" spans="1:20">
      <c r="A377" s="46">
        <v>136905808451</v>
      </c>
      <c r="B377" s="44" t="s">
        <v>517</v>
      </c>
      <c r="C377" s="45">
        <v>46002</v>
      </c>
      <c r="D377" s="46">
        <v>54666752495</v>
      </c>
      <c r="E377" s="46">
        <v>2145993473525</v>
      </c>
      <c r="F377" s="47" t="s">
        <v>518</v>
      </c>
      <c r="G377" s="47" t="s">
        <v>519</v>
      </c>
      <c r="H377" s="47" t="s">
        <v>4</v>
      </c>
      <c r="I377" s="46" t="s">
        <v>4</v>
      </c>
      <c r="J377" s="48">
        <v>81.48</v>
      </c>
      <c r="K377" s="47" t="s">
        <v>520</v>
      </c>
      <c r="L377" s="47" t="s">
        <v>521</v>
      </c>
      <c r="M377" s="46" t="s">
        <v>522</v>
      </c>
      <c r="N377" s="47" t="s">
        <v>523</v>
      </c>
      <c r="O377" s="44" t="s">
        <v>4</v>
      </c>
      <c r="P377" s="47" t="s">
        <v>682</v>
      </c>
      <c r="Q377" s="48">
        <v>8400</v>
      </c>
      <c r="R377" s="49" t="s">
        <v>4</v>
      </c>
      <c r="S377" s="48" t="s">
        <v>4</v>
      </c>
      <c r="T377" s="47" t="s">
        <v>525</v>
      </c>
    </row>
    <row r="378" spans="1:20">
      <c r="A378" s="46">
        <v>136905906851</v>
      </c>
      <c r="B378" s="44" t="s">
        <v>517</v>
      </c>
      <c r="C378" s="45">
        <v>46002</v>
      </c>
      <c r="D378" s="46">
        <v>54666844926</v>
      </c>
      <c r="E378" s="46">
        <v>2145994572117</v>
      </c>
      <c r="F378" s="47" t="s">
        <v>518</v>
      </c>
      <c r="G378" s="47" t="s">
        <v>519</v>
      </c>
      <c r="H378" s="47" t="s">
        <v>4</v>
      </c>
      <c r="I378" s="46" t="s">
        <v>4</v>
      </c>
      <c r="J378" s="48">
        <v>46.56</v>
      </c>
      <c r="K378" s="47" t="s">
        <v>520</v>
      </c>
      <c r="L378" s="47" t="s">
        <v>521</v>
      </c>
      <c r="M378" s="46" t="s">
        <v>522</v>
      </c>
      <c r="N378" s="47" t="s">
        <v>523</v>
      </c>
      <c r="O378" s="44" t="s">
        <v>4</v>
      </c>
      <c r="P378" s="47" t="s">
        <v>683</v>
      </c>
      <c r="Q378" s="48">
        <v>4800</v>
      </c>
      <c r="R378" s="49" t="s">
        <v>4</v>
      </c>
      <c r="S378" s="48" t="s">
        <v>4</v>
      </c>
      <c r="T378" s="47" t="s">
        <v>525</v>
      </c>
    </row>
    <row r="379" spans="1:20">
      <c r="A379" s="46">
        <v>137539201804</v>
      </c>
      <c r="B379" s="44" t="s">
        <v>517</v>
      </c>
      <c r="C379" s="45">
        <v>46002</v>
      </c>
      <c r="D379" s="46">
        <v>54667094056</v>
      </c>
      <c r="E379" s="46">
        <v>2146140780088</v>
      </c>
      <c r="F379" s="47" t="s">
        <v>518</v>
      </c>
      <c r="G379" s="47" t="s">
        <v>519</v>
      </c>
      <c r="H379" s="47" t="s">
        <v>4</v>
      </c>
      <c r="I379" s="46" t="s">
        <v>4</v>
      </c>
      <c r="J379" s="48">
        <v>39.770000000000003</v>
      </c>
      <c r="K379" s="47" t="s">
        <v>520</v>
      </c>
      <c r="L379" s="47" t="s">
        <v>521</v>
      </c>
      <c r="M379" s="46" t="s">
        <v>522</v>
      </c>
      <c r="N379" s="47" t="s">
        <v>523</v>
      </c>
      <c r="O379" s="44" t="s">
        <v>4</v>
      </c>
      <c r="P379" s="47" t="s">
        <v>684</v>
      </c>
      <c r="Q379" s="48">
        <v>4100</v>
      </c>
      <c r="R379" s="49" t="s">
        <v>4</v>
      </c>
      <c r="S379" s="48" t="s">
        <v>4</v>
      </c>
      <c r="T379" s="47" t="s">
        <v>525</v>
      </c>
    </row>
    <row r="380" spans="1:20">
      <c r="A380" s="46">
        <v>137539449132</v>
      </c>
      <c r="B380" s="44" t="s">
        <v>517</v>
      </c>
      <c r="C380" s="45">
        <v>46002</v>
      </c>
      <c r="D380" s="46">
        <v>54667184381</v>
      </c>
      <c r="E380" s="46">
        <v>2145999412627</v>
      </c>
      <c r="F380" s="47" t="s">
        <v>518</v>
      </c>
      <c r="G380" s="47" t="s">
        <v>519</v>
      </c>
      <c r="H380" s="47" t="s">
        <v>4</v>
      </c>
      <c r="I380" s="46" t="s">
        <v>4</v>
      </c>
      <c r="J380" s="48">
        <v>409.34</v>
      </c>
      <c r="K380" s="47" t="s">
        <v>520</v>
      </c>
      <c r="L380" s="47" t="s">
        <v>521</v>
      </c>
      <c r="M380" s="46" t="s">
        <v>522</v>
      </c>
      <c r="N380" s="47" t="s">
        <v>523</v>
      </c>
      <c r="O380" s="44" t="s">
        <v>4</v>
      </c>
      <c r="P380" s="47" t="s">
        <v>685</v>
      </c>
      <c r="Q380" s="48">
        <v>42200</v>
      </c>
      <c r="R380" s="49" t="s">
        <v>4</v>
      </c>
      <c r="S380" s="48" t="s">
        <v>4</v>
      </c>
      <c r="T380" s="47" t="s">
        <v>525</v>
      </c>
    </row>
    <row r="381" spans="1:20">
      <c r="A381" s="46">
        <v>136906571367</v>
      </c>
      <c r="B381" s="44" t="s">
        <v>517</v>
      </c>
      <c r="C381" s="45">
        <v>46002</v>
      </c>
      <c r="D381" s="46">
        <v>54667240309</v>
      </c>
      <c r="E381" s="46">
        <v>2145999973763</v>
      </c>
      <c r="F381" s="47" t="s">
        <v>518</v>
      </c>
      <c r="G381" s="47" t="s">
        <v>519</v>
      </c>
      <c r="H381" s="47" t="s">
        <v>4</v>
      </c>
      <c r="I381" s="46" t="s">
        <v>4</v>
      </c>
      <c r="J381" s="48">
        <v>153.26</v>
      </c>
      <c r="K381" s="47" t="s">
        <v>520</v>
      </c>
      <c r="L381" s="47" t="s">
        <v>521</v>
      </c>
      <c r="M381" s="46" t="s">
        <v>522</v>
      </c>
      <c r="N381" s="47" t="s">
        <v>523</v>
      </c>
      <c r="O381" s="44" t="s">
        <v>4</v>
      </c>
      <c r="P381" s="47" t="s">
        <v>686</v>
      </c>
      <c r="Q381" s="48">
        <v>15800</v>
      </c>
      <c r="R381" s="49" t="s">
        <v>4</v>
      </c>
      <c r="S381" s="48" t="s">
        <v>4</v>
      </c>
      <c r="T381" s="47" t="s">
        <v>525</v>
      </c>
    </row>
    <row r="382" spans="1:20">
      <c r="A382" s="46">
        <v>136906923221</v>
      </c>
      <c r="B382" s="44" t="s">
        <v>517</v>
      </c>
      <c r="C382" s="45">
        <v>46002</v>
      </c>
      <c r="D382" s="46">
        <v>54667402907</v>
      </c>
      <c r="E382" s="46">
        <v>2146144664154</v>
      </c>
      <c r="F382" s="47" t="s">
        <v>518</v>
      </c>
      <c r="G382" s="47" t="s">
        <v>519</v>
      </c>
      <c r="H382" s="47" t="s">
        <v>4</v>
      </c>
      <c r="I382" s="46" t="s">
        <v>4</v>
      </c>
      <c r="J382" s="48">
        <v>1062.1500000000001</v>
      </c>
      <c r="K382" s="47" t="s">
        <v>520</v>
      </c>
      <c r="L382" s="47" t="s">
        <v>521</v>
      </c>
      <c r="M382" s="46" t="s">
        <v>660</v>
      </c>
      <c r="N382" s="47" t="s">
        <v>661</v>
      </c>
      <c r="O382" s="44" t="s">
        <v>4</v>
      </c>
      <c r="P382" s="47" t="s">
        <v>687</v>
      </c>
      <c r="Q382" s="48">
        <v>109500</v>
      </c>
      <c r="R382" s="49" t="s">
        <v>4</v>
      </c>
      <c r="S382" s="48" t="s">
        <v>4</v>
      </c>
      <c r="T382" s="47" t="s">
        <v>525</v>
      </c>
    </row>
    <row r="383" spans="1:20">
      <c r="A383" s="46">
        <v>137540105336</v>
      </c>
      <c r="B383" s="44" t="s">
        <v>517</v>
      </c>
      <c r="C383" s="45">
        <v>46003</v>
      </c>
      <c r="D383" s="46">
        <v>54667444051</v>
      </c>
      <c r="E383" s="46">
        <v>2146145303142</v>
      </c>
      <c r="F383" s="47" t="s">
        <v>518</v>
      </c>
      <c r="G383" s="47" t="s">
        <v>519</v>
      </c>
      <c r="H383" s="47" t="s">
        <v>4</v>
      </c>
      <c r="I383" s="46" t="s">
        <v>4</v>
      </c>
      <c r="J383" s="48">
        <v>46.56</v>
      </c>
      <c r="K383" s="47" t="s">
        <v>520</v>
      </c>
      <c r="L383" s="47" t="s">
        <v>521</v>
      </c>
      <c r="M383" s="46" t="s">
        <v>522</v>
      </c>
      <c r="N383" s="47" t="s">
        <v>523</v>
      </c>
      <c r="O383" s="44" t="s">
        <v>4</v>
      </c>
      <c r="P383" s="47" t="s">
        <v>688</v>
      </c>
      <c r="Q383" s="48">
        <v>4800</v>
      </c>
      <c r="R383" s="49" t="s">
        <v>4</v>
      </c>
      <c r="S383" s="48" t="s">
        <v>4</v>
      </c>
      <c r="T383" s="47" t="s">
        <v>525</v>
      </c>
    </row>
    <row r="384" spans="1:20">
      <c r="A384" s="46">
        <v>136907146003</v>
      </c>
      <c r="B384" s="44" t="s">
        <v>517</v>
      </c>
      <c r="C384" s="45">
        <v>46003</v>
      </c>
      <c r="D384" s="46">
        <v>54667585865</v>
      </c>
      <c r="E384" s="46">
        <v>2146004663713</v>
      </c>
      <c r="F384" s="47" t="s">
        <v>518</v>
      </c>
      <c r="G384" s="47" t="s">
        <v>519</v>
      </c>
      <c r="H384" s="47" t="s">
        <v>4</v>
      </c>
      <c r="I384" s="46" t="s">
        <v>4</v>
      </c>
      <c r="J384" s="48">
        <v>448.14</v>
      </c>
      <c r="K384" s="47" t="s">
        <v>520</v>
      </c>
      <c r="L384" s="47" t="s">
        <v>521</v>
      </c>
      <c r="M384" s="46" t="s">
        <v>522</v>
      </c>
      <c r="N384" s="47" t="s">
        <v>523</v>
      </c>
      <c r="O384" s="44" t="s">
        <v>4</v>
      </c>
      <c r="P384" s="47" t="s">
        <v>689</v>
      </c>
      <c r="Q384" s="48">
        <v>46200</v>
      </c>
      <c r="R384" s="49" t="s">
        <v>4</v>
      </c>
      <c r="S384" s="48" t="s">
        <v>4</v>
      </c>
      <c r="T384" s="47" t="s">
        <v>525</v>
      </c>
    </row>
    <row r="385" spans="1:20">
      <c r="A385" s="46">
        <v>137540388010</v>
      </c>
      <c r="B385" s="44" t="s">
        <v>517</v>
      </c>
      <c r="C385" s="45">
        <v>46003</v>
      </c>
      <c r="D385" s="46">
        <v>54667624293</v>
      </c>
      <c r="E385" s="46">
        <v>2146005057943</v>
      </c>
      <c r="F385" s="47" t="s">
        <v>518</v>
      </c>
      <c r="G385" s="47" t="s">
        <v>519</v>
      </c>
      <c r="H385" s="47" t="s">
        <v>4</v>
      </c>
      <c r="I385" s="46" t="s">
        <v>4</v>
      </c>
      <c r="J385" s="48">
        <v>93.12</v>
      </c>
      <c r="K385" s="47" t="s">
        <v>520</v>
      </c>
      <c r="L385" s="47" t="s">
        <v>521</v>
      </c>
      <c r="M385" s="46" t="s">
        <v>522</v>
      </c>
      <c r="N385" s="47" t="s">
        <v>523</v>
      </c>
      <c r="O385" s="44" t="s">
        <v>4</v>
      </c>
      <c r="P385" s="47" t="s">
        <v>690</v>
      </c>
      <c r="Q385" s="48">
        <v>9600</v>
      </c>
      <c r="R385" s="49" t="s">
        <v>4</v>
      </c>
      <c r="S385" s="48" t="s">
        <v>4</v>
      </c>
      <c r="T385" s="47" t="s">
        <v>525</v>
      </c>
    </row>
    <row r="386" spans="1:20">
      <c r="A386" s="46">
        <v>137540595612</v>
      </c>
      <c r="B386" s="44" t="s">
        <v>517</v>
      </c>
      <c r="C386" s="45">
        <v>46003</v>
      </c>
      <c r="D386" s="46">
        <v>54667706762</v>
      </c>
      <c r="E386" s="46">
        <v>2146006139493</v>
      </c>
      <c r="F386" s="47" t="s">
        <v>518</v>
      </c>
      <c r="G386" s="47" t="s">
        <v>519</v>
      </c>
      <c r="H386" s="47" t="s">
        <v>4</v>
      </c>
      <c r="I386" s="46" t="s">
        <v>4</v>
      </c>
      <c r="J386" s="48">
        <v>38.799999999999997</v>
      </c>
      <c r="K386" s="47" t="s">
        <v>520</v>
      </c>
      <c r="L386" s="47" t="s">
        <v>521</v>
      </c>
      <c r="M386" s="46" t="s">
        <v>522</v>
      </c>
      <c r="N386" s="47" t="s">
        <v>523</v>
      </c>
      <c r="O386" s="44" t="s">
        <v>4</v>
      </c>
      <c r="P386" s="47" t="s">
        <v>691</v>
      </c>
      <c r="Q386" s="48">
        <v>4000</v>
      </c>
      <c r="R386" s="49" t="s">
        <v>4</v>
      </c>
      <c r="S386" s="48" t="s">
        <v>4</v>
      </c>
      <c r="T386" s="47" t="s">
        <v>525</v>
      </c>
    </row>
    <row r="387" spans="1:20">
      <c r="A387" s="46">
        <v>137541156138</v>
      </c>
      <c r="B387" s="44" t="s">
        <v>517</v>
      </c>
      <c r="C387" s="45">
        <v>46003</v>
      </c>
      <c r="D387" s="46">
        <v>54667843536</v>
      </c>
      <c r="E387" s="46">
        <v>2146008122679</v>
      </c>
      <c r="F387" s="47" t="s">
        <v>518</v>
      </c>
      <c r="G387" s="47" t="s">
        <v>519</v>
      </c>
      <c r="H387" s="47" t="s">
        <v>4</v>
      </c>
      <c r="I387" s="46" t="s">
        <v>4</v>
      </c>
      <c r="J387" s="48">
        <v>124.16</v>
      </c>
      <c r="K387" s="47" t="s">
        <v>520</v>
      </c>
      <c r="L387" s="47" t="s">
        <v>521</v>
      </c>
      <c r="M387" s="46" t="s">
        <v>522</v>
      </c>
      <c r="N387" s="47" t="s">
        <v>523</v>
      </c>
      <c r="O387" s="44" t="s">
        <v>4</v>
      </c>
      <c r="P387" s="47" t="s">
        <v>692</v>
      </c>
      <c r="Q387" s="48">
        <v>12800</v>
      </c>
      <c r="R387" s="49" t="s">
        <v>4</v>
      </c>
      <c r="S387" s="48" t="s">
        <v>4</v>
      </c>
      <c r="T387" s="47" t="s">
        <v>525</v>
      </c>
    </row>
    <row r="388" spans="1:20">
      <c r="A388" s="46">
        <v>136907946313</v>
      </c>
      <c r="B388" s="44" t="s">
        <v>517</v>
      </c>
      <c r="C388" s="45">
        <v>46003</v>
      </c>
      <c r="D388" s="46">
        <v>54667897778</v>
      </c>
      <c r="E388" s="46">
        <v>2146150954684</v>
      </c>
      <c r="F388" s="47" t="s">
        <v>529</v>
      </c>
      <c r="G388" s="47" t="s">
        <v>519</v>
      </c>
      <c r="H388" s="47" t="s">
        <v>4</v>
      </c>
      <c r="I388" s="46" t="s">
        <v>4</v>
      </c>
      <c r="J388" s="48">
        <v>2283</v>
      </c>
      <c r="K388" s="47" t="s">
        <v>520</v>
      </c>
      <c r="L388" s="47" t="s">
        <v>530</v>
      </c>
      <c r="M388" s="46" t="s">
        <v>660</v>
      </c>
      <c r="N388" s="47" t="s">
        <v>661</v>
      </c>
      <c r="O388" s="44" t="s">
        <v>263</v>
      </c>
      <c r="P388" s="47" t="s">
        <v>531</v>
      </c>
      <c r="Q388" s="48">
        <v>30000</v>
      </c>
      <c r="R388" s="49" t="s">
        <v>4</v>
      </c>
      <c r="S388" s="48" t="s">
        <v>4</v>
      </c>
      <c r="T388" s="47" t="s">
        <v>525</v>
      </c>
    </row>
    <row r="389" spans="1:20">
      <c r="A389" s="46">
        <v>137541218458</v>
      </c>
      <c r="B389" s="44" t="s">
        <v>517</v>
      </c>
      <c r="C389" s="45">
        <v>46003</v>
      </c>
      <c r="D389" s="46">
        <v>54667899448</v>
      </c>
      <c r="E389" s="46">
        <v>2146150903820</v>
      </c>
      <c r="F389" s="47" t="s">
        <v>518</v>
      </c>
      <c r="G389" s="47" t="s">
        <v>519</v>
      </c>
      <c r="H389" s="47" t="s">
        <v>4</v>
      </c>
      <c r="I389" s="46" t="s">
        <v>4</v>
      </c>
      <c r="J389" s="48">
        <v>46.56</v>
      </c>
      <c r="K389" s="47" t="s">
        <v>520</v>
      </c>
      <c r="L389" s="47" t="s">
        <v>521</v>
      </c>
      <c r="M389" s="46" t="s">
        <v>522</v>
      </c>
      <c r="N389" s="47" t="s">
        <v>523</v>
      </c>
      <c r="O389" s="44" t="s">
        <v>4</v>
      </c>
      <c r="P389" s="47" t="s">
        <v>681</v>
      </c>
      <c r="Q389" s="48">
        <v>4800</v>
      </c>
      <c r="R389" s="49" t="s">
        <v>4</v>
      </c>
      <c r="S389" s="48" t="s">
        <v>4</v>
      </c>
      <c r="T389" s="47" t="s">
        <v>525</v>
      </c>
    </row>
    <row r="390" spans="1:20">
      <c r="A390" s="46">
        <v>137541514796</v>
      </c>
      <c r="B390" s="44" t="s">
        <v>517</v>
      </c>
      <c r="C390" s="45">
        <v>46003</v>
      </c>
      <c r="D390" s="46">
        <v>54668082828</v>
      </c>
      <c r="E390" s="46">
        <v>2146011819667</v>
      </c>
      <c r="F390" s="47" t="s">
        <v>518</v>
      </c>
      <c r="G390" s="47" t="s">
        <v>519</v>
      </c>
      <c r="H390" s="47" t="s">
        <v>4</v>
      </c>
      <c r="I390" s="46" t="s">
        <v>4</v>
      </c>
      <c r="J390" s="48">
        <v>39.770000000000003</v>
      </c>
      <c r="K390" s="47" t="s">
        <v>520</v>
      </c>
      <c r="L390" s="47" t="s">
        <v>521</v>
      </c>
      <c r="M390" s="46" t="s">
        <v>522</v>
      </c>
      <c r="N390" s="47" t="s">
        <v>523</v>
      </c>
      <c r="O390" s="44" t="s">
        <v>4</v>
      </c>
      <c r="P390" s="47" t="s">
        <v>693</v>
      </c>
      <c r="Q390" s="48">
        <v>4100</v>
      </c>
      <c r="R390" s="49" t="s">
        <v>4</v>
      </c>
      <c r="S390" s="48" t="s">
        <v>4</v>
      </c>
      <c r="T390" s="47" t="s">
        <v>525</v>
      </c>
    </row>
    <row r="391" spans="1:20">
      <c r="A391" s="46">
        <v>137541617978</v>
      </c>
      <c r="B391" s="44" t="s">
        <v>517</v>
      </c>
      <c r="C391" s="45">
        <v>46003</v>
      </c>
      <c r="D391" s="46">
        <v>54668228870</v>
      </c>
      <c r="E391" s="46">
        <v>2146014279529</v>
      </c>
      <c r="F391" s="47" t="s">
        <v>518</v>
      </c>
      <c r="G391" s="47" t="s">
        <v>519</v>
      </c>
      <c r="H391" s="47" t="s">
        <v>4</v>
      </c>
      <c r="I391" s="46" t="s">
        <v>4</v>
      </c>
      <c r="J391" s="48">
        <v>42.68</v>
      </c>
      <c r="K391" s="47" t="s">
        <v>520</v>
      </c>
      <c r="L391" s="47" t="s">
        <v>521</v>
      </c>
      <c r="M391" s="46" t="s">
        <v>522</v>
      </c>
      <c r="N391" s="47" t="s">
        <v>523</v>
      </c>
      <c r="O391" s="44" t="s">
        <v>4</v>
      </c>
      <c r="P391" s="47" t="s">
        <v>694</v>
      </c>
      <c r="Q391" s="48">
        <v>4400</v>
      </c>
      <c r="R391" s="49" t="s">
        <v>4</v>
      </c>
      <c r="S391" s="48" t="s">
        <v>4</v>
      </c>
      <c r="T391" s="47" t="s">
        <v>525</v>
      </c>
    </row>
    <row r="392" spans="1:20">
      <c r="A392" s="46">
        <v>137542444234</v>
      </c>
      <c r="B392" s="44" t="s">
        <v>517</v>
      </c>
      <c r="C392" s="45">
        <v>46003</v>
      </c>
      <c r="D392" s="46">
        <v>54668528573</v>
      </c>
      <c r="E392" s="46">
        <v>2146161519710</v>
      </c>
      <c r="F392" s="47" t="s">
        <v>518</v>
      </c>
      <c r="G392" s="47" t="s">
        <v>519</v>
      </c>
      <c r="H392" s="47" t="s">
        <v>4</v>
      </c>
      <c r="I392" s="46" t="s">
        <v>4</v>
      </c>
      <c r="J392" s="48">
        <v>466.57</v>
      </c>
      <c r="K392" s="47" t="s">
        <v>520</v>
      </c>
      <c r="L392" s="47" t="s">
        <v>521</v>
      </c>
      <c r="M392" s="46" t="s">
        <v>522</v>
      </c>
      <c r="N392" s="47" t="s">
        <v>523</v>
      </c>
      <c r="O392" s="44" t="s">
        <v>4</v>
      </c>
      <c r="P392" s="47" t="s">
        <v>695</v>
      </c>
      <c r="Q392" s="48">
        <v>48100</v>
      </c>
      <c r="R392" s="49" t="s">
        <v>4</v>
      </c>
      <c r="S392" s="48" t="s">
        <v>4</v>
      </c>
      <c r="T392" s="47" t="s">
        <v>525</v>
      </c>
    </row>
    <row r="393" spans="1:20">
      <c r="A393" s="46">
        <v>137542387224</v>
      </c>
      <c r="B393" s="44" t="s">
        <v>517</v>
      </c>
      <c r="C393" s="45">
        <v>46003</v>
      </c>
      <c r="D393" s="46">
        <v>54668548677</v>
      </c>
      <c r="E393" s="46">
        <v>2146020073857</v>
      </c>
      <c r="F393" s="47" t="s">
        <v>518</v>
      </c>
      <c r="G393" s="47" t="s">
        <v>519</v>
      </c>
      <c r="H393" s="47" t="s">
        <v>4</v>
      </c>
      <c r="I393" s="46" t="s">
        <v>4</v>
      </c>
      <c r="J393" s="48">
        <v>741.65</v>
      </c>
      <c r="K393" s="47" t="s">
        <v>520</v>
      </c>
      <c r="L393" s="47" t="s">
        <v>521</v>
      </c>
      <c r="M393" s="46" t="s">
        <v>660</v>
      </c>
      <c r="N393" s="47" t="s">
        <v>661</v>
      </c>
      <c r="O393" s="44" t="s">
        <v>4</v>
      </c>
      <c r="P393" s="47" t="s">
        <v>696</v>
      </c>
      <c r="Q393" s="48">
        <v>45500</v>
      </c>
      <c r="R393" s="49" t="s">
        <v>4</v>
      </c>
      <c r="S393" s="48" t="s">
        <v>4</v>
      </c>
      <c r="T393" s="47" t="s">
        <v>525</v>
      </c>
    </row>
    <row r="394" spans="1:20">
      <c r="A394" s="46">
        <v>136909607997</v>
      </c>
      <c r="B394" s="44" t="s">
        <v>517</v>
      </c>
      <c r="C394" s="45">
        <v>46003</v>
      </c>
      <c r="D394" s="46">
        <v>54668634960</v>
      </c>
      <c r="E394" s="46">
        <v>2146021024381</v>
      </c>
      <c r="F394" s="47" t="s">
        <v>518</v>
      </c>
      <c r="G394" s="47" t="s">
        <v>519</v>
      </c>
      <c r="H394" s="47" t="s">
        <v>4</v>
      </c>
      <c r="I394" s="46" t="s">
        <v>4</v>
      </c>
      <c r="J394" s="48">
        <v>46.56</v>
      </c>
      <c r="K394" s="47" t="s">
        <v>520</v>
      </c>
      <c r="L394" s="47" t="s">
        <v>521</v>
      </c>
      <c r="M394" s="46" t="s">
        <v>522</v>
      </c>
      <c r="N394" s="47" t="s">
        <v>523</v>
      </c>
      <c r="O394" s="44" t="s">
        <v>4</v>
      </c>
      <c r="P394" s="47" t="s">
        <v>697</v>
      </c>
      <c r="Q394" s="48">
        <v>4800</v>
      </c>
      <c r="R394" s="49" t="s">
        <v>4</v>
      </c>
      <c r="S394" s="48" t="s">
        <v>4</v>
      </c>
      <c r="T394" s="47" t="s">
        <v>525</v>
      </c>
    </row>
    <row r="395" spans="1:20">
      <c r="A395" s="46">
        <v>137542736688</v>
      </c>
      <c r="B395" s="44" t="s">
        <v>517</v>
      </c>
      <c r="C395" s="45">
        <v>46003</v>
      </c>
      <c r="D395" s="46">
        <v>54668676505</v>
      </c>
      <c r="E395" s="46">
        <v>2146022313029</v>
      </c>
      <c r="F395" s="47" t="s">
        <v>529</v>
      </c>
      <c r="G395" s="47" t="s">
        <v>519</v>
      </c>
      <c r="H395" s="47" t="s">
        <v>4</v>
      </c>
      <c r="I395" s="46" t="s">
        <v>4</v>
      </c>
      <c r="J395" s="48">
        <v>730.56</v>
      </c>
      <c r="K395" s="47" t="s">
        <v>520</v>
      </c>
      <c r="L395" s="47" t="s">
        <v>530</v>
      </c>
      <c r="M395" s="46" t="s">
        <v>522</v>
      </c>
      <c r="N395" s="47" t="s">
        <v>523</v>
      </c>
      <c r="O395" s="44" t="s">
        <v>263</v>
      </c>
      <c r="P395" s="47" t="s">
        <v>531</v>
      </c>
      <c r="Q395" s="48">
        <v>9600</v>
      </c>
      <c r="R395" s="49" t="s">
        <v>4</v>
      </c>
      <c r="S395" s="48" t="s">
        <v>4</v>
      </c>
      <c r="T395" s="47" t="s">
        <v>525</v>
      </c>
    </row>
    <row r="396" spans="1:20">
      <c r="A396" s="46">
        <v>137542727460</v>
      </c>
      <c r="B396" s="44" t="s">
        <v>517</v>
      </c>
      <c r="C396" s="45">
        <v>46003</v>
      </c>
      <c r="D396" s="46">
        <v>54668712259</v>
      </c>
      <c r="E396" s="46">
        <v>2146165538246</v>
      </c>
      <c r="F396" s="47" t="s">
        <v>518</v>
      </c>
      <c r="G396" s="47" t="s">
        <v>519</v>
      </c>
      <c r="H396" s="47" t="s">
        <v>4</v>
      </c>
      <c r="I396" s="46" t="s">
        <v>4</v>
      </c>
      <c r="J396" s="48">
        <v>178.48</v>
      </c>
      <c r="K396" s="47" t="s">
        <v>520</v>
      </c>
      <c r="L396" s="47" t="s">
        <v>521</v>
      </c>
      <c r="M396" s="46" t="s">
        <v>522</v>
      </c>
      <c r="N396" s="47" t="s">
        <v>523</v>
      </c>
      <c r="O396" s="44" t="s">
        <v>4</v>
      </c>
      <c r="P396" s="47" t="s">
        <v>698</v>
      </c>
      <c r="Q396" s="48">
        <v>18400</v>
      </c>
      <c r="R396" s="49" t="s">
        <v>4</v>
      </c>
      <c r="S396" s="48" t="s">
        <v>4</v>
      </c>
      <c r="T396" s="47" t="s">
        <v>525</v>
      </c>
    </row>
    <row r="397" spans="1:20">
      <c r="A397" s="46">
        <v>136910253133</v>
      </c>
      <c r="B397" s="44" t="s">
        <v>517</v>
      </c>
      <c r="C397" s="45">
        <v>46003</v>
      </c>
      <c r="D397" s="46">
        <v>54668864195</v>
      </c>
      <c r="E397" s="46">
        <v>2146168325680</v>
      </c>
      <c r="F397" s="47" t="s">
        <v>518</v>
      </c>
      <c r="G397" s="47" t="s">
        <v>519</v>
      </c>
      <c r="H397" s="47" t="s">
        <v>4</v>
      </c>
      <c r="I397" s="46" t="s">
        <v>4</v>
      </c>
      <c r="J397" s="48">
        <v>77.599999999999994</v>
      </c>
      <c r="K397" s="47" t="s">
        <v>520</v>
      </c>
      <c r="L397" s="47" t="s">
        <v>521</v>
      </c>
      <c r="M397" s="46" t="s">
        <v>522</v>
      </c>
      <c r="N397" s="47" t="s">
        <v>523</v>
      </c>
      <c r="O397" s="44" t="s">
        <v>4</v>
      </c>
      <c r="P397" s="47" t="s">
        <v>699</v>
      </c>
      <c r="Q397" s="48">
        <v>8000</v>
      </c>
      <c r="R397" s="49" t="s">
        <v>4</v>
      </c>
      <c r="S397" s="48" t="s">
        <v>4</v>
      </c>
      <c r="T397" s="47" t="s">
        <v>525</v>
      </c>
    </row>
    <row r="398" spans="1:20">
      <c r="A398" s="46">
        <v>137543547888</v>
      </c>
      <c r="B398" s="44" t="s">
        <v>517</v>
      </c>
      <c r="C398" s="45">
        <v>46003</v>
      </c>
      <c r="D398" s="46">
        <v>54669027332</v>
      </c>
      <c r="E398" s="46">
        <v>2146171211710</v>
      </c>
      <c r="F398" s="47" t="s">
        <v>518</v>
      </c>
      <c r="G398" s="47" t="s">
        <v>519</v>
      </c>
      <c r="H398" s="47" t="s">
        <v>4</v>
      </c>
      <c r="I398" s="46" t="s">
        <v>4</v>
      </c>
      <c r="J398" s="48">
        <v>392.85</v>
      </c>
      <c r="K398" s="47" t="s">
        <v>520</v>
      </c>
      <c r="L398" s="47" t="s">
        <v>521</v>
      </c>
      <c r="M398" s="46" t="s">
        <v>522</v>
      </c>
      <c r="N398" s="47" t="s">
        <v>523</v>
      </c>
      <c r="O398" s="44" t="s">
        <v>4</v>
      </c>
      <c r="P398" s="47" t="s">
        <v>700</v>
      </c>
      <c r="Q398" s="48">
        <v>40500</v>
      </c>
      <c r="R398" s="49" t="s">
        <v>4</v>
      </c>
      <c r="S398" s="48" t="s">
        <v>4</v>
      </c>
      <c r="T398" s="47" t="s">
        <v>525</v>
      </c>
    </row>
    <row r="399" spans="1:20">
      <c r="A399" s="46">
        <v>137544322996</v>
      </c>
      <c r="B399" s="44" t="s">
        <v>517</v>
      </c>
      <c r="C399" s="45">
        <v>46003</v>
      </c>
      <c r="D399" s="46">
        <v>54669291843</v>
      </c>
      <c r="E399" s="46">
        <v>2146176874322</v>
      </c>
      <c r="F399" s="47" t="s">
        <v>529</v>
      </c>
      <c r="G399" s="47" t="s">
        <v>519</v>
      </c>
      <c r="H399" s="47" t="s">
        <v>4</v>
      </c>
      <c r="I399" s="46" t="s">
        <v>4</v>
      </c>
      <c r="J399" s="48">
        <v>10352.040000000001</v>
      </c>
      <c r="K399" s="47" t="s">
        <v>520</v>
      </c>
      <c r="L399" s="47" t="s">
        <v>530</v>
      </c>
      <c r="M399" s="46" t="s">
        <v>522</v>
      </c>
      <c r="N399" s="47" t="s">
        <v>523</v>
      </c>
      <c r="O399" s="44" t="s">
        <v>263</v>
      </c>
      <c r="P399" s="47" t="s">
        <v>531</v>
      </c>
      <c r="Q399" s="48">
        <v>92100</v>
      </c>
      <c r="R399" s="49" t="s">
        <v>4</v>
      </c>
      <c r="S399" s="48" t="s">
        <v>4</v>
      </c>
      <c r="T399" s="47" t="s">
        <v>525</v>
      </c>
    </row>
    <row r="400" spans="1:20">
      <c r="A400" s="46">
        <v>137544399486</v>
      </c>
      <c r="B400" s="44" t="s">
        <v>517</v>
      </c>
      <c r="C400" s="45">
        <v>46003</v>
      </c>
      <c r="D400" s="46">
        <v>54669360233</v>
      </c>
      <c r="E400" s="46">
        <v>2146178381122</v>
      </c>
      <c r="F400" s="47" t="s">
        <v>526</v>
      </c>
      <c r="G400" s="47" t="s">
        <v>519</v>
      </c>
      <c r="H400" s="47" t="s">
        <v>4</v>
      </c>
      <c r="I400" s="46" t="s">
        <v>4</v>
      </c>
      <c r="J400" s="48">
        <v>40.74</v>
      </c>
      <c r="K400" s="47" t="s">
        <v>520</v>
      </c>
      <c r="L400" s="47" t="s">
        <v>521</v>
      </c>
      <c r="M400" s="46" t="s">
        <v>522</v>
      </c>
      <c r="N400" s="47" t="s">
        <v>523</v>
      </c>
      <c r="O400" s="44" t="s">
        <v>4</v>
      </c>
      <c r="P400" s="47" t="s">
        <v>527</v>
      </c>
      <c r="Q400" s="48">
        <v>4200</v>
      </c>
      <c r="R400" s="49" t="s">
        <v>4</v>
      </c>
      <c r="S400" s="48" t="s">
        <v>4</v>
      </c>
      <c r="T400" s="47" t="s">
        <v>4</v>
      </c>
    </row>
    <row r="401" spans="1:20">
      <c r="A401" s="46">
        <v>136911982075</v>
      </c>
      <c r="B401" s="44" t="s">
        <v>517</v>
      </c>
      <c r="C401" s="45">
        <v>46003</v>
      </c>
      <c r="D401" s="46">
        <v>54669610172</v>
      </c>
      <c r="E401" s="46">
        <v>2146183758088</v>
      </c>
      <c r="F401" s="47" t="s">
        <v>526</v>
      </c>
      <c r="G401" s="47" t="s">
        <v>519</v>
      </c>
      <c r="H401" s="47" t="s">
        <v>4</v>
      </c>
      <c r="I401" s="46" t="s">
        <v>4</v>
      </c>
      <c r="J401" s="48">
        <v>142.59</v>
      </c>
      <c r="K401" s="47" t="s">
        <v>520</v>
      </c>
      <c r="L401" s="47" t="s">
        <v>521</v>
      </c>
      <c r="M401" s="46" t="s">
        <v>522</v>
      </c>
      <c r="N401" s="47" t="s">
        <v>523</v>
      </c>
      <c r="O401" s="44" t="s">
        <v>4</v>
      </c>
      <c r="P401" s="47" t="s">
        <v>527</v>
      </c>
      <c r="Q401" s="48">
        <v>14700</v>
      </c>
      <c r="R401" s="49" t="s">
        <v>4</v>
      </c>
      <c r="S401" s="48" t="s">
        <v>4</v>
      </c>
      <c r="T401" s="47" t="s">
        <v>4</v>
      </c>
    </row>
    <row r="402" spans="1:20">
      <c r="A402" s="46">
        <v>136912149021</v>
      </c>
      <c r="B402" s="44" t="s">
        <v>517</v>
      </c>
      <c r="C402" s="45">
        <v>46003</v>
      </c>
      <c r="D402" s="46">
        <v>54669628991</v>
      </c>
      <c r="E402" s="46">
        <v>2146184033092</v>
      </c>
      <c r="F402" s="47" t="s">
        <v>518</v>
      </c>
      <c r="G402" s="47" t="s">
        <v>519</v>
      </c>
      <c r="H402" s="47" t="s">
        <v>4</v>
      </c>
      <c r="I402" s="46" t="s">
        <v>4</v>
      </c>
      <c r="J402" s="48">
        <v>1033.05</v>
      </c>
      <c r="K402" s="47" t="s">
        <v>520</v>
      </c>
      <c r="L402" s="47" t="s">
        <v>521</v>
      </c>
      <c r="M402" s="46" t="s">
        <v>522</v>
      </c>
      <c r="N402" s="47" t="s">
        <v>523</v>
      </c>
      <c r="O402" s="44" t="s">
        <v>4</v>
      </c>
      <c r="P402" s="47" t="s">
        <v>544</v>
      </c>
      <c r="Q402" s="48">
        <v>106500</v>
      </c>
      <c r="R402" s="49" t="s">
        <v>4</v>
      </c>
      <c r="S402" s="48" t="s">
        <v>4</v>
      </c>
      <c r="T402" s="47" t="s">
        <v>525</v>
      </c>
    </row>
    <row r="403" spans="1:20">
      <c r="A403" s="46">
        <v>137545150932</v>
      </c>
      <c r="B403" s="44" t="s">
        <v>517</v>
      </c>
      <c r="C403" s="45">
        <v>46003</v>
      </c>
      <c r="D403" s="46">
        <v>54669675420</v>
      </c>
      <c r="E403" s="46">
        <v>2146042785019</v>
      </c>
      <c r="F403" s="47" t="s">
        <v>518</v>
      </c>
      <c r="G403" s="47" t="s">
        <v>519</v>
      </c>
      <c r="H403" s="47" t="s">
        <v>4</v>
      </c>
      <c r="I403" s="46" t="s">
        <v>4</v>
      </c>
      <c r="J403" s="48">
        <v>46.56</v>
      </c>
      <c r="K403" s="47" t="s">
        <v>520</v>
      </c>
      <c r="L403" s="47" t="s">
        <v>521</v>
      </c>
      <c r="M403" s="46" t="s">
        <v>522</v>
      </c>
      <c r="N403" s="47" t="s">
        <v>523</v>
      </c>
      <c r="O403" s="44" t="s">
        <v>4</v>
      </c>
      <c r="P403" s="47" t="s">
        <v>701</v>
      </c>
      <c r="Q403" s="48">
        <v>4800</v>
      </c>
      <c r="R403" s="49" t="s">
        <v>4</v>
      </c>
      <c r="S403" s="48" t="s">
        <v>4</v>
      </c>
      <c r="T403" s="47" t="s">
        <v>525</v>
      </c>
    </row>
    <row r="404" spans="1:20">
      <c r="A404" s="46">
        <v>136912380571</v>
      </c>
      <c r="B404" s="44" t="s">
        <v>517</v>
      </c>
      <c r="C404" s="45">
        <v>46003</v>
      </c>
      <c r="D404" s="46">
        <v>54669688143</v>
      </c>
      <c r="E404" s="46">
        <v>2146186237408</v>
      </c>
      <c r="F404" s="47" t="s">
        <v>529</v>
      </c>
      <c r="G404" s="47" t="s">
        <v>519</v>
      </c>
      <c r="H404" s="47" t="s">
        <v>4</v>
      </c>
      <c r="I404" s="46" t="s">
        <v>4</v>
      </c>
      <c r="J404" s="48">
        <v>948.86</v>
      </c>
      <c r="K404" s="47" t="s">
        <v>520</v>
      </c>
      <c r="L404" s="47" t="s">
        <v>530</v>
      </c>
      <c r="M404" s="46" t="s">
        <v>522</v>
      </c>
      <c r="N404" s="47" t="s">
        <v>523</v>
      </c>
      <c r="O404" s="44" t="s">
        <v>263</v>
      </c>
      <c r="P404" s="47" t="s">
        <v>531</v>
      </c>
      <c r="Q404" s="48">
        <v>20900</v>
      </c>
      <c r="R404" s="49" t="s">
        <v>4</v>
      </c>
      <c r="S404" s="48" t="s">
        <v>4</v>
      </c>
      <c r="T404" s="47" t="s">
        <v>525</v>
      </c>
    </row>
    <row r="405" spans="1:20">
      <c r="A405" s="46">
        <v>137545478442</v>
      </c>
      <c r="B405" s="44" t="s">
        <v>517</v>
      </c>
      <c r="C405" s="45">
        <v>46003</v>
      </c>
      <c r="D405" s="46">
        <v>54669720327</v>
      </c>
      <c r="E405" s="46">
        <v>2146186672666</v>
      </c>
      <c r="F405" s="47" t="s">
        <v>518</v>
      </c>
      <c r="G405" s="47" t="s">
        <v>519</v>
      </c>
      <c r="H405" s="47" t="s">
        <v>4</v>
      </c>
      <c r="I405" s="46" t="s">
        <v>4</v>
      </c>
      <c r="J405" s="48">
        <v>116.4</v>
      </c>
      <c r="K405" s="47" t="s">
        <v>520</v>
      </c>
      <c r="L405" s="47" t="s">
        <v>521</v>
      </c>
      <c r="M405" s="46" t="s">
        <v>522</v>
      </c>
      <c r="N405" s="47" t="s">
        <v>523</v>
      </c>
      <c r="O405" s="44" t="s">
        <v>4</v>
      </c>
      <c r="P405" s="47" t="s">
        <v>702</v>
      </c>
      <c r="Q405" s="48">
        <v>12000</v>
      </c>
      <c r="R405" s="49" t="s">
        <v>4</v>
      </c>
      <c r="S405" s="48" t="s">
        <v>4</v>
      </c>
      <c r="T405" s="47" t="s">
        <v>525</v>
      </c>
    </row>
    <row r="406" spans="1:20">
      <c r="A406" s="46">
        <v>137545257514</v>
      </c>
      <c r="B406" s="44" t="s">
        <v>517</v>
      </c>
      <c r="C406" s="45">
        <v>46003</v>
      </c>
      <c r="D406" s="46">
        <v>54669749296</v>
      </c>
      <c r="E406" s="46">
        <v>2146044871601</v>
      </c>
      <c r="F406" s="47" t="s">
        <v>518</v>
      </c>
      <c r="G406" s="47" t="s">
        <v>519</v>
      </c>
      <c r="H406" s="47" t="s">
        <v>4</v>
      </c>
      <c r="I406" s="46" t="s">
        <v>4</v>
      </c>
      <c r="J406" s="48">
        <v>208.55</v>
      </c>
      <c r="K406" s="47" t="s">
        <v>520</v>
      </c>
      <c r="L406" s="47" t="s">
        <v>521</v>
      </c>
      <c r="M406" s="46" t="s">
        <v>522</v>
      </c>
      <c r="N406" s="47" t="s">
        <v>523</v>
      </c>
      <c r="O406" s="44" t="s">
        <v>4</v>
      </c>
      <c r="P406" s="47" t="s">
        <v>703</v>
      </c>
      <c r="Q406" s="48">
        <v>21500</v>
      </c>
      <c r="R406" s="49" t="s">
        <v>4</v>
      </c>
      <c r="S406" s="48" t="s">
        <v>4</v>
      </c>
      <c r="T406" s="47" t="s">
        <v>525</v>
      </c>
    </row>
    <row r="407" spans="1:20">
      <c r="A407" s="46">
        <v>136912524459</v>
      </c>
      <c r="B407" s="44" t="s">
        <v>517</v>
      </c>
      <c r="C407" s="45">
        <v>46003</v>
      </c>
      <c r="D407" s="46">
        <v>54669750604</v>
      </c>
      <c r="E407" s="46">
        <v>2146187632744</v>
      </c>
      <c r="F407" s="47" t="s">
        <v>518</v>
      </c>
      <c r="G407" s="47" t="s">
        <v>519</v>
      </c>
      <c r="H407" s="47" t="s">
        <v>4</v>
      </c>
      <c r="I407" s="46" t="s">
        <v>4</v>
      </c>
      <c r="J407" s="48">
        <v>266.75</v>
      </c>
      <c r="K407" s="47" t="s">
        <v>520</v>
      </c>
      <c r="L407" s="47" t="s">
        <v>521</v>
      </c>
      <c r="M407" s="46" t="s">
        <v>522</v>
      </c>
      <c r="N407" s="47" t="s">
        <v>523</v>
      </c>
      <c r="O407" s="44" t="s">
        <v>4</v>
      </c>
      <c r="P407" s="47" t="s">
        <v>671</v>
      </c>
      <c r="Q407" s="48">
        <v>27500</v>
      </c>
      <c r="R407" s="49" t="s">
        <v>4</v>
      </c>
      <c r="S407" s="48" t="s">
        <v>4</v>
      </c>
      <c r="T407" s="47" t="s">
        <v>525</v>
      </c>
    </row>
    <row r="408" spans="1:20">
      <c r="A408" s="46">
        <v>137545399844</v>
      </c>
      <c r="B408" s="44" t="s">
        <v>517</v>
      </c>
      <c r="C408" s="45">
        <v>46003</v>
      </c>
      <c r="D408" s="46">
        <v>54669807305</v>
      </c>
      <c r="E408" s="46">
        <v>2146046411507</v>
      </c>
      <c r="F408" s="47" t="s">
        <v>518</v>
      </c>
      <c r="G408" s="47" t="s">
        <v>519</v>
      </c>
      <c r="H408" s="47" t="s">
        <v>4</v>
      </c>
      <c r="I408" s="46" t="s">
        <v>4</v>
      </c>
      <c r="J408" s="48">
        <v>426.8</v>
      </c>
      <c r="K408" s="47" t="s">
        <v>520</v>
      </c>
      <c r="L408" s="47" t="s">
        <v>521</v>
      </c>
      <c r="M408" s="46" t="s">
        <v>660</v>
      </c>
      <c r="N408" s="47" t="s">
        <v>661</v>
      </c>
      <c r="O408" s="44" t="s">
        <v>4</v>
      </c>
      <c r="P408" s="47" t="s">
        <v>704</v>
      </c>
      <c r="Q408" s="48">
        <v>44000</v>
      </c>
      <c r="R408" s="49" t="s">
        <v>4</v>
      </c>
      <c r="S408" s="48" t="s">
        <v>4</v>
      </c>
      <c r="T408" s="47" t="s">
        <v>525</v>
      </c>
    </row>
    <row r="409" spans="1:20">
      <c r="A409" s="46">
        <v>136912525375</v>
      </c>
      <c r="B409" s="44" t="s">
        <v>517</v>
      </c>
      <c r="C409" s="45">
        <v>46003</v>
      </c>
      <c r="D409" s="46">
        <v>54669819781</v>
      </c>
      <c r="E409" s="46">
        <v>2146047153549</v>
      </c>
      <c r="F409" s="47" t="s">
        <v>526</v>
      </c>
      <c r="G409" s="47" t="s">
        <v>519</v>
      </c>
      <c r="H409" s="47" t="s">
        <v>4</v>
      </c>
      <c r="I409" s="46" t="s">
        <v>4</v>
      </c>
      <c r="J409" s="48">
        <v>226.98</v>
      </c>
      <c r="K409" s="47" t="s">
        <v>520</v>
      </c>
      <c r="L409" s="47" t="s">
        <v>521</v>
      </c>
      <c r="M409" s="46" t="s">
        <v>522</v>
      </c>
      <c r="N409" s="47" t="s">
        <v>523</v>
      </c>
      <c r="O409" s="44" t="s">
        <v>4</v>
      </c>
      <c r="P409" s="47" t="s">
        <v>527</v>
      </c>
      <c r="Q409" s="48">
        <v>23400</v>
      </c>
      <c r="R409" s="49" t="s">
        <v>4</v>
      </c>
      <c r="S409" s="48" t="s">
        <v>4</v>
      </c>
      <c r="T409" s="47" t="s">
        <v>4</v>
      </c>
    </row>
    <row r="410" spans="1:20">
      <c r="A410" s="46">
        <v>136912585861</v>
      </c>
      <c r="B410" s="44" t="s">
        <v>517</v>
      </c>
      <c r="C410" s="45">
        <v>46003</v>
      </c>
      <c r="D410" s="46">
        <v>54669910515</v>
      </c>
      <c r="E410" s="46">
        <v>2146048803393</v>
      </c>
      <c r="F410" s="47" t="s">
        <v>518</v>
      </c>
      <c r="G410" s="47" t="s">
        <v>519</v>
      </c>
      <c r="H410" s="47" t="s">
        <v>4</v>
      </c>
      <c r="I410" s="46" t="s">
        <v>4</v>
      </c>
      <c r="J410" s="48">
        <v>226.98</v>
      </c>
      <c r="K410" s="47" t="s">
        <v>520</v>
      </c>
      <c r="L410" s="47" t="s">
        <v>521</v>
      </c>
      <c r="M410" s="46" t="s">
        <v>522</v>
      </c>
      <c r="N410" s="47" t="s">
        <v>523</v>
      </c>
      <c r="O410" s="44" t="s">
        <v>4</v>
      </c>
      <c r="P410" s="47" t="s">
        <v>705</v>
      </c>
      <c r="Q410" s="48">
        <v>23400</v>
      </c>
      <c r="R410" s="49" t="s">
        <v>4</v>
      </c>
      <c r="S410" s="48" t="s">
        <v>4</v>
      </c>
      <c r="T410" s="47" t="s">
        <v>525</v>
      </c>
    </row>
    <row r="411" spans="1:20">
      <c r="A411" s="46">
        <v>136912751489</v>
      </c>
      <c r="B411" s="44" t="s">
        <v>517</v>
      </c>
      <c r="C411" s="45">
        <v>46003</v>
      </c>
      <c r="D411" s="46">
        <v>54669952555</v>
      </c>
      <c r="E411" s="46">
        <v>2146050563851</v>
      </c>
      <c r="F411" s="47" t="s">
        <v>518</v>
      </c>
      <c r="G411" s="47" t="s">
        <v>519</v>
      </c>
      <c r="H411" s="47" t="s">
        <v>4</v>
      </c>
      <c r="I411" s="46" t="s">
        <v>4</v>
      </c>
      <c r="J411" s="48">
        <v>131.91999999999999</v>
      </c>
      <c r="K411" s="47" t="s">
        <v>520</v>
      </c>
      <c r="L411" s="47" t="s">
        <v>521</v>
      </c>
      <c r="M411" s="46" t="s">
        <v>522</v>
      </c>
      <c r="N411" s="47" t="s">
        <v>523</v>
      </c>
      <c r="O411" s="44" t="s">
        <v>4</v>
      </c>
      <c r="P411" s="47" t="s">
        <v>706</v>
      </c>
      <c r="Q411" s="48">
        <v>13600</v>
      </c>
      <c r="R411" s="49" t="s">
        <v>4</v>
      </c>
      <c r="S411" s="48" t="s">
        <v>4</v>
      </c>
      <c r="T411" s="47" t="s">
        <v>525</v>
      </c>
    </row>
    <row r="412" spans="1:20">
      <c r="A412" s="46">
        <v>136912732043</v>
      </c>
      <c r="B412" s="44" t="s">
        <v>517</v>
      </c>
      <c r="C412" s="45">
        <v>46003</v>
      </c>
      <c r="D412" s="46">
        <v>54669972476</v>
      </c>
      <c r="E412" s="46">
        <v>2146051363071</v>
      </c>
      <c r="F412" s="47" t="s">
        <v>518</v>
      </c>
      <c r="G412" s="47" t="s">
        <v>519</v>
      </c>
      <c r="H412" s="47" t="s">
        <v>4</v>
      </c>
      <c r="I412" s="46" t="s">
        <v>4</v>
      </c>
      <c r="J412" s="48">
        <v>81.48</v>
      </c>
      <c r="K412" s="47" t="s">
        <v>520</v>
      </c>
      <c r="L412" s="47" t="s">
        <v>521</v>
      </c>
      <c r="M412" s="46" t="s">
        <v>522</v>
      </c>
      <c r="N412" s="47" t="s">
        <v>523</v>
      </c>
      <c r="O412" s="44" t="s">
        <v>4</v>
      </c>
      <c r="P412" s="47" t="s">
        <v>707</v>
      </c>
      <c r="Q412" s="48">
        <v>8400</v>
      </c>
      <c r="R412" s="49" t="s">
        <v>4</v>
      </c>
      <c r="S412" s="48" t="s">
        <v>4</v>
      </c>
      <c r="T412" s="47" t="s">
        <v>525</v>
      </c>
    </row>
    <row r="413" spans="1:20">
      <c r="A413" s="46">
        <v>136912975121</v>
      </c>
      <c r="B413" s="44" t="s">
        <v>517</v>
      </c>
      <c r="C413" s="45">
        <v>46003</v>
      </c>
      <c r="D413" s="46">
        <v>54670024751</v>
      </c>
      <c r="E413" s="46">
        <v>2146051921781</v>
      </c>
      <c r="F413" s="47" t="s">
        <v>526</v>
      </c>
      <c r="G413" s="47" t="s">
        <v>519</v>
      </c>
      <c r="H413" s="47" t="s">
        <v>4</v>
      </c>
      <c r="I413" s="46" t="s">
        <v>4</v>
      </c>
      <c r="J413" s="48">
        <v>601.4</v>
      </c>
      <c r="K413" s="47" t="s">
        <v>520</v>
      </c>
      <c r="L413" s="47" t="s">
        <v>521</v>
      </c>
      <c r="M413" s="46" t="s">
        <v>522</v>
      </c>
      <c r="N413" s="47" t="s">
        <v>523</v>
      </c>
      <c r="O413" s="44" t="s">
        <v>4</v>
      </c>
      <c r="P413" s="47" t="s">
        <v>527</v>
      </c>
      <c r="Q413" s="48">
        <v>62000</v>
      </c>
      <c r="R413" s="49" t="s">
        <v>4</v>
      </c>
      <c r="S413" s="48" t="s">
        <v>4</v>
      </c>
      <c r="T413" s="47" t="s">
        <v>4</v>
      </c>
    </row>
    <row r="414" spans="1:20">
      <c r="A414" s="46">
        <v>137546227878</v>
      </c>
      <c r="B414" s="44" t="s">
        <v>517</v>
      </c>
      <c r="C414" s="45">
        <v>46003</v>
      </c>
      <c r="D414" s="46">
        <v>54670026675</v>
      </c>
      <c r="E414" s="46">
        <v>2146052249871</v>
      </c>
      <c r="F414" s="47" t="s">
        <v>518</v>
      </c>
      <c r="G414" s="47" t="s">
        <v>519</v>
      </c>
      <c r="H414" s="47" t="s">
        <v>4</v>
      </c>
      <c r="I414" s="46" t="s">
        <v>4</v>
      </c>
      <c r="J414" s="48">
        <v>125.13</v>
      </c>
      <c r="K414" s="47" t="s">
        <v>520</v>
      </c>
      <c r="L414" s="47" t="s">
        <v>521</v>
      </c>
      <c r="M414" s="46" t="s">
        <v>522</v>
      </c>
      <c r="N414" s="47" t="s">
        <v>523</v>
      </c>
      <c r="O414" s="44" t="s">
        <v>4</v>
      </c>
      <c r="P414" s="47" t="s">
        <v>708</v>
      </c>
      <c r="Q414" s="48">
        <v>12900</v>
      </c>
      <c r="R414" s="49" t="s">
        <v>4</v>
      </c>
      <c r="S414" s="48" t="s">
        <v>4</v>
      </c>
      <c r="T414" s="47" t="s">
        <v>525</v>
      </c>
    </row>
    <row r="415" spans="1:20">
      <c r="A415" s="46">
        <v>137546451270</v>
      </c>
      <c r="B415" s="44" t="s">
        <v>517</v>
      </c>
      <c r="C415" s="45">
        <v>46003</v>
      </c>
      <c r="D415" s="46">
        <v>54670072206</v>
      </c>
      <c r="E415" s="46">
        <v>2146196719828</v>
      </c>
      <c r="F415" s="47" t="s">
        <v>518</v>
      </c>
      <c r="G415" s="47" t="s">
        <v>519</v>
      </c>
      <c r="H415" s="47" t="s">
        <v>4</v>
      </c>
      <c r="I415" s="46" t="s">
        <v>4</v>
      </c>
      <c r="J415" s="48">
        <v>130.94999999999999</v>
      </c>
      <c r="K415" s="47" t="s">
        <v>520</v>
      </c>
      <c r="L415" s="47" t="s">
        <v>521</v>
      </c>
      <c r="M415" s="46" t="s">
        <v>522</v>
      </c>
      <c r="N415" s="47" t="s">
        <v>523</v>
      </c>
      <c r="O415" s="44" t="s">
        <v>4</v>
      </c>
      <c r="P415" s="47" t="s">
        <v>709</v>
      </c>
      <c r="Q415" s="48">
        <v>13500</v>
      </c>
      <c r="R415" s="49" t="s">
        <v>4</v>
      </c>
      <c r="S415" s="48" t="s">
        <v>4</v>
      </c>
      <c r="T415" s="47" t="s">
        <v>525</v>
      </c>
    </row>
    <row r="416" spans="1:20">
      <c r="A416" s="46">
        <v>136913470977</v>
      </c>
      <c r="B416" s="44" t="s">
        <v>517</v>
      </c>
      <c r="C416" s="45">
        <v>46003</v>
      </c>
      <c r="D416" s="46">
        <v>54670147928</v>
      </c>
      <c r="E416" s="46">
        <v>2146198553002</v>
      </c>
      <c r="F416" s="47" t="s">
        <v>529</v>
      </c>
      <c r="G416" s="47" t="s">
        <v>519</v>
      </c>
      <c r="H416" s="47" t="s">
        <v>4</v>
      </c>
      <c r="I416" s="46" t="s">
        <v>4</v>
      </c>
      <c r="J416" s="48">
        <v>435.84</v>
      </c>
      <c r="K416" s="47" t="s">
        <v>520</v>
      </c>
      <c r="L416" s="47" t="s">
        <v>530</v>
      </c>
      <c r="M416" s="46" t="s">
        <v>522</v>
      </c>
      <c r="N416" s="47" t="s">
        <v>523</v>
      </c>
      <c r="O416" s="44" t="s">
        <v>263</v>
      </c>
      <c r="P416" s="47" t="s">
        <v>531</v>
      </c>
      <c r="Q416" s="48">
        <v>9600</v>
      </c>
      <c r="R416" s="49" t="s">
        <v>4</v>
      </c>
      <c r="S416" s="48" t="s">
        <v>4</v>
      </c>
      <c r="T416" s="47" t="s">
        <v>525</v>
      </c>
    </row>
    <row r="417" spans="1:20">
      <c r="A417" s="46">
        <v>137546578068</v>
      </c>
      <c r="B417" s="44" t="s">
        <v>517</v>
      </c>
      <c r="C417" s="45">
        <v>46003</v>
      </c>
      <c r="D417" s="46">
        <v>54670208492</v>
      </c>
      <c r="E417" s="46">
        <v>2146058244037</v>
      </c>
      <c r="F417" s="47" t="s">
        <v>518</v>
      </c>
      <c r="G417" s="47" t="s">
        <v>519</v>
      </c>
      <c r="H417" s="47" t="s">
        <v>4</v>
      </c>
      <c r="I417" s="46" t="s">
        <v>4</v>
      </c>
      <c r="J417" s="48">
        <v>601.19000000000005</v>
      </c>
      <c r="K417" s="47" t="s">
        <v>520</v>
      </c>
      <c r="L417" s="47" t="s">
        <v>521</v>
      </c>
      <c r="M417" s="46" t="s">
        <v>522</v>
      </c>
      <c r="N417" s="47" t="s">
        <v>523</v>
      </c>
      <c r="O417" s="44" t="s">
        <v>4</v>
      </c>
      <c r="P417" s="47" t="s">
        <v>710</v>
      </c>
      <c r="Q417" s="48">
        <v>7900</v>
      </c>
      <c r="R417" s="49" t="s">
        <v>4</v>
      </c>
      <c r="S417" s="48" t="s">
        <v>4</v>
      </c>
      <c r="T417" s="47" t="s">
        <v>525</v>
      </c>
    </row>
    <row r="418" spans="1:20">
      <c r="A418" s="46">
        <v>136914112129</v>
      </c>
      <c r="B418" s="44" t="s">
        <v>517</v>
      </c>
      <c r="C418" s="45">
        <v>46003</v>
      </c>
      <c r="D418" s="46">
        <v>54670212580</v>
      </c>
      <c r="E418" s="46">
        <v>2146200990060</v>
      </c>
      <c r="F418" s="47" t="s">
        <v>518</v>
      </c>
      <c r="G418" s="47" t="s">
        <v>519</v>
      </c>
      <c r="H418" s="47" t="s">
        <v>4</v>
      </c>
      <c r="I418" s="46" t="s">
        <v>4</v>
      </c>
      <c r="J418" s="48">
        <v>46.56</v>
      </c>
      <c r="K418" s="47" t="s">
        <v>520</v>
      </c>
      <c r="L418" s="47" t="s">
        <v>521</v>
      </c>
      <c r="M418" s="46" t="s">
        <v>522</v>
      </c>
      <c r="N418" s="47" t="s">
        <v>523</v>
      </c>
      <c r="O418" s="44" t="s">
        <v>4</v>
      </c>
      <c r="P418" s="47" t="s">
        <v>711</v>
      </c>
      <c r="Q418" s="48">
        <v>4800</v>
      </c>
      <c r="R418" s="49" t="s">
        <v>4</v>
      </c>
      <c r="S418" s="48" t="s">
        <v>4</v>
      </c>
      <c r="T418" s="47" t="s">
        <v>525</v>
      </c>
    </row>
    <row r="419" spans="1:20">
      <c r="A419" s="46">
        <v>137547228792</v>
      </c>
      <c r="B419" s="44" t="s">
        <v>517</v>
      </c>
      <c r="C419" s="45">
        <v>46003</v>
      </c>
      <c r="D419" s="46">
        <v>54670366827</v>
      </c>
      <c r="E419" s="46">
        <v>2146063231909</v>
      </c>
      <c r="F419" s="47" t="s">
        <v>529</v>
      </c>
      <c r="G419" s="47" t="s">
        <v>519</v>
      </c>
      <c r="H419" s="47" t="s">
        <v>4</v>
      </c>
      <c r="I419" s="46" t="s">
        <v>4</v>
      </c>
      <c r="J419" s="48">
        <v>435.84</v>
      </c>
      <c r="K419" s="47" t="s">
        <v>520</v>
      </c>
      <c r="L419" s="47" t="s">
        <v>530</v>
      </c>
      <c r="M419" s="46" t="s">
        <v>522</v>
      </c>
      <c r="N419" s="47" t="s">
        <v>523</v>
      </c>
      <c r="O419" s="44" t="s">
        <v>263</v>
      </c>
      <c r="P419" s="47" t="s">
        <v>531</v>
      </c>
      <c r="Q419" s="48">
        <v>9600</v>
      </c>
      <c r="R419" s="49" t="s">
        <v>4</v>
      </c>
      <c r="S419" s="48" t="s">
        <v>4</v>
      </c>
      <c r="T419" s="47" t="s">
        <v>525</v>
      </c>
    </row>
    <row r="420" spans="1:20">
      <c r="A420" s="46">
        <v>136914446137</v>
      </c>
      <c r="B420" s="44" t="s">
        <v>517</v>
      </c>
      <c r="C420" s="45">
        <v>46003</v>
      </c>
      <c r="D420" s="46">
        <v>54670406050</v>
      </c>
      <c r="E420" s="46">
        <v>2146064126899</v>
      </c>
      <c r="F420" s="47" t="s">
        <v>518</v>
      </c>
      <c r="G420" s="47" t="s">
        <v>519</v>
      </c>
      <c r="H420" s="47" t="s">
        <v>4</v>
      </c>
      <c r="I420" s="46" t="s">
        <v>4</v>
      </c>
      <c r="J420" s="48">
        <v>56.26</v>
      </c>
      <c r="K420" s="47" t="s">
        <v>520</v>
      </c>
      <c r="L420" s="47" t="s">
        <v>521</v>
      </c>
      <c r="M420" s="46" t="s">
        <v>522</v>
      </c>
      <c r="N420" s="47" t="s">
        <v>523</v>
      </c>
      <c r="O420" s="44" t="s">
        <v>4</v>
      </c>
      <c r="P420" s="47" t="s">
        <v>712</v>
      </c>
      <c r="Q420" s="48">
        <v>5800</v>
      </c>
      <c r="R420" s="49" t="s">
        <v>4</v>
      </c>
      <c r="S420" s="48" t="s">
        <v>4</v>
      </c>
      <c r="T420" s="47" t="s">
        <v>525</v>
      </c>
    </row>
    <row r="421" spans="1:20">
      <c r="A421" s="46">
        <v>136914272051</v>
      </c>
      <c r="B421" s="44" t="s">
        <v>517</v>
      </c>
      <c r="C421" s="45">
        <v>46003</v>
      </c>
      <c r="D421" s="46">
        <v>54670458934</v>
      </c>
      <c r="E421" s="46">
        <v>2146208089826</v>
      </c>
      <c r="F421" s="47" t="s">
        <v>518</v>
      </c>
      <c r="G421" s="47" t="s">
        <v>519</v>
      </c>
      <c r="H421" s="47" t="s">
        <v>4</v>
      </c>
      <c r="I421" s="46" t="s">
        <v>4</v>
      </c>
      <c r="J421" s="48">
        <v>123.19</v>
      </c>
      <c r="K421" s="47" t="s">
        <v>520</v>
      </c>
      <c r="L421" s="47" t="s">
        <v>521</v>
      </c>
      <c r="M421" s="46" t="s">
        <v>522</v>
      </c>
      <c r="N421" s="47" t="s">
        <v>523</v>
      </c>
      <c r="O421" s="44" t="s">
        <v>4</v>
      </c>
      <c r="P421" s="47" t="s">
        <v>713</v>
      </c>
      <c r="Q421" s="48">
        <v>12700</v>
      </c>
      <c r="R421" s="49" t="s">
        <v>4</v>
      </c>
      <c r="S421" s="48" t="s">
        <v>4</v>
      </c>
      <c r="T421" s="47" t="s">
        <v>525</v>
      </c>
    </row>
    <row r="422" spans="1:20">
      <c r="A422" s="46">
        <v>136914524535</v>
      </c>
      <c r="B422" s="44" t="s">
        <v>517</v>
      </c>
      <c r="C422" s="45">
        <v>46003</v>
      </c>
      <c r="D422" s="46">
        <v>54670470189</v>
      </c>
      <c r="E422" s="46">
        <v>2146208553232</v>
      </c>
      <c r="F422" s="47" t="s">
        <v>518</v>
      </c>
      <c r="G422" s="47" t="s">
        <v>519</v>
      </c>
      <c r="H422" s="47" t="s">
        <v>4</v>
      </c>
      <c r="I422" s="46" t="s">
        <v>4</v>
      </c>
      <c r="J422" s="48">
        <v>46.56</v>
      </c>
      <c r="K422" s="47" t="s">
        <v>520</v>
      </c>
      <c r="L422" s="47" t="s">
        <v>521</v>
      </c>
      <c r="M422" s="46" t="s">
        <v>522</v>
      </c>
      <c r="N422" s="47" t="s">
        <v>523</v>
      </c>
      <c r="O422" s="44" t="s">
        <v>4</v>
      </c>
      <c r="P422" s="47" t="s">
        <v>714</v>
      </c>
      <c r="Q422" s="48">
        <v>4800</v>
      </c>
      <c r="R422" s="49" t="s">
        <v>4</v>
      </c>
      <c r="S422" s="48" t="s">
        <v>4</v>
      </c>
      <c r="T422" s="47" t="s">
        <v>525</v>
      </c>
    </row>
    <row r="423" spans="1:20">
      <c r="A423" s="46">
        <v>137547309798</v>
      </c>
      <c r="B423" s="44" t="s">
        <v>517</v>
      </c>
      <c r="C423" s="45">
        <v>46003</v>
      </c>
      <c r="D423" s="46">
        <v>54670473077</v>
      </c>
      <c r="E423" s="46">
        <v>2146208882640</v>
      </c>
      <c r="F423" s="47" t="s">
        <v>518</v>
      </c>
      <c r="G423" s="47" t="s">
        <v>519</v>
      </c>
      <c r="H423" s="47" t="s">
        <v>4</v>
      </c>
      <c r="I423" s="46" t="s">
        <v>4</v>
      </c>
      <c r="J423" s="48">
        <v>730.56</v>
      </c>
      <c r="K423" s="47" t="s">
        <v>520</v>
      </c>
      <c r="L423" s="47" t="s">
        <v>521</v>
      </c>
      <c r="M423" s="46" t="s">
        <v>522</v>
      </c>
      <c r="N423" s="47" t="s">
        <v>523</v>
      </c>
      <c r="O423" s="44" t="s">
        <v>4</v>
      </c>
      <c r="P423" s="47" t="s">
        <v>715</v>
      </c>
      <c r="Q423" s="48">
        <v>9600</v>
      </c>
      <c r="R423" s="49" t="s">
        <v>4</v>
      </c>
      <c r="S423" s="48" t="s">
        <v>4</v>
      </c>
      <c r="T423" s="47" t="s">
        <v>525</v>
      </c>
    </row>
    <row r="424" spans="1:20">
      <c r="A424" s="46">
        <v>136914570765</v>
      </c>
      <c r="B424" s="44" t="s">
        <v>517</v>
      </c>
      <c r="C424" s="45">
        <v>46003</v>
      </c>
      <c r="D424" s="46">
        <v>54670523640</v>
      </c>
      <c r="E424" s="46">
        <v>2146067509599</v>
      </c>
      <c r="F424" s="47" t="s">
        <v>518</v>
      </c>
      <c r="G424" s="47" t="s">
        <v>519</v>
      </c>
      <c r="H424" s="47" t="s">
        <v>4</v>
      </c>
      <c r="I424" s="46" t="s">
        <v>4</v>
      </c>
      <c r="J424" s="48">
        <v>206.61</v>
      </c>
      <c r="K424" s="47" t="s">
        <v>520</v>
      </c>
      <c r="L424" s="47" t="s">
        <v>521</v>
      </c>
      <c r="M424" s="46" t="s">
        <v>522</v>
      </c>
      <c r="N424" s="47" t="s">
        <v>523</v>
      </c>
      <c r="O424" s="44" t="s">
        <v>4</v>
      </c>
      <c r="P424" s="47" t="s">
        <v>567</v>
      </c>
      <c r="Q424" s="48">
        <v>21300</v>
      </c>
      <c r="R424" s="49" t="s">
        <v>4</v>
      </c>
      <c r="S424" s="48" t="s">
        <v>4</v>
      </c>
      <c r="T424" s="47" t="s">
        <v>525</v>
      </c>
    </row>
    <row r="425" spans="1:20">
      <c r="A425" s="46">
        <v>136914671357</v>
      </c>
      <c r="B425" s="44" t="s">
        <v>517</v>
      </c>
      <c r="C425" s="45">
        <v>46003</v>
      </c>
      <c r="D425" s="46">
        <v>54670598403</v>
      </c>
      <c r="E425" s="46">
        <v>2146069750649</v>
      </c>
      <c r="F425" s="47" t="s">
        <v>518</v>
      </c>
      <c r="G425" s="47" t="s">
        <v>519</v>
      </c>
      <c r="H425" s="47" t="s">
        <v>4</v>
      </c>
      <c r="I425" s="46" t="s">
        <v>4</v>
      </c>
      <c r="J425" s="48">
        <v>267.72000000000003</v>
      </c>
      <c r="K425" s="47" t="s">
        <v>520</v>
      </c>
      <c r="L425" s="47" t="s">
        <v>521</v>
      </c>
      <c r="M425" s="46" t="s">
        <v>522</v>
      </c>
      <c r="N425" s="47" t="s">
        <v>523</v>
      </c>
      <c r="O425" s="44" t="s">
        <v>4</v>
      </c>
      <c r="P425" s="47" t="s">
        <v>716</v>
      </c>
      <c r="Q425" s="48">
        <v>27600</v>
      </c>
      <c r="R425" s="49" t="s">
        <v>4</v>
      </c>
      <c r="S425" s="48" t="s">
        <v>4</v>
      </c>
      <c r="T425" s="47" t="s">
        <v>525</v>
      </c>
    </row>
    <row r="426" spans="1:20">
      <c r="A426" s="46">
        <v>136915272579</v>
      </c>
      <c r="B426" s="44" t="s">
        <v>517</v>
      </c>
      <c r="C426" s="45">
        <v>46003</v>
      </c>
      <c r="D426" s="46">
        <v>54670778210</v>
      </c>
      <c r="E426" s="46">
        <v>2146074199493</v>
      </c>
      <c r="F426" s="47" t="s">
        <v>529</v>
      </c>
      <c r="G426" s="47" t="s">
        <v>519</v>
      </c>
      <c r="H426" s="47" t="s">
        <v>4</v>
      </c>
      <c r="I426" s="46" t="s">
        <v>4</v>
      </c>
      <c r="J426" s="48">
        <v>310.47000000000003</v>
      </c>
      <c r="K426" s="47" t="s">
        <v>520</v>
      </c>
      <c r="L426" s="47" t="s">
        <v>530</v>
      </c>
      <c r="M426" s="46" t="s">
        <v>522</v>
      </c>
      <c r="N426" s="47" t="s">
        <v>523</v>
      </c>
      <c r="O426" s="44" t="s">
        <v>263</v>
      </c>
      <c r="P426" s="47" t="s">
        <v>531</v>
      </c>
      <c r="Q426" s="48">
        <v>7900</v>
      </c>
      <c r="R426" s="49" t="s">
        <v>4</v>
      </c>
      <c r="S426" s="48" t="s">
        <v>4</v>
      </c>
      <c r="T426" s="47" t="s">
        <v>525</v>
      </c>
    </row>
    <row r="427" spans="1:20">
      <c r="A427" s="46">
        <v>136915988399</v>
      </c>
      <c r="B427" s="44" t="s">
        <v>517</v>
      </c>
      <c r="C427" s="45">
        <v>46003</v>
      </c>
      <c r="D427" s="46">
        <v>54670920089</v>
      </c>
      <c r="E427" s="46">
        <v>2146221302578</v>
      </c>
      <c r="F427" s="47" t="s">
        <v>526</v>
      </c>
      <c r="G427" s="47" t="s">
        <v>519</v>
      </c>
      <c r="H427" s="47" t="s">
        <v>4</v>
      </c>
      <c r="I427" s="46" t="s">
        <v>4</v>
      </c>
      <c r="J427" s="48">
        <v>252.2</v>
      </c>
      <c r="K427" s="47" t="s">
        <v>520</v>
      </c>
      <c r="L427" s="47" t="s">
        <v>521</v>
      </c>
      <c r="M427" s="46" t="s">
        <v>522</v>
      </c>
      <c r="N427" s="47" t="s">
        <v>523</v>
      </c>
      <c r="O427" s="44" t="s">
        <v>4</v>
      </c>
      <c r="P427" s="47" t="s">
        <v>527</v>
      </c>
      <c r="Q427" s="48">
        <v>26000</v>
      </c>
      <c r="R427" s="49" t="s">
        <v>4</v>
      </c>
      <c r="S427" s="48" t="s">
        <v>4</v>
      </c>
      <c r="T427" s="47" t="s">
        <v>4</v>
      </c>
    </row>
    <row r="428" spans="1:20">
      <c r="A428" s="46">
        <v>137548968332</v>
      </c>
      <c r="B428" s="44" t="s">
        <v>517</v>
      </c>
      <c r="C428" s="45">
        <v>46003</v>
      </c>
      <c r="D428" s="46">
        <v>54670986944</v>
      </c>
      <c r="E428" s="46">
        <v>2146081041967</v>
      </c>
      <c r="F428" s="47" t="s">
        <v>529</v>
      </c>
      <c r="G428" s="47" t="s">
        <v>519</v>
      </c>
      <c r="H428" s="47" t="s">
        <v>4</v>
      </c>
      <c r="I428" s="46" t="s">
        <v>4</v>
      </c>
      <c r="J428" s="48">
        <v>948.86</v>
      </c>
      <c r="K428" s="47" t="s">
        <v>520</v>
      </c>
      <c r="L428" s="47" t="s">
        <v>530</v>
      </c>
      <c r="M428" s="46" t="s">
        <v>522</v>
      </c>
      <c r="N428" s="47" t="s">
        <v>523</v>
      </c>
      <c r="O428" s="44" t="s">
        <v>263</v>
      </c>
      <c r="P428" s="47" t="s">
        <v>531</v>
      </c>
      <c r="Q428" s="48">
        <v>20900</v>
      </c>
      <c r="R428" s="49" t="s">
        <v>4</v>
      </c>
      <c r="S428" s="48" t="s">
        <v>4</v>
      </c>
      <c r="T428" s="47" t="s">
        <v>525</v>
      </c>
    </row>
    <row r="429" spans="1:20">
      <c r="A429" s="46">
        <v>137549050936</v>
      </c>
      <c r="B429" s="44" t="s">
        <v>517</v>
      </c>
      <c r="C429" s="45">
        <v>46003</v>
      </c>
      <c r="D429" s="46">
        <v>54671058121</v>
      </c>
      <c r="E429" s="46">
        <v>2146225664306</v>
      </c>
      <c r="F429" s="47" t="s">
        <v>518</v>
      </c>
      <c r="G429" s="47" t="s">
        <v>519</v>
      </c>
      <c r="H429" s="47" t="s">
        <v>4</v>
      </c>
      <c r="I429" s="46" t="s">
        <v>4</v>
      </c>
      <c r="J429" s="48">
        <v>739.14</v>
      </c>
      <c r="K429" s="47" t="s">
        <v>520</v>
      </c>
      <c r="L429" s="47" t="s">
        <v>521</v>
      </c>
      <c r="M429" s="46" t="s">
        <v>522</v>
      </c>
      <c r="N429" s="47" t="s">
        <v>523</v>
      </c>
      <c r="O429" s="44" t="s">
        <v>4</v>
      </c>
      <c r="P429" s="47" t="s">
        <v>667</v>
      </c>
      <c r="Q429" s="48">
        <v>76200</v>
      </c>
      <c r="R429" s="49" t="s">
        <v>4</v>
      </c>
      <c r="S429" s="48" t="s">
        <v>4</v>
      </c>
      <c r="T429" s="47" t="s">
        <v>525</v>
      </c>
    </row>
    <row r="430" spans="1:20">
      <c r="A430" s="46">
        <v>137549612728</v>
      </c>
      <c r="B430" s="44" t="s">
        <v>517</v>
      </c>
      <c r="C430" s="45">
        <v>46003</v>
      </c>
      <c r="D430" s="46">
        <v>54671160013</v>
      </c>
      <c r="E430" s="46">
        <v>2146086980093</v>
      </c>
      <c r="F430" s="47" t="s">
        <v>518</v>
      </c>
      <c r="G430" s="47" t="s">
        <v>519</v>
      </c>
      <c r="H430" s="47" t="s">
        <v>4</v>
      </c>
      <c r="I430" s="46" t="s">
        <v>4</v>
      </c>
      <c r="J430" s="48">
        <v>2119.4499999999998</v>
      </c>
      <c r="K430" s="47" t="s">
        <v>520</v>
      </c>
      <c r="L430" s="47" t="s">
        <v>521</v>
      </c>
      <c r="M430" s="46" t="s">
        <v>522</v>
      </c>
      <c r="N430" s="47" t="s">
        <v>523</v>
      </c>
      <c r="O430" s="44" t="s">
        <v>4</v>
      </c>
      <c r="P430" s="47" t="s">
        <v>717</v>
      </c>
      <c r="Q430" s="48">
        <v>218500</v>
      </c>
      <c r="R430" s="49" t="s">
        <v>4</v>
      </c>
      <c r="S430" s="48" t="s">
        <v>4</v>
      </c>
      <c r="T430" s="47" t="s">
        <v>525</v>
      </c>
    </row>
    <row r="431" spans="1:20">
      <c r="A431" s="46">
        <v>136916562339</v>
      </c>
      <c r="B431" s="44" t="s">
        <v>517</v>
      </c>
      <c r="C431" s="45">
        <v>46003</v>
      </c>
      <c r="D431" s="46">
        <v>54671183412</v>
      </c>
      <c r="E431" s="46">
        <v>2146230411164</v>
      </c>
      <c r="F431" s="47" t="s">
        <v>518</v>
      </c>
      <c r="G431" s="47" t="s">
        <v>519</v>
      </c>
      <c r="H431" s="47" t="s">
        <v>4</v>
      </c>
      <c r="I431" s="46" t="s">
        <v>4</v>
      </c>
      <c r="J431" s="48">
        <v>106.7</v>
      </c>
      <c r="K431" s="47" t="s">
        <v>520</v>
      </c>
      <c r="L431" s="47" t="s">
        <v>521</v>
      </c>
      <c r="M431" s="46" t="s">
        <v>522</v>
      </c>
      <c r="N431" s="47" t="s">
        <v>523</v>
      </c>
      <c r="O431" s="44" t="s">
        <v>4</v>
      </c>
      <c r="P431" s="47" t="s">
        <v>718</v>
      </c>
      <c r="Q431" s="48">
        <v>11000</v>
      </c>
      <c r="R431" s="49" t="s">
        <v>4</v>
      </c>
      <c r="S431" s="48" t="s">
        <v>4</v>
      </c>
      <c r="T431" s="47" t="s">
        <v>525</v>
      </c>
    </row>
    <row r="432" spans="1:20">
      <c r="A432" s="46">
        <v>137549459378</v>
      </c>
      <c r="B432" s="44" t="s">
        <v>517</v>
      </c>
      <c r="C432" s="45">
        <v>46003</v>
      </c>
      <c r="D432" s="46">
        <v>54671188303</v>
      </c>
      <c r="E432" s="46">
        <v>2146087388737</v>
      </c>
      <c r="F432" s="47" t="s">
        <v>518</v>
      </c>
      <c r="G432" s="47" t="s">
        <v>519</v>
      </c>
      <c r="H432" s="47" t="s">
        <v>4</v>
      </c>
      <c r="I432" s="46" t="s">
        <v>4</v>
      </c>
      <c r="J432" s="48">
        <v>85.36</v>
      </c>
      <c r="K432" s="47" t="s">
        <v>520</v>
      </c>
      <c r="L432" s="47" t="s">
        <v>521</v>
      </c>
      <c r="M432" s="46" t="s">
        <v>522</v>
      </c>
      <c r="N432" s="47" t="s">
        <v>523</v>
      </c>
      <c r="O432" s="44" t="s">
        <v>4</v>
      </c>
      <c r="P432" s="47" t="s">
        <v>719</v>
      </c>
      <c r="Q432" s="48">
        <v>8800</v>
      </c>
      <c r="R432" s="49" t="s">
        <v>4</v>
      </c>
      <c r="S432" s="48" t="s">
        <v>4</v>
      </c>
      <c r="T432" s="47" t="s">
        <v>525</v>
      </c>
    </row>
    <row r="433" spans="1:20">
      <c r="A433" s="46">
        <v>136916652431</v>
      </c>
      <c r="B433" s="44" t="s">
        <v>517</v>
      </c>
      <c r="C433" s="45">
        <v>46003</v>
      </c>
      <c r="D433" s="46">
        <v>54671243288</v>
      </c>
      <c r="E433" s="46">
        <v>2146231794120</v>
      </c>
      <c r="F433" s="47" t="s">
        <v>518</v>
      </c>
      <c r="G433" s="47" t="s">
        <v>519</v>
      </c>
      <c r="H433" s="47" t="s">
        <v>4</v>
      </c>
      <c r="I433" s="46" t="s">
        <v>4</v>
      </c>
      <c r="J433" s="48">
        <v>46.56</v>
      </c>
      <c r="K433" s="47" t="s">
        <v>520</v>
      </c>
      <c r="L433" s="47" t="s">
        <v>521</v>
      </c>
      <c r="M433" s="46" t="s">
        <v>522</v>
      </c>
      <c r="N433" s="47" t="s">
        <v>523</v>
      </c>
      <c r="O433" s="44" t="s">
        <v>4</v>
      </c>
      <c r="P433" s="47" t="s">
        <v>678</v>
      </c>
      <c r="Q433" s="48">
        <v>4800</v>
      </c>
      <c r="R433" s="49" t="s">
        <v>4</v>
      </c>
      <c r="S433" s="48" t="s">
        <v>4</v>
      </c>
      <c r="T433" s="47" t="s">
        <v>525</v>
      </c>
    </row>
    <row r="434" spans="1:20">
      <c r="A434" s="46">
        <v>137549976466</v>
      </c>
      <c r="B434" s="44" t="s">
        <v>517</v>
      </c>
      <c r="C434" s="45">
        <v>46003</v>
      </c>
      <c r="D434" s="46">
        <v>54671271978</v>
      </c>
      <c r="E434" s="46">
        <v>2146232590012</v>
      </c>
      <c r="F434" s="47" t="s">
        <v>518</v>
      </c>
      <c r="G434" s="47" t="s">
        <v>519</v>
      </c>
      <c r="H434" s="47" t="s">
        <v>4</v>
      </c>
      <c r="I434" s="46" t="s">
        <v>4</v>
      </c>
      <c r="J434" s="48">
        <v>409.34</v>
      </c>
      <c r="K434" s="47" t="s">
        <v>520</v>
      </c>
      <c r="L434" s="47" t="s">
        <v>521</v>
      </c>
      <c r="M434" s="46" t="s">
        <v>522</v>
      </c>
      <c r="N434" s="47" t="s">
        <v>523</v>
      </c>
      <c r="O434" s="44" t="s">
        <v>4</v>
      </c>
      <c r="P434" s="47" t="s">
        <v>720</v>
      </c>
      <c r="Q434" s="48">
        <v>42200</v>
      </c>
      <c r="R434" s="49" t="s">
        <v>4</v>
      </c>
      <c r="S434" s="48" t="s">
        <v>4</v>
      </c>
      <c r="T434" s="47" t="s">
        <v>525</v>
      </c>
    </row>
    <row r="435" spans="1:20">
      <c r="A435" s="46">
        <v>137550029106</v>
      </c>
      <c r="B435" s="44" t="s">
        <v>517</v>
      </c>
      <c r="C435" s="45">
        <v>46003</v>
      </c>
      <c r="D435" s="46">
        <v>54671370875</v>
      </c>
      <c r="E435" s="46">
        <v>2146234985364</v>
      </c>
      <c r="F435" s="47" t="s">
        <v>529</v>
      </c>
      <c r="G435" s="47" t="s">
        <v>519</v>
      </c>
      <c r="H435" s="47" t="s">
        <v>4</v>
      </c>
      <c r="I435" s="46" t="s">
        <v>4</v>
      </c>
      <c r="J435" s="48">
        <v>1720.66</v>
      </c>
      <c r="K435" s="47" t="s">
        <v>520</v>
      </c>
      <c r="L435" s="47" t="s">
        <v>530</v>
      </c>
      <c r="M435" s="46" t="s">
        <v>522</v>
      </c>
      <c r="N435" s="47" t="s">
        <v>523</v>
      </c>
      <c r="O435" s="44" t="s">
        <v>263</v>
      </c>
      <c r="P435" s="47" t="s">
        <v>531</v>
      </c>
      <c r="Q435" s="48">
        <v>37900</v>
      </c>
      <c r="R435" s="49" t="s">
        <v>4</v>
      </c>
      <c r="S435" s="48" t="s">
        <v>4</v>
      </c>
      <c r="T435" s="47" t="s">
        <v>525</v>
      </c>
    </row>
    <row r="436" spans="1:20">
      <c r="A436" s="46">
        <v>136916906659</v>
      </c>
      <c r="B436" s="44" t="s">
        <v>517</v>
      </c>
      <c r="C436" s="45">
        <v>46003</v>
      </c>
      <c r="D436" s="46">
        <v>54671383021</v>
      </c>
      <c r="E436" s="46">
        <v>2146235430576</v>
      </c>
      <c r="F436" s="47" t="s">
        <v>518</v>
      </c>
      <c r="G436" s="47" t="s">
        <v>519</v>
      </c>
      <c r="H436" s="47" t="s">
        <v>4</v>
      </c>
      <c r="I436" s="46" t="s">
        <v>4</v>
      </c>
      <c r="J436" s="48">
        <v>110.58</v>
      </c>
      <c r="K436" s="47" t="s">
        <v>520</v>
      </c>
      <c r="L436" s="47" t="s">
        <v>521</v>
      </c>
      <c r="M436" s="46" t="s">
        <v>522</v>
      </c>
      <c r="N436" s="47" t="s">
        <v>523</v>
      </c>
      <c r="O436" s="44" t="s">
        <v>4</v>
      </c>
      <c r="P436" s="47" t="s">
        <v>721</v>
      </c>
      <c r="Q436" s="48">
        <v>11400</v>
      </c>
      <c r="R436" s="49" t="s">
        <v>4</v>
      </c>
      <c r="S436" s="48" t="s">
        <v>4</v>
      </c>
      <c r="T436" s="47" t="s">
        <v>525</v>
      </c>
    </row>
    <row r="437" spans="1:20">
      <c r="A437" s="46">
        <v>137649717546</v>
      </c>
      <c r="B437" s="44" t="s">
        <v>517</v>
      </c>
      <c r="C437" s="45">
        <v>46003</v>
      </c>
      <c r="D437" s="46">
        <v>54712177890</v>
      </c>
      <c r="E437" s="46">
        <v>2146774973581</v>
      </c>
      <c r="F437" s="47" t="s">
        <v>518</v>
      </c>
      <c r="G437" s="47" t="s">
        <v>519</v>
      </c>
      <c r="H437" s="47" t="s">
        <v>4</v>
      </c>
      <c r="I437" s="46" t="s">
        <v>4</v>
      </c>
      <c r="J437" s="48">
        <v>93.12</v>
      </c>
      <c r="K437" s="47" t="s">
        <v>520</v>
      </c>
      <c r="L437" s="47" t="s">
        <v>521</v>
      </c>
      <c r="M437" s="46" t="s">
        <v>522</v>
      </c>
      <c r="N437" s="47" t="s">
        <v>523</v>
      </c>
      <c r="O437" s="44" t="s">
        <v>4</v>
      </c>
      <c r="P437" s="47" t="s">
        <v>572</v>
      </c>
      <c r="Q437" s="48">
        <v>9600</v>
      </c>
      <c r="R437" s="49" t="s">
        <v>4</v>
      </c>
      <c r="S437" s="48" t="s">
        <v>4</v>
      </c>
      <c r="T437" s="47" t="s">
        <v>525</v>
      </c>
    </row>
    <row r="438" spans="1:20">
      <c r="A438" s="46">
        <v>137035785219</v>
      </c>
      <c r="B438" s="44" t="s">
        <v>517</v>
      </c>
      <c r="C438" s="45">
        <v>46003</v>
      </c>
      <c r="D438" s="46">
        <v>54719488577</v>
      </c>
      <c r="E438" s="46">
        <v>2146900750221</v>
      </c>
      <c r="F438" s="47" t="s">
        <v>526</v>
      </c>
      <c r="G438" s="47" t="s">
        <v>519</v>
      </c>
      <c r="H438" s="47" t="s">
        <v>4</v>
      </c>
      <c r="I438" s="46" t="s">
        <v>4</v>
      </c>
      <c r="J438" s="48">
        <v>256.08</v>
      </c>
      <c r="K438" s="47" t="s">
        <v>520</v>
      </c>
      <c r="L438" s="47" t="s">
        <v>521</v>
      </c>
      <c r="M438" s="46" t="s">
        <v>522</v>
      </c>
      <c r="N438" s="47" t="s">
        <v>523</v>
      </c>
      <c r="O438" s="44" t="s">
        <v>4</v>
      </c>
      <c r="P438" s="47" t="s">
        <v>527</v>
      </c>
      <c r="Q438" s="48">
        <v>26400</v>
      </c>
      <c r="R438" s="49" t="s">
        <v>4</v>
      </c>
      <c r="S438" s="48" t="s">
        <v>4</v>
      </c>
      <c r="T438" s="47" t="s">
        <v>4</v>
      </c>
    </row>
    <row r="439" spans="1:20">
      <c r="A439" s="46">
        <v>137670538274</v>
      </c>
      <c r="B439" s="44" t="s">
        <v>517</v>
      </c>
      <c r="C439" s="45">
        <v>46003</v>
      </c>
      <c r="D439" s="46">
        <v>54719960879</v>
      </c>
      <c r="E439" s="46">
        <v>2147055119612</v>
      </c>
      <c r="F439" s="47" t="s">
        <v>529</v>
      </c>
      <c r="G439" s="47" t="s">
        <v>519</v>
      </c>
      <c r="H439" s="47" t="s">
        <v>4</v>
      </c>
      <c r="I439" s="46" t="s">
        <v>4</v>
      </c>
      <c r="J439" s="48">
        <v>157.19999999999999</v>
      </c>
      <c r="K439" s="47" t="s">
        <v>520</v>
      </c>
      <c r="L439" s="47" t="s">
        <v>530</v>
      </c>
      <c r="M439" s="46" t="s">
        <v>660</v>
      </c>
      <c r="N439" s="47" t="s">
        <v>661</v>
      </c>
      <c r="O439" s="44" t="s">
        <v>263</v>
      </c>
      <c r="P439" s="47" t="s">
        <v>531</v>
      </c>
      <c r="Q439" s="48">
        <v>4000</v>
      </c>
      <c r="R439" s="49" t="s">
        <v>4</v>
      </c>
      <c r="S439" s="48" t="s">
        <v>4</v>
      </c>
      <c r="T439" s="47" t="s">
        <v>525</v>
      </c>
    </row>
    <row r="440" spans="1:20">
      <c r="A440" s="46">
        <v>137671009436</v>
      </c>
      <c r="B440" s="44" t="s">
        <v>517</v>
      </c>
      <c r="C440" s="45">
        <v>46003</v>
      </c>
      <c r="D440" s="46">
        <v>54720190350</v>
      </c>
      <c r="E440" s="46">
        <v>2146914280099</v>
      </c>
      <c r="F440" s="47" t="s">
        <v>518</v>
      </c>
      <c r="G440" s="47" t="s">
        <v>519</v>
      </c>
      <c r="H440" s="47" t="s">
        <v>4</v>
      </c>
      <c r="I440" s="46" t="s">
        <v>4</v>
      </c>
      <c r="J440" s="48">
        <v>1537.22</v>
      </c>
      <c r="K440" s="47" t="s">
        <v>520</v>
      </c>
      <c r="L440" s="47" t="s">
        <v>521</v>
      </c>
      <c r="M440" s="46" t="s">
        <v>660</v>
      </c>
      <c r="N440" s="47" t="s">
        <v>661</v>
      </c>
      <c r="O440" s="44" t="s">
        <v>4</v>
      </c>
      <c r="P440" s="47" t="s">
        <v>722</v>
      </c>
      <c r="Q440" s="48">
        <v>20200</v>
      </c>
      <c r="R440" s="49" t="s">
        <v>4</v>
      </c>
      <c r="S440" s="48" t="s">
        <v>4</v>
      </c>
      <c r="T440" s="47" t="s">
        <v>525</v>
      </c>
    </row>
    <row r="441" spans="1:20">
      <c r="A441" s="46">
        <v>137040182521</v>
      </c>
      <c r="B441" s="44" t="s">
        <v>517</v>
      </c>
      <c r="C441" s="45">
        <v>46003</v>
      </c>
      <c r="D441" s="46">
        <v>54721138077</v>
      </c>
      <c r="E441" s="46">
        <v>2147076812528</v>
      </c>
      <c r="F441" s="47" t="s">
        <v>518</v>
      </c>
      <c r="G441" s="47" t="s">
        <v>519</v>
      </c>
      <c r="H441" s="47" t="s">
        <v>4</v>
      </c>
      <c r="I441" s="46" t="s">
        <v>4</v>
      </c>
      <c r="J441" s="48">
        <v>95.06</v>
      </c>
      <c r="K441" s="47" t="s">
        <v>520</v>
      </c>
      <c r="L441" s="47" t="s">
        <v>521</v>
      </c>
      <c r="M441" s="46" t="s">
        <v>522</v>
      </c>
      <c r="N441" s="47" t="s">
        <v>523</v>
      </c>
      <c r="O441" s="44" t="s">
        <v>4</v>
      </c>
      <c r="P441" s="47" t="s">
        <v>723</v>
      </c>
      <c r="Q441" s="48">
        <v>9800</v>
      </c>
      <c r="R441" s="49" t="s">
        <v>4</v>
      </c>
      <c r="S441" s="48" t="s">
        <v>4</v>
      </c>
      <c r="T441" s="47" t="s">
        <v>525</v>
      </c>
    </row>
    <row r="442" spans="1:20">
      <c r="A442" s="46">
        <v>137673449798</v>
      </c>
      <c r="B442" s="44" t="s">
        <v>517</v>
      </c>
      <c r="C442" s="45">
        <v>46003</v>
      </c>
      <c r="D442" s="46">
        <v>54721164821</v>
      </c>
      <c r="E442" s="46">
        <v>2147077526686</v>
      </c>
      <c r="F442" s="47" t="s">
        <v>529</v>
      </c>
      <c r="G442" s="47" t="s">
        <v>519</v>
      </c>
      <c r="H442" s="47" t="s">
        <v>4</v>
      </c>
      <c r="I442" s="46" t="s">
        <v>4</v>
      </c>
      <c r="J442" s="48">
        <v>377.28</v>
      </c>
      <c r="K442" s="47" t="s">
        <v>520</v>
      </c>
      <c r="L442" s="47" t="s">
        <v>530</v>
      </c>
      <c r="M442" s="46" t="s">
        <v>522</v>
      </c>
      <c r="N442" s="47" t="s">
        <v>523</v>
      </c>
      <c r="O442" s="44" t="s">
        <v>263</v>
      </c>
      <c r="P442" s="47" t="s">
        <v>531</v>
      </c>
      <c r="Q442" s="48">
        <v>9600</v>
      </c>
      <c r="R442" s="49" t="s">
        <v>4</v>
      </c>
      <c r="S442" s="48" t="s">
        <v>4</v>
      </c>
      <c r="T442" s="47" t="s">
        <v>525</v>
      </c>
    </row>
    <row r="443" spans="1:20">
      <c r="A443" s="46">
        <v>137042830597</v>
      </c>
      <c r="B443" s="44" t="s">
        <v>517</v>
      </c>
      <c r="C443" s="45">
        <v>46003</v>
      </c>
      <c r="D443" s="46">
        <v>54722278837</v>
      </c>
      <c r="E443" s="46">
        <v>2147096035568</v>
      </c>
      <c r="F443" s="47" t="s">
        <v>529</v>
      </c>
      <c r="G443" s="47" t="s">
        <v>519</v>
      </c>
      <c r="H443" s="47" t="s">
        <v>4</v>
      </c>
      <c r="I443" s="46" t="s">
        <v>4</v>
      </c>
      <c r="J443" s="48">
        <v>441.38</v>
      </c>
      <c r="K443" s="47" t="s">
        <v>520</v>
      </c>
      <c r="L443" s="47" t="s">
        <v>530</v>
      </c>
      <c r="M443" s="46" t="s">
        <v>522</v>
      </c>
      <c r="N443" s="47" t="s">
        <v>523</v>
      </c>
      <c r="O443" s="44" t="s">
        <v>263</v>
      </c>
      <c r="P443" s="47" t="s">
        <v>531</v>
      </c>
      <c r="Q443" s="48">
        <v>5800</v>
      </c>
      <c r="R443" s="49" t="s">
        <v>4</v>
      </c>
      <c r="S443" s="48" t="s">
        <v>4</v>
      </c>
      <c r="T443" s="47" t="s">
        <v>525</v>
      </c>
    </row>
    <row r="444" spans="1:20">
      <c r="A444" s="46">
        <v>137676231468</v>
      </c>
      <c r="B444" s="44" t="s">
        <v>517</v>
      </c>
      <c r="C444" s="45">
        <v>46003</v>
      </c>
      <c r="D444" s="46">
        <v>54722336931</v>
      </c>
      <c r="E444" s="46">
        <v>2146951586625</v>
      </c>
      <c r="F444" s="47" t="s">
        <v>518</v>
      </c>
      <c r="G444" s="47" t="s">
        <v>519</v>
      </c>
      <c r="H444" s="47" t="s">
        <v>4</v>
      </c>
      <c r="I444" s="46" t="s">
        <v>4</v>
      </c>
      <c r="J444" s="48">
        <v>46.56</v>
      </c>
      <c r="K444" s="47" t="s">
        <v>520</v>
      </c>
      <c r="L444" s="47" t="s">
        <v>521</v>
      </c>
      <c r="M444" s="46" t="s">
        <v>522</v>
      </c>
      <c r="N444" s="47" t="s">
        <v>523</v>
      </c>
      <c r="O444" s="44" t="s">
        <v>4</v>
      </c>
      <c r="P444" s="47" t="s">
        <v>724</v>
      </c>
      <c r="Q444" s="48">
        <v>4800</v>
      </c>
      <c r="R444" s="49" t="s">
        <v>4</v>
      </c>
      <c r="S444" s="48" t="s">
        <v>4</v>
      </c>
      <c r="T444" s="47" t="s">
        <v>525</v>
      </c>
    </row>
    <row r="445" spans="1:20">
      <c r="A445" s="46">
        <v>137677529088</v>
      </c>
      <c r="B445" s="44" t="s">
        <v>517</v>
      </c>
      <c r="C445" s="45">
        <v>46003</v>
      </c>
      <c r="D445" s="46">
        <v>54722888020</v>
      </c>
      <c r="E445" s="46">
        <v>2146961250399</v>
      </c>
      <c r="F445" s="47" t="s">
        <v>518</v>
      </c>
      <c r="G445" s="47" t="s">
        <v>519</v>
      </c>
      <c r="H445" s="47" t="s">
        <v>4</v>
      </c>
      <c r="I445" s="46" t="s">
        <v>4</v>
      </c>
      <c r="J445" s="48">
        <v>745.78</v>
      </c>
      <c r="K445" s="47" t="s">
        <v>520</v>
      </c>
      <c r="L445" s="47" t="s">
        <v>521</v>
      </c>
      <c r="M445" s="46" t="s">
        <v>522</v>
      </c>
      <c r="N445" s="47" t="s">
        <v>523</v>
      </c>
      <c r="O445" s="44" t="s">
        <v>4</v>
      </c>
      <c r="P445" s="47" t="s">
        <v>725</v>
      </c>
      <c r="Q445" s="48">
        <v>9800</v>
      </c>
      <c r="R445" s="49" t="s">
        <v>4</v>
      </c>
      <c r="S445" s="48" t="s">
        <v>4</v>
      </c>
      <c r="T445" s="47" t="s">
        <v>525</v>
      </c>
    </row>
    <row r="446" spans="1:20">
      <c r="A446" s="46">
        <v>137044469955</v>
      </c>
      <c r="B446" s="44" t="s">
        <v>517</v>
      </c>
      <c r="C446" s="45">
        <v>46003</v>
      </c>
      <c r="D446" s="46">
        <v>54723065576</v>
      </c>
      <c r="E446" s="46">
        <v>2146964202465</v>
      </c>
      <c r="F446" s="47" t="s">
        <v>518</v>
      </c>
      <c r="G446" s="47" t="s">
        <v>519</v>
      </c>
      <c r="H446" s="47" t="s">
        <v>4</v>
      </c>
      <c r="I446" s="46" t="s">
        <v>4</v>
      </c>
      <c r="J446" s="48">
        <v>7199.06</v>
      </c>
      <c r="K446" s="47" t="s">
        <v>520</v>
      </c>
      <c r="L446" s="47" t="s">
        <v>521</v>
      </c>
      <c r="M446" s="46" t="s">
        <v>660</v>
      </c>
      <c r="N446" s="47" t="s">
        <v>661</v>
      </c>
      <c r="O446" s="44" t="s">
        <v>4</v>
      </c>
      <c r="P446" s="47" t="s">
        <v>726</v>
      </c>
      <c r="Q446" s="48">
        <v>94600</v>
      </c>
      <c r="R446" s="49" t="s">
        <v>4</v>
      </c>
      <c r="S446" s="48" t="s">
        <v>4</v>
      </c>
      <c r="T446" s="47" t="s">
        <v>525</v>
      </c>
    </row>
    <row r="447" spans="1:20">
      <c r="A447" s="46">
        <v>137044959869</v>
      </c>
      <c r="B447" s="44" t="s">
        <v>517</v>
      </c>
      <c r="C447" s="45">
        <v>46003</v>
      </c>
      <c r="D447" s="46">
        <v>54723253322</v>
      </c>
      <c r="E447" s="46">
        <v>2147112892392</v>
      </c>
      <c r="F447" s="47" t="s">
        <v>518</v>
      </c>
      <c r="G447" s="47" t="s">
        <v>519</v>
      </c>
      <c r="H447" s="47" t="s">
        <v>4</v>
      </c>
      <c r="I447" s="46" t="s">
        <v>4</v>
      </c>
      <c r="J447" s="48">
        <v>618.86</v>
      </c>
      <c r="K447" s="47" t="s">
        <v>520</v>
      </c>
      <c r="L447" s="47" t="s">
        <v>521</v>
      </c>
      <c r="M447" s="46" t="s">
        <v>522</v>
      </c>
      <c r="N447" s="47" t="s">
        <v>523</v>
      </c>
      <c r="O447" s="44" t="s">
        <v>4</v>
      </c>
      <c r="P447" s="47" t="s">
        <v>727</v>
      </c>
      <c r="Q447" s="48">
        <v>63800</v>
      </c>
      <c r="R447" s="49" t="s">
        <v>4</v>
      </c>
      <c r="S447" s="48" t="s">
        <v>4</v>
      </c>
      <c r="T447" s="47" t="s">
        <v>525</v>
      </c>
    </row>
    <row r="448" spans="1:20">
      <c r="A448" s="46">
        <v>137678741226</v>
      </c>
      <c r="B448" s="44" t="s">
        <v>517</v>
      </c>
      <c r="C448" s="45">
        <v>46003</v>
      </c>
      <c r="D448" s="46">
        <v>54723370690</v>
      </c>
      <c r="E448" s="46">
        <v>2147115024266</v>
      </c>
      <c r="F448" s="47" t="s">
        <v>529</v>
      </c>
      <c r="G448" s="47" t="s">
        <v>519</v>
      </c>
      <c r="H448" s="47" t="s">
        <v>4</v>
      </c>
      <c r="I448" s="46" t="s">
        <v>4</v>
      </c>
      <c r="J448" s="48">
        <v>314.39999999999998</v>
      </c>
      <c r="K448" s="47" t="s">
        <v>520</v>
      </c>
      <c r="L448" s="47" t="s">
        <v>530</v>
      </c>
      <c r="M448" s="46" t="s">
        <v>660</v>
      </c>
      <c r="N448" s="47" t="s">
        <v>661</v>
      </c>
      <c r="O448" s="44" t="s">
        <v>263</v>
      </c>
      <c r="P448" s="47" t="s">
        <v>531</v>
      </c>
      <c r="Q448" s="48">
        <v>8000</v>
      </c>
      <c r="R448" s="49" t="s">
        <v>4</v>
      </c>
      <c r="S448" s="48" t="s">
        <v>4</v>
      </c>
      <c r="T448" s="47" t="s">
        <v>525</v>
      </c>
    </row>
    <row r="449" spans="1:20">
      <c r="A449" s="46">
        <v>137680175054</v>
      </c>
      <c r="B449" s="44" t="s">
        <v>517</v>
      </c>
      <c r="C449" s="45">
        <v>46003</v>
      </c>
      <c r="D449" s="46">
        <v>54723949848</v>
      </c>
      <c r="E449" s="46">
        <v>2147125619804</v>
      </c>
      <c r="F449" s="47" t="s">
        <v>529</v>
      </c>
      <c r="G449" s="47" t="s">
        <v>519</v>
      </c>
      <c r="H449" s="47" t="s">
        <v>4</v>
      </c>
      <c r="I449" s="46" t="s">
        <v>4</v>
      </c>
      <c r="J449" s="48">
        <v>365.28</v>
      </c>
      <c r="K449" s="47" t="s">
        <v>520</v>
      </c>
      <c r="L449" s="47" t="s">
        <v>530</v>
      </c>
      <c r="M449" s="46" t="s">
        <v>522</v>
      </c>
      <c r="N449" s="47" t="s">
        <v>523</v>
      </c>
      <c r="O449" s="44" t="s">
        <v>263</v>
      </c>
      <c r="P449" s="47" t="s">
        <v>531</v>
      </c>
      <c r="Q449" s="48">
        <v>4800</v>
      </c>
      <c r="R449" s="49" t="s">
        <v>4</v>
      </c>
      <c r="S449" s="48" t="s">
        <v>4</v>
      </c>
      <c r="T449" s="47" t="s">
        <v>525</v>
      </c>
    </row>
    <row r="450" spans="1:20">
      <c r="A450" s="46">
        <v>137680805420</v>
      </c>
      <c r="B450" s="44" t="s">
        <v>517</v>
      </c>
      <c r="C450" s="45">
        <v>46003</v>
      </c>
      <c r="D450" s="46">
        <v>54724274435</v>
      </c>
      <c r="E450" s="46">
        <v>2146986508217</v>
      </c>
      <c r="F450" s="47" t="s">
        <v>518</v>
      </c>
      <c r="G450" s="47" t="s">
        <v>519</v>
      </c>
      <c r="H450" s="47" t="s">
        <v>4</v>
      </c>
      <c r="I450" s="46" t="s">
        <v>4</v>
      </c>
      <c r="J450" s="48">
        <v>142.59</v>
      </c>
      <c r="K450" s="47" t="s">
        <v>520</v>
      </c>
      <c r="L450" s="47" t="s">
        <v>521</v>
      </c>
      <c r="M450" s="46" t="s">
        <v>522</v>
      </c>
      <c r="N450" s="47" t="s">
        <v>523</v>
      </c>
      <c r="O450" s="44" t="s">
        <v>4</v>
      </c>
      <c r="P450" s="47" t="s">
        <v>728</v>
      </c>
      <c r="Q450" s="48">
        <v>14700</v>
      </c>
      <c r="R450" s="49" t="s">
        <v>4</v>
      </c>
      <c r="S450" s="48" t="s">
        <v>4</v>
      </c>
      <c r="T450" s="47" t="s">
        <v>525</v>
      </c>
    </row>
    <row r="451" spans="1:20">
      <c r="A451" s="46">
        <v>137681279634</v>
      </c>
      <c r="B451" s="44" t="s">
        <v>517</v>
      </c>
      <c r="C451" s="45">
        <v>46003</v>
      </c>
      <c r="D451" s="46">
        <v>54724505251</v>
      </c>
      <c r="E451" s="46">
        <v>2147135669336</v>
      </c>
      <c r="F451" s="47" t="s">
        <v>518</v>
      </c>
      <c r="G451" s="47" t="s">
        <v>519</v>
      </c>
      <c r="H451" s="47" t="s">
        <v>4</v>
      </c>
      <c r="I451" s="46" t="s">
        <v>4</v>
      </c>
      <c r="J451" s="48">
        <v>804.13</v>
      </c>
      <c r="K451" s="47" t="s">
        <v>520</v>
      </c>
      <c r="L451" s="47" t="s">
        <v>521</v>
      </c>
      <c r="M451" s="46" t="s">
        <v>522</v>
      </c>
      <c r="N451" s="47" t="s">
        <v>523</v>
      </c>
      <c r="O451" s="44" t="s">
        <v>4</v>
      </c>
      <c r="P451" s="47" t="s">
        <v>729</v>
      </c>
      <c r="Q451" s="48">
        <v>82900</v>
      </c>
      <c r="R451" s="49" t="s">
        <v>4</v>
      </c>
      <c r="S451" s="48" t="s">
        <v>4</v>
      </c>
      <c r="T451" s="47" t="s">
        <v>525</v>
      </c>
    </row>
    <row r="452" spans="1:20">
      <c r="A452" s="46">
        <v>137048670453</v>
      </c>
      <c r="B452" s="44" t="s">
        <v>517</v>
      </c>
      <c r="C452" s="45">
        <v>46003</v>
      </c>
      <c r="D452" s="46">
        <v>54724738416</v>
      </c>
      <c r="E452" s="46">
        <v>2147140261220</v>
      </c>
      <c r="F452" s="47" t="s">
        <v>529</v>
      </c>
      <c r="G452" s="47" t="s">
        <v>519</v>
      </c>
      <c r="H452" s="47" t="s">
        <v>4</v>
      </c>
      <c r="I452" s="46" t="s">
        <v>4</v>
      </c>
      <c r="J452" s="48">
        <v>1249.74</v>
      </c>
      <c r="K452" s="47" t="s">
        <v>520</v>
      </c>
      <c r="L452" s="47" t="s">
        <v>530</v>
      </c>
      <c r="M452" s="46" t="s">
        <v>660</v>
      </c>
      <c r="N452" s="47" t="s">
        <v>661</v>
      </c>
      <c r="O452" s="44" t="s">
        <v>263</v>
      </c>
      <c r="P452" s="47" t="s">
        <v>531</v>
      </c>
      <c r="Q452" s="48">
        <v>31800</v>
      </c>
      <c r="R452" s="49" t="s">
        <v>4</v>
      </c>
      <c r="S452" s="48" t="s">
        <v>4</v>
      </c>
      <c r="T452" s="47" t="s">
        <v>525</v>
      </c>
    </row>
    <row r="453" spans="1:20">
      <c r="A453" s="46">
        <v>137682428878</v>
      </c>
      <c r="B453" s="44" t="s">
        <v>517</v>
      </c>
      <c r="C453" s="45">
        <v>46003</v>
      </c>
      <c r="D453" s="46">
        <v>54724937798</v>
      </c>
      <c r="E453" s="46">
        <v>2146998916307</v>
      </c>
      <c r="F453" s="47" t="s">
        <v>518</v>
      </c>
      <c r="G453" s="47" t="s">
        <v>519</v>
      </c>
      <c r="H453" s="47" t="s">
        <v>4</v>
      </c>
      <c r="I453" s="46" t="s">
        <v>4</v>
      </c>
      <c r="J453" s="48">
        <v>539.32000000000005</v>
      </c>
      <c r="K453" s="47" t="s">
        <v>520</v>
      </c>
      <c r="L453" s="47" t="s">
        <v>521</v>
      </c>
      <c r="M453" s="46" t="s">
        <v>522</v>
      </c>
      <c r="N453" s="47" t="s">
        <v>523</v>
      </c>
      <c r="O453" s="44" t="s">
        <v>4</v>
      </c>
      <c r="P453" s="47" t="s">
        <v>730</v>
      </c>
      <c r="Q453" s="48">
        <v>55600</v>
      </c>
      <c r="R453" s="49" t="s">
        <v>4</v>
      </c>
      <c r="S453" s="48" t="s">
        <v>4</v>
      </c>
      <c r="T453" s="47" t="s">
        <v>525</v>
      </c>
    </row>
    <row r="454" spans="1:20">
      <c r="A454" s="46">
        <v>137683959550</v>
      </c>
      <c r="B454" s="44" t="s">
        <v>517</v>
      </c>
      <c r="C454" s="45">
        <v>46003</v>
      </c>
      <c r="D454" s="46">
        <v>54725619533</v>
      </c>
      <c r="E454" s="46">
        <v>2147156635032</v>
      </c>
      <c r="F454" s="47" t="s">
        <v>529</v>
      </c>
      <c r="G454" s="47" t="s">
        <v>519</v>
      </c>
      <c r="H454" s="47" t="s">
        <v>4</v>
      </c>
      <c r="I454" s="46" t="s">
        <v>4</v>
      </c>
      <c r="J454" s="48">
        <v>372.89</v>
      </c>
      <c r="K454" s="47" t="s">
        <v>520</v>
      </c>
      <c r="L454" s="47" t="s">
        <v>530</v>
      </c>
      <c r="M454" s="46" t="s">
        <v>522</v>
      </c>
      <c r="N454" s="47" t="s">
        <v>523</v>
      </c>
      <c r="O454" s="44" t="s">
        <v>263</v>
      </c>
      <c r="P454" s="47" t="s">
        <v>531</v>
      </c>
      <c r="Q454" s="48">
        <v>4900</v>
      </c>
      <c r="R454" s="49" t="s">
        <v>4</v>
      </c>
      <c r="S454" s="48" t="s">
        <v>4</v>
      </c>
      <c r="T454" s="47" t="s">
        <v>525</v>
      </c>
    </row>
    <row r="455" spans="1:20">
      <c r="A455" s="46">
        <v>137684305360</v>
      </c>
      <c r="B455" s="44" t="s">
        <v>517</v>
      </c>
      <c r="C455" s="45">
        <v>46003</v>
      </c>
      <c r="D455" s="46">
        <v>54725765694</v>
      </c>
      <c r="E455" s="46">
        <v>2147014208741</v>
      </c>
      <c r="F455" s="47" t="s">
        <v>518</v>
      </c>
      <c r="G455" s="47" t="s">
        <v>519</v>
      </c>
      <c r="H455" s="47" t="s">
        <v>4</v>
      </c>
      <c r="I455" s="46" t="s">
        <v>4</v>
      </c>
      <c r="J455" s="48">
        <v>345.32</v>
      </c>
      <c r="K455" s="47" t="s">
        <v>520</v>
      </c>
      <c r="L455" s="47" t="s">
        <v>521</v>
      </c>
      <c r="M455" s="46" t="s">
        <v>522</v>
      </c>
      <c r="N455" s="47" t="s">
        <v>523</v>
      </c>
      <c r="O455" s="44" t="s">
        <v>4</v>
      </c>
      <c r="P455" s="47" t="s">
        <v>731</v>
      </c>
      <c r="Q455" s="48">
        <v>35600</v>
      </c>
      <c r="R455" s="49" t="s">
        <v>4</v>
      </c>
      <c r="S455" s="48" t="s">
        <v>4</v>
      </c>
      <c r="T455" s="47" t="s">
        <v>525</v>
      </c>
    </row>
    <row r="456" spans="1:20">
      <c r="A456" s="46">
        <v>137051456749</v>
      </c>
      <c r="B456" s="44" t="s">
        <v>517</v>
      </c>
      <c r="C456" s="45">
        <v>46003</v>
      </c>
      <c r="D456" s="46">
        <v>54725985454</v>
      </c>
      <c r="E456" s="46">
        <v>2147017876599</v>
      </c>
      <c r="F456" s="47" t="s">
        <v>529</v>
      </c>
      <c r="G456" s="47" t="s">
        <v>519</v>
      </c>
      <c r="H456" s="47" t="s">
        <v>4</v>
      </c>
      <c r="I456" s="46" t="s">
        <v>4</v>
      </c>
      <c r="J456" s="48">
        <v>1234.02</v>
      </c>
      <c r="K456" s="47" t="s">
        <v>520</v>
      </c>
      <c r="L456" s="47" t="s">
        <v>530</v>
      </c>
      <c r="M456" s="46" t="s">
        <v>660</v>
      </c>
      <c r="N456" s="47" t="s">
        <v>661</v>
      </c>
      <c r="O456" s="44" t="s">
        <v>263</v>
      </c>
      <c r="P456" s="47" t="s">
        <v>531</v>
      </c>
      <c r="Q456" s="48">
        <v>31400</v>
      </c>
      <c r="R456" s="49" t="s">
        <v>4</v>
      </c>
      <c r="S456" s="48" t="s">
        <v>4</v>
      </c>
      <c r="T456" s="47" t="s">
        <v>525</v>
      </c>
    </row>
    <row r="457" spans="1:20">
      <c r="A457" s="46">
        <v>137051650943</v>
      </c>
      <c r="B457" s="44" t="s">
        <v>517</v>
      </c>
      <c r="C457" s="45">
        <v>46003</v>
      </c>
      <c r="D457" s="46">
        <v>54726072362</v>
      </c>
      <c r="E457" s="46">
        <v>2147019644227</v>
      </c>
      <c r="F457" s="47" t="s">
        <v>529</v>
      </c>
      <c r="G457" s="47" t="s">
        <v>519</v>
      </c>
      <c r="H457" s="47" t="s">
        <v>4</v>
      </c>
      <c r="I457" s="46" t="s">
        <v>4</v>
      </c>
      <c r="J457" s="48">
        <v>1485.54</v>
      </c>
      <c r="K457" s="47" t="s">
        <v>520</v>
      </c>
      <c r="L457" s="47" t="s">
        <v>530</v>
      </c>
      <c r="M457" s="46" t="s">
        <v>522</v>
      </c>
      <c r="N457" s="47" t="s">
        <v>523</v>
      </c>
      <c r="O457" s="44" t="s">
        <v>263</v>
      </c>
      <c r="P457" s="47" t="s">
        <v>531</v>
      </c>
      <c r="Q457" s="48">
        <v>37800</v>
      </c>
      <c r="R457" s="49" t="s">
        <v>4</v>
      </c>
      <c r="S457" s="48" t="s">
        <v>4</v>
      </c>
      <c r="T457" s="47" t="s">
        <v>525</v>
      </c>
    </row>
    <row r="458" spans="1:20">
      <c r="A458" s="46">
        <v>137685229660</v>
      </c>
      <c r="B458" s="44" t="s">
        <v>517</v>
      </c>
      <c r="C458" s="45">
        <v>46003</v>
      </c>
      <c r="D458" s="46">
        <v>54726173721</v>
      </c>
      <c r="E458" s="46">
        <v>2147021877173</v>
      </c>
      <c r="F458" s="47" t="s">
        <v>518</v>
      </c>
      <c r="G458" s="47" t="s">
        <v>519</v>
      </c>
      <c r="H458" s="47" t="s">
        <v>4</v>
      </c>
      <c r="I458" s="46" t="s">
        <v>4</v>
      </c>
      <c r="J458" s="48">
        <v>184.3</v>
      </c>
      <c r="K458" s="47" t="s">
        <v>520</v>
      </c>
      <c r="L458" s="47" t="s">
        <v>521</v>
      </c>
      <c r="M458" s="46" t="s">
        <v>522</v>
      </c>
      <c r="N458" s="47" t="s">
        <v>523</v>
      </c>
      <c r="O458" s="44" t="s">
        <v>4</v>
      </c>
      <c r="P458" s="47" t="s">
        <v>626</v>
      </c>
      <c r="Q458" s="48">
        <v>19000</v>
      </c>
      <c r="R458" s="49" t="s">
        <v>4</v>
      </c>
      <c r="S458" s="48" t="s">
        <v>4</v>
      </c>
      <c r="T458" s="47" t="s">
        <v>525</v>
      </c>
    </row>
    <row r="459" spans="1:20">
      <c r="A459" s="46">
        <v>137052357047</v>
      </c>
      <c r="B459" s="44" t="s">
        <v>517</v>
      </c>
      <c r="C459" s="45">
        <v>46003</v>
      </c>
      <c r="D459" s="46">
        <v>54726363572</v>
      </c>
      <c r="E459" s="46">
        <v>2147170292070</v>
      </c>
      <c r="F459" s="47" t="s">
        <v>518</v>
      </c>
      <c r="G459" s="47" t="s">
        <v>519</v>
      </c>
      <c r="H459" s="47" t="s">
        <v>4</v>
      </c>
      <c r="I459" s="46" t="s">
        <v>4</v>
      </c>
      <c r="J459" s="48">
        <v>139.68</v>
      </c>
      <c r="K459" s="47" t="s">
        <v>520</v>
      </c>
      <c r="L459" s="47" t="s">
        <v>521</v>
      </c>
      <c r="M459" s="46" t="s">
        <v>522</v>
      </c>
      <c r="N459" s="47" t="s">
        <v>523</v>
      </c>
      <c r="O459" s="44" t="s">
        <v>4</v>
      </c>
      <c r="P459" s="47" t="s">
        <v>732</v>
      </c>
      <c r="Q459" s="48">
        <v>14400</v>
      </c>
      <c r="R459" s="49" t="s">
        <v>4</v>
      </c>
      <c r="S459" s="48" t="s">
        <v>4</v>
      </c>
      <c r="T459" s="47" t="s">
        <v>525</v>
      </c>
    </row>
    <row r="460" spans="1:20">
      <c r="A460" s="46">
        <v>137685932216</v>
      </c>
      <c r="B460" s="44" t="s">
        <v>517</v>
      </c>
      <c r="C460" s="45">
        <v>46003</v>
      </c>
      <c r="D460" s="46">
        <v>54726390899</v>
      </c>
      <c r="E460" s="46">
        <v>2147170644578</v>
      </c>
      <c r="F460" s="47" t="s">
        <v>526</v>
      </c>
      <c r="G460" s="47" t="s">
        <v>519</v>
      </c>
      <c r="H460" s="47" t="s">
        <v>4</v>
      </c>
      <c r="I460" s="46" t="s">
        <v>4</v>
      </c>
      <c r="J460" s="48">
        <v>246.38</v>
      </c>
      <c r="K460" s="47" t="s">
        <v>520</v>
      </c>
      <c r="L460" s="47" t="s">
        <v>521</v>
      </c>
      <c r="M460" s="46" t="s">
        <v>522</v>
      </c>
      <c r="N460" s="47" t="s">
        <v>523</v>
      </c>
      <c r="O460" s="44" t="s">
        <v>4</v>
      </c>
      <c r="P460" s="47" t="s">
        <v>527</v>
      </c>
      <c r="Q460" s="48">
        <v>25400</v>
      </c>
      <c r="R460" s="49" t="s">
        <v>4</v>
      </c>
      <c r="S460" s="48" t="s">
        <v>4</v>
      </c>
      <c r="T460" s="47" t="s">
        <v>4</v>
      </c>
    </row>
    <row r="461" spans="1:20">
      <c r="A461" s="46">
        <v>137052814137</v>
      </c>
      <c r="B461" s="44" t="s">
        <v>517</v>
      </c>
      <c r="C461" s="45">
        <v>46003</v>
      </c>
      <c r="D461" s="46">
        <v>54726528148</v>
      </c>
      <c r="E461" s="46">
        <v>2147027295263</v>
      </c>
      <c r="F461" s="47" t="s">
        <v>518</v>
      </c>
      <c r="G461" s="47" t="s">
        <v>519</v>
      </c>
      <c r="H461" s="47" t="s">
        <v>4</v>
      </c>
      <c r="I461" s="46" t="s">
        <v>4</v>
      </c>
      <c r="J461" s="48">
        <v>202.73</v>
      </c>
      <c r="K461" s="47" t="s">
        <v>520</v>
      </c>
      <c r="L461" s="47" t="s">
        <v>521</v>
      </c>
      <c r="M461" s="46" t="s">
        <v>522</v>
      </c>
      <c r="N461" s="47" t="s">
        <v>523</v>
      </c>
      <c r="O461" s="44" t="s">
        <v>4</v>
      </c>
      <c r="P461" s="47" t="s">
        <v>733</v>
      </c>
      <c r="Q461" s="48">
        <v>20900</v>
      </c>
      <c r="R461" s="49" t="s">
        <v>4</v>
      </c>
      <c r="S461" s="48" t="s">
        <v>4</v>
      </c>
      <c r="T461" s="47" t="s">
        <v>525</v>
      </c>
    </row>
    <row r="462" spans="1:20">
      <c r="A462" s="46">
        <v>137053159275</v>
      </c>
      <c r="B462" s="44" t="s">
        <v>517</v>
      </c>
      <c r="C462" s="45">
        <v>46003</v>
      </c>
      <c r="D462" s="46">
        <v>54726766965</v>
      </c>
      <c r="E462" s="46">
        <v>2147175887200</v>
      </c>
      <c r="F462" s="47" t="s">
        <v>518</v>
      </c>
      <c r="G462" s="47" t="s">
        <v>519</v>
      </c>
      <c r="H462" s="47" t="s">
        <v>4</v>
      </c>
      <c r="I462" s="46" t="s">
        <v>4</v>
      </c>
      <c r="J462" s="48">
        <v>503.43</v>
      </c>
      <c r="K462" s="47" t="s">
        <v>520</v>
      </c>
      <c r="L462" s="47" t="s">
        <v>521</v>
      </c>
      <c r="M462" s="46" t="s">
        <v>522</v>
      </c>
      <c r="N462" s="47" t="s">
        <v>523</v>
      </c>
      <c r="O462" s="44" t="s">
        <v>4</v>
      </c>
      <c r="P462" s="47" t="s">
        <v>734</v>
      </c>
      <c r="Q462" s="48">
        <v>51900</v>
      </c>
      <c r="R462" s="49" t="s">
        <v>4</v>
      </c>
      <c r="S462" s="48" t="s">
        <v>4</v>
      </c>
      <c r="T462" s="47" t="s">
        <v>525</v>
      </c>
    </row>
    <row r="463" spans="1:20">
      <c r="A463" s="46">
        <v>137053592771</v>
      </c>
      <c r="B463" s="44" t="s">
        <v>517</v>
      </c>
      <c r="C463" s="45">
        <v>46003</v>
      </c>
      <c r="D463" s="46">
        <v>54726918938</v>
      </c>
      <c r="E463" s="46">
        <v>2147033585851</v>
      </c>
      <c r="F463" s="47" t="s">
        <v>518</v>
      </c>
      <c r="G463" s="47" t="s">
        <v>519</v>
      </c>
      <c r="H463" s="47" t="s">
        <v>4</v>
      </c>
      <c r="I463" s="46" t="s">
        <v>4</v>
      </c>
      <c r="J463" s="48">
        <v>178.48</v>
      </c>
      <c r="K463" s="47" t="s">
        <v>520</v>
      </c>
      <c r="L463" s="47" t="s">
        <v>521</v>
      </c>
      <c r="M463" s="46" t="s">
        <v>660</v>
      </c>
      <c r="N463" s="47" t="s">
        <v>661</v>
      </c>
      <c r="O463" s="44" t="s">
        <v>4</v>
      </c>
      <c r="P463" s="47" t="s">
        <v>614</v>
      </c>
      <c r="Q463" s="48">
        <v>18400</v>
      </c>
      <c r="R463" s="49" t="s">
        <v>4</v>
      </c>
      <c r="S463" s="48" t="s">
        <v>4</v>
      </c>
      <c r="T463" s="47" t="s">
        <v>525</v>
      </c>
    </row>
    <row r="464" spans="1:20">
      <c r="A464" s="46">
        <v>137053991521</v>
      </c>
      <c r="B464" s="44" t="s">
        <v>517</v>
      </c>
      <c r="C464" s="45">
        <v>46003</v>
      </c>
      <c r="D464" s="46">
        <v>54727165601</v>
      </c>
      <c r="E464" s="46">
        <v>2147182386374</v>
      </c>
      <c r="F464" s="47" t="s">
        <v>529</v>
      </c>
      <c r="G464" s="47" t="s">
        <v>519</v>
      </c>
      <c r="H464" s="47" t="s">
        <v>4</v>
      </c>
      <c r="I464" s="46" t="s">
        <v>4</v>
      </c>
      <c r="J464" s="48">
        <v>1792.08</v>
      </c>
      <c r="K464" s="47" t="s">
        <v>520</v>
      </c>
      <c r="L464" s="47" t="s">
        <v>530</v>
      </c>
      <c r="M464" s="46" t="s">
        <v>660</v>
      </c>
      <c r="N464" s="47" t="s">
        <v>661</v>
      </c>
      <c r="O464" s="44" t="s">
        <v>263</v>
      </c>
      <c r="P464" s="47" t="s">
        <v>531</v>
      </c>
      <c r="Q464" s="48">
        <v>45600</v>
      </c>
      <c r="R464" s="49" t="s">
        <v>4</v>
      </c>
      <c r="S464" s="48" t="s">
        <v>4</v>
      </c>
      <c r="T464" s="47" t="s">
        <v>525</v>
      </c>
    </row>
    <row r="465" spans="1:20">
      <c r="A465" s="46">
        <v>137054667043</v>
      </c>
      <c r="B465" s="44" t="s">
        <v>517</v>
      </c>
      <c r="C465" s="45">
        <v>46003</v>
      </c>
      <c r="D465" s="46">
        <v>54727413912</v>
      </c>
      <c r="E465" s="46">
        <v>2147185943014</v>
      </c>
      <c r="F465" s="47" t="s">
        <v>518</v>
      </c>
      <c r="G465" s="47" t="s">
        <v>519</v>
      </c>
      <c r="H465" s="47" t="s">
        <v>4</v>
      </c>
      <c r="I465" s="46" t="s">
        <v>4</v>
      </c>
      <c r="J465" s="48">
        <v>3508.21</v>
      </c>
      <c r="K465" s="47" t="s">
        <v>520</v>
      </c>
      <c r="L465" s="47" t="s">
        <v>521</v>
      </c>
      <c r="M465" s="46" t="s">
        <v>522</v>
      </c>
      <c r="N465" s="47" t="s">
        <v>523</v>
      </c>
      <c r="O465" s="44" t="s">
        <v>4</v>
      </c>
      <c r="P465" s="47" t="s">
        <v>735</v>
      </c>
      <c r="Q465" s="48">
        <v>46100</v>
      </c>
      <c r="R465" s="49" t="s">
        <v>4</v>
      </c>
      <c r="S465" s="48" t="s">
        <v>4</v>
      </c>
      <c r="T465" s="47" t="s">
        <v>525</v>
      </c>
    </row>
    <row r="466" spans="1:20">
      <c r="A466" s="46">
        <v>137688726850</v>
      </c>
      <c r="B466" s="44" t="s">
        <v>517</v>
      </c>
      <c r="C466" s="45">
        <v>46003</v>
      </c>
      <c r="D466" s="46">
        <v>54727694250</v>
      </c>
      <c r="E466" s="46">
        <v>2147189840242</v>
      </c>
      <c r="F466" s="47" t="s">
        <v>529</v>
      </c>
      <c r="G466" s="47" t="s">
        <v>519</v>
      </c>
      <c r="H466" s="47" t="s">
        <v>4</v>
      </c>
      <c r="I466" s="46" t="s">
        <v>4</v>
      </c>
      <c r="J466" s="48">
        <v>1418.73</v>
      </c>
      <c r="K466" s="47" t="s">
        <v>520</v>
      </c>
      <c r="L466" s="47" t="s">
        <v>530</v>
      </c>
      <c r="M466" s="46" t="s">
        <v>522</v>
      </c>
      <c r="N466" s="47" t="s">
        <v>523</v>
      </c>
      <c r="O466" s="44" t="s">
        <v>263</v>
      </c>
      <c r="P466" s="47" t="s">
        <v>531</v>
      </c>
      <c r="Q466" s="48">
        <v>36100</v>
      </c>
      <c r="R466" s="49" t="s">
        <v>4</v>
      </c>
      <c r="S466" s="48" t="s">
        <v>4</v>
      </c>
      <c r="T466" s="47" t="s">
        <v>525</v>
      </c>
    </row>
    <row r="467" spans="1:20">
      <c r="A467" s="46">
        <v>137688911668</v>
      </c>
      <c r="B467" s="44" t="s">
        <v>517</v>
      </c>
      <c r="C467" s="45">
        <v>46004</v>
      </c>
      <c r="D467" s="46">
        <v>54727861459</v>
      </c>
      <c r="E467" s="46">
        <v>2147046530961</v>
      </c>
      <c r="F467" s="47" t="s">
        <v>518</v>
      </c>
      <c r="G467" s="47" t="s">
        <v>519</v>
      </c>
      <c r="H467" s="47" t="s">
        <v>4</v>
      </c>
      <c r="I467" s="46" t="s">
        <v>4</v>
      </c>
      <c r="J467" s="48">
        <v>47.53</v>
      </c>
      <c r="K467" s="47" t="s">
        <v>520</v>
      </c>
      <c r="L467" s="47" t="s">
        <v>521</v>
      </c>
      <c r="M467" s="46" t="s">
        <v>522</v>
      </c>
      <c r="N467" s="47" t="s">
        <v>523</v>
      </c>
      <c r="O467" s="44" t="s">
        <v>4</v>
      </c>
      <c r="P467" s="47" t="s">
        <v>736</v>
      </c>
      <c r="Q467" s="48">
        <v>4900</v>
      </c>
      <c r="R467" s="49" t="s">
        <v>4</v>
      </c>
      <c r="S467" s="48" t="s">
        <v>4</v>
      </c>
      <c r="T467" s="47" t="s">
        <v>525</v>
      </c>
    </row>
    <row r="468" spans="1:20">
      <c r="A468" s="46">
        <v>137055724405</v>
      </c>
      <c r="B468" s="44" t="s">
        <v>517</v>
      </c>
      <c r="C468" s="45">
        <v>46004</v>
      </c>
      <c r="D468" s="46">
        <v>54727917039</v>
      </c>
      <c r="E468" s="46">
        <v>2147047152427</v>
      </c>
      <c r="F468" s="47" t="s">
        <v>518</v>
      </c>
      <c r="G468" s="47" t="s">
        <v>519</v>
      </c>
      <c r="H468" s="47" t="s">
        <v>4</v>
      </c>
      <c r="I468" s="46" t="s">
        <v>4</v>
      </c>
      <c r="J468" s="48">
        <v>326.89</v>
      </c>
      <c r="K468" s="47" t="s">
        <v>520</v>
      </c>
      <c r="L468" s="47" t="s">
        <v>521</v>
      </c>
      <c r="M468" s="46" t="s">
        <v>522</v>
      </c>
      <c r="N468" s="47" t="s">
        <v>523</v>
      </c>
      <c r="O468" s="44" t="s">
        <v>4</v>
      </c>
      <c r="P468" s="47" t="s">
        <v>737</v>
      </c>
      <c r="Q468" s="48">
        <v>33700</v>
      </c>
      <c r="R468" s="49" t="s">
        <v>4</v>
      </c>
      <c r="S468" s="48" t="s">
        <v>4</v>
      </c>
      <c r="T468" s="47" t="s">
        <v>525</v>
      </c>
    </row>
    <row r="469" spans="1:20">
      <c r="A469" s="46">
        <v>137689978402</v>
      </c>
      <c r="B469" s="44" t="s">
        <v>517</v>
      </c>
      <c r="C469" s="45">
        <v>46004</v>
      </c>
      <c r="D469" s="46">
        <v>54728355986</v>
      </c>
      <c r="E469" s="46">
        <v>2147052374071</v>
      </c>
      <c r="F469" s="47" t="s">
        <v>529</v>
      </c>
      <c r="G469" s="47" t="s">
        <v>519</v>
      </c>
      <c r="H469" s="47" t="s">
        <v>4</v>
      </c>
      <c r="I469" s="46" t="s">
        <v>4</v>
      </c>
      <c r="J469" s="48">
        <v>2000.37</v>
      </c>
      <c r="K469" s="47" t="s">
        <v>520</v>
      </c>
      <c r="L469" s="47" t="s">
        <v>530</v>
      </c>
      <c r="M469" s="46" t="s">
        <v>522</v>
      </c>
      <c r="N469" s="47" t="s">
        <v>523</v>
      </c>
      <c r="O469" s="44" t="s">
        <v>263</v>
      </c>
      <c r="P469" s="47" t="s">
        <v>531</v>
      </c>
      <c r="Q469" s="48">
        <v>50900</v>
      </c>
      <c r="R469" s="49" t="s">
        <v>4</v>
      </c>
      <c r="S469" s="48" t="s">
        <v>4</v>
      </c>
      <c r="T469" s="47" t="s">
        <v>525</v>
      </c>
    </row>
    <row r="470" spans="1:20">
      <c r="A470" s="46">
        <v>137056843823</v>
      </c>
      <c r="B470" s="44" t="s">
        <v>517</v>
      </c>
      <c r="C470" s="45">
        <v>46004</v>
      </c>
      <c r="D470" s="46">
        <v>54728547567</v>
      </c>
      <c r="E470" s="46">
        <v>2147055097639</v>
      </c>
      <c r="F470" s="47" t="s">
        <v>518</v>
      </c>
      <c r="G470" s="47" t="s">
        <v>519</v>
      </c>
      <c r="H470" s="47" t="s">
        <v>4</v>
      </c>
      <c r="I470" s="46" t="s">
        <v>4</v>
      </c>
      <c r="J470" s="48">
        <v>401.58</v>
      </c>
      <c r="K470" s="47" t="s">
        <v>520</v>
      </c>
      <c r="L470" s="47" t="s">
        <v>521</v>
      </c>
      <c r="M470" s="46" t="s">
        <v>522</v>
      </c>
      <c r="N470" s="47" t="s">
        <v>523</v>
      </c>
      <c r="O470" s="44" t="s">
        <v>4</v>
      </c>
      <c r="P470" s="47" t="s">
        <v>738</v>
      </c>
      <c r="Q470" s="48">
        <v>41400</v>
      </c>
      <c r="R470" s="49" t="s">
        <v>4</v>
      </c>
      <c r="S470" s="48" t="s">
        <v>4</v>
      </c>
      <c r="T470" s="47" t="s">
        <v>525</v>
      </c>
    </row>
    <row r="471" spans="1:20">
      <c r="A471" s="46">
        <v>137057370005</v>
      </c>
      <c r="B471" s="44" t="s">
        <v>517</v>
      </c>
      <c r="C471" s="45">
        <v>46004</v>
      </c>
      <c r="D471" s="46">
        <v>54728800251</v>
      </c>
      <c r="E471" s="46">
        <v>2147058585089</v>
      </c>
      <c r="F471" s="47" t="s">
        <v>562</v>
      </c>
      <c r="G471" s="47" t="s">
        <v>519</v>
      </c>
      <c r="H471" s="47" t="s">
        <v>4</v>
      </c>
      <c r="I471" s="46" t="s">
        <v>4</v>
      </c>
      <c r="J471" s="48">
        <v>697.64</v>
      </c>
      <c r="K471" s="47" t="s">
        <v>520</v>
      </c>
      <c r="L471" s="47" t="s">
        <v>521</v>
      </c>
      <c r="M471" s="46" t="s">
        <v>522</v>
      </c>
      <c r="N471" s="47" t="s">
        <v>523</v>
      </c>
      <c r="O471" s="44" t="s">
        <v>4</v>
      </c>
      <c r="P471" s="47" t="s">
        <v>739</v>
      </c>
      <c r="Q471" s="48">
        <v>42800</v>
      </c>
      <c r="R471" s="49" t="s">
        <v>4</v>
      </c>
      <c r="S471" s="48" t="s">
        <v>4</v>
      </c>
      <c r="T471" s="47" t="s">
        <v>525</v>
      </c>
    </row>
    <row r="472" spans="1:20">
      <c r="A472" s="46">
        <v>137057641201</v>
      </c>
      <c r="B472" s="44" t="s">
        <v>517</v>
      </c>
      <c r="C472" s="45">
        <v>46004</v>
      </c>
      <c r="D472" s="46">
        <v>54728865724</v>
      </c>
      <c r="E472" s="46">
        <v>2147059505179</v>
      </c>
      <c r="F472" s="47" t="s">
        <v>518</v>
      </c>
      <c r="G472" s="47" t="s">
        <v>519</v>
      </c>
      <c r="H472" s="47" t="s">
        <v>4</v>
      </c>
      <c r="I472" s="46" t="s">
        <v>4</v>
      </c>
      <c r="J472" s="48">
        <v>347.26</v>
      </c>
      <c r="K472" s="47" t="s">
        <v>520</v>
      </c>
      <c r="L472" s="47" t="s">
        <v>521</v>
      </c>
      <c r="M472" s="46" t="s">
        <v>660</v>
      </c>
      <c r="N472" s="47" t="s">
        <v>661</v>
      </c>
      <c r="O472" s="44" t="s">
        <v>4</v>
      </c>
      <c r="P472" s="47" t="s">
        <v>740</v>
      </c>
      <c r="Q472" s="48">
        <v>35800</v>
      </c>
      <c r="R472" s="49" t="s">
        <v>4</v>
      </c>
      <c r="S472" s="48" t="s">
        <v>4</v>
      </c>
      <c r="T472" s="47" t="s">
        <v>525</v>
      </c>
    </row>
    <row r="473" spans="1:20">
      <c r="A473" s="46">
        <v>137057721637</v>
      </c>
      <c r="B473" s="44" t="s">
        <v>517</v>
      </c>
      <c r="C473" s="45">
        <v>46004</v>
      </c>
      <c r="D473" s="46">
        <v>54728900725</v>
      </c>
      <c r="E473" s="46">
        <v>2147060561033</v>
      </c>
      <c r="F473" s="47" t="s">
        <v>529</v>
      </c>
      <c r="G473" s="47" t="s">
        <v>519</v>
      </c>
      <c r="H473" s="47" t="s">
        <v>4</v>
      </c>
      <c r="I473" s="46" t="s">
        <v>4</v>
      </c>
      <c r="J473" s="48">
        <v>1961.28</v>
      </c>
      <c r="K473" s="47" t="s">
        <v>520</v>
      </c>
      <c r="L473" s="47" t="s">
        <v>530</v>
      </c>
      <c r="M473" s="46" t="s">
        <v>522</v>
      </c>
      <c r="N473" s="47" t="s">
        <v>523</v>
      </c>
      <c r="O473" s="44" t="s">
        <v>263</v>
      </c>
      <c r="P473" s="47" t="s">
        <v>531</v>
      </c>
      <c r="Q473" s="48">
        <v>43200</v>
      </c>
      <c r="R473" s="49" t="s">
        <v>4</v>
      </c>
      <c r="S473" s="48" t="s">
        <v>4</v>
      </c>
      <c r="T473" s="47" t="s">
        <v>525</v>
      </c>
    </row>
    <row r="474" spans="1:20">
      <c r="A474" s="46">
        <v>137057745919</v>
      </c>
      <c r="B474" s="44" t="s">
        <v>517</v>
      </c>
      <c r="C474" s="45">
        <v>46004</v>
      </c>
      <c r="D474" s="46">
        <v>54728941962</v>
      </c>
      <c r="E474" s="46">
        <v>2147206072044</v>
      </c>
      <c r="F474" s="47" t="s">
        <v>529</v>
      </c>
      <c r="G474" s="47" t="s">
        <v>519</v>
      </c>
      <c r="H474" s="47" t="s">
        <v>4</v>
      </c>
      <c r="I474" s="46" t="s">
        <v>4</v>
      </c>
      <c r="J474" s="48">
        <v>2214.5100000000002</v>
      </c>
      <c r="K474" s="47" t="s">
        <v>520</v>
      </c>
      <c r="L474" s="47" t="s">
        <v>530</v>
      </c>
      <c r="M474" s="46" t="s">
        <v>522</v>
      </c>
      <c r="N474" s="47" t="s">
        <v>523</v>
      </c>
      <c r="O474" s="44" t="s">
        <v>263</v>
      </c>
      <c r="P474" s="47" t="s">
        <v>531</v>
      </c>
      <c r="Q474" s="48">
        <v>29100</v>
      </c>
      <c r="R474" s="49" t="s">
        <v>4</v>
      </c>
      <c r="S474" s="48" t="s">
        <v>4</v>
      </c>
      <c r="T474" s="47" t="s">
        <v>525</v>
      </c>
    </row>
    <row r="475" spans="1:20">
      <c r="A475" s="46">
        <v>137691353480</v>
      </c>
      <c r="B475" s="44" t="s">
        <v>517</v>
      </c>
      <c r="C475" s="45">
        <v>46004</v>
      </c>
      <c r="D475" s="46">
        <v>54728972308</v>
      </c>
      <c r="E475" s="46">
        <v>2147061506173</v>
      </c>
      <c r="F475" s="47" t="s">
        <v>518</v>
      </c>
      <c r="G475" s="47" t="s">
        <v>519</v>
      </c>
      <c r="H475" s="47" t="s">
        <v>4</v>
      </c>
      <c r="I475" s="46" t="s">
        <v>4</v>
      </c>
      <c r="J475" s="48">
        <v>194</v>
      </c>
      <c r="K475" s="47" t="s">
        <v>520</v>
      </c>
      <c r="L475" s="47" t="s">
        <v>521</v>
      </c>
      <c r="M475" s="46" t="s">
        <v>522</v>
      </c>
      <c r="N475" s="47" t="s">
        <v>523</v>
      </c>
      <c r="O475" s="44" t="s">
        <v>4</v>
      </c>
      <c r="P475" s="47" t="s">
        <v>741</v>
      </c>
      <c r="Q475" s="48">
        <v>20000</v>
      </c>
      <c r="R475" s="49" t="s">
        <v>4</v>
      </c>
      <c r="S475" s="48" t="s">
        <v>4</v>
      </c>
      <c r="T475" s="47" t="s">
        <v>525</v>
      </c>
    </row>
    <row r="476" spans="1:20">
      <c r="A476" s="46">
        <v>137057923599</v>
      </c>
      <c r="B476" s="44" t="s">
        <v>517</v>
      </c>
      <c r="C476" s="45">
        <v>46004</v>
      </c>
      <c r="D476" s="46">
        <v>54729020481</v>
      </c>
      <c r="E476" s="46">
        <v>2147207252266</v>
      </c>
      <c r="F476" s="47" t="s">
        <v>526</v>
      </c>
      <c r="G476" s="47" t="s">
        <v>519</v>
      </c>
      <c r="H476" s="47" t="s">
        <v>4</v>
      </c>
      <c r="I476" s="46" t="s">
        <v>4</v>
      </c>
      <c r="J476" s="48">
        <v>400.61</v>
      </c>
      <c r="K476" s="47" t="s">
        <v>520</v>
      </c>
      <c r="L476" s="47" t="s">
        <v>521</v>
      </c>
      <c r="M476" s="46" t="s">
        <v>522</v>
      </c>
      <c r="N476" s="47" t="s">
        <v>523</v>
      </c>
      <c r="O476" s="44" t="s">
        <v>4</v>
      </c>
      <c r="P476" s="47" t="s">
        <v>527</v>
      </c>
      <c r="Q476" s="48">
        <v>41300</v>
      </c>
      <c r="R476" s="49" t="s">
        <v>4</v>
      </c>
      <c r="S476" s="48" t="s">
        <v>4</v>
      </c>
      <c r="T476" s="47" t="s">
        <v>4</v>
      </c>
    </row>
    <row r="477" spans="1:20">
      <c r="A477" s="46">
        <v>137058045427</v>
      </c>
      <c r="B477" s="44" t="s">
        <v>517</v>
      </c>
      <c r="C477" s="45">
        <v>46004</v>
      </c>
      <c r="D477" s="46">
        <v>54729063432</v>
      </c>
      <c r="E477" s="46">
        <v>2147062740273</v>
      </c>
      <c r="F477" s="47" t="s">
        <v>518</v>
      </c>
      <c r="G477" s="47" t="s">
        <v>519</v>
      </c>
      <c r="H477" s="47" t="s">
        <v>4</v>
      </c>
      <c r="I477" s="46" t="s">
        <v>4</v>
      </c>
      <c r="J477" s="48">
        <v>476.27</v>
      </c>
      <c r="K477" s="47" t="s">
        <v>520</v>
      </c>
      <c r="L477" s="47" t="s">
        <v>521</v>
      </c>
      <c r="M477" s="46" t="s">
        <v>660</v>
      </c>
      <c r="N477" s="47" t="s">
        <v>661</v>
      </c>
      <c r="O477" s="44" t="s">
        <v>4</v>
      </c>
      <c r="P477" s="47" t="s">
        <v>742</v>
      </c>
      <c r="Q477" s="48">
        <v>49100</v>
      </c>
      <c r="R477" s="49" t="s">
        <v>4</v>
      </c>
      <c r="S477" s="48" t="s">
        <v>4</v>
      </c>
      <c r="T477" s="47" t="s">
        <v>525</v>
      </c>
    </row>
    <row r="478" spans="1:20">
      <c r="A478" s="46">
        <v>137691630590</v>
      </c>
      <c r="B478" s="44" t="s">
        <v>517</v>
      </c>
      <c r="C478" s="45">
        <v>46004</v>
      </c>
      <c r="D478" s="46">
        <v>54729073129</v>
      </c>
      <c r="E478" s="46">
        <v>2147062915707</v>
      </c>
      <c r="F478" s="47" t="s">
        <v>529</v>
      </c>
      <c r="G478" s="47" t="s">
        <v>519</v>
      </c>
      <c r="H478" s="47" t="s">
        <v>4</v>
      </c>
      <c r="I478" s="46" t="s">
        <v>4</v>
      </c>
      <c r="J478" s="48">
        <v>217.92</v>
      </c>
      <c r="K478" s="47" t="s">
        <v>520</v>
      </c>
      <c r="L478" s="47" t="s">
        <v>530</v>
      </c>
      <c r="M478" s="46" t="s">
        <v>522</v>
      </c>
      <c r="N478" s="47" t="s">
        <v>523</v>
      </c>
      <c r="O478" s="44" t="s">
        <v>263</v>
      </c>
      <c r="P478" s="47" t="s">
        <v>531</v>
      </c>
      <c r="Q478" s="48">
        <v>4800</v>
      </c>
      <c r="R478" s="49" t="s">
        <v>4</v>
      </c>
      <c r="S478" s="48" t="s">
        <v>4</v>
      </c>
      <c r="T478" s="47" t="s">
        <v>525</v>
      </c>
    </row>
    <row r="479" spans="1:20">
      <c r="A479" s="46">
        <v>137691754334</v>
      </c>
      <c r="B479" s="44" t="s">
        <v>517</v>
      </c>
      <c r="C479" s="45">
        <v>46004</v>
      </c>
      <c r="D479" s="46">
        <v>54729094039</v>
      </c>
      <c r="E479" s="46">
        <v>2147208448934</v>
      </c>
      <c r="F479" s="47" t="s">
        <v>518</v>
      </c>
      <c r="G479" s="47" t="s">
        <v>519</v>
      </c>
      <c r="H479" s="47" t="s">
        <v>4</v>
      </c>
      <c r="I479" s="46" t="s">
        <v>4</v>
      </c>
      <c r="J479" s="48">
        <v>155.19999999999999</v>
      </c>
      <c r="K479" s="47" t="s">
        <v>520</v>
      </c>
      <c r="L479" s="47" t="s">
        <v>521</v>
      </c>
      <c r="M479" s="46" t="s">
        <v>660</v>
      </c>
      <c r="N479" s="47" t="s">
        <v>661</v>
      </c>
      <c r="O479" s="44" t="s">
        <v>4</v>
      </c>
      <c r="P479" s="47" t="s">
        <v>743</v>
      </c>
      <c r="Q479" s="48">
        <v>16000</v>
      </c>
      <c r="R479" s="49" t="s">
        <v>4</v>
      </c>
      <c r="S479" s="48" t="s">
        <v>4</v>
      </c>
      <c r="T479" s="47" t="s">
        <v>525</v>
      </c>
    </row>
    <row r="480" spans="1:20">
      <c r="A480" s="46">
        <v>137058507115</v>
      </c>
      <c r="B480" s="44" t="s">
        <v>517</v>
      </c>
      <c r="C480" s="45">
        <v>46004</v>
      </c>
      <c r="D480" s="46">
        <v>54729253713</v>
      </c>
      <c r="E480" s="46">
        <v>2147065566399</v>
      </c>
      <c r="F480" s="47" t="s">
        <v>518</v>
      </c>
      <c r="G480" s="47" t="s">
        <v>519</v>
      </c>
      <c r="H480" s="47" t="s">
        <v>4</v>
      </c>
      <c r="I480" s="46" t="s">
        <v>4</v>
      </c>
      <c r="J480" s="48">
        <v>235.71</v>
      </c>
      <c r="K480" s="47" t="s">
        <v>520</v>
      </c>
      <c r="L480" s="47" t="s">
        <v>521</v>
      </c>
      <c r="M480" s="46" t="s">
        <v>522</v>
      </c>
      <c r="N480" s="47" t="s">
        <v>523</v>
      </c>
      <c r="O480" s="44" t="s">
        <v>4</v>
      </c>
      <c r="P480" s="47" t="s">
        <v>744</v>
      </c>
      <c r="Q480" s="48">
        <v>24300</v>
      </c>
      <c r="R480" s="49" t="s">
        <v>4</v>
      </c>
      <c r="S480" s="48" t="s">
        <v>4</v>
      </c>
      <c r="T480" s="47" t="s">
        <v>525</v>
      </c>
    </row>
    <row r="481" spans="1:20">
      <c r="A481" s="46">
        <v>137692068996</v>
      </c>
      <c r="B481" s="44" t="s">
        <v>517</v>
      </c>
      <c r="C481" s="45">
        <v>46004</v>
      </c>
      <c r="D481" s="46">
        <v>54729281589</v>
      </c>
      <c r="E481" s="46">
        <v>2147211036978</v>
      </c>
      <c r="F481" s="47" t="s">
        <v>529</v>
      </c>
      <c r="G481" s="47" t="s">
        <v>519</v>
      </c>
      <c r="H481" s="47" t="s">
        <v>4</v>
      </c>
      <c r="I481" s="46" t="s">
        <v>4</v>
      </c>
      <c r="J481" s="48">
        <v>16901.810000000001</v>
      </c>
      <c r="K481" s="47" t="s">
        <v>520</v>
      </c>
      <c r="L481" s="47" t="s">
        <v>530</v>
      </c>
      <c r="M481" s="46" t="s">
        <v>522</v>
      </c>
      <c r="N481" s="47" t="s">
        <v>523</v>
      </c>
      <c r="O481" s="44" t="s">
        <v>263</v>
      </c>
      <c r="P481" s="47" t="s">
        <v>531</v>
      </c>
      <c r="Q481" s="48">
        <v>222100</v>
      </c>
      <c r="R481" s="49" t="s">
        <v>4</v>
      </c>
      <c r="S481" s="48" t="s">
        <v>4</v>
      </c>
      <c r="T481" s="47" t="s">
        <v>525</v>
      </c>
    </row>
    <row r="482" spans="1:20">
      <c r="A482" s="46">
        <v>137058637227</v>
      </c>
      <c r="B482" s="44" t="s">
        <v>517</v>
      </c>
      <c r="C482" s="45">
        <v>46004</v>
      </c>
      <c r="D482" s="46">
        <v>54729311287</v>
      </c>
      <c r="E482" s="46">
        <v>2147066277015</v>
      </c>
      <c r="F482" s="47" t="s">
        <v>526</v>
      </c>
      <c r="G482" s="47" t="s">
        <v>519</v>
      </c>
      <c r="H482" s="47" t="s">
        <v>4</v>
      </c>
      <c r="I482" s="46" t="s">
        <v>4</v>
      </c>
      <c r="J482" s="48">
        <v>424.86</v>
      </c>
      <c r="K482" s="47" t="s">
        <v>520</v>
      </c>
      <c r="L482" s="47" t="s">
        <v>521</v>
      </c>
      <c r="M482" s="46" t="s">
        <v>522</v>
      </c>
      <c r="N482" s="47" t="s">
        <v>523</v>
      </c>
      <c r="O482" s="44" t="s">
        <v>4</v>
      </c>
      <c r="P482" s="47" t="s">
        <v>527</v>
      </c>
      <c r="Q482" s="48">
        <v>43800</v>
      </c>
      <c r="R482" s="49" t="s">
        <v>4</v>
      </c>
      <c r="S482" s="48" t="s">
        <v>4</v>
      </c>
      <c r="T482" s="47" t="s">
        <v>4</v>
      </c>
    </row>
    <row r="483" spans="1:20">
      <c r="A483" s="46">
        <v>137058747509</v>
      </c>
      <c r="B483" s="44" t="s">
        <v>517</v>
      </c>
      <c r="C483" s="45">
        <v>46004</v>
      </c>
      <c r="D483" s="46">
        <v>54729373455</v>
      </c>
      <c r="E483" s="46">
        <v>2147067169409</v>
      </c>
      <c r="F483" s="47" t="s">
        <v>562</v>
      </c>
      <c r="G483" s="47" t="s">
        <v>519</v>
      </c>
      <c r="H483" s="47" t="s">
        <v>4</v>
      </c>
      <c r="I483" s="46" t="s">
        <v>4</v>
      </c>
      <c r="J483" s="48">
        <v>951.92</v>
      </c>
      <c r="K483" s="47" t="s">
        <v>520</v>
      </c>
      <c r="L483" s="47" t="s">
        <v>521</v>
      </c>
      <c r="M483" s="46" t="s">
        <v>522</v>
      </c>
      <c r="N483" s="47" t="s">
        <v>523</v>
      </c>
      <c r="O483" s="44" t="s">
        <v>4</v>
      </c>
      <c r="P483" s="47" t="s">
        <v>739</v>
      </c>
      <c r="Q483" s="48">
        <v>58400</v>
      </c>
      <c r="R483" s="49" t="s">
        <v>4</v>
      </c>
      <c r="S483" s="48" t="s">
        <v>4</v>
      </c>
      <c r="T483" s="47" t="s">
        <v>525</v>
      </c>
    </row>
    <row r="484" spans="1:20">
      <c r="A484" s="46">
        <v>137059550407</v>
      </c>
      <c r="B484" s="44" t="s">
        <v>517</v>
      </c>
      <c r="C484" s="45">
        <v>46004</v>
      </c>
      <c r="D484" s="46">
        <v>54729687892</v>
      </c>
      <c r="E484" s="46">
        <v>2147216421046</v>
      </c>
      <c r="F484" s="47" t="s">
        <v>529</v>
      </c>
      <c r="G484" s="47" t="s">
        <v>519</v>
      </c>
      <c r="H484" s="47" t="s">
        <v>4</v>
      </c>
      <c r="I484" s="46" t="s">
        <v>4</v>
      </c>
      <c r="J484" s="48">
        <v>1611.7</v>
      </c>
      <c r="K484" s="47" t="s">
        <v>520</v>
      </c>
      <c r="L484" s="47" t="s">
        <v>530</v>
      </c>
      <c r="M484" s="46" t="s">
        <v>522</v>
      </c>
      <c r="N484" s="47" t="s">
        <v>523</v>
      </c>
      <c r="O484" s="44" t="s">
        <v>263</v>
      </c>
      <c r="P484" s="47" t="s">
        <v>531</v>
      </c>
      <c r="Q484" s="48">
        <v>35500</v>
      </c>
      <c r="R484" s="49" t="s">
        <v>4</v>
      </c>
      <c r="S484" s="48" t="s">
        <v>4</v>
      </c>
      <c r="T484" s="47" t="s">
        <v>525</v>
      </c>
    </row>
    <row r="485" spans="1:20">
      <c r="A485" s="46">
        <v>137693029234</v>
      </c>
      <c r="B485" s="44" t="s">
        <v>517</v>
      </c>
      <c r="C485" s="45">
        <v>46004</v>
      </c>
      <c r="D485" s="46">
        <v>54729745158</v>
      </c>
      <c r="E485" s="46">
        <v>2147217043952</v>
      </c>
      <c r="F485" s="47" t="s">
        <v>518</v>
      </c>
      <c r="G485" s="47" t="s">
        <v>519</v>
      </c>
      <c r="H485" s="47" t="s">
        <v>4</v>
      </c>
      <c r="I485" s="46" t="s">
        <v>4</v>
      </c>
      <c r="J485" s="48">
        <v>213.4</v>
      </c>
      <c r="K485" s="47" t="s">
        <v>520</v>
      </c>
      <c r="L485" s="47" t="s">
        <v>521</v>
      </c>
      <c r="M485" s="46" t="s">
        <v>522</v>
      </c>
      <c r="N485" s="47" t="s">
        <v>523</v>
      </c>
      <c r="O485" s="44" t="s">
        <v>4</v>
      </c>
      <c r="P485" s="47" t="s">
        <v>745</v>
      </c>
      <c r="Q485" s="48">
        <v>22000</v>
      </c>
      <c r="R485" s="49" t="s">
        <v>4</v>
      </c>
      <c r="S485" s="48" t="s">
        <v>4</v>
      </c>
      <c r="T485" s="47" t="s">
        <v>525</v>
      </c>
    </row>
    <row r="486" spans="1:20">
      <c r="A486" s="46">
        <v>137060218899</v>
      </c>
      <c r="B486" s="44" t="s">
        <v>517</v>
      </c>
      <c r="C486" s="45">
        <v>46004</v>
      </c>
      <c r="D486" s="46">
        <v>54730002295</v>
      </c>
      <c r="E486" s="46">
        <v>2147075676593</v>
      </c>
      <c r="F486" s="47" t="s">
        <v>518</v>
      </c>
      <c r="G486" s="47" t="s">
        <v>519</v>
      </c>
      <c r="H486" s="47" t="s">
        <v>4</v>
      </c>
      <c r="I486" s="46" t="s">
        <v>4</v>
      </c>
      <c r="J486" s="48">
        <v>160.05000000000001</v>
      </c>
      <c r="K486" s="47" t="s">
        <v>520</v>
      </c>
      <c r="L486" s="47" t="s">
        <v>521</v>
      </c>
      <c r="M486" s="46" t="s">
        <v>522</v>
      </c>
      <c r="N486" s="47" t="s">
        <v>523</v>
      </c>
      <c r="O486" s="44" t="s">
        <v>4</v>
      </c>
      <c r="P486" s="47" t="s">
        <v>746</v>
      </c>
      <c r="Q486" s="48">
        <v>16500</v>
      </c>
      <c r="R486" s="49" t="s">
        <v>4</v>
      </c>
      <c r="S486" s="48" t="s">
        <v>4</v>
      </c>
      <c r="T486" s="47" t="s">
        <v>525</v>
      </c>
    </row>
    <row r="487" spans="1:20">
      <c r="A487" s="46">
        <v>137694142296</v>
      </c>
      <c r="B487" s="44" t="s">
        <v>517</v>
      </c>
      <c r="C487" s="45">
        <v>46004</v>
      </c>
      <c r="D487" s="46">
        <v>54730207977</v>
      </c>
      <c r="E487" s="46">
        <v>2147078051777</v>
      </c>
      <c r="F487" s="47" t="s">
        <v>518</v>
      </c>
      <c r="G487" s="47" t="s">
        <v>519</v>
      </c>
      <c r="H487" s="47" t="s">
        <v>4</v>
      </c>
      <c r="I487" s="46" t="s">
        <v>4</v>
      </c>
      <c r="J487" s="48">
        <v>796.37</v>
      </c>
      <c r="K487" s="47" t="s">
        <v>520</v>
      </c>
      <c r="L487" s="47" t="s">
        <v>521</v>
      </c>
      <c r="M487" s="46" t="s">
        <v>522</v>
      </c>
      <c r="N487" s="47" t="s">
        <v>523</v>
      </c>
      <c r="O487" s="44" t="s">
        <v>4</v>
      </c>
      <c r="P487" s="47" t="s">
        <v>747</v>
      </c>
      <c r="Q487" s="48">
        <v>82100</v>
      </c>
      <c r="R487" s="49" t="s">
        <v>4</v>
      </c>
      <c r="S487" s="48" t="s">
        <v>4</v>
      </c>
      <c r="T487" s="47" t="s">
        <v>525</v>
      </c>
    </row>
    <row r="488" spans="1:20">
      <c r="A488" s="46">
        <v>137694288196</v>
      </c>
      <c r="B488" s="44" t="s">
        <v>517</v>
      </c>
      <c r="C488" s="45">
        <v>46004</v>
      </c>
      <c r="D488" s="46">
        <v>54730284634</v>
      </c>
      <c r="E488" s="46">
        <v>2147078874027</v>
      </c>
      <c r="F488" s="47" t="s">
        <v>518</v>
      </c>
      <c r="G488" s="47" t="s">
        <v>519</v>
      </c>
      <c r="H488" s="47" t="s">
        <v>4</v>
      </c>
      <c r="I488" s="46" t="s">
        <v>4</v>
      </c>
      <c r="J488" s="48">
        <v>46.56</v>
      </c>
      <c r="K488" s="47" t="s">
        <v>520</v>
      </c>
      <c r="L488" s="47" t="s">
        <v>521</v>
      </c>
      <c r="M488" s="46" t="s">
        <v>522</v>
      </c>
      <c r="N488" s="47" t="s">
        <v>523</v>
      </c>
      <c r="O488" s="44" t="s">
        <v>4</v>
      </c>
      <c r="P488" s="47" t="s">
        <v>612</v>
      </c>
      <c r="Q488" s="48">
        <v>4800</v>
      </c>
      <c r="R488" s="49" t="s">
        <v>4</v>
      </c>
      <c r="S488" s="48" t="s">
        <v>4</v>
      </c>
      <c r="T488" s="47" t="s">
        <v>525</v>
      </c>
    </row>
    <row r="489" spans="1:20">
      <c r="A489" s="46">
        <v>137060803417</v>
      </c>
      <c r="B489" s="44" t="s">
        <v>517</v>
      </c>
      <c r="C489" s="45">
        <v>46004</v>
      </c>
      <c r="D489" s="46">
        <v>54730304215</v>
      </c>
      <c r="E489" s="46">
        <v>2147224765892</v>
      </c>
      <c r="F489" s="47" t="s">
        <v>518</v>
      </c>
      <c r="G489" s="47" t="s">
        <v>519</v>
      </c>
      <c r="H489" s="47" t="s">
        <v>4</v>
      </c>
      <c r="I489" s="46" t="s">
        <v>4</v>
      </c>
      <c r="J489" s="48">
        <v>1599.53</v>
      </c>
      <c r="K489" s="47" t="s">
        <v>520</v>
      </c>
      <c r="L489" s="47" t="s">
        <v>521</v>
      </c>
      <c r="M489" s="46" t="s">
        <v>522</v>
      </c>
      <c r="N489" s="47" t="s">
        <v>523</v>
      </c>
      <c r="O489" s="44" t="s">
        <v>4</v>
      </c>
      <c r="P489" s="47" t="s">
        <v>748</v>
      </c>
      <c r="Q489" s="48">
        <v>164900</v>
      </c>
      <c r="R489" s="49" t="s">
        <v>4</v>
      </c>
      <c r="S489" s="48" t="s">
        <v>4</v>
      </c>
      <c r="T489" s="47" t="s">
        <v>525</v>
      </c>
    </row>
    <row r="490" spans="1:20">
      <c r="A490" s="46">
        <v>137061031397</v>
      </c>
      <c r="B490" s="44" t="s">
        <v>517</v>
      </c>
      <c r="C490" s="45">
        <v>46004</v>
      </c>
      <c r="D490" s="46">
        <v>54730403814</v>
      </c>
      <c r="E490" s="46">
        <v>2147225923434</v>
      </c>
      <c r="F490" s="47" t="s">
        <v>526</v>
      </c>
      <c r="G490" s="47" t="s">
        <v>519</v>
      </c>
      <c r="H490" s="47" t="s">
        <v>4</v>
      </c>
      <c r="I490" s="46" t="s">
        <v>4</v>
      </c>
      <c r="J490" s="48">
        <v>444.26</v>
      </c>
      <c r="K490" s="47" t="s">
        <v>520</v>
      </c>
      <c r="L490" s="47" t="s">
        <v>521</v>
      </c>
      <c r="M490" s="46" t="s">
        <v>522</v>
      </c>
      <c r="N490" s="47" t="s">
        <v>523</v>
      </c>
      <c r="O490" s="44" t="s">
        <v>4</v>
      </c>
      <c r="P490" s="47" t="s">
        <v>527</v>
      </c>
      <c r="Q490" s="48">
        <v>45800</v>
      </c>
      <c r="R490" s="49" t="s">
        <v>4</v>
      </c>
      <c r="S490" s="48" t="s">
        <v>4</v>
      </c>
      <c r="T490" s="47" t="s">
        <v>4</v>
      </c>
    </row>
    <row r="491" spans="1:20">
      <c r="A491" s="46">
        <v>137694509248</v>
      </c>
      <c r="B491" s="44" t="s">
        <v>517</v>
      </c>
      <c r="C491" s="45">
        <v>46004</v>
      </c>
      <c r="D491" s="46">
        <v>54730447648</v>
      </c>
      <c r="E491" s="46">
        <v>2147081225531</v>
      </c>
      <c r="F491" s="47" t="s">
        <v>518</v>
      </c>
      <c r="G491" s="47" t="s">
        <v>519</v>
      </c>
      <c r="H491" s="47" t="s">
        <v>4</v>
      </c>
      <c r="I491" s="46" t="s">
        <v>4</v>
      </c>
      <c r="J491" s="48">
        <v>498.58</v>
      </c>
      <c r="K491" s="47" t="s">
        <v>520</v>
      </c>
      <c r="L491" s="47" t="s">
        <v>521</v>
      </c>
      <c r="M491" s="46" t="s">
        <v>522</v>
      </c>
      <c r="N491" s="47" t="s">
        <v>523</v>
      </c>
      <c r="O491" s="44" t="s">
        <v>4</v>
      </c>
      <c r="P491" s="47" t="s">
        <v>630</v>
      </c>
      <c r="Q491" s="48">
        <v>51400</v>
      </c>
      <c r="R491" s="49" t="s">
        <v>4</v>
      </c>
      <c r="S491" s="48" t="s">
        <v>4</v>
      </c>
      <c r="T491" s="47" t="s">
        <v>525</v>
      </c>
    </row>
    <row r="492" spans="1:20">
      <c r="A492" s="46">
        <v>137694716170</v>
      </c>
      <c r="B492" s="44" t="s">
        <v>517</v>
      </c>
      <c r="C492" s="45">
        <v>46004</v>
      </c>
      <c r="D492" s="46">
        <v>54730484538</v>
      </c>
      <c r="E492" s="46">
        <v>2147081395389</v>
      </c>
      <c r="F492" s="47" t="s">
        <v>518</v>
      </c>
      <c r="G492" s="47" t="s">
        <v>519</v>
      </c>
      <c r="H492" s="47" t="s">
        <v>4</v>
      </c>
      <c r="I492" s="46" t="s">
        <v>4</v>
      </c>
      <c r="J492" s="48">
        <v>142.59</v>
      </c>
      <c r="K492" s="47" t="s">
        <v>520</v>
      </c>
      <c r="L492" s="47" t="s">
        <v>521</v>
      </c>
      <c r="M492" s="46" t="s">
        <v>522</v>
      </c>
      <c r="N492" s="47" t="s">
        <v>523</v>
      </c>
      <c r="O492" s="44" t="s">
        <v>4</v>
      </c>
      <c r="P492" s="47" t="s">
        <v>749</v>
      </c>
      <c r="Q492" s="48">
        <v>14700</v>
      </c>
      <c r="R492" s="49" t="s">
        <v>4</v>
      </c>
      <c r="S492" s="48" t="s">
        <v>4</v>
      </c>
      <c r="T492" s="47" t="s">
        <v>525</v>
      </c>
    </row>
    <row r="493" spans="1:20">
      <c r="A493" s="46">
        <v>137061792333</v>
      </c>
      <c r="B493" s="44" t="s">
        <v>517</v>
      </c>
      <c r="C493" s="45">
        <v>46004</v>
      </c>
      <c r="D493" s="46">
        <v>54730715389</v>
      </c>
      <c r="E493" s="46">
        <v>2147230012564</v>
      </c>
      <c r="F493" s="47" t="s">
        <v>526</v>
      </c>
      <c r="G493" s="47" t="s">
        <v>519</v>
      </c>
      <c r="H493" s="47" t="s">
        <v>4</v>
      </c>
      <c r="I493" s="46" t="s">
        <v>4</v>
      </c>
      <c r="J493" s="48">
        <v>580.05999999999995</v>
      </c>
      <c r="K493" s="47" t="s">
        <v>520</v>
      </c>
      <c r="L493" s="47" t="s">
        <v>521</v>
      </c>
      <c r="M493" s="46" t="s">
        <v>522</v>
      </c>
      <c r="N493" s="47" t="s">
        <v>523</v>
      </c>
      <c r="O493" s="44" t="s">
        <v>4</v>
      </c>
      <c r="P493" s="47" t="s">
        <v>527</v>
      </c>
      <c r="Q493" s="48">
        <v>59800</v>
      </c>
      <c r="R493" s="49" t="s">
        <v>4</v>
      </c>
      <c r="S493" s="48" t="s">
        <v>4</v>
      </c>
      <c r="T493" s="47" t="s">
        <v>4</v>
      </c>
    </row>
    <row r="494" spans="1:20">
      <c r="A494" s="46">
        <v>137062018711</v>
      </c>
      <c r="B494" s="44" t="s">
        <v>517</v>
      </c>
      <c r="C494" s="45">
        <v>46004</v>
      </c>
      <c r="D494" s="46">
        <v>54730827320</v>
      </c>
      <c r="E494" s="46">
        <v>2147231522186</v>
      </c>
      <c r="F494" s="47" t="s">
        <v>518</v>
      </c>
      <c r="G494" s="47" t="s">
        <v>519</v>
      </c>
      <c r="H494" s="47" t="s">
        <v>4</v>
      </c>
      <c r="I494" s="46" t="s">
        <v>4</v>
      </c>
      <c r="J494" s="48">
        <v>837.1</v>
      </c>
      <c r="K494" s="47" t="s">
        <v>520</v>
      </c>
      <c r="L494" s="47" t="s">
        <v>521</v>
      </c>
      <c r="M494" s="46" t="s">
        <v>522</v>
      </c>
      <c r="N494" s="47" t="s">
        <v>523</v>
      </c>
      <c r="O494" s="44" t="s">
        <v>4</v>
      </c>
      <c r="P494" s="47" t="s">
        <v>750</v>
      </c>
      <c r="Q494" s="48">
        <v>11000</v>
      </c>
      <c r="R494" s="49" t="s">
        <v>4</v>
      </c>
      <c r="S494" s="48" t="s">
        <v>4</v>
      </c>
      <c r="T494" s="47" t="s">
        <v>525</v>
      </c>
    </row>
    <row r="495" spans="1:20">
      <c r="A495" s="46">
        <v>137695460966</v>
      </c>
      <c r="B495" s="44" t="s">
        <v>517</v>
      </c>
      <c r="C495" s="45">
        <v>46004</v>
      </c>
      <c r="D495" s="46">
        <v>54730855372</v>
      </c>
      <c r="E495" s="46">
        <v>2147231841778</v>
      </c>
      <c r="F495" s="47" t="s">
        <v>562</v>
      </c>
      <c r="G495" s="47" t="s">
        <v>519</v>
      </c>
      <c r="H495" s="47" t="s">
        <v>4</v>
      </c>
      <c r="I495" s="46" t="s">
        <v>4</v>
      </c>
      <c r="J495" s="48">
        <v>158.11000000000001</v>
      </c>
      <c r="K495" s="47" t="s">
        <v>520</v>
      </c>
      <c r="L495" s="47" t="s">
        <v>521</v>
      </c>
      <c r="M495" s="46" t="s">
        <v>522</v>
      </c>
      <c r="N495" s="47" t="s">
        <v>523</v>
      </c>
      <c r="O495" s="44" t="s">
        <v>4</v>
      </c>
      <c r="P495" s="47" t="s">
        <v>739</v>
      </c>
      <c r="Q495" s="48">
        <v>9700</v>
      </c>
      <c r="R495" s="49" t="s">
        <v>4</v>
      </c>
      <c r="S495" s="48" t="s">
        <v>4</v>
      </c>
      <c r="T495" s="47" t="s">
        <v>525</v>
      </c>
    </row>
    <row r="496" spans="1:20">
      <c r="A496" s="46">
        <v>137695742258</v>
      </c>
      <c r="B496" s="44" t="s">
        <v>517</v>
      </c>
      <c r="C496" s="45">
        <v>46004</v>
      </c>
      <c r="D496" s="46">
        <v>54730932227</v>
      </c>
      <c r="E496" s="46">
        <v>2147233155146</v>
      </c>
      <c r="F496" s="47" t="s">
        <v>518</v>
      </c>
      <c r="G496" s="47" t="s">
        <v>519</v>
      </c>
      <c r="H496" s="47" t="s">
        <v>4</v>
      </c>
      <c r="I496" s="46" t="s">
        <v>4</v>
      </c>
      <c r="J496" s="48">
        <v>46.56</v>
      </c>
      <c r="K496" s="47" t="s">
        <v>520</v>
      </c>
      <c r="L496" s="47" t="s">
        <v>521</v>
      </c>
      <c r="M496" s="46" t="s">
        <v>522</v>
      </c>
      <c r="N496" s="47" t="s">
        <v>523</v>
      </c>
      <c r="O496" s="44" t="s">
        <v>4</v>
      </c>
      <c r="P496" s="47" t="s">
        <v>751</v>
      </c>
      <c r="Q496" s="48">
        <v>4800</v>
      </c>
      <c r="R496" s="49" t="s">
        <v>4</v>
      </c>
      <c r="S496" s="48" t="s">
        <v>4</v>
      </c>
      <c r="T496" s="47" t="s">
        <v>525</v>
      </c>
    </row>
    <row r="497" spans="1:20">
      <c r="A497" s="46">
        <v>137695785864</v>
      </c>
      <c r="B497" s="44" t="s">
        <v>517</v>
      </c>
      <c r="C497" s="45">
        <v>46004</v>
      </c>
      <c r="D497" s="46">
        <v>54731027948</v>
      </c>
      <c r="E497" s="46">
        <v>2147089071517</v>
      </c>
      <c r="F497" s="47" t="s">
        <v>526</v>
      </c>
      <c r="G497" s="47" t="s">
        <v>519</v>
      </c>
      <c r="H497" s="47" t="s">
        <v>4</v>
      </c>
      <c r="I497" s="46" t="s">
        <v>4</v>
      </c>
      <c r="J497" s="48">
        <v>40.74</v>
      </c>
      <c r="K497" s="47" t="s">
        <v>520</v>
      </c>
      <c r="L497" s="47" t="s">
        <v>521</v>
      </c>
      <c r="M497" s="46" t="s">
        <v>522</v>
      </c>
      <c r="N497" s="47" t="s">
        <v>523</v>
      </c>
      <c r="O497" s="44" t="s">
        <v>4</v>
      </c>
      <c r="P497" s="47" t="s">
        <v>527</v>
      </c>
      <c r="Q497" s="48">
        <v>4200</v>
      </c>
      <c r="R497" s="49" t="s">
        <v>4</v>
      </c>
      <c r="S497" s="48" t="s">
        <v>4</v>
      </c>
      <c r="T497" s="47" t="s">
        <v>4</v>
      </c>
    </row>
    <row r="498" spans="1:20">
      <c r="A498" s="46">
        <v>137696623912</v>
      </c>
      <c r="B498" s="44" t="s">
        <v>517</v>
      </c>
      <c r="C498" s="45">
        <v>46004</v>
      </c>
      <c r="D498" s="46">
        <v>54731510990</v>
      </c>
      <c r="E498" s="46">
        <v>2147239554994</v>
      </c>
      <c r="F498" s="47" t="s">
        <v>562</v>
      </c>
      <c r="G498" s="47" t="s">
        <v>519</v>
      </c>
      <c r="H498" s="47" t="s">
        <v>4</v>
      </c>
      <c r="I498" s="46" t="s">
        <v>4</v>
      </c>
      <c r="J498" s="48">
        <v>158.11000000000001</v>
      </c>
      <c r="K498" s="47" t="s">
        <v>520</v>
      </c>
      <c r="L498" s="47" t="s">
        <v>521</v>
      </c>
      <c r="M498" s="46" t="s">
        <v>522</v>
      </c>
      <c r="N498" s="47" t="s">
        <v>523</v>
      </c>
      <c r="O498" s="44" t="s">
        <v>4</v>
      </c>
      <c r="P498" s="47" t="s">
        <v>739</v>
      </c>
      <c r="Q498" s="48">
        <v>9700</v>
      </c>
      <c r="R498" s="49" t="s">
        <v>4</v>
      </c>
      <c r="S498" s="48" t="s">
        <v>4</v>
      </c>
      <c r="T498" s="47" t="s">
        <v>525</v>
      </c>
    </row>
    <row r="499" spans="1:20">
      <c r="A499" s="46">
        <v>137697056830</v>
      </c>
      <c r="B499" s="44" t="s">
        <v>517</v>
      </c>
      <c r="C499" s="45">
        <v>46004</v>
      </c>
      <c r="D499" s="46">
        <v>54731689943</v>
      </c>
      <c r="E499" s="46">
        <v>2147241868062</v>
      </c>
      <c r="F499" s="47" t="s">
        <v>526</v>
      </c>
      <c r="G499" s="47" t="s">
        <v>519</v>
      </c>
      <c r="H499" s="47" t="s">
        <v>4</v>
      </c>
      <c r="I499" s="46" t="s">
        <v>4</v>
      </c>
      <c r="J499" s="48">
        <v>94.09</v>
      </c>
      <c r="K499" s="47" t="s">
        <v>520</v>
      </c>
      <c r="L499" s="47" t="s">
        <v>521</v>
      </c>
      <c r="M499" s="46" t="s">
        <v>522</v>
      </c>
      <c r="N499" s="47" t="s">
        <v>523</v>
      </c>
      <c r="O499" s="44" t="s">
        <v>4</v>
      </c>
      <c r="P499" s="47" t="s">
        <v>527</v>
      </c>
      <c r="Q499" s="48">
        <v>9700</v>
      </c>
      <c r="R499" s="49" t="s">
        <v>4</v>
      </c>
      <c r="S499" s="48" t="s">
        <v>4</v>
      </c>
      <c r="T499" s="47" t="s">
        <v>4</v>
      </c>
    </row>
    <row r="500" spans="1:20">
      <c r="A500" s="46">
        <v>137063694987</v>
      </c>
      <c r="B500" s="44" t="s">
        <v>517</v>
      </c>
      <c r="C500" s="45">
        <v>46004</v>
      </c>
      <c r="D500" s="46">
        <v>54731719034</v>
      </c>
      <c r="E500" s="46">
        <v>2147097076317</v>
      </c>
      <c r="F500" s="47" t="s">
        <v>526</v>
      </c>
      <c r="G500" s="47" t="s">
        <v>519</v>
      </c>
      <c r="H500" s="47" t="s">
        <v>4</v>
      </c>
      <c r="I500" s="46" t="s">
        <v>4</v>
      </c>
      <c r="J500" s="48">
        <v>306.52</v>
      </c>
      <c r="K500" s="47" t="s">
        <v>520</v>
      </c>
      <c r="L500" s="47" t="s">
        <v>521</v>
      </c>
      <c r="M500" s="46" t="s">
        <v>522</v>
      </c>
      <c r="N500" s="47" t="s">
        <v>523</v>
      </c>
      <c r="O500" s="44" t="s">
        <v>4</v>
      </c>
      <c r="P500" s="47" t="s">
        <v>527</v>
      </c>
      <c r="Q500" s="48">
        <v>31600</v>
      </c>
      <c r="R500" s="49" t="s">
        <v>4</v>
      </c>
      <c r="S500" s="48" t="s">
        <v>4</v>
      </c>
      <c r="T500" s="47" t="s">
        <v>4</v>
      </c>
    </row>
    <row r="501" spans="1:20">
      <c r="A501" s="46">
        <v>137697186668</v>
      </c>
      <c r="B501" s="44" t="s">
        <v>517</v>
      </c>
      <c r="C501" s="45">
        <v>46004</v>
      </c>
      <c r="D501" s="46">
        <v>54731731747</v>
      </c>
      <c r="E501" s="46">
        <v>2147242406222</v>
      </c>
      <c r="F501" s="47" t="s">
        <v>518</v>
      </c>
      <c r="G501" s="47" t="s">
        <v>519</v>
      </c>
      <c r="H501" s="47" t="s">
        <v>4</v>
      </c>
      <c r="I501" s="46" t="s">
        <v>4</v>
      </c>
      <c r="J501" s="48">
        <v>77.599999999999994</v>
      </c>
      <c r="K501" s="47" t="s">
        <v>520</v>
      </c>
      <c r="L501" s="47" t="s">
        <v>521</v>
      </c>
      <c r="M501" s="46" t="s">
        <v>522</v>
      </c>
      <c r="N501" s="47" t="s">
        <v>523</v>
      </c>
      <c r="O501" s="44" t="s">
        <v>4</v>
      </c>
      <c r="P501" s="47" t="s">
        <v>752</v>
      </c>
      <c r="Q501" s="48">
        <v>8000</v>
      </c>
      <c r="R501" s="49" t="s">
        <v>4</v>
      </c>
      <c r="S501" s="48" t="s">
        <v>4</v>
      </c>
      <c r="T501" s="47" t="s">
        <v>525</v>
      </c>
    </row>
    <row r="502" spans="1:20">
      <c r="A502" s="46">
        <v>137063936513</v>
      </c>
      <c r="B502" s="44" t="s">
        <v>517</v>
      </c>
      <c r="C502" s="45">
        <v>46004</v>
      </c>
      <c r="D502" s="46">
        <v>54731840221</v>
      </c>
      <c r="E502" s="46">
        <v>2147098530031</v>
      </c>
      <c r="F502" s="47" t="s">
        <v>518</v>
      </c>
      <c r="G502" s="47" t="s">
        <v>519</v>
      </c>
      <c r="H502" s="47" t="s">
        <v>4</v>
      </c>
      <c r="I502" s="46" t="s">
        <v>4</v>
      </c>
      <c r="J502" s="48">
        <v>128.77000000000001</v>
      </c>
      <c r="K502" s="47" t="s">
        <v>520</v>
      </c>
      <c r="L502" s="47" t="s">
        <v>521</v>
      </c>
      <c r="M502" s="46" t="s">
        <v>522</v>
      </c>
      <c r="N502" s="47" t="s">
        <v>523</v>
      </c>
      <c r="O502" s="44" t="s">
        <v>4</v>
      </c>
      <c r="P502" s="47" t="s">
        <v>753</v>
      </c>
      <c r="Q502" s="48">
        <v>7900</v>
      </c>
      <c r="R502" s="49" t="s">
        <v>4</v>
      </c>
      <c r="S502" s="48" t="s">
        <v>4</v>
      </c>
      <c r="T502" s="47" t="s">
        <v>525</v>
      </c>
    </row>
    <row r="503" spans="1:20">
      <c r="A503" s="46">
        <v>137063983389</v>
      </c>
      <c r="B503" s="44" t="s">
        <v>517</v>
      </c>
      <c r="C503" s="45">
        <v>46004</v>
      </c>
      <c r="D503" s="46">
        <v>54731908543</v>
      </c>
      <c r="E503" s="46">
        <v>2147244588078</v>
      </c>
      <c r="F503" s="47" t="s">
        <v>518</v>
      </c>
      <c r="G503" s="47" t="s">
        <v>519</v>
      </c>
      <c r="H503" s="47" t="s">
        <v>4</v>
      </c>
      <c r="I503" s="46" t="s">
        <v>4</v>
      </c>
      <c r="J503" s="48">
        <v>223.1</v>
      </c>
      <c r="K503" s="47" t="s">
        <v>520</v>
      </c>
      <c r="L503" s="47" t="s">
        <v>521</v>
      </c>
      <c r="M503" s="46" t="s">
        <v>522</v>
      </c>
      <c r="N503" s="47" t="s">
        <v>523</v>
      </c>
      <c r="O503" s="44" t="s">
        <v>4</v>
      </c>
      <c r="P503" s="47" t="s">
        <v>754</v>
      </c>
      <c r="Q503" s="48">
        <v>23000</v>
      </c>
      <c r="R503" s="49" t="s">
        <v>4</v>
      </c>
      <c r="S503" s="48" t="s">
        <v>4</v>
      </c>
      <c r="T503" s="47" t="s">
        <v>525</v>
      </c>
    </row>
    <row r="504" spans="1:20">
      <c r="A504" s="46">
        <v>137697604934</v>
      </c>
      <c r="B504" s="44" t="s">
        <v>517</v>
      </c>
      <c r="C504" s="45">
        <v>46004</v>
      </c>
      <c r="D504" s="46">
        <v>54732016414</v>
      </c>
      <c r="E504" s="46">
        <v>2147100193819</v>
      </c>
      <c r="F504" s="47" t="s">
        <v>562</v>
      </c>
      <c r="G504" s="47" t="s">
        <v>519</v>
      </c>
      <c r="H504" s="47" t="s">
        <v>4</v>
      </c>
      <c r="I504" s="46" t="s">
        <v>4</v>
      </c>
      <c r="J504" s="48">
        <v>159.74</v>
      </c>
      <c r="K504" s="47" t="s">
        <v>520</v>
      </c>
      <c r="L504" s="47" t="s">
        <v>521</v>
      </c>
      <c r="M504" s="46" t="s">
        <v>522</v>
      </c>
      <c r="N504" s="47" t="s">
        <v>523</v>
      </c>
      <c r="O504" s="44" t="s">
        <v>4</v>
      </c>
      <c r="P504" s="47" t="s">
        <v>739</v>
      </c>
      <c r="Q504" s="48">
        <v>9800</v>
      </c>
      <c r="R504" s="49" t="s">
        <v>4</v>
      </c>
      <c r="S504" s="48" t="s">
        <v>4</v>
      </c>
      <c r="T504" s="47" t="s">
        <v>525</v>
      </c>
    </row>
    <row r="505" spans="1:20">
      <c r="A505" s="46">
        <v>137064486565</v>
      </c>
      <c r="B505" s="44" t="s">
        <v>517</v>
      </c>
      <c r="C505" s="45">
        <v>46004</v>
      </c>
      <c r="D505" s="46">
        <v>54732207679</v>
      </c>
      <c r="E505" s="46">
        <v>2147247130998</v>
      </c>
      <c r="F505" s="47" t="s">
        <v>518</v>
      </c>
      <c r="G505" s="47" t="s">
        <v>519</v>
      </c>
      <c r="H505" s="47" t="s">
        <v>4</v>
      </c>
      <c r="I505" s="46" t="s">
        <v>4</v>
      </c>
      <c r="J505" s="48">
        <v>761</v>
      </c>
      <c r="K505" s="47" t="s">
        <v>520</v>
      </c>
      <c r="L505" s="47" t="s">
        <v>521</v>
      </c>
      <c r="M505" s="46" t="s">
        <v>660</v>
      </c>
      <c r="N505" s="47" t="s">
        <v>661</v>
      </c>
      <c r="O505" s="44" t="s">
        <v>4</v>
      </c>
      <c r="P505" s="47" t="s">
        <v>726</v>
      </c>
      <c r="Q505" s="48">
        <v>10000</v>
      </c>
      <c r="R505" s="49" t="s">
        <v>4</v>
      </c>
      <c r="S505" s="48" t="s">
        <v>4</v>
      </c>
      <c r="T505" s="47" t="s">
        <v>525</v>
      </c>
    </row>
    <row r="506" spans="1:20">
      <c r="A506" s="46">
        <v>137064461761</v>
      </c>
      <c r="B506" s="44" t="s">
        <v>517</v>
      </c>
      <c r="C506" s="45">
        <v>46004</v>
      </c>
      <c r="D506" s="46">
        <v>54732248976</v>
      </c>
      <c r="E506" s="46">
        <v>2147102535989</v>
      </c>
      <c r="F506" s="47" t="s">
        <v>529</v>
      </c>
      <c r="G506" s="47" t="s">
        <v>519</v>
      </c>
      <c r="H506" s="47" t="s">
        <v>4</v>
      </c>
      <c r="I506" s="46" t="s">
        <v>4</v>
      </c>
      <c r="J506" s="48">
        <v>885.3</v>
      </c>
      <c r="K506" s="47" t="s">
        <v>520</v>
      </c>
      <c r="L506" s="47" t="s">
        <v>530</v>
      </c>
      <c r="M506" s="46" t="s">
        <v>522</v>
      </c>
      <c r="N506" s="47" t="s">
        <v>523</v>
      </c>
      <c r="O506" s="44" t="s">
        <v>263</v>
      </c>
      <c r="P506" s="47" t="s">
        <v>531</v>
      </c>
      <c r="Q506" s="48">
        <v>19500</v>
      </c>
      <c r="R506" s="49" t="s">
        <v>4</v>
      </c>
      <c r="S506" s="48" t="s">
        <v>4</v>
      </c>
      <c r="T506" s="47" t="s">
        <v>525</v>
      </c>
    </row>
    <row r="507" spans="1:20">
      <c r="A507" s="46">
        <v>137697994520</v>
      </c>
      <c r="B507" s="44" t="s">
        <v>517</v>
      </c>
      <c r="C507" s="45">
        <v>46004</v>
      </c>
      <c r="D507" s="46">
        <v>54732286600</v>
      </c>
      <c r="E507" s="46">
        <v>2147247883272</v>
      </c>
      <c r="F507" s="47" t="s">
        <v>518</v>
      </c>
      <c r="G507" s="47" t="s">
        <v>519</v>
      </c>
      <c r="H507" s="47" t="s">
        <v>4</v>
      </c>
      <c r="I507" s="46" t="s">
        <v>4</v>
      </c>
      <c r="J507" s="48">
        <v>206.61</v>
      </c>
      <c r="K507" s="47" t="s">
        <v>520</v>
      </c>
      <c r="L507" s="47" t="s">
        <v>521</v>
      </c>
      <c r="M507" s="46" t="s">
        <v>522</v>
      </c>
      <c r="N507" s="47" t="s">
        <v>523</v>
      </c>
      <c r="O507" s="44" t="s">
        <v>4</v>
      </c>
      <c r="P507" s="47" t="s">
        <v>755</v>
      </c>
      <c r="Q507" s="48">
        <v>21300</v>
      </c>
      <c r="R507" s="49" t="s">
        <v>4</v>
      </c>
      <c r="S507" s="48" t="s">
        <v>4</v>
      </c>
      <c r="T507" s="47" t="s">
        <v>525</v>
      </c>
    </row>
    <row r="508" spans="1:20">
      <c r="A508" s="46">
        <v>137698157966</v>
      </c>
      <c r="B508" s="44" t="s">
        <v>517</v>
      </c>
      <c r="C508" s="45">
        <v>46004</v>
      </c>
      <c r="D508" s="46">
        <v>54732492143</v>
      </c>
      <c r="E508" s="46">
        <v>2147104429451</v>
      </c>
      <c r="F508" s="47" t="s">
        <v>518</v>
      </c>
      <c r="G508" s="47" t="s">
        <v>519</v>
      </c>
      <c r="H508" s="47" t="s">
        <v>4</v>
      </c>
      <c r="I508" s="46" t="s">
        <v>4</v>
      </c>
      <c r="J508" s="48">
        <v>116.4</v>
      </c>
      <c r="K508" s="47" t="s">
        <v>520</v>
      </c>
      <c r="L508" s="47" t="s">
        <v>521</v>
      </c>
      <c r="M508" s="46" t="s">
        <v>660</v>
      </c>
      <c r="N508" s="47" t="s">
        <v>661</v>
      </c>
      <c r="O508" s="44" t="s">
        <v>4</v>
      </c>
      <c r="P508" s="47" t="s">
        <v>756</v>
      </c>
      <c r="Q508" s="48">
        <v>12000</v>
      </c>
      <c r="R508" s="49" t="s">
        <v>4</v>
      </c>
      <c r="S508" s="48" t="s">
        <v>4</v>
      </c>
      <c r="T508" s="47" t="s">
        <v>525</v>
      </c>
    </row>
    <row r="509" spans="1:20">
      <c r="A509" s="46">
        <v>137796402012</v>
      </c>
      <c r="B509" s="44" t="s">
        <v>517</v>
      </c>
      <c r="C509" s="45">
        <v>46004</v>
      </c>
      <c r="D509" s="46">
        <v>54773182778</v>
      </c>
      <c r="E509" s="46">
        <v>2147718859011</v>
      </c>
      <c r="F509" s="47" t="s">
        <v>518</v>
      </c>
      <c r="G509" s="47" t="s">
        <v>519</v>
      </c>
      <c r="H509" s="47" t="s">
        <v>4</v>
      </c>
      <c r="I509" s="46" t="s">
        <v>4</v>
      </c>
      <c r="J509" s="48">
        <v>95.06</v>
      </c>
      <c r="K509" s="47" t="s">
        <v>520</v>
      </c>
      <c r="L509" s="47" t="s">
        <v>521</v>
      </c>
      <c r="M509" s="46" t="s">
        <v>522</v>
      </c>
      <c r="N509" s="47" t="s">
        <v>523</v>
      </c>
      <c r="O509" s="44" t="s">
        <v>4</v>
      </c>
      <c r="P509" s="47" t="s">
        <v>757</v>
      </c>
      <c r="Q509" s="48">
        <v>9800</v>
      </c>
      <c r="R509" s="49" t="s">
        <v>4</v>
      </c>
      <c r="S509" s="48" t="s">
        <v>4</v>
      </c>
      <c r="T509" s="47" t="s">
        <v>525</v>
      </c>
    </row>
    <row r="510" spans="1:20">
      <c r="A510" s="46">
        <v>137171793459</v>
      </c>
      <c r="B510" s="44" t="s">
        <v>517</v>
      </c>
      <c r="C510" s="45">
        <v>46004</v>
      </c>
      <c r="D510" s="46">
        <v>54776684667</v>
      </c>
      <c r="E510" s="46">
        <v>2147923338376</v>
      </c>
      <c r="F510" s="47" t="s">
        <v>529</v>
      </c>
      <c r="G510" s="47" t="s">
        <v>519</v>
      </c>
      <c r="H510" s="47" t="s">
        <v>4</v>
      </c>
      <c r="I510" s="46" t="s">
        <v>4</v>
      </c>
      <c r="J510" s="48">
        <v>377.28</v>
      </c>
      <c r="K510" s="47" t="s">
        <v>520</v>
      </c>
      <c r="L510" s="47" t="s">
        <v>530</v>
      </c>
      <c r="M510" s="46" t="s">
        <v>522</v>
      </c>
      <c r="N510" s="47" t="s">
        <v>523</v>
      </c>
      <c r="O510" s="44" t="s">
        <v>263</v>
      </c>
      <c r="P510" s="47" t="s">
        <v>531</v>
      </c>
      <c r="Q510" s="48">
        <v>9600</v>
      </c>
      <c r="R510" s="49" t="s">
        <v>4</v>
      </c>
      <c r="S510" s="48" t="s">
        <v>4</v>
      </c>
      <c r="T510" s="47" t="s">
        <v>525</v>
      </c>
    </row>
    <row r="511" spans="1:20">
      <c r="A511" s="46">
        <v>137171897863</v>
      </c>
      <c r="B511" s="44" t="s">
        <v>517</v>
      </c>
      <c r="C511" s="45">
        <v>46004</v>
      </c>
      <c r="D511" s="46">
        <v>54776702825</v>
      </c>
      <c r="E511" s="46">
        <v>2147924106146</v>
      </c>
      <c r="F511" s="47" t="s">
        <v>529</v>
      </c>
      <c r="G511" s="47" t="s">
        <v>519</v>
      </c>
      <c r="H511" s="47" t="s">
        <v>4</v>
      </c>
      <c r="I511" s="46" t="s">
        <v>4</v>
      </c>
      <c r="J511" s="48">
        <v>377.28</v>
      </c>
      <c r="K511" s="47" t="s">
        <v>520</v>
      </c>
      <c r="L511" s="47" t="s">
        <v>530</v>
      </c>
      <c r="M511" s="46" t="s">
        <v>522</v>
      </c>
      <c r="N511" s="47" t="s">
        <v>523</v>
      </c>
      <c r="O511" s="44" t="s">
        <v>263</v>
      </c>
      <c r="P511" s="47" t="s">
        <v>531</v>
      </c>
      <c r="Q511" s="48">
        <v>9600</v>
      </c>
      <c r="R511" s="49" t="s">
        <v>4</v>
      </c>
      <c r="S511" s="48" t="s">
        <v>4</v>
      </c>
      <c r="T511" s="47" t="s">
        <v>525</v>
      </c>
    </row>
    <row r="512" spans="1:20">
      <c r="A512" s="46">
        <v>137177682381</v>
      </c>
      <c r="B512" s="44" t="s">
        <v>517</v>
      </c>
      <c r="C512" s="45">
        <v>46004</v>
      </c>
      <c r="D512" s="46">
        <v>54778829454</v>
      </c>
      <c r="E512" s="46">
        <v>2147959609506</v>
      </c>
      <c r="F512" s="47" t="s">
        <v>518</v>
      </c>
      <c r="G512" s="47" t="s">
        <v>519</v>
      </c>
      <c r="H512" s="47" t="s">
        <v>4</v>
      </c>
      <c r="I512" s="46" t="s">
        <v>4</v>
      </c>
      <c r="J512" s="48">
        <v>325.92</v>
      </c>
      <c r="K512" s="47" t="s">
        <v>520</v>
      </c>
      <c r="L512" s="47" t="s">
        <v>521</v>
      </c>
      <c r="M512" s="46" t="s">
        <v>522</v>
      </c>
      <c r="N512" s="47" t="s">
        <v>523</v>
      </c>
      <c r="O512" s="44" t="s">
        <v>4</v>
      </c>
      <c r="P512" s="47" t="s">
        <v>758</v>
      </c>
      <c r="Q512" s="48">
        <v>33600</v>
      </c>
      <c r="R512" s="49" t="s">
        <v>4</v>
      </c>
      <c r="S512" s="48" t="s">
        <v>4</v>
      </c>
      <c r="T512" s="47" t="s">
        <v>525</v>
      </c>
    </row>
    <row r="513" spans="1:20">
      <c r="A513" s="46">
        <v>137812067506</v>
      </c>
      <c r="B513" s="44" t="s">
        <v>517</v>
      </c>
      <c r="C513" s="45">
        <v>46004</v>
      </c>
      <c r="D513" s="46">
        <v>54779011998</v>
      </c>
      <c r="E513" s="46">
        <v>2147962959144</v>
      </c>
      <c r="F513" s="47" t="s">
        <v>529</v>
      </c>
      <c r="G513" s="47" t="s">
        <v>519</v>
      </c>
      <c r="H513" s="47" t="s">
        <v>4</v>
      </c>
      <c r="I513" s="46" t="s">
        <v>4</v>
      </c>
      <c r="J513" s="48">
        <v>3264.69</v>
      </c>
      <c r="K513" s="47" t="s">
        <v>520</v>
      </c>
      <c r="L513" s="47" t="s">
        <v>530</v>
      </c>
      <c r="M513" s="46" t="s">
        <v>660</v>
      </c>
      <c r="N513" s="47" t="s">
        <v>661</v>
      </c>
      <c r="O513" s="44" t="s">
        <v>263</v>
      </c>
      <c r="P513" s="47" t="s">
        <v>531</v>
      </c>
      <c r="Q513" s="48">
        <v>42900</v>
      </c>
      <c r="R513" s="49" t="s">
        <v>4</v>
      </c>
      <c r="S513" s="48" t="s">
        <v>4</v>
      </c>
      <c r="T513" s="47" t="s">
        <v>525</v>
      </c>
    </row>
    <row r="514" spans="1:20">
      <c r="A514" s="46">
        <v>137178342215</v>
      </c>
      <c r="B514" s="44" t="s">
        <v>517</v>
      </c>
      <c r="C514" s="45">
        <v>46004</v>
      </c>
      <c r="D514" s="46">
        <v>54779062957</v>
      </c>
      <c r="E514" s="46">
        <v>2147817940971</v>
      </c>
      <c r="F514" s="47" t="s">
        <v>526</v>
      </c>
      <c r="G514" s="47" t="s">
        <v>519</v>
      </c>
      <c r="H514" s="47" t="s">
        <v>4</v>
      </c>
      <c r="I514" s="46" t="s">
        <v>4</v>
      </c>
      <c r="J514" s="48">
        <v>47.53</v>
      </c>
      <c r="K514" s="47" t="s">
        <v>520</v>
      </c>
      <c r="L514" s="47" t="s">
        <v>521</v>
      </c>
      <c r="M514" s="46" t="s">
        <v>522</v>
      </c>
      <c r="N514" s="47" t="s">
        <v>523</v>
      </c>
      <c r="O514" s="44" t="s">
        <v>4</v>
      </c>
      <c r="P514" s="47" t="s">
        <v>527</v>
      </c>
      <c r="Q514" s="48">
        <v>4900</v>
      </c>
      <c r="R514" s="49" t="s">
        <v>4</v>
      </c>
      <c r="S514" s="48" t="s">
        <v>4</v>
      </c>
      <c r="T514" s="47" t="s">
        <v>4</v>
      </c>
    </row>
    <row r="515" spans="1:20">
      <c r="A515" s="46">
        <v>137813773910</v>
      </c>
      <c r="B515" s="44" t="s">
        <v>517</v>
      </c>
      <c r="C515" s="45">
        <v>46004</v>
      </c>
      <c r="D515" s="46">
        <v>54779649979</v>
      </c>
      <c r="E515" s="46">
        <v>2147973575072</v>
      </c>
      <c r="F515" s="47" t="s">
        <v>529</v>
      </c>
      <c r="G515" s="47" t="s">
        <v>519</v>
      </c>
      <c r="H515" s="47" t="s">
        <v>4</v>
      </c>
      <c r="I515" s="46" t="s">
        <v>4</v>
      </c>
      <c r="J515" s="48">
        <v>1776.36</v>
      </c>
      <c r="K515" s="47" t="s">
        <v>520</v>
      </c>
      <c r="L515" s="47" t="s">
        <v>530</v>
      </c>
      <c r="M515" s="46" t="s">
        <v>660</v>
      </c>
      <c r="N515" s="47" t="s">
        <v>661</v>
      </c>
      <c r="O515" s="44" t="s">
        <v>263</v>
      </c>
      <c r="P515" s="47" t="s">
        <v>531</v>
      </c>
      <c r="Q515" s="48">
        <v>45200</v>
      </c>
      <c r="R515" s="49" t="s">
        <v>4</v>
      </c>
      <c r="S515" s="48" t="s">
        <v>4</v>
      </c>
      <c r="T515" s="47" t="s">
        <v>525</v>
      </c>
    </row>
    <row r="516" spans="1:20">
      <c r="A516" s="46">
        <v>137814381636</v>
      </c>
      <c r="B516" s="44" t="s">
        <v>517</v>
      </c>
      <c r="C516" s="45">
        <v>46004</v>
      </c>
      <c r="D516" s="46">
        <v>54779861323</v>
      </c>
      <c r="E516" s="46">
        <v>2147831428105</v>
      </c>
      <c r="F516" s="47" t="s">
        <v>529</v>
      </c>
      <c r="G516" s="47" t="s">
        <v>519</v>
      </c>
      <c r="H516" s="47" t="s">
        <v>4</v>
      </c>
      <c r="I516" s="46" t="s">
        <v>4</v>
      </c>
      <c r="J516" s="48">
        <v>1452.8</v>
      </c>
      <c r="K516" s="47" t="s">
        <v>520</v>
      </c>
      <c r="L516" s="47" t="s">
        <v>530</v>
      </c>
      <c r="M516" s="46" t="s">
        <v>660</v>
      </c>
      <c r="N516" s="47" t="s">
        <v>661</v>
      </c>
      <c r="O516" s="44" t="s">
        <v>263</v>
      </c>
      <c r="P516" s="47" t="s">
        <v>531</v>
      </c>
      <c r="Q516" s="48">
        <v>32000</v>
      </c>
      <c r="R516" s="49" t="s">
        <v>4</v>
      </c>
      <c r="S516" s="48" t="s">
        <v>4</v>
      </c>
      <c r="T516" s="47" t="s">
        <v>525</v>
      </c>
    </row>
    <row r="517" spans="1:20">
      <c r="A517" s="46">
        <v>137815445676</v>
      </c>
      <c r="B517" s="44" t="s">
        <v>517</v>
      </c>
      <c r="C517" s="45">
        <v>46004</v>
      </c>
      <c r="D517" s="46">
        <v>54780288581</v>
      </c>
      <c r="E517" s="46">
        <v>2147984192698</v>
      </c>
      <c r="F517" s="47" t="s">
        <v>529</v>
      </c>
      <c r="G517" s="47" t="s">
        <v>519</v>
      </c>
      <c r="H517" s="47" t="s">
        <v>4</v>
      </c>
      <c r="I517" s="46" t="s">
        <v>4</v>
      </c>
      <c r="J517" s="48">
        <v>372.89</v>
      </c>
      <c r="K517" s="47" t="s">
        <v>520</v>
      </c>
      <c r="L517" s="47" t="s">
        <v>530</v>
      </c>
      <c r="M517" s="46" t="s">
        <v>522</v>
      </c>
      <c r="N517" s="47" t="s">
        <v>523</v>
      </c>
      <c r="O517" s="44" t="s">
        <v>263</v>
      </c>
      <c r="P517" s="47" t="s">
        <v>531</v>
      </c>
      <c r="Q517" s="48">
        <v>4900</v>
      </c>
      <c r="R517" s="49" t="s">
        <v>4</v>
      </c>
      <c r="S517" s="48" t="s">
        <v>4</v>
      </c>
      <c r="T517" s="47" t="s">
        <v>525</v>
      </c>
    </row>
    <row r="518" spans="1:20">
      <c r="A518" s="46">
        <v>137815561874</v>
      </c>
      <c r="B518" s="44" t="s">
        <v>517</v>
      </c>
      <c r="C518" s="45">
        <v>46004</v>
      </c>
      <c r="D518" s="46">
        <v>54780337359</v>
      </c>
      <c r="E518" s="46">
        <v>2147839174889</v>
      </c>
      <c r="F518" s="47" t="s">
        <v>518</v>
      </c>
      <c r="G518" s="47" t="s">
        <v>519</v>
      </c>
      <c r="H518" s="47" t="s">
        <v>4</v>
      </c>
      <c r="I518" s="46" t="s">
        <v>4</v>
      </c>
      <c r="J518" s="48">
        <v>917.69</v>
      </c>
      <c r="K518" s="47" t="s">
        <v>520</v>
      </c>
      <c r="L518" s="47" t="s">
        <v>521</v>
      </c>
      <c r="M518" s="46" t="s">
        <v>522</v>
      </c>
      <c r="N518" s="47" t="s">
        <v>523</v>
      </c>
      <c r="O518" s="44" t="s">
        <v>4</v>
      </c>
      <c r="P518" s="47" t="s">
        <v>759</v>
      </c>
      <c r="Q518" s="48">
        <v>56300</v>
      </c>
      <c r="R518" s="49" t="s">
        <v>4</v>
      </c>
      <c r="S518" s="48" t="s">
        <v>4</v>
      </c>
      <c r="T518" s="47" t="s">
        <v>525</v>
      </c>
    </row>
    <row r="519" spans="1:20">
      <c r="A519" s="46">
        <v>137815657922</v>
      </c>
      <c r="B519" s="44" t="s">
        <v>517</v>
      </c>
      <c r="C519" s="45">
        <v>46004</v>
      </c>
      <c r="D519" s="46">
        <v>54780360886</v>
      </c>
      <c r="E519" s="46">
        <v>2147985559222</v>
      </c>
      <c r="F519" s="47" t="s">
        <v>518</v>
      </c>
      <c r="G519" s="47" t="s">
        <v>519</v>
      </c>
      <c r="H519" s="47" t="s">
        <v>4</v>
      </c>
      <c r="I519" s="46" t="s">
        <v>4</v>
      </c>
      <c r="J519" s="48">
        <v>40.74</v>
      </c>
      <c r="K519" s="47" t="s">
        <v>520</v>
      </c>
      <c r="L519" s="47" t="s">
        <v>521</v>
      </c>
      <c r="M519" s="46" t="s">
        <v>522</v>
      </c>
      <c r="N519" s="47" t="s">
        <v>523</v>
      </c>
      <c r="O519" s="44" t="s">
        <v>4</v>
      </c>
      <c r="P519" s="47" t="s">
        <v>648</v>
      </c>
      <c r="Q519" s="48">
        <v>4200</v>
      </c>
      <c r="R519" s="49" t="s">
        <v>4</v>
      </c>
      <c r="S519" s="48" t="s">
        <v>4</v>
      </c>
      <c r="T519" s="47" t="s">
        <v>525</v>
      </c>
    </row>
    <row r="520" spans="1:20">
      <c r="A520" s="46">
        <v>137816314558</v>
      </c>
      <c r="B520" s="44" t="s">
        <v>517</v>
      </c>
      <c r="C520" s="45">
        <v>46004</v>
      </c>
      <c r="D520" s="46">
        <v>54780569897</v>
      </c>
      <c r="E520" s="46">
        <v>2147988673390</v>
      </c>
      <c r="F520" s="47" t="s">
        <v>529</v>
      </c>
      <c r="G520" s="47" t="s">
        <v>519</v>
      </c>
      <c r="H520" s="47" t="s">
        <v>4</v>
      </c>
      <c r="I520" s="46" t="s">
        <v>4</v>
      </c>
      <c r="J520" s="48">
        <v>1171.1400000000001</v>
      </c>
      <c r="K520" s="47" t="s">
        <v>520</v>
      </c>
      <c r="L520" s="47" t="s">
        <v>530</v>
      </c>
      <c r="M520" s="46" t="s">
        <v>660</v>
      </c>
      <c r="N520" s="47" t="s">
        <v>661</v>
      </c>
      <c r="O520" s="44" t="s">
        <v>263</v>
      </c>
      <c r="P520" s="47" t="s">
        <v>531</v>
      </c>
      <c r="Q520" s="48">
        <v>29800</v>
      </c>
      <c r="R520" s="49" t="s">
        <v>4</v>
      </c>
      <c r="S520" s="48" t="s">
        <v>4</v>
      </c>
      <c r="T520" s="47" t="s">
        <v>525</v>
      </c>
    </row>
    <row r="521" spans="1:20">
      <c r="A521" s="46">
        <v>137817891008</v>
      </c>
      <c r="B521" s="44" t="s">
        <v>517</v>
      </c>
      <c r="C521" s="45">
        <v>46004</v>
      </c>
      <c r="D521" s="46">
        <v>54781185249</v>
      </c>
      <c r="E521" s="46">
        <v>2147998578174</v>
      </c>
      <c r="F521" s="47" t="s">
        <v>518</v>
      </c>
      <c r="G521" s="47" t="s">
        <v>519</v>
      </c>
      <c r="H521" s="47" t="s">
        <v>4</v>
      </c>
      <c r="I521" s="46" t="s">
        <v>4</v>
      </c>
      <c r="J521" s="48">
        <v>296.66000000000003</v>
      </c>
      <c r="K521" s="47" t="s">
        <v>520</v>
      </c>
      <c r="L521" s="47" t="s">
        <v>521</v>
      </c>
      <c r="M521" s="46" t="s">
        <v>522</v>
      </c>
      <c r="N521" s="47" t="s">
        <v>523</v>
      </c>
      <c r="O521" s="44" t="s">
        <v>4</v>
      </c>
      <c r="P521" s="47" t="s">
        <v>760</v>
      </c>
      <c r="Q521" s="48">
        <v>18200</v>
      </c>
      <c r="R521" s="49" t="s">
        <v>4</v>
      </c>
      <c r="S521" s="48" t="s">
        <v>4</v>
      </c>
      <c r="T521" s="47" t="s">
        <v>525</v>
      </c>
    </row>
    <row r="522" spans="1:20">
      <c r="A522" s="46">
        <v>137818539048</v>
      </c>
      <c r="B522" s="44" t="s">
        <v>517</v>
      </c>
      <c r="C522" s="45">
        <v>46004</v>
      </c>
      <c r="D522" s="46">
        <v>54781430497</v>
      </c>
      <c r="E522" s="46">
        <v>2148002957354</v>
      </c>
      <c r="F522" s="47" t="s">
        <v>529</v>
      </c>
      <c r="G522" s="47" t="s">
        <v>519</v>
      </c>
      <c r="H522" s="47" t="s">
        <v>4</v>
      </c>
      <c r="I522" s="46" t="s">
        <v>4</v>
      </c>
      <c r="J522" s="48">
        <v>1760.64</v>
      </c>
      <c r="K522" s="47" t="s">
        <v>520</v>
      </c>
      <c r="L522" s="47" t="s">
        <v>530</v>
      </c>
      <c r="M522" s="46" t="s">
        <v>660</v>
      </c>
      <c r="N522" s="47" t="s">
        <v>661</v>
      </c>
      <c r="O522" s="44" t="s">
        <v>263</v>
      </c>
      <c r="P522" s="47" t="s">
        <v>531</v>
      </c>
      <c r="Q522" s="48">
        <v>44800</v>
      </c>
      <c r="R522" s="49" t="s">
        <v>4</v>
      </c>
      <c r="S522" s="48" t="s">
        <v>4</v>
      </c>
      <c r="T522" s="47" t="s">
        <v>525</v>
      </c>
    </row>
    <row r="523" spans="1:20">
      <c r="A523" s="46">
        <v>137184969243</v>
      </c>
      <c r="B523" s="44" t="s">
        <v>517</v>
      </c>
      <c r="C523" s="45">
        <v>46004</v>
      </c>
      <c r="D523" s="46">
        <v>54781581073</v>
      </c>
      <c r="E523" s="46">
        <v>2148005592706</v>
      </c>
      <c r="F523" s="47" t="s">
        <v>529</v>
      </c>
      <c r="G523" s="47" t="s">
        <v>519</v>
      </c>
      <c r="H523" s="47" t="s">
        <v>4</v>
      </c>
      <c r="I523" s="46" t="s">
        <v>4</v>
      </c>
      <c r="J523" s="48">
        <v>2220.06</v>
      </c>
      <c r="K523" s="47" t="s">
        <v>520</v>
      </c>
      <c r="L523" s="47" t="s">
        <v>530</v>
      </c>
      <c r="M523" s="46" t="s">
        <v>522</v>
      </c>
      <c r="N523" s="47" t="s">
        <v>523</v>
      </c>
      <c r="O523" s="44" t="s">
        <v>263</v>
      </c>
      <c r="P523" s="47" t="s">
        <v>531</v>
      </c>
      <c r="Q523" s="48">
        <v>48900</v>
      </c>
      <c r="R523" s="49" t="s">
        <v>4</v>
      </c>
      <c r="S523" s="48" t="s">
        <v>4</v>
      </c>
      <c r="T523" s="47" t="s">
        <v>525</v>
      </c>
    </row>
    <row r="524" spans="1:20">
      <c r="A524" s="46">
        <v>137819965468</v>
      </c>
      <c r="B524" s="44" t="s">
        <v>517</v>
      </c>
      <c r="C524" s="45">
        <v>46004</v>
      </c>
      <c r="D524" s="46">
        <v>54781969033</v>
      </c>
      <c r="E524" s="46">
        <v>2148011576954</v>
      </c>
      <c r="F524" s="47" t="s">
        <v>518</v>
      </c>
      <c r="G524" s="47" t="s">
        <v>519</v>
      </c>
      <c r="H524" s="47" t="s">
        <v>4</v>
      </c>
      <c r="I524" s="46" t="s">
        <v>4</v>
      </c>
      <c r="J524" s="48">
        <v>85.36</v>
      </c>
      <c r="K524" s="47" t="s">
        <v>520</v>
      </c>
      <c r="L524" s="47" t="s">
        <v>521</v>
      </c>
      <c r="M524" s="46" t="s">
        <v>660</v>
      </c>
      <c r="N524" s="47" t="s">
        <v>661</v>
      </c>
      <c r="O524" s="44" t="s">
        <v>4</v>
      </c>
      <c r="P524" s="47" t="s">
        <v>761</v>
      </c>
      <c r="Q524" s="48">
        <v>8800</v>
      </c>
      <c r="R524" s="49" t="s">
        <v>4</v>
      </c>
      <c r="S524" s="48" t="s">
        <v>4</v>
      </c>
      <c r="T524" s="47" t="s">
        <v>525</v>
      </c>
    </row>
    <row r="525" spans="1:20">
      <c r="A525" s="46">
        <v>137821059358</v>
      </c>
      <c r="B525" s="44" t="s">
        <v>517</v>
      </c>
      <c r="C525" s="45">
        <v>46004</v>
      </c>
      <c r="D525" s="46">
        <v>54782408172</v>
      </c>
      <c r="E525" s="46">
        <v>2147873315699</v>
      </c>
      <c r="F525" s="47" t="s">
        <v>529</v>
      </c>
      <c r="G525" s="47" t="s">
        <v>519</v>
      </c>
      <c r="H525" s="47" t="s">
        <v>4</v>
      </c>
      <c r="I525" s="46" t="s">
        <v>4</v>
      </c>
      <c r="J525" s="48">
        <v>1085.06</v>
      </c>
      <c r="K525" s="47" t="s">
        <v>520</v>
      </c>
      <c r="L525" s="47" t="s">
        <v>530</v>
      </c>
      <c r="M525" s="46" t="s">
        <v>522</v>
      </c>
      <c r="N525" s="47" t="s">
        <v>523</v>
      </c>
      <c r="O525" s="44" t="s">
        <v>263</v>
      </c>
      <c r="P525" s="47" t="s">
        <v>531</v>
      </c>
      <c r="Q525" s="48">
        <v>23900</v>
      </c>
      <c r="R525" s="49" t="s">
        <v>4</v>
      </c>
      <c r="S525" s="48" t="s">
        <v>4</v>
      </c>
      <c r="T525" s="47" t="s">
        <v>525</v>
      </c>
    </row>
    <row r="526" spans="1:20">
      <c r="A526" s="46">
        <v>137187141275</v>
      </c>
      <c r="B526" s="44" t="s">
        <v>517</v>
      </c>
      <c r="C526" s="45">
        <v>46004</v>
      </c>
      <c r="D526" s="46">
        <v>54782452795</v>
      </c>
      <c r="E526" s="46">
        <v>2148019644528</v>
      </c>
      <c r="F526" s="47" t="s">
        <v>529</v>
      </c>
      <c r="G526" s="47" t="s">
        <v>519</v>
      </c>
      <c r="H526" s="47" t="s">
        <v>4</v>
      </c>
      <c r="I526" s="46" t="s">
        <v>4</v>
      </c>
      <c r="J526" s="48">
        <v>687.75</v>
      </c>
      <c r="K526" s="47" t="s">
        <v>520</v>
      </c>
      <c r="L526" s="47" t="s">
        <v>530</v>
      </c>
      <c r="M526" s="46" t="s">
        <v>522</v>
      </c>
      <c r="N526" s="47" t="s">
        <v>523</v>
      </c>
      <c r="O526" s="44" t="s">
        <v>263</v>
      </c>
      <c r="P526" s="47" t="s">
        <v>531</v>
      </c>
      <c r="Q526" s="48">
        <v>17500</v>
      </c>
      <c r="R526" s="49" t="s">
        <v>4</v>
      </c>
      <c r="S526" s="48" t="s">
        <v>4</v>
      </c>
      <c r="T526" s="47" t="s">
        <v>525</v>
      </c>
    </row>
    <row r="527" spans="1:20">
      <c r="A527" s="46">
        <v>137187223345</v>
      </c>
      <c r="B527" s="44" t="s">
        <v>517</v>
      </c>
      <c r="C527" s="45">
        <v>46004</v>
      </c>
      <c r="D527" s="46">
        <v>54782478457</v>
      </c>
      <c r="E527" s="46">
        <v>2147874148975</v>
      </c>
      <c r="F527" s="47" t="s">
        <v>529</v>
      </c>
      <c r="G527" s="47" t="s">
        <v>519</v>
      </c>
      <c r="H527" s="47" t="s">
        <v>4</v>
      </c>
      <c r="I527" s="46" t="s">
        <v>4</v>
      </c>
      <c r="J527" s="48">
        <v>1898.19</v>
      </c>
      <c r="K527" s="47" t="s">
        <v>520</v>
      </c>
      <c r="L527" s="47" t="s">
        <v>530</v>
      </c>
      <c r="M527" s="46" t="s">
        <v>522</v>
      </c>
      <c r="N527" s="47" t="s">
        <v>523</v>
      </c>
      <c r="O527" s="44" t="s">
        <v>263</v>
      </c>
      <c r="P527" s="47" t="s">
        <v>531</v>
      </c>
      <c r="Q527" s="48">
        <v>48300</v>
      </c>
      <c r="R527" s="49" t="s">
        <v>4</v>
      </c>
      <c r="S527" s="48" t="s">
        <v>4</v>
      </c>
      <c r="T527" s="47" t="s">
        <v>525</v>
      </c>
    </row>
    <row r="528" spans="1:20">
      <c r="A528" s="46">
        <v>137187632023</v>
      </c>
      <c r="B528" s="44" t="s">
        <v>517</v>
      </c>
      <c r="C528" s="45">
        <v>46004</v>
      </c>
      <c r="D528" s="46">
        <v>54782671288</v>
      </c>
      <c r="E528" s="46">
        <v>2147877520617</v>
      </c>
      <c r="F528" s="47" t="s">
        <v>526</v>
      </c>
      <c r="G528" s="47" t="s">
        <v>519</v>
      </c>
      <c r="H528" s="47" t="s">
        <v>4</v>
      </c>
      <c r="I528" s="46" t="s">
        <v>4</v>
      </c>
      <c r="J528" s="48">
        <v>95.06</v>
      </c>
      <c r="K528" s="47" t="s">
        <v>520</v>
      </c>
      <c r="L528" s="47" t="s">
        <v>521</v>
      </c>
      <c r="M528" s="46" t="s">
        <v>660</v>
      </c>
      <c r="N528" s="47" t="s">
        <v>661</v>
      </c>
      <c r="O528" s="44" t="s">
        <v>4</v>
      </c>
      <c r="P528" s="47" t="s">
        <v>527</v>
      </c>
      <c r="Q528" s="48">
        <v>9800</v>
      </c>
      <c r="R528" s="49" t="s">
        <v>4</v>
      </c>
      <c r="S528" s="48" t="s">
        <v>4</v>
      </c>
      <c r="T528" s="47" t="s">
        <v>4</v>
      </c>
    </row>
    <row r="529" spans="1:20">
      <c r="A529" s="46">
        <v>137188255017</v>
      </c>
      <c r="B529" s="44" t="s">
        <v>517</v>
      </c>
      <c r="C529" s="45">
        <v>46004</v>
      </c>
      <c r="D529" s="46">
        <v>54782903631</v>
      </c>
      <c r="E529" s="46">
        <v>2148026440786</v>
      </c>
      <c r="F529" s="47" t="s">
        <v>518</v>
      </c>
      <c r="G529" s="47" t="s">
        <v>519</v>
      </c>
      <c r="H529" s="47" t="s">
        <v>4</v>
      </c>
      <c r="I529" s="46" t="s">
        <v>4</v>
      </c>
      <c r="J529" s="48">
        <v>303.61</v>
      </c>
      <c r="K529" s="47" t="s">
        <v>520</v>
      </c>
      <c r="L529" s="47" t="s">
        <v>521</v>
      </c>
      <c r="M529" s="46" t="s">
        <v>522</v>
      </c>
      <c r="N529" s="47" t="s">
        <v>523</v>
      </c>
      <c r="O529" s="44" t="s">
        <v>4</v>
      </c>
      <c r="P529" s="47" t="s">
        <v>762</v>
      </c>
      <c r="Q529" s="48">
        <v>31300</v>
      </c>
      <c r="R529" s="49" t="s">
        <v>4</v>
      </c>
      <c r="S529" s="48" t="s">
        <v>4</v>
      </c>
      <c r="T529" s="47" t="s">
        <v>525</v>
      </c>
    </row>
    <row r="530" spans="1:20">
      <c r="A530" s="46">
        <v>137188599895</v>
      </c>
      <c r="B530" s="44" t="s">
        <v>517</v>
      </c>
      <c r="C530" s="45">
        <v>46005</v>
      </c>
      <c r="D530" s="46">
        <v>54783049272</v>
      </c>
      <c r="E530" s="46">
        <v>2147883125639</v>
      </c>
      <c r="F530" s="47" t="s">
        <v>529</v>
      </c>
      <c r="G530" s="47" t="s">
        <v>519</v>
      </c>
      <c r="H530" s="47" t="s">
        <v>4</v>
      </c>
      <c r="I530" s="46" t="s">
        <v>4</v>
      </c>
      <c r="J530" s="48">
        <v>3972.5</v>
      </c>
      <c r="K530" s="47" t="s">
        <v>520</v>
      </c>
      <c r="L530" s="47" t="s">
        <v>530</v>
      </c>
      <c r="M530" s="46" t="s">
        <v>522</v>
      </c>
      <c r="N530" s="47" t="s">
        <v>523</v>
      </c>
      <c r="O530" s="44" t="s">
        <v>263</v>
      </c>
      <c r="P530" s="47" t="s">
        <v>531</v>
      </c>
      <c r="Q530" s="48">
        <v>87500</v>
      </c>
      <c r="R530" s="49" t="s">
        <v>4</v>
      </c>
      <c r="S530" s="48" t="s">
        <v>4</v>
      </c>
      <c r="T530" s="47" t="s">
        <v>525</v>
      </c>
    </row>
    <row r="531" spans="1:20">
      <c r="A531" s="46">
        <v>137188753725</v>
      </c>
      <c r="B531" s="44" t="s">
        <v>517</v>
      </c>
      <c r="C531" s="45">
        <v>46005</v>
      </c>
      <c r="D531" s="46">
        <v>54783109340</v>
      </c>
      <c r="E531" s="46">
        <v>2148029448758</v>
      </c>
      <c r="F531" s="47" t="s">
        <v>529</v>
      </c>
      <c r="G531" s="47" t="s">
        <v>519</v>
      </c>
      <c r="H531" s="47" t="s">
        <v>4</v>
      </c>
      <c r="I531" s="46" t="s">
        <v>4</v>
      </c>
      <c r="J531" s="48">
        <v>1418.73</v>
      </c>
      <c r="K531" s="47" t="s">
        <v>520</v>
      </c>
      <c r="L531" s="47" t="s">
        <v>530</v>
      </c>
      <c r="M531" s="46" t="s">
        <v>522</v>
      </c>
      <c r="N531" s="47" t="s">
        <v>523</v>
      </c>
      <c r="O531" s="44" t="s">
        <v>263</v>
      </c>
      <c r="P531" s="47" t="s">
        <v>531</v>
      </c>
      <c r="Q531" s="48">
        <v>36100</v>
      </c>
      <c r="R531" s="49" t="s">
        <v>4</v>
      </c>
      <c r="S531" s="48" t="s">
        <v>4</v>
      </c>
      <c r="T531" s="47" t="s">
        <v>525</v>
      </c>
    </row>
    <row r="532" spans="1:20">
      <c r="A532" s="46">
        <v>137188881167</v>
      </c>
      <c r="B532" s="44" t="s">
        <v>517</v>
      </c>
      <c r="C532" s="45">
        <v>46005</v>
      </c>
      <c r="D532" s="46">
        <v>54783165125</v>
      </c>
      <c r="E532" s="46">
        <v>2148030377464</v>
      </c>
      <c r="F532" s="47" t="s">
        <v>518</v>
      </c>
      <c r="G532" s="47" t="s">
        <v>519</v>
      </c>
      <c r="H532" s="47" t="s">
        <v>4</v>
      </c>
      <c r="I532" s="46" t="s">
        <v>4</v>
      </c>
      <c r="J532" s="48">
        <v>730.56</v>
      </c>
      <c r="K532" s="47" t="s">
        <v>520</v>
      </c>
      <c r="L532" s="47" t="s">
        <v>521</v>
      </c>
      <c r="M532" s="46" t="s">
        <v>522</v>
      </c>
      <c r="N532" s="47" t="s">
        <v>523</v>
      </c>
      <c r="O532" s="44" t="s">
        <v>4</v>
      </c>
      <c r="P532" s="47" t="s">
        <v>763</v>
      </c>
      <c r="Q532" s="48">
        <v>9600</v>
      </c>
      <c r="R532" s="49" t="s">
        <v>4</v>
      </c>
      <c r="S532" s="48" t="s">
        <v>4</v>
      </c>
      <c r="T532" s="47" t="s">
        <v>525</v>
      </c>
    </row>
    <row r="533" spans="1:20">
      <c r="A533" s="46">
        <v>137823102664</v>
      </c>
      <c r="B533" s="44" t="s">
        <v>517</v>
      </c>
      <c r="C533" s="45">
        <v>46005</v>
      </c>
      <c r="D533" s="46">
        <v>54783215960</v>
      </c>
      <c r="E533" s="46">
        <v>2148031149094</v>
      </c>
      <c r="F533" s="47" t="s">
        <v>529</v>
      </c>
      <c r="G533" s="47" t="s">
        <v>519</v>
      </c>
      <c r="H533" s="47" t="s">
        <v>4</v>
      </c>
      <c r="I533" s="46" t="s">
        <v>4</v>
      </c>
      <c r="J533" s="48">
        <v>821.37</v>
      </c>
      <c r="K533" s="47" t="s">
        <v>520</v>
      </c>
      <c r="L533" s="47" t="s">
        <v>530</v>
      </c>
      <c r="M533" s="46" t="s">
        <v>522</v>
      </c>
      <c r="N533" s="47" t="s">
        <v>523</v>
      </c>
      <c r="O533" s="44" t="s">
        <v>263</v>
      </c>
      <c r="P533" s="47" t="s">
        <v>531</v>
      </c>
      <c r="Q533" s="48">
        <v>20900</v>
      </c>
      <c r="R533" s="49" t="s">
        <v>4</v>
      </c>
      <c r="S533" s="48" t="s">
        <v>4</v>
      </c>
      <c r="T533" s="47" t="s">
        <v>525</v>
      </c>
    </row>
    <row r="534" spans="1:20">
      <c r="A534" s="46">
        <v>137823153712</v>
      </c>
      <c r="B534" s="44" t="s">
        <v>517</v>
      </c>
      <c r="C534" s="45">
        <v>46005</v>
      </c>
      <c r="D534" s="46">
        <v>54783265635</v>
      </c>
      <c r="E534" s="46">
        <v>2147886412971</v>
      </c>
      <c r="F534" s="47" t="s">
        <v>526</v>
      </c>
      <c r="G534" s="47" t="s">
        <v>519</v>
      </c>
      <c r="H534" s="47" t="s">
        <v>4</v>
      </c>
      <c r="I534" s="46" t="s">
        <v>4</v>
      </c>
      <c r="J534" s="48">
        <v>40.74</v>
      </c>
      <c r="K534" s="47" t="s">
        <v>520</v>
      </c>
      <c r="L534" s="47" t="s">
        <v>521</v>
      </c>
      <c r="M534" s="46" t="s">
        <v>522</v>
      </c>
      <c r="N534" s="47" t="s">
        <v>523</v>
      </c>
      <c r="O534" s="44" t="s">
        <v>4</v>
      </c>
      <c r="P534" s="47" t="s">
        <v>527</v>
      </c>
      <c r="Q534" s="48">
        <v>4200</v>
      </c>
      <c r="R534" s="49" t="s">
        <v>4</v>
      </c>
      <c r="S534" s="48" t="s">
        <v>4</v>
      </c>
      <c r="T534" s="47" t="s">
        <v>4</v>
      </c>
    </row>
    <row r="535" spans="1:20">
      <c r="A535" s="46">
        <v>137825138680</v>
      </c>
      <c r="B535" s="44" t="s">
        <v>517</v>
      </c>
      <c r="C535" s="45">
        <v>46005</v>
      </c>
      <c r="D535" s="46">
        <v>54784019484</v>
      </c>
      <c r="E535" s="46">
        <v>2148044191104</v>
      </c>
      <c r="F535" s="47" t="s">
        <v>529</v>
      </c>
      <c r="G535" s="47" t="s">
        <v>519</v>
      </c>
      <c r="H535" s="47" t="s">
        <v>4</v>
      </c>
      <c r="I535" s="46" t="s">
        <v>4</v>
      </c>
      <c r="J535" s="48">
        <v>1351.92</v>
      </c>
      <c r="K535" s="47" t="s">
        <v>520</v>
      </c>
      <c r="L535" s="47" t="s">
        <v>530</v>
      </c>
      <c r="M535" s="46" t="s">
        <v>522</v>
      </c>
      <c r="N535" s="47" t="s">
        <v>523</v>
      </c>
      <c r="O535" s="44" t="s">
        <v>263</v>
      </c>
      <c r="P535" s="47" t="s">
        <v>531</v>
      </c>
      <c r="Q535" s="48">
        <v>34400</v>
      </c>
      <c r="R535" s="49" t="s">
        <v>4</v>
      </c>
      <c r="S535" s="48" t="s">
        <v>4</v>
      </c>
      <c r="T535" s="47" t="s">
        <v>525</v>
      </c>
    </row>
    <row r="536" spans="1:20">
      <c r="A536" s="46">
        <v>137825644378</v>
      </c>
      <c r="B536" s="44" t="s">
        <v>517</v>
      </c>
      <c r="C536" s="45">
        <v>46005</v>
      </c>
      <c r="D536" s="46">
        <v>54784215138</v>
      </c>
      <c r="E536" s="46">
        <v>2148047073430</v>
      </c>
      <c r="F536" s="47" t="s">
        <v>518</v>
      </c>
      <c r="G536" s="47" t="s">
        <v>519</v>
      </c>
      <c r="H536" s="47" t="s">
        <v>4</v>
      </c>
      <c r="I536" s="46" t="s">
        <v>4</v>
      </c>
      <c r="J536" s="48">
        <v>318.16000000000003</v>
      </c>
      <c r="K536" s="47" t="s">
        <v>520</v>
      </c>
      <c r="L536" s="47" t="s">
        <v>521</v>
      </c>
      <c r="M536" s="46" t="s">
        <v>522</v>
      </c>
      <c r="N536" s="47" t="s">
        <v>523</v>
      </c>
      <c r="O536" s="44" t="s">
        <v>4</v>
      </c>
      <c r="P536" s="47" t="s">
        <v>754</v>
      </c>
      <c r="Q536" s="48">
        <v>32800</v>
      </c>
      <c r="R536" s="49" t="s">
        <v>4</v>
      </c>
      <c r="S536" s="48" t="s">
        <v>4</v>
      </c>
      <c r="T536" s="47" t="s">
        <v>525</v>
      </c>
    </row>
    <row r="537" spans="1:20">
      <c r="A537" s="46">
        <v>137192517701</v>
      </c>
      <c r="B537" s="44" t="s">
        <v>517</v>
      </c>
      <c r="C537" s="45">
        <v>46005</v>
      </c>
      <c r="D537" s="46">
        <v>54784634424</v>
      </c>
      <c r="E537" s="46">
        <v>2147907589517</v>
      </c>
      <c r="F537" s="47" t="s">
        <v>518</v>
      </c>
      <c r="G537" s="47" t="s">
        <v>519</v>
      </c>
      <c r="H537" s="47" t="s">
        <v>4</v>
      </c>
      <c r="I537" s="46" t="s">
        <v>4</v>
      </c>
      <c r="J537" s="48">
        <v>94.09</v>
      </c>
      <c r="K537" s="47" t="s">
        <v>520</v>
      </c>
      <c r="L537" s="47" t="s">
        <v>521</v>
      </c>
      <c r="M537" s="46" t="s">
        <v>522</v>
      </c>
      <c r="N537" s="47" t="s">
        <v>523</v>
      </c>
      <c r="O537" s="44" t="s">
        <v>4</v>
      </c>
      <c r="P537" s="47" t="s">
        <v>764</v>
      </c>
      <c r="Q537" s="48">
        <v>9700</v>
      </c>
      <c r="R537" s="49" t="s">
        <v>4</v>
      </c>
      <c r="S537" s="48" t="s">
        <v>4</v>
      </c>
      <c r="T537" s="47" t="s">
        <v>525</v>
      </c>
    </row>
    <row r="538" spans="1:20">
      <c r="A538" s="46">
        <v>137193138653</v>
      </c>
      <c r="B538" s="44" t="s">
        <v>517</v>
      </c>
      <c r="C538" s="45">
        <v>46005</v>
      </c>
      <c r="D538" s="46">
        <v>54784847336</v>
      </c>
      <c r="E538" s="46">
        <v>2147910983665</v>
      </c>
      <c r="F538" s="47" t="s">
        <v>529</v>
      </c>
      <c r="G538" s="47" t="s">
        <v>519</v>
      </c>
      <c r="H538" s="47" t="s">
        <v>4</v>
      </c>
      <c r="I538" s="46" t="s">
        <v>4</v>
      </c>
      <c r="J538" s="48">
        <v>1552.68</v>
      </c>
      <c r="K538" s="47" t="s">
        <v>520</v>
      </c>
      <c r="L538" s="47" t="s">
        <v>530</v>
      </c>
      <c r="M538" s="46" t="s">
        <v>660</v>
      </c>
      <c r="N538" s="47" t="s">
        <v>661</v>
      </c>
      <c r="O538" s="44" t="s">
        <v>263</v>
      </c>
      <c r="P538" s="47" t="s">
        <v>531</v>
      </c>
      <c r="Q538" s="48">
        <v>34200</v>
      </c>
      <c r="R538" s="49" t="s">
        <v>4</v>
      </c>
      <c r="S538" s="48" t="s">
        <v>4</v>
      </c>
      <c r="T538" s="47" t="s">
        <v>525</v>
      </c>
    </row>
    <row r="539" spans="1:20">
      <c r="A539" s="46">
        <v>137193254909</v>
      </c>
      <c r="B539" s="44" t="s">
        <v>517</v>
      </c>
      <c r="C539" s="45">
        <v>46005</v>
      </c>
      <c r="D539" s="46">
        <v>54784890082</v>
      </c>
      <c r="E539" s="46">
        <v>2147911946281</v>
      </c>
      <c r="F539" s="47" t="s">
        <v>529</v>
      </c>
      <c r="G539" s="47" t="s">
        <v>519</v>
      </c>
      <c r="H539" s="47" t="s">
        <v>4</v>
      </c>
      <c r="I539" s="46" t="s">
        <v>4</v>
      </c>
      <c r="J539" s="48">
        <v>3544.86</v>
      </c>
      <c r="K539" s="47" t="s">
        <v>520</v>
      </c>
      <c r="L539" s="47" t="s">
        <v>530</v>
      </c>
      <c r="M539" s="46" t="s">
        <v>522</v>
      </c>
      <c r="N539" s="47" t="s">
        <v>523</v>
      </c>
      <c r="O539" s="44" t="s">
        <v>263</v>
      </c>
      <c r="P539" s="47" t="s">
        <v>531</v>
      </c>
      <c r="Q539" s="48">
        <v>90200</v>
      </c>
      <c r="R539" s="49" t="s">
        <v>4</v>
      </c>
      <c r="S539" s="48" t="s">
        <v>4</v>
      </c>
      <c r="T539" s="47" t="s">
        <v>525</v>
      </c>
    </row>
    <row r="540" spans="1:20">
      <c r="A540" s="46">
        <v>137827259984</v>
      </c>
      <c r="B540" s="44" t="s">
        <v>517</v>
      </c>
      <c r="C540" s="45">
        <v>46005</v>
      </c>
      <c r="D540" s="46">
        <v>54784912212</v>
      </c>
      <c r="E540" s="46">
        <v>2147912253649</v>
      </c>
      <c r="F540" s="47" t="s">
        <v>529</v>
      </c>
      <c r="G540" s="47" t="s">
        <v>519</v>
      </c>
      <c r="H540" s="47" t="s">
        <v>4</v>
      </c>
      <c r="I540" s="46" t="s">
        <v>4</v>
      </c>
      <c r="J540" s="48">
        <v>644.52</v>
      </c>
      <c r="K540" s="47" t="s">
        <v>520</v>
      </c>
      <c r="L540" s="47" t="s">
        <v>530</v>
      </c>
      <c r="M540" s="46" t="s">
        <v>522</v>
      </c>
      <c r="N540" s="47" t="s">
        <v>523</v>
      </c>
      <c r="O540" s="44" t="s">
        <v>263</v>
      </c>
      <c r="P540" s="47" t="s">
        <v>531</v>
      </c>
      <c r="Q540" s="48">
        <v>16400</v>
      </c>
      <c r="R540" s="49" t="s">
        <v>4</v>
      </c>
      <c r="S540" s="48" t="s">
        <v>4</v>
      </c>
      <c r="T540" s="47" t="s">
        <v>525</v>
      </c>
    </row>
    <row r="541" spans="1:20">
      <c r="A541" s="46">
        <v>137193951755</v>
      </c>
      <c r="B541" s="44" t="s">
        <v>517</v>
      </c>
      <c r="C541" s="45">
        <v>46005</v>
      </c>
      <c r="D541" s="46">
        <v>54785192932</v>
      </c>
      <c r="E541" s="46">
        <v>2147916776333</v>
      </c>
      <c r="F541" s="47" t="s">
        <v>518</v>
      </c>
      <c r="G541" s="47" t="s">
        <v>519</v>
      </c>
      <c r="H541" s="47" t="s">
        <v>4</v>
      </c>
      <c r="I541" s="46" t="s">
        <v>4</v>
      </c>
      <c r="J541" s="48">
        <v>350.17</v>
      </c>
      <c r="K541" s="47" t="s">
        <v>520</v>
      </c>
      <c r="L541" s="47" t="s">
        <v>521</v>
      </c>
      <c r="M541" s="46" t="s">
        <v>522</v>
      </c>
      <c r="N541" s="47" t="s">
        <v>523</v>
      </c>
      <c r="O541" s="44" t="s">
        <v>4</v>
      </c>
      <c r="P541" s="47" t="s">
        <v>765</v>
      </c>
      <c r="Q541" s="48">
        <v>36100</v>
      </c>
      <c r="R541" s="49" t="s">
        <v>4</v>
      </c>
      <c r="S541" s="48" t="s">
        <v>4</v>
      </c>
      <c r="T541" s="47" t="s">
        <v>525</v>
      </c>
    </row>
    <row r="542" spans="1:20">
      <c r="A542" s="46">
        <v>137828147806</v>
      </c>
      <c r="B542" s="44" t="s">
        <v>517</v>
      </c>
      <c r="C542" s="45">
        <v>46005</v>
      </c>
      <c r="D542" s="46">
        <v>54785277857</v>
      </c>
      <c r="E542" s="46">
        <v>2148063491270</v>
      </c>
      <c r="F542" s="47" t="s">
        <v>518</v>
      </c>
      <c r="G542" s="47" t="s">
        <v>519</v>
      </c>
      <c r="H542" s="47" t="s">
        <v>4</v>
      </c>
      <c r="I542" s="46" t="s">
        <v>4</v>
      </c>
      <c r="J542" s="48">
        <v>522.83000000000004</v>
      </c>
      <c r="K542" s="47" t="s">
        <v>520</v>
      </c>
      <c r="L542" s="47" t="s">
        <v>521</v>
      </c>
      <c r="M542" s="46" t="s">
        <v>522</v>
      </c>
      <c r="N542" s="47" t="s">
        <v>523</v>
      </c>
      <c r="O542" s="44" t="s">
        <v>4</v>
      </c>
      <c r="P542" s="47" t="s">
        <v>766</v>
      </c>
      <c r="Q542" s="48">
        <v>53900</v>
      </c>
      <c r="R542" s="49" t="s">
        <v>4</v>
      </c>
      <c r="S542" s="48" t="s">
        <v>4</v>
      </c>
      <c r="T542" s="47" t="s">
        <v>525</v>
      </c>
    </row>
    <row r="543" spans="1:20">
      <c r="A543" s="46">
        <v>137194238351</v>
      </c>
      <c r="B543" s="44" t="s">
        <v>517</v>
      </c>
      <c r="C543" s="45">
        <v>46005</v>
      </c>
      <c r="D543" s="46">
        <v>54785282094</v>
      </c>
      <c r="E543" s="46">
        <v>2148063648244</v>
      </c>
      <c r="F543" s="47" t="s">
        <v>518</v>
      </c>
      <c r="G543" s="47" t="s">
        <v>519</v>
      </c>
      <c r="H543" s="47" t="s">
        <v>4</v>
      </c>
      <c r="I543" s="46" t="s">
        <v>4</v>
      </c>
      <c r="J543" s="48">
        <v>518.95000000000005</v>
      </c>
      <c r="K543" s="47" t="s">
        <v>520</v>
      </c>
      <c r="L543" s="47" t="s">
        <v>521</v>
      </c>
      <c r="M543" s="46" t="s">
        <v>660</v>
      </c>
      <c r="N543" s="47" t="s">
        <v>661</v>
      </c>
      <c r="O543" s="44" t="s">
        <v>4</v>
      </c>
      <c r="P543" s="47" t="s">
        <v>767</v>
      </c>
      <c r="Q543" s="48">
        <v>53500</v>
      </c>
      <c r="R543" s="49" t="s">
        <v>4</v>
      </c>
      <c r="S543" s="48" t="s">
        <v>4</v>
      </c>
      <c r="T543" s="47" t="s">
        <v>525</v>
      </c>
    </row>
    <row r="544" spans="1:20">
      <c r="A544" s="46">
        <v>137828514220</v>
      </c>
      <c r="B544" s="44" t="s">
        <v>517</v>
      </c>
      <c r="C544" s="45">
        <v>46005</v>
      </c>
      <c r="D544" s="46">
        <v>54785405094</v>
      </c>
      <c r="E544" s="46">
        <v>2147919473621</v>
      </c>
      <c r="F544" s="47" t="s">
        <v>518</v>
      </c>
      <c r="G544" s="47" t="s">
        <v>519</v>
      </c>
      <c r="H544" s="47" t="s">
        <v>4</v>
      </c>
      <c r="I544" s="46" t="s">
        <v>4</v>
      </c>
      <c r="J544" s="48">
        <v>181.39</v>
      </c>
      <c r="K544" s="47" t="s">
        <v>520</v>
      </c>
      <c r="L544" s="47" t="s">
        <v>521</v>
      </c>
      <c r="M544" s="46" t="s">
        <v>522</v>
      </c>
      <c r="N544" s="47" t="s">
        <v>523</v>
      </c>
      <c r="O544" s="44" t="s">
        <v>4</v>
      </c>
      <c r="P544" s="47" t="s">
        <v>572</v>
      </c>
      <c r="Q544" s="48">
        <v>18700</v>
      </c>
      <c r="R544" s="49" t="s">
        <v>4</v>
      </c>
      <c r="S544" s="48" t="s">
        <v>4</v>
      </c>
      <c r="T544" s="47" t="s">
        <v>525</v>
      </c>
    </row>
    <row r="545" spans="1:20">
      <c r="A545" s="46">
        <v>137828669992</v>
      </c>
      <c r="B545" s="44" t="s">
        <v>517</v>
      </c>
      <c r="C545" s="45">
        <v>46005</v>
      </c>
      <c r="D545" s="46">
        <v>54785516723</v>
      </c>
      <c r="E545" s="46">
        <v>2147921393791</v>
      </c>
      <c r="F545" s="47" t="s">
        <v>518</v>
      </c>
      <c r="G545" s="47" t="s">
        <v>519</v>
      </c>
      <c r="H545" s="47" t="s">
        <v>4</v>
      </c>
      <c r="I545" s="46" t="s">
        <v>4</v>
      </c>
      <c r="J545" s="48">
        <v>497.15</v>
      </c>
      <c r="K545" s="47" t="s">
        <v>520</v>
      </c>
      <c r="L545" s="47" t="s">
        <v>521</v>
      </c>
      <c r="M545" s="46" t="s">
        <v>660</v>
      </c>
      <c r="N545" s="47" t="s">
        <v>661</v>
      </c>
      <c r="O545" s="44" t="s">
        <v>4</v>
      </c>
      <c r="P545" s="47" t="s">
        <v>768</v>
      </c>
      <c r="Q545" s="48">
        <v>30500</v>
      </c>
      <c r="R545" s="49" t="s">
        <v>4</v>
      </c>
      <c r="S545" s="48" t="s">
        <v>4</v>
      </c>
      <c r="T545" s="47" t="s">
        <v>525</v>
      </c>
    </row>
    <row r="546" spans="1:20">
      <c r="A546" s="46">
        <v>137194977689</v>
      </c>
      <c r="B546" s="44" t="s">
        <v>517</v>
      </c>
      <c r="C546" s="45">
        <v>46005</v>
      </c>
      <c r="D546" s="46">
        <v>54785641485</v>
      </c>
      <c r="E546" s="46">
        <v>2147923592225</v>
      </c>
      <c r="F546" s="47" t="s">
        <v>518</v>
      </c>
      <c r="G546" s="47" t="s">
        <v>519</v>
      </c>
      <c r="H546" s="47" t="s">
        <v>4</v>
      </c>
      <c r="I546" s="46" t="s">
        <v>4</v>
      </c>
      <c r="J546" s="48">
        <v>144.53</v>
      </c>
      <c r="K546" s="47" t="s">
        <v>520</v>
      </c>
      <c r="L546" s="47" t="s">
        <v>521</v>
      </c>
      <c r="M546" s="46" t="s">
        <v>522</v>
      </c>
      <c r="N546" s="47" t="s">
        <v>523</v>
      </c>
      <c r="O546" s="44" t="s">
        <v>4</v>
      </c>
      <c r="P546" s="47" t="s">
        <v>769</v>
      </c>
      <c r="Q546" s="48">
        <v>14900</v>
      </c>
      <c r="R546" s="49" t="s">
        <v>4</v>
      </c>
      <c r="S546" s="48" t="s">
        <v>4</v>
      </c>
      <c r="T546" s="47" t="s">
        <v>525</v>
      </c>
    </row>
    <row r="547" spans="1:20">
      <c r="A547" s="46">
        <v>137195240283</v>
      </c>
      <c r="B547" s="44" t="s">
        <v>517</v>
      </c>
      <c r="C547" s="45">
        <v>46005</v>
      </c>
      <c r="D547" s="46">
        <v>54785712205</v>
      </c>
      <c r="E547" s="46">
        <v>2147924569597</v>
      </c>
      <c r="F547" s="47" t="s">
        <v>518</v>
      </c>
      <c r="G547" s="47" t="s">
        <v>519</v>
      </c>
      <c r="H547" s="47" t="s">
        <v>4</v>
      </c>
      <c r="I547" s="46" t="s">
        <v>4</v>
      </c>
      <c r="J547" s="48">
        <v>53.35</v>
      </c>
      <c r="K547" s="47" t="s">
        <v>520</v>
      </c>
      <c r="L547" s="47" t="s">
        <v>521</v>
      </c>
      <c r="M547" s="46" t="s">
        <v>522</v>
      </c>
      <c r="N547" s="47" t="s">
        <v>523</v>
      </c>
      <c r="O547" s="44" t="s">
        <v>4</v>
      </c>
      <c r="P547" s="47" t="s">
        <v>770</v>
      </c>
      <c r="Q547" s="48">
        <v>5500</v>
      </c>
      <c r="R547" s="49" t="s">
        <v>4</v>
      </c>
      <c r="S547" s="48" t="s">
        <v>4</v>
      </c>
      <c r="T547" s="47" t="s">
        <v>525</v>
      </c>
    </row>
    <row r="548" spans="1:20">
      <c r="A548" s="46">
        <v>137195238631</v>
      </c>
      <c r="B548" s="44" t="s">
        <v>517</v>
      </c>
      <c r="C548" s="45">
        <v>46005</v>
      </c>
      <c r="D548" s="46">
        <v>54785736910</v>
      </c>
      <c r="E548" s="46">
        <v>2147924807613</v>
      </c>
      <c r="F548" s="47" t="s">
        <v>526</v>
      </c>
      <c r="G548" s="47" t="s">
        <v>519</v>
      </c>
      <c r="H548" s="47" t="s">
        <v>4</v>
      </c>
      <c r="I548" s="46" t="s">
        <v>4</v>
      </c>
      <c r="J548" s="48">
        <v>334.65</v>
      </c>
      <c r="K548" s="47" t="s">
        <v>520</v>
      </c>
      <c r="L548" s="47" t="s">
        <v>521</v>
      </c>
      <c r="M548" s="46" t="s">
        <v>522</v>
      </c>
      <c r="N548" s="47" t="s">
        <v>523</v>
      </c>
      <c r="O548" s="44" t="s">
        <v>4</v>
      </c>
      <c r="P548" s="47" t="s">
        <v>527</v>
      </c>
      <c r="Q548" s="48">
        <v>34500</v>
      </c>
      <c r="R548" s="49" t="s">
        <v>4</v>
      </c>
      <c r="S548" s="48" t="s">
        <v>4</v>
      </c>
      <c r="T548" s="47" t="s">
        <v>4</v>
      </c>
    </row>
    <row r="549" spans="1:20">
      <c r="A549" s="46">
        <v>137195257543</v>
      </c>
      <c r="B549" s="44" t="s">
        <v>517</v>
      </c>
      <c r="C549" s="45">
        <v>46005</v>
      </c>
      <c r="D549" s="46">
        <v>54785753929</v>
      </c>
      <c r="E549" s="46">
        <v>2147925159427</v>
      </c>
      <c r="F549" s="47" t="s">
        <v>562</v>
      </c>
      <c r="G549" s="47" t="s">
        <v>519</v>
      </c>
      <c r="H549" s="47" t="s">
        <v>4</v>
      </c>
      <c r="I549" s="46" t="s">
        <v>4</v>
      </c>
      <c r="J549" s="48">
        <v>1740.84</v>
      </c>
      <c r="K549" s="47" t="s">
        <v>520</v>
      </c>
      <c r="L549" s="47" t="s">
        <v>521</v>
      </c>
      <c r="M549" s="46" t="s">
        <v>522</v>
      </c>
      <c r="N549" s="47" t="s">
        <v>523</v>
      </c>
      <c r="O549" s="44" t="s">
        <v>4</v>
      </c>
      <c r="P549" s="47" t="s">
        <v>739</v>
      </c>
      <c r="Q549" s="48">
        <v>106800</v>
      </c>
      <c r="R549" s="49" t="s">
        <v>4</v>
      </c>
      <c r="S549" s="48" t="s">
        <v>4</v>
      </c>
      <c r="T549" s="47" t="s">
        <v>525</v>
      </c>
    </row>
    <row r="550" spans="1:20">
      <c r="A550" s="46">
        <v>137829359830</v>
      </c>
      <c r="B550" s="44" t="s">
        <v>517</v>
      </c>
      <c r="C550" s="45">
        <v>46005</v>
      </c>
      <c r="D550" s="46">
        <v>54785788659</v>
      </c>
      <c r="E550" s="46">
        <v>2147925394061</v>
      </c>
      <c r="F550" s="47" t="s">
        <v>518</v>
      </c>
      <c r="G550" s="47" t="s">
        <v>519</v>
      </c>
      <c r="H550" s="47" t="s">
        <v>4</v>
      </c>
      <c r="I550" s="46" t="s">
        <v>4</v>
      </c>
      <c r="J550" s="48">
        <v>129.97999999999999</v>
      </c>
      <c r="K550" s="47" t="s">
        <v>520</v>
      </c>
      <c r="L550" s="47" t="s">
        <v>521</v>
      </c>
      <c r="M550" s="46" t="s">
        <v>522</v>
      </c>
      <c r="N550" s="47" t="s">
        <v>523</v>
      </c>
      <c r="O550" s="44" t="s">
        <v>4</v>
      </c>
      <c r="P550" s="47" t="s">
        <v>771</v>
      </c>
      <c r="Q550" s="48">
        <v>13400</v>
      </c>
      <c r="R550" s="49" t="s">
        <v>4</v>
      </c>
      <c r="S550" s="48" t="s">
        <v>4</v>
      </c>
      <c r="T550" s="47" t="s">
        <v>525</v>
      </c>
    </row>
    <row r="551" spans="1:20">
      <c r="A551" s="46">
        <v>137829503666</v>
      </c>
      <c r="B551" s="44" t="s">
        <v>517</v>
      </c>
      <c r="C551" s="45">
        <v>46005</v>
      </c>
      <c r="D551" s="46">
        <v>54785864980</v>
      </c>
      <c r="E551" s="46">
        <v>2148072311086</v>
      </c>
      <c r="F551" s="47" t="s">
        <v>518</v>
      </c>
      <c r="G551" s="47" t="s">
        <v>519</v>
      </c>
      <c r="H551" s="47" t="s">
        <v>4</v>
      </c>
      <c r="I551" s="46" t="s">
        <v>4</v>
      </c>
      <c r="J551" s="48">
        <v>205.64</v>
      </c>
      <c r="K551" s="47" t="s">
        <v>520</v>
      </c>
      <c r="L551" s="47" t="s">
        <v>521</v>
      </c>
      <c r="M551" s="46" t="s">
        <v>660</v>
      </c>
      <c r="N551" s="47" t="s">
        <v>661</v>
      </c>
      <c r="O551" s="44" t="s">
        <v>4</v>
      </c>
      <c r="P551" s="47" t="s">
        <v>772</v>
      </c>
      <c r="Q551" s="48">
        <v>21200</v>
      </c>
      <c r="R551" s="49" t="s">
        <v>4</v>
      </c>
      <c r="S551" s="48" t="s">
        <v>4</v>
      </c>
      <c r="T551" s="47" t="s">
        <v>525</v>
      </c>
    </row>
    <row r="552" spans="1:20">
      <c r="A552" s="46">
        <v>137195473277</v>
      </c>
      <c r="B552" s="44" t="s">
        <v>517</v>
      </c>
      <c r="C552" s="45">
        <v>46005</v>
      </c>
      <c r="D552" s="46">
        <v>54785866239</v>
      </c>
      <c r="E552" s="46">
        <v>2147926379611</v>
      </c>
      <c r="F552" s="47" t="s">
        <v>518</v>
      </c>
      <c r="G552" s="47" t="s">
        <v>519</v>
      </c>
      <c r="H552" s="47" t="s">
        <v>4</v>
      </c>
      <c r="I552" s="46" t="s">
        <v>4</v>
      </c>
      <c r="J552" s="48">
        <v>216.31</v>
      </c>
      <c r="K552" s="47" t="s">
        <v>520</v>
      </c>
      <c r="L552" s="47" t="s">
        <v>521</v>
      </c>
      <c r="M552" s="46" t="s">
        <v>522</v>
      </c>
      <c r="N552" s="47" t="s">
        <v>523</v>
      </c>
      <c r="O552" s="44" t="s">
        <v>4</v>
      </c>
      <c r="P552" s="47" t="s">
        <v>689</v>
      </c>
      <c r="Q552" s="48">
        <v>22300</v>
      </c>
      <c r="R552" s="49" t="s">
        <v>4</v>
      </c>
      <c r="S552" s="48" t="s">
        <v>4</v>
      </c>
      <c r="T552" s="47" t="s">
        <v>525</v>
      </c>
    </row>
    <row r="553" spans="1:20">
      <c r="A553" s="46">
        <v>137829747920</v>
      </c>
      <c r="B553" s="44" t="s">
        <v>517</v>
      </c>
      <c r="C553" s="45">
        <v>46005</v>
      </c>
      <c r="D553" s="46">
        <v>54785966537</v>
      </c>
      <c r="E553" s="46">
        <v>2147928393829</v>
      </c>
      <c r="F553" s="47" t="s">
        <v>518</v>
      </c>
      <c r="G553" s="47" t="s">
        <v>519</v>
      </c>
      <c r="H553" s="47" t="s">
        <v>4</v>
      </c>
      <c r="I553" s="46" t="s">
        <v>4</v>
      </c>
      <c r="J553" s="48">
        <v>102.82</v>
      </c>
      <c r="K553" s="47" t="s">
        <v>520</v>
      </c>
      <c r="L553" s="47" t="s">
        <v>521</v>
      </c>
      <c r="M553" s="46" t="s">
        <v>660</v>
      </c>
      <c r="N553" s="47" t="s">
        <v>661</v>
      </c>
      <c r="O553" s="44" t="s">
        <v>4</v>
      </c>
      <c r="P553" s="47" t="s">
        <v>773</v>
      </c>
      <c r="Q553" s="48">
        <v>10600</v>
      </c>
      <c r="R553" s="49" t="s">
        <v>4</v>
      </c>
      <c r="S553" s="48" t="s">
        <v>4</v>
      </c>
      <c r="T553" s="47" t="s">
        <v>525</v>
      </c>
    </row>
    <row r="554" spans="1:20">
      <c r="A554" s="46">
        <v>137196458579</v>
      </c>
      <c r="B554" s="44" t="s">
        <v>517</v>
      </c>
      <c r="C554" s="45">
        <v>46005</v>
      </c>
      <c r="D554" s="46">
        <v>54786218277</v>
      </c>
      <c r="E554" s="46">
        <v>2148078053920</v>
      </c>
      <c r="F554" s="47" t="s">
        <v>562</v>
      </c>
      <c r="G554" s="47" t="s">
        <v>519</v>
      </c>
      <c r="H554" s="47" t="s">
        <v>4</v>
      </c>
      <c r="I554" s="46" t="s">
        <v>4</v>
      </c>
      <c r="J554" s="48">
        <v>841.08</v>
      </c>
      <c r="K554" s="47" t="s">
        <v>520</v>
      </c>
      <c r="L554" s="47" t="s">
        <v>521</v>
      </c>
      <c r="M554" s="46" t="s">
        <v>522</v>
      </c>
      <c r="N554" s="47" t="s">
        <v>523</v>
      </c>
      <c r="O554" s="44" t="s">
        <v>4</v>
      </c>
      <c r="P554" s="47" t="s">
        <v>739</v>
      </c>
      <c r="Q554" s="48">
        <v>51600</v>
      </c>
      <c r="R554" s="49" t="s">
        <v>4</v>
      </c>
      <c r="S554" s="48" t="s">
        <v>4</v>
      </c>
      <c r="T554" s="47" t="s">
        <v>525</v>
      </c>
    </row>
    <row r="555" spans="1:20">
      <c r="A555" s="46">
        <v>137830863958</v>
      </c>
      <c r="B555" s="44" t="s">
        <v>517</v>
      </c>
      <c r="C555" s="45">
        <v>46005</v>
      </c>
      <c r="D555" s="46">
        <v>54786398894</v>
      </c>
      <c r="E555" s="46">
        <v>2147935648519</v>
      </c>
      <c r="F555" s="47" t="s">
        <v>518</v>
      </c>
      <c r="G555" s="47" t="s">
        <v>519</v>
      </c>
      <c r="H555" s="47" t="s">
        <v>4</v>
      </c>
      <c r="I555" s="46" t="s">
        <v>4</v>
      </c>
      <c r="J555" s="48">
        <v>1627.66</v>
      </c>
      <c r="K555" s="47" t="s">
        <v>520</v>
      </c>
      <c r="L555" s="47" t="s">
        <v>521</v>
      </c>
      <c r="M555" s="46" t="s">
        <v>522</v>
      </c>
      <c r="N555" s="47" t="s">
        <v>523</v>
      </c>
      <c r="O555" s="44" t="s">
        <v>4</v>
      </c>
      <c r="P555" s="47" t="s">
        <v>774</v>
      </c>
      <c r="Q555" s="48">
        <v>167800</v>
      </c>
      <c r="R555" s="49" t="s">
        <v>4</v>
      </c>
      <c r="S555" s="48" t="s">
        <v>4</v>
      </c>
      <c r="T555" s="47" t="s">
        <v>525</v>
      </c>
    </row>
    <row r="556" spans="1:20">
      <c r="A556" s="46">
        <v>137831029106</v>
      </c>
      <c r="B556" s="44" t="s">
        <v>517</v>
      </c>
      <c r="C556" s="45">
        <v>46005</v>
      </c>
      <c r="D556" s="46">
        <v>54786446644</v>
      </c>
      <c r="E556" s="46">
        <v>2147936198295</v>
      </c>
      <c r="F556" s="47" t="s">
        <v>518</v>
      </c>
      <c r="G556" s="47" t="s">
        <v>519</v>
      </c>
      <c r="H556" s="47" t="s">
        <v>4</v>
      </c>
      <c r="I556" s="46" t="s">
        <v>4</v>
      </c>
      <c r="J556" s="48">
        <v>86.33</v>
      </c>
      <c r="K556" s="47" t="s">
        <v>520</v>
      </c>
      <c r="L556" s="47" t="s">
        <v>521</v>
      </c>
      <c r="M556" s="46" t="s">
        <v>660</v>
      </c>
      <c r="N556" s="47" t="s">
        <v>661</v>
      </c>
      <c r="O556" s="44" t="s">
        <v>4</v>
      </c>
      <c r="P556" s="47" t="s">
        <v>775</v>
      </c>
      <c r="Q556" s="48">
        <v>8900</v>
      </c>
      <c r="R556" s="49" t="s">
        <v>4</v>
      </c>
      <c r="S556" s="48" t="s">
        <v>4</v>
      </c>
      <c r="T556" s="47" t="s">
        <v>525</v>
      </c>
    </row>
    <row r="557" spans="1:20">
      <c r="A557" s="46">
        <v>137197267481</v>
      </c>
      <c r="B557" s="44" t="s">
        <v>517</v>
      </c>
      <c r="C557" s="45">
        <v>46005</v>
      </c>
      <c r="D557" s="46">
        <v>54786606580</v>
      </c>
      <c r="E557" s="46">
        <v>2147938248019</v>
      </c>
      <c r="F557" s="47" t="s">
        <v>562</v>
      </c>
      <c r="G557" s="47" t="s">
        <v>519</v>
      </c>
      <c r="H557" s="47" t="s">
        <v>4</v>
      </c>
      <c r="I557" s="46" t="s">
        <v>4</v>
      </c>
      <c r="J557" s="48">
        <v>249.39</v>
      </c>
      <c r="K557" s="47" t="s">
        <v>520</v>
      </c>
      <c r="L557" s="47" t="s">
        <v>521</v>
      </c>
      <c r="M557" s="46" t="s">
        <v>522</v>
      </c>
      <c r="N557" s="47" t="s">
        <v>523</v>
      </c>
      <c r="O557" s="44" t="s">
        <v>4</v>
      </c>
      <c r="P557" s="47" t="s">
        <v>563</v>
      </c>
      <c r="Q557" s="48">
        <v>15300</v>
      </c>
      <c r="R557" s="49" t="s">
        <v>4</v>
      </c>
      <c r="S557" s="48" t="s">
        <v>4</v>
      </c>
      <c r="T557" s="47" t="s">
        <v>525</v>
      </c>
    </row>
    <row r="558" spans="1:20">
      <c r="A558" s="46">
        <v>137831433098</v>
      </c>
      <c r="B558" s="44" t="s">
        <v>517</v>
      </c>
      <c r="C558" s="45">
        <v>46005</v>
      </c>
      <c r="D558" s="46">
        <v>54786642845</v>
      </c>
      <c r="E558" s="46">
        <v>2147938884699</v>
      </c>
      <c r="F558" s="47" t="s">
        <v>518</v>
      </c>
      <c r="G558" s="47" t="s">
        <v>519</v>
      </c>
      <c r="H558" s="47" t="s">
        <v>4</v>
      </c>
      <c r="I558" s="46" t="s">
        <v>4</v>
      </c>
      <c r="J558" s="48">
        <v>142.59</v>
      </c>
      <c r="K558" s="47" t="s">
        <v>520</v>
      </c>
      <c r="L558" s="47" t="s">
        <v>521</v>
      </c>
      <c r="M558" s="46" t="s">
        <v>522</v>
      </c>
      <c r="N558" s="47" t="s">
        <v>523</v>
      </c>
      <c r="O558" s="44" t="s">
        <v>4</v>
      </c>
      <c r="P558" s="47" t="s">
        <v>776</v>
      </c>
      <c r="Q558" s="48">
        <v>14700</v>
      </c>
      <c r="R558" s="49" t="s">
        <v>4</v>
      </c>
      <c r="S558" s="48" t="s">
        <v>4</v>
      </c>
      <c r="T558" s="47" t="s">
        <v>525</v>
      </c>
    </row>
    <row r="559" spans="1:20">
      <c r="A559" s="46">
        <v>137831398946</v>
      </c>
      <c r="B559" s="44" t="s">
        <v>517</v>
      </c>
      <c r="C559" s="45">
        <v>46005</v>
      </c>
      <c r="D559" s="46">
        <v>54786648287</v>
      </c>
      <c r="E559" s="46">
        <v>2148084762222</v>
      </c>
      <c r="F559" s="47" t="s">
        <v>518</v>
      </c>
      <c r="G559" s="47" t="s">
        <v>519</v>
      </c>
      <c r="H559" s="47" t="s">
        <v>4</v>
      </c>
      <c r="I559" s="46" t="s">
        <v>4</v>
      </c>
      <c r="J559" s="48">
        <v>213.4</v>
      </c>
      <c r="K559" s="47" t="s">
        <v>520</v>
      </c>
      <c r="L559" s="47" t="s">
        <v>521</v>
      </c>
      <c r="M559" s="46" t="s">
        <v>522</v>
      </c>
      <c r="N559" s="47" t="s">
        <v>523</v>
      </c>
      <c r="O559" s="44" t="s">
        <v>4</v>
      </c>
      <c r="P559" s="47" t="s">
        <v>777</v>
      </c>
      <c r="Q559" s="48">
        <v>22000</v>
      </c>
      <c r="R559" s="49" t="s">
        <v>4</v>
      </c>
      <c r="S559" s="48" t="s">
        <v>4</v>
      </c>
      <c r="T559" s="47" t="s">
        <v>525</v>
      </c>
    </row>
    <row r="560" spans="1:20">
      <c r="A560" s="46">
        <v>137272856787</v>
      </c>
      <c r="B560" s="44" t="s">
        <v>517</v>
      </c>
      <c r="C560" s="45">
        <v>46005</v>
      </c>
      <c r="D560" s="46">
        <v>54822170279</v>
      </c>
      <c r="E560" s="46">
        <v>2148422873939</v>
      </c>
      <c r="F560" s="47" t="s">
        <v>518</v>
      </c>
      <c r="G560" s="47" t="s">
        <v>519</v>
      </c>
      <c r="H560" s="47" t="s">
        <v>4</v>
      </c>
      <c r="I560" s="46" t="s">
        <v>4</v>
      </c>
      <c r="J560" s="48">
        <v>252.2</v>
      </c>
      <c r="K560" s="47" t="s">
        <v>520</v>
      </c>
      <c r="L560" s="47" t="s">
        <v>521</v>
      </c>
      <c r="M560" s="46" t="s">
        <v>522</v>
      </c>
      <c r="N560" s="47" t="s">
        <v>523</v>
      </c>
      <c r="O560" s="44" t="s">
        <v>4</v>
      </c>
      <c r="P560" s="47" t="s">
        <v>778</v>
      </c>
      <c r="Q560" s="48">
        <v>26000</v>
      </c>
      <c r="R560" s="49" t="s">
        <v>4</v>
      </c>
      <c r="S560" s="48" t="s">
        <v>4</v>
      </c>
      <c r="T560" s="47" t="s">
        <v>525</v>
      </c>
    </row>
    <row r="561" spans="1:20">
      <c r="A561" s="46">
        <v>137274462155</v>
      </c>
      <c r="B561" s="44" t="s">
        <v>517</v>
      </c>
      <c r="C561" s="45">
        <v>46005</v>
      </c>
      <c r="D561" s="46">
        <v>54822847159</v>
      </c>
      <c r="E561" s="46">
        <v>2148433058191</v>
      </c>
      <c r="F561" s="47" t="s">
        <v>529</v>
      </c>
      <c r="G561" s="47" t="s">
        <v>519</v>
      </c>
      <c r="H561" s="47" t="s">
        <v>4</v>
      </c>
      <c r="I561" s="46" t="s">
        <v>4</v>
      </c>
      <c r="J561" s="48">
        <v>2322.63</v>
      </c>
      <c r="K561" s="47" t="s">
        <v>520</v>
      </c>
      <c r="L561" s="47" t="s">
        <v>530</v>
      </c>
      <c r="M561" s="46" t="s">
        <v>660</v>
      </c>
      <c r="N561" s="47" t="s">
        <v>661</v>
      </c>
      <c r="O561" s="44" t="s">
        <v>263</v>
      </c>
      <c r="P561" s="47" t="s">
        <v>531</v>
      </c>
      <c r="Q561" s="48">
        <v>59100</v>
      </c>
      <c r="R561" s="49" t="s">
        <v>4</v>
      </c>
      <c r="S561" s="48" t="s">
        <v>4</v>
      </c>
      <c r="T561" s="47" t="s">
        <v>525</v>
      </c>
    </row>
    <row r="562" spans="1:20">
      <c r="A562" s="46">
        <v>137915080182</v>
      </c>
      <c r="B562" s="44" t="s">
        <v>517</v>
      </c>
      <c r="C562" s="45">
        <v>46005</v>
      </c>
      <c r="D562" s="46">
        <v>54825348227</v>
      </c>
      <c r="E562" s="46">
        <v>2148616631416</v>
      </c>
      <c r="F562" s="47" t="s">
        <v>529</v>
      </c>
      <c r="G562" s="47" t="s">
        <v>519</v>
      </c>
      <c r="H562" s="47" t="s">
        <v>4</v>
      </c>
      <c r="I562" s="46" t="s">
        <v>4</v>
      </c>
      <c r="J562" s="48">
        <v>1237.95</v>
      </c>
      <c r="K562" s="47" t="s">
        <v>520</v>
      </c>
      <c r="L562" s="47" t="s">
        <v>530</v>
      </c>
      <c r="M562" s="46" t="s">
        <v>660</v>
      </c>
      <c r="N562" s="47" t="s">
        <v>661</v>
      </c>
      <c r="O562" s="44" t="s">
        <v>263</v>
      </c>
      <c r="P562" s="47" t="s">
        <v>531</v>
      </c>
      <c r="Q562" s="48">
        <v>31500</v>
      </c>
      <c r="R562" s="49" t="s">
        <v>4</v>
      </c>
      <c r="S562" s="48" t="s">
        <v>4</v>
      </c>
      <c r="T562" s="47" t="s">
        <v>525</v>
      </c>
    </row>
    <row r="563" spans="1:20">
      <c r="A563" s="46">
        <v>137917455156</v>
      </c>
      <c r="B563" s="44" t="s">
        <v>517</v>
      </c>
      <c r="C563" s="45">
        <v>46005</v>
      </c>
      <c r="D563" s="46">
        <v>54826469697</v>
      </c>
      <c r="E563" s="46">
        <v>2148487212045</v>
      </c>
      <c r="F563" s="47" t="s">
        <v>529</v>
      </c>
      <c r="G563" s="47" t="s">
        <v>519</v>
      </c>
      <c r="H563" s="47" t="s">
        <v>4</v>
      </c>
      <c r="I563" s="46" t="s">
        <v>4</v>
      </c>
      <c r="J563" s="48">
        <v>754.56</v>
      </c>
      <c r="K563" s="47" t="s">
        <v>520</v>
      </c>
      <c r="L563" s="47" t="s">
        <v>530</v>
      </c>
      <c r="M563" s="46" t="s">
        <v>522</v>
      </c>
      <c r="N563" s="47" t="s">
        <v>523</v>
      </c>
      <c r="O563" s="44" t="s">
        <v>263</v>
      </c>
      <c r="P563" s="47" t="s">
        <v>531</v>
      </c>
      <c r="Q563" s="48">
        <v>19200</v>
      </c>
      <c r="R563" s="49" t="s">
        <v>4</v>
      </c>
      <c r="S563" s="48" t="s">
        <v>4</v>
      </c>
      <c r="T563" s="47" t="s">
        <v>525</v>
      </c>
    </row>
    <row r="564" spans="1:20">
      <c r="A564" s="46">
        <v>137918261544</v>
      </c>
      <c r="B564" s="44" t="s">
        <v>517</v>
      </c>
      <c r="C564" s="45">
        <v>46005</v>
      </c>
      <c r="D564" s="46">
        <v>54826787396</v>
      </c>
      <c r="E564" s="46">
        <v>2148492005649</v>
      </c>
      <c r="F564" s="47" t="s">
        <v>518</v>
      </c>
      <c r="G564" s="47" t="s">
        <v>519</v>
      </c>
      <c r="H564" s="47" t="s">
        <v>4</v>
      </c>
      <c r="I564" s="46" t="s">
        <v>4</v>
      </c>
      <c r="J564" s="48">
        <v>475.3</v>
      </c>
      <c r="K564" s="47" t="s">
        <v>520</v>
      </c>
      <c r="L564" s="47" t="s">
        <v>521</v>
      </c>
      <c r="M564" s="46" t="s">
        <v>522</v>
      </c>
      <c r="N564" s="47" t="s">
        <v>523</v>
      </c>
      <c r="O564" s="44" t="s">
        <v>4</v>
      </c>
      <c r="P564" s="47" t="s">
        <v>779</v>
      </c>
      <c r="Q564" s="48">
        <v>49000</v>
      </c>
      <c r="R564" s="49" t="s">
        <v>4</v>
      </c>
      <c r="S564" s="48" t="s">
        <v>4</v>
      </c>
      <c r="T564" s="47" t="s">
        <v>525</v>
      </c>
    </row>
    <row r="565" spans="1:20">
      <c r="A565" s="46">
        <v>137284390157</v>
      </c>
      <c r="B565" s="44" t="s">
        <v>517</v>
      </c>
      <c r="C565" s="45">
        <v>46005</v>
      </c>
      <c r="D565" s="46">
        <v>54827151419</v>
      </c>
      <c r="E565" s="46">
        <v>2148497126381</v>
      </c>
      <c r="F565" s="47" t="s">
        <v>518</v>
      </c>
      <c r="G565" s="47" t="s">
        <v>519</v>
      </c>
      <c r="H565" s="47" t="s">
        <v>4</v>
      </c>
      <c r="I565" s="46" t="s">
        <v>4</v>
      </c>
      <c r="J565" s="48">
        <v>166.84</v>
      </c>
      <c r="K565" s="47" t="s">
        <v>520</v>
      </c>
      <c r="L565" s="47" t="s">
        <v>521</v>
      </c>
      <c r="M565" s="46" t="s">
        <v>660</v>
      </c>
      <c r="N565" s="47" t="s">
        <v>661</v>
      </c>
      <c r="O565" s="44" t="s">
        <v>4</v>
      </c>
      <c r="P565" s="47" t="s">
        <v>780</v>
      </c>
      <c r="Q565" s="48">
        <v>17200</v>
      </c>
      <c r="R565" s="49" t="s">
        <v>4</v>
      </c>
      <c r="S565" s="48" t="s">
        <v>4</v>
      </c>
      <c r="T565" s="47" t="s">
        <v>525</v>
      </c>
    </row>
    <row r="566" spans="1:20">
      <c r="A566" s="46">
        <v>137919655398</v>
      </c>
      <c r="B566" s="44" t="s">
        <v>517</v>
      </c>
      <c r="C566" s="45">
        <v>46005</v>
      </c>
      <c r="D566" s="46">
        <v>54827391323</v>
      </c>
      <c r="E566" s="46">
        <v>2148500674367</v>
      </c>
      <c r="F566" s="47" t="s">
        <v>529</v>
      </c>
      <c r="G566" s="47" t="s">
        <v>519</v>
      </c>
      <c r="H566" s="47" t="s">
        <v>4</v>
      </c>
      <c r="I566" s="46" t="s">
        <v>4</v>
      </c>
      <c r="J566" s="48">
        <v>222.46</v>
      </c>
      <c r="K566" s="47" t="s">
        <v>520</v>
      </c>
      <c r="L566" s="47" t="s">
        <v>530</v>
      </c>
      <c r="M566" s="46" t="s">
        <v>522</v>
      </c>
      <c r="N566" s="47" t="s">
        <v>523</v>
      </c>
      <c r="O566" s="44" t="s">
        <v>263</v>
      </c>
      <c r="P566" s="47" t="s">
        <v>531</v>
      </c>
      <c r="Q566" s="48">
        <v>4900</v>
      </c>
      <c r="R566" s="49" t="s">
        <v>4</v>
      </c>
      <c r="S566" s="48" t="s">
        <v>4</v>
      </c>
      <c r="T566" s="47" t="s">
        <v>525</v>
      </c>
    </row>
    <row r="567" spans="1:20">
      <c r="A567" s="46">
        <v>137919990346</v>
      </c>
      <c r="B567" s="44" t="s">
        <v>517</v>
      </c>
      <c r="C567" s="45">
        <v>46005</v>
      </c>
      <c r="D567" s="46">
        <v>54827508118</v>
      </c>
      <c r="E567" s="46">
        <v>2148502302669</v>
      </c>
      <c r="F567" s="47" t="s">
        <v>518</v>
      </c>
      <c r="G567" s="47" t="s">
        <v>519</v>
      </c>
      <c r="H567" s="47" t="s">
        <v>4</v>
      </c>
      <c r="I567" s="46" t="s">
        <v>4</v>
      </c>
      <c r="J567" s="48">
        <v>372.89</v>
      </c>
      <c r="K567" s="47" t="s">
        <v>520</v>
      </c>
      <c r="L567" s="47" t="s">
        <v>521</v>
      </c>
      <c r="M567" s="46" t="s">
        <v>660</v>
      </c>
      <c r="N567" s="47" t="s">
        <v>661</v>
      </c>
      <c r="O567" s="44" t="s">
        <v>4</v>
      </c>
      <c r="P567" s="47" t="s">
        <v>611</v>
      </c>
      <c r="Q567" s="48">
        <v>4900</v>
      </c>
      <c r="R567" s="49" t="s">
        <v>4</v>
      </c>
      <c r="S567" s="48" t="s">
        <v>4</v>
      </c>
      <c r="T567" s="47" t="s">
        <v>525</v>
      </c>
    </row>
    <row r="568" spans="1:20">
      <c r="A568" s="46">
        <v>137920602650</v>
      </c>
      <c r="B568" s="44" t="s">
        <v>517</v>
      </c>
      <c r="C568" s="45">
        <v>46005</v>
      </c>
      <c r="D568" s="46">
        <v>54827777854</v>
      </c>
      <c r="E568" s="46">
        <v>2148506438807</v>
      </c>
      <c r="F568" s="47" t="s">
        <v>529</v>
      </c>
      <c r="G568" s="47" t="s">
        <v>519</v>
      </c>
      <c r="H568" s="47" t="s">
        <v>4</v>
      </c>
      <c r="I568" s="46" t="s">
        <v>4</v>
      </c>
      <c r="J568" s="48">
        <v>3069.33</v>
      </c>
      <c r="K568" s="47" t="s">
        <v>520</v>
      </c>
      <c r="L568" s="47" t="s">
        <v>530</v>
      </c>
      <c r="M568" s="46" t="s">
        <v>660</v>
      </c>
      <c r="N568" s="47" t="s">
        <v>661</v>
      </c>
      <c r="O568" s="44" t="s">
        <v>263</v>
      </c>
      <c r="P568" s="47" t="s">
        <v>531</v>
      </c>
      <c r="Q568" s="48">
        <v>78100</v>
      </c>
      <c r="R568" s="49" t="s">
        <v>4</v>
      </c>
      <c r="S568" s="48" t="s">
        <v>4</v>
      </c>
      <c r="T568" s="47" t="s">
        <v>525</v>
      </c>
    </row>
    <row r="569" spans="1:20">
      <c r="A569" s="46">
        <v>137920760336</v>
      </c>
      <c r="B569" s="44" t="s">
        <v>517</v>
      </c>
      <c r="C569" s="45">
        <v>46005</v>
      </c>
      <c r="D569" s="46">
        <v>54827833562</v>
      </c>
      <c r="E569" s="46">
        <v>2148653500304</v>
      </c>
      <c r="F569" s="47" t="s">
        <v>518</v>
      </c>
      <c r="G569" s="47" t="s">
        <v>519</v>
      </c>
      <c r="H569" s="47" t="s">
        <v>4</v>
      </c>
      <c r="I569" s="46" t="s">
        <v>4</v>
      </c>
      <c r="J569" s="48">
        <v>383.15</v>
      </c>
      <c r="K569" s="47" t="s">
        <v>520</v>
      </c>
      <c r="L569" s="47" t="s">
        <v>521</v>
      </c>
      <c r="M569" s="46" t="s">
        <v>522</v>
      </c>
      <c r="N569" s="47" t="s">
        <v>523</v>
      </c>
      <c r="O569" s="44" t="s">
        <v>4</v>
      </c>
      <c r="P569" s="47" t="s">
        <v>781</v>
      </c>
      <c r="Q569" s="48">
        <v>39500</v>
      </c>
      <c r="R569" s="49" t="s">
        <v>4</v>
      </c>
      <c r="S569" s="48" t="s">
        <v>4</v>
      </c>
      <c r="T569" s="47" t="s">
        <v>525</v>
      </c>
    </row>
    <row r="570" spans="1:20">
      <c r="A570" s="46">
        <v>137286737407</v>
      </c>
      <c r="B570" s="44" t="s">
        <v>517</v>
      </c>
      <c r="C570" s="45">
        <v>46005</v>
      </c>
      <c r="D570" s="46">
        <v>54828153025</v>
      </c>
      <c r="E570" s="46">
        <v>2148658437064</v>
      </c>
      <c r="F570" s="47" t="s">
        <v>518</v>
      </c>
      <c r="G570" s="47" t="s">
        <v>519</v>
      </c>
      <c r="H570" s="47" t="s">
        <v>4</v>
      </c>
      <c r="I570" s="46" t="s">
        <v>4</v>
      </c>
      <c r="J570" s="48">
        <v>957.39</v>
      </c>
      <c r="K570" s="47" t="s">
        <v>520</v>
      </c>
      <c r="L570" s="47" t="s">
        <v>521</v>
      </c>
      <c r="M570" s="46" t="s">
        <v>522</v>
      </c>
      <c r="N570" s="47" t="s">
        <v>523</v>
      </c>
      <c r="O570" s="44" t="s">
        <v>4</v>
      </c>
      <c r="P570" s="47" t="s">
        <v>782</v>
      </c>
      <c r="Q570" s="48">
        <v>98700</v>
      </c>
      <c r="R570" s="49" t="s">
        <v>4</v>
      </c>
      <c r="S570" s="48" t="s">
        <v>4</v>
      </c>
      <c r="T570" s="47" t="s">
        <v>525</v>
      </c>
    </row>
    <row r="571" spans="1:20">
      <c r="A571" s="46">
        <v>137287058345</v>
      </c>
      <c r="B571" s="44" t="s">
        <v>517</v>
      </c>
      <c r="C571" s="45">
        <v>46005</v>
      </c>
      <c r="D571" s="46">
        <v>54828262567</v>
      </c>
      <c r="E571" s="46">
        <v>2148660082228</v>
      </c>
      <c r="F571" s="47" t="s">
        <v>518</v>
      </c>
      <c r="G571" s="47" t="s">
        <v>519</v>
      </c>
      <c r="H571" s="47" t="s">
        <v>4</v>
      </c>
      <c r="I571" s="46" t="s">
        <v>4</v>
      </c>
      <c r="J571" s="48">
        <v>711.98</v>
      </c>
      <c r="K571" s="47" t="s">
        <v>520</v>
      </c>
      <c r="L571" s="47" t="s">
        <v>521</v>
      </c>
      <c r="M571" s="46" t="s">
        <v>522</v>
      </c>
      <c r="N571" s="47" t="s">
        <v>523</v>
      </c>
      <c r="O571" s="44" t="s">
        <v>4</v>
      </c>
      <c r="P571" s="47" t="s">
        <v>783</v>
      </c>
      <c r="Q571" s="48">
        <v>73400</v>
      </c>
      <c r="R571" s="49" t="s">
        <v>4</v>
      </c>
      <c r="S571" s="48" t="s">
        <v>4</v>
      </c>
      <c r="T571" s="47" t="s">
        <v>525</v>
      </c>
    </row>
    <row r="572" spans="1:20">
      <c r="A572" s="46">
        <v>137287882597</v>
      </c>
      <c r="B572" s="44" t="s">
        <v>517</v>
      </c>
      <c r="C572" s="45">
        <v>46005</v>
      </c>
      <c r="D572" s="46">
        <v>54828610806</v>
      </c>
      <c r="E572" s="46">
        <v>2148518831603</v>
      </c>
      <c r="F572" s="47" t="s">
        <v>526</v>
      </c>
      <c r="G572" s="47" t="s">
        <v>519</v>
      </c>
      <c r="H572" s="47" t="s">
        <v>4</v>
      </c>
      <c r="I572" s="46" t="s">
        <v>4</v>
      </c>
      <c r="J572" s="48">
        <v>1055.3599999999999</v>
      </c>
      <c r="K572" s="47" t="s">
        <v>520</v>
      </c>
      <c r="L572" s="47" t="s">
        <v>521</v>
      </c>
      <c r="M572" s="46" t="s">
        <v>522</v>
      </c>
      <c r="N572" s="47" t="s">
        <v>523</v>
      </c>
      <c r="O572" s="44" t="s">
        <v>4</v>
      </c>
      <c r="P572" s="47" t="s">
        <v>527</v>
      </c>
      <c r="Q572" s="48">
        <v>108800</v>
      </c>
      <c r="R572" s="49" t="s">
        <v>4</v>
      </c>
      <c r="S572" s="48" t="s">
        <v>4</v>
      </c>
      <c r="T572" s="47" t="s">
        <v>4</v>
      </c>
    </row>
    <row r="573" spans="1:20">
      <c r="A573" s="46">
        <v>137287763759</v>
      </c>
      <c r="B573" s="44" t="s">
        <v>517</v>
      </c>
      <c r="C573" s="45">
        <v>46005</v>
      </c>
      <c r="D573" s="46">
        <v>54828620607</v>
      </c>
      <c r="E573" s="46">
        <v>2148665428410</v>
      </c>
      <c r="F573" s="47" t="s">
        <v>529</v>
      </c>
      <c r="G573" s="47" t="s">
        <v>519</v>
      </c>
      <c r="H573" s="47" t="s">
        <v>4</v>
      </c>
      <c r="I573" s="46" t="s">
        <v>4</v>
      </c>
      <c r="J573" s="48">
        <v>5441.15</v>
      </c>
      <c r="K573" s="47" t="s">
        <v>520</v>
      </c>
      <c r="L573" s="47" t="s">
        <v>530</v>
      </c>
      <c r="M573" s="46" t="s">
        <v>660</v>
      </c>
      <c r="N573" s="47" t="s">
        <v>661</v>
      </c>
      <c r="O573" s="44" t="s">
        <v>263</v>
      </c>
      <c r="P573" s="47" t="s">
        <v>531</v>
      </c>
      <c r="Q573" s="48">
        <v>71500</v>
      </c>
      <c r="R573" s="49" t="s">
        <v>4</v>
      </c>
      <c r="S573" s="48" t="s">
        <v>4</v>
      </c>
      <c r="T573" s="47" t="s">
        <v>525</v>
      </c>
    </row>
    <row r="574" spans="1:20">
      <c r="A574" s="46">
        <v>137288757543</v>
      </c>
      <c r="B574" s="44" t="s">
        <v>517</v>
      </c>
      <c r="C574" s="45">
        <v>46005</v>
      </c>
      <c r="D574" s="46">
        <v>54829098047</v>
      </c>
      <c r="E574" s="46">
        <v>2148526326527</v>
      </c>
      <c r="F574" s="47" t="s">
        <v>529</v>
      </c>
      <c r="G574" s="47" t="s">
        <v>519</v>
      </c>
      <c r="H574" s="47" t="s">
        <v>4</v>
      </c>
      <c r="I574" s="46" t="s">
        <v>4</v>
      </c>
      <c r="J574" s="48">
        <v>222.46</v>
      </c>
      <c r="K574" s="47" t="s">
        <v>520</v>
      </c>
      <c r="L574" s="47" t="s">
        <v>530</v>
      </c>
      <c r="M574" s="46" t="s">
        <v>522</v>
      </c>
      <c r="N574" s="47" t="s">
        <v>523</v>
      </c>
      <c r="O574" s="44" t="s">
        <v>263</v>
      </c>
      <c r="P574" s="47" t="s">
        <v>531</v>
      </c>
      <c r="Q574" s="48">
        <v>4900</v>
      </c>
      <c r="R574" s="49" t="s">
        <v>4</v>
      </c>
      <c r="S574" s="48" t="s">
        <v>4</v>
      </c>
      <c r="T574" s="47" t="s">
        <v>525</v>
      </c>
    </row>
    <row r="575" spans="1:20">
      <c r="A575" s="46">
        <v>137924517588</v>
      </c>
      <c r="B575" s="44" t="s">
        <v>517</v>
      </c>
      <c r="C575" s="45">
        <v>46005</v>
      </c>
      <c r="D575" s="46">
        <v>54829540406</v>
      </c>
      <c r="E575" s="46">
        <v>2148532759659</v>
      </c>
      <c r="F575" s="47" t="s">
        <v>529</v>
      </c>
      <c r="G575" s="47" t="s">
        <v>519</v>
      </c>
      <c r="H575" s="47" t="s">
        <v>4</v>
      </c>
      <c r="I575" s="46" t="s">
        <v>4</v>
      </c>
      <c r="J575" s="48">
        <v>4777</v>
      </c>
      <c r="K575" s="47" t="s">
        <v>520</v>
      </c>
      <c r="L575" s="47" t="s">
        <v>530</v>
      </c>
      <c r="M575" s="46" t="s">
        <v>522</v>
      </c>
      <c r="N575" s="47" t="s">
        <v>523</v>
      </c>
      <c r="O575" s="44" t="s">
        <v>263</v>
      </c>
      <c r="P575" s="47" t="s">
        <v>531</v>
      </c>
      <c r="Q575" s="48">
        <v>42500</v>
      </c>
      <c r="R575" s="49" t="s">
        <v>4</v>
      </c>
      <c r="S575" s="48" t="s">
        <v>4</v>
      </c>
      <c r="T575" s="47" t="s">
        <v>525</v>
      </c>
    </row>
    <row r="576" spans="1:20">
      <c r="A576" s="46">
        <v>137290068965</v>
      </c>
      <c r="B576" s="44" t="s">
        <v>517</v>
      </c>
      <c r="C576" s="45">
        <v>46005</v>
      </c>
      <c r="D576" s="46">
        <v>54829571492</v>
      </c>
      <c r="E576" s="46">
        <v>2148533254407</v>
      </c>
      <c r="F576" s="47" t="s">
        <v>518</v>
      </c>
      <c r="G576" s="47" t="s">
        <v>519</v>
      </c>
      <c r="H576" s="47" t="s">
        <v>4</v>
      </c>
      <c r="I576" s="46" t="s">
        <v>4</v>
      </c>
      <c r="J576" s="48">
        <v>91.18</v>
      </c>
      <c r="K576" s="47" t="s">
        <v>520</v>
      </c>
      <c r="L576" s="47" t="s">
        <v>521</v>
      </c>
      <c r="M576" s="46" t="s">
        <v>522</v>
      </c>
      <c r="N576" s="47" t="s">
        <v>523</v>
      </c>
      <c r="O576" s="44" t="s">
        <v>4</v>
      </c>
      <c r="P576" s="47" t="s">
        <v>784</v>
      </c>
      <c r="Q576" s="48">
        <v>9400</v>
      </c>
      <c r="R576" s="49" t="s">
        <v>4</v>
      </c>
      <c r="S576" s="48" t="s">
        <v>4</v>
      </c>
      <c r="T576" s="47" t="s">
        <v>525</v>
      </c>
    </row>
    <row r="577" spans="1:20">
      <c r="A577" s="46">
        <v>137926143226</v>
      </c>
      <c r="B577" s="44" t="s">
        <v>517</v>
      </c>
      <c r="C577" s="45">
        <v>46005</v>
      </c>
      <c r="D577" s="46">
        <v>54830309581</v>
      </c>
      <c r="E577" s="46">
        <v>2148543970121</v>
      </c>
      <c r="F577" s="47" t="s">
        <v>518</v>
      </c>
      <c r="G577" s="47" t="s">
        <v>519</v>
      </c>
      <c r="H577" s="47" t="s">
        <v>4</v>
      </c>
      <c r="I577" s="46" t="s">
        <v>4</v>
      </c>
      <c r="J577" s="48">
        <v>365.28</v>
      </c>
      <c r="K577" s="47" t="s">
        <v>520</v>
      </c>
      <c r="L577" s="47" t="s">
        <v>521</v>
      </c>
      <c r="M577" s="46" t="s">
        <v>522</v>
      </c>
      <c r="N577" s="47" t="s">
        <v>523</v>
      </c>
      <c r="O577" s="44" t="s">
        <v>4</v>
      </c>
      <c r="P577" s="47" t="s">
        <v>543</v>
      </c>
      <c r="Q577" s="48">
        <v>4800</v>
      </c>
      <c r="R577" s="49" t="s">
        <v>4</v>
      </c>
      <c r="S577" s="48" t="s">
        <v>4</v>
      </c>
      <c r="T577" s="47" t="s">
        <v>525</v>
      </c>
    </row>
    <row r="578" spans="1:20">
      <c r="A578" s="46">
        <v>137926389112</v>
      </c>
      <c r="B578" s="44" t="s">
        <v>517</v>
      </c>
      <c r="C578" s="45">
        <v>46005</v>
      </c>
      <c r="D578" s="46">
        <v>54830393059</v>
      </c>
      <c r="E578" s="46">
        <v>2148545147057</v>
      </c>
      <c r="F578" s="47" t="s">
        <v>529</v>
      </c>
      <c r="G578" s="47" t="s">
        <v>519</v>
      </c>
      <c r="H578" s="47" t="s">
        <v>4</v>
      </c>
      <c r="I578" s="46" t="s">
        <v>4</v>
      </c>
      <c r="J578" s="48">
        <v>1411.94</v>
      </c>
      <c r="K578" s="47" t="s">
        <v>520</v>
      </c>
      <c r="L578" s="47" t="s">
        <v>530</v>
      </c>
      <c r="M578" s="46" t="s">
        <v>522</v>
      </c>
      <c r="N578" s="47" t="s">
        <v>523</v>
      </c>
      <c r="O578" s="44" t="s">
        <v>263</v>
      </c>
      <c r="P578" s="47" t="s">
        <v>531</v>
      </c>
      <c r="Q578" s="48">
        <v>31100</v>
      </c>
      <c r="R578" s="49" t="s">
        <v>4</v>
      </c>
      <c r="S578" s="48" t="s">
        <v>4</v>
      </c>
      <c r="T578" s="47" t="s">
        <v>525</v>
      </c>
    </row>
    <row r="579" spans="1:20">
      <c r="A579" s="46">
        <v>137291943369</v>
      </c>
      <c r="B579" s="44" t="s">
        <v>517</v>
      </c>
      <c r="C579" s="45">
        <v>46005</v>
      </c>
      <c r="D579" s="46">
        <v>54830498601</v>
      </c>
      <c r="E579" s="46">
        <v>2148692453670</v>
      </c>
      <c r="F579" s="47" t="s">
        <v>526</v>
      </c>
      <c r="G579" s="47" t="s">
        <v>519</v>
      </c>
      <c r="H579" s="47" t="s">
        <v>4</v>
      </c>
      <c r="I579" s="46" t="s">
        <v>4</v>
      </c>
      <c r="J579" s="48">
        <v>139.68</v>
      </c>
      <c r="K579" s="47" t="s">
        <v>520</v>
      </c>
      <c r="L579" s="47" t="s">
        <v>521</v>
      </c>
      <c r="M579" s="46" t="s">
        <v>522</v>
      </c>
      <c r="N579" s="47" t="s">
        <v>523</v>
      </c>
      <c r="O579" s="44" t="s">
        <v>4</v>
      </c>
      <c r="P579" s="47" t="s">
        <v>527</v>
      </c>
      <c r="Q579" s="48">
        <v>14400</v>
      </c>
      <c r="R579" s="49" t="s">
        <v>4</v>
      </c>
      <c r="S579" s="48" t="s">
        <v>4</v>
      </c>
      <c r="T579" s="47" t="s">
        <v>4</v>
      </c>
    </row>
    <row r="580" spans="1:20">
      <c r="A580" s="46">
        <v>137292138799</v>
      </c>
      <c r="B580" s="44" t="s">
        <v>517</v>
      </c>
      <c r="C580" s="45">
        <v>46005</v>
      </c>
      <c r="D580" s="46">
        <v>54830565235</v>
      </c>
      <c r="E580" s="46">
        <v>2148692913952</v>
      </c>
      <c r="F580" s="47" t="s">
        <v>518</v>
      </c>
      <c r="G580" s="47" t="s">
        <v>519</v>
      </c>
      <c r="H580" s="47" t="s">
        <v>4</v>
      </c>
      <c r="I580" s="46" t="s">
        <v>4</v>
      </c>
      <c r="J580" s="48">
        <v>47.53</v>
      </c>
      <c r="K580" s="47" t="s">
        <v>520</v>
      </c>
      <c r="L580" s="47" t="s">
        <v>521</v>
      </c>
      <c r="M580" s="46" t="s">
        <v>522</v>
      </c>
      <c r="N580" s="47" t="s">
        <v>523</v>
      </c>
      <c r="O580" s="44" t="s">
        <v>4</v>
      </c>
      <c r="P580" s="47" t="s">
        <v>711</v>
      </c>
      <c r="Q580" s="48">
        <v>4900</v>
      </c>
      <c r="R580" s="49" t="s">
        <v>4</v>
      </c>
      <c r="S580" s="48" t="s">
        <v>4</v>
      </c>
      <c r="T580" s="47" t="s">
        <v>525</v>
      </c>
    </row>
    <row r="581" spans="1:20">
      <c r="A581" s="46">
        <v>137926932048</v>
      </c>
      <c r="B581" s="44" t="s">
        <v>517</v>
      </c>
      <c r="C581" s="45">
        <v>46005</v>
      </c>
      <c r="D581" s="46">
        <v>54830676706</v>
      </c>
      <c r="E581" s="46">
        <v>2148694755092</v>
      </c>
      <c r="F581" s="47" t="s">
        <v>526</v>
      </c>
      <c r="G581" s="47" t="s">
        <v>519</v>
      </c>
      <c r="H581" s="47" t="s">
        <v>4</v>
      </c>
      <c r="I581" s="46" t="s">
        <v>4</v>
      </c>
      <c r="J581" s="48">
        <v>155.19999999999999</v>
      </c>
      <c r="K581" s="47" t="s">
        <v>520</v>
      </c>
      <c r="L581" s="47" t="s">
        <v>521</v>
      </c>
      <c r="M581" s="46" t="s">
        <v>522</v>
      </c>
      <c r="N581" s="47" t="s">
        <v>523</v>
      </c>
      <c r="O581" s="44" t="s">
        <v>4</v>
      </c>
      <c r="P581" s="47" t="s">
        <v>527</v>
      </c>
      <c r="Q581" s="48">
        <v>16000</v>
      </c>
      <c r="R581" s="49" t="s">
        <v>4</v>
      </c>
      <c r="S581" s="48" t="s">
        <v>4</v>
      </c>
      <c r="T581" s="47" t="s">
        <v>4</v>
      </c>
    </row>
    <row r="582" spans="1:20">
      <c r="A582" s="46">
        <v>137927636060</v>
      </c>
      <c r="B582" s="44" t="s">
        <v>517</v>
      </c>
      <c r="C582" s="45">
        <v>46006</v>
      </c>
      <c r="D582" s="46">
        <v>54830991606</v>
      </c>
      <c r="E582" s="46">
        <v>2148699451964</v>
      </c>
      <c r="F582" s="47" t="s">
        <v>526</v>
      </c>
      <c r="G582" s="47" t="s">
        <v>519</v>
      </c>
      <c r="H582" s="47" t="s">
        <v>4</v>
      </c>
      <c r="I582" s="46" t="s">
        <v>4</v>
      </c>
      <c r="J582" s="48">
        <v>439.41</v>
      </c>
      <c r="K582" s="47" t="s">
        <v>520</v>
      </c>
      <c r="L582" s="47" t="s">
        <v>521</v>
      </c>
      <c r="M582" s="46" t="s">
        <v>522</v>
      </c>
      <c r="N582" s="47" t="s">
        <v>523</v>
      </c>
      <c r="O582" s="44" t="s">
        <v>4</v>
      </c>
      <c r="P582" s="47" t="s">
        <v>527</v>
      </c>
      <c r="Q582" s="48">
        <v>45300</v>
      </c>
      <c r="R582" s="49" t="s">
        <v>4</v>
      </c>
      <c r="S582" s="48" t="s">
        <v>4</v>
      </c>
      <c r="T582" s="47" t="s">
        <v>4</v>
      </c>
    </row>
    <row r="583" spans="1:20">
      <c r="A583" s="46">
        <v>137293936969</v>
      </c>
      <c r="B583" s="44" t="s">
        <v>517</v>
      </c>
      <c r="C583" s="45">
        <v>46006</v>
      </c>
      <c r="D583" s="46">
        <v>54831450064</v>
      </c>
      <c r="E583" s="46">
        <v>2148706100084</v>
      </c>
      <c r="F583" s="47" t="s">
        <v>518</v>
      </c>
      <c r="G583" s="47" t="s">
        <v>519</v>
      </c>
      <c r="H583" s="47" t="s">
        <v>4</v>
      </c>
      <c r="I583" s="46" t="s">
        <v>4</v>
      </c>
      <c r="J583" s="48">
        <v>116.4</v>
      </c>
      <c r="K583" s="47" t="s">
        <v>520</v>
      </c>
      <c r="L583" s="47" t="s">
        <v>521</v>
      </c>
      <c r="M583" s="46" t="s">
        <v>660</v>
      </c>
      <c r="N583" s="47" t="s">
        <v>661</v>
      </c>
      <c r="O583" s="44" t="s">
        <v>4</v>
      </c>
      <c r="P583" s="47" t="s">
        <v>785</v>
      </c>
      <c r="Q583" s="48">
        <v>12000</v>
      </c>
      <c r="R583" s="49" t="s">
        <v>4</v>
      </c>
      <c r="S583" s="48" t="s">
        <v>4</v>
      </c>
      <c r="T583" s="47" t="s">
        <v>525</v>
      </c>
    </row>
    <row r="584" spans="1:20">
      <c r="A584" s="46">
        <v>137928893544</v>
      </c>
      <c r="B584" s="44" t="s">
        <v>517</v>
      </c>
      <c r="C584" s="45">
        <v>46006</v>
      </c>
      <c r="D584" s="46">
        <v>54831718581</v>
      </c>
      <c r="E584" s="46">
        <v>2148709835836</v>
      </c>
      <c r="F584" s="47" t="s">
        <v>518</v>
      </c>
      <c r="G584" s="47" t="s">
        <v>519</v>
      </c>
      <c r="H584" s="47" t="s">
        <v>4</v>
      </c>
      <c r="I584" s="46" t="s">
        <v>4</v>
      </c>
      <c r="J584" s="48">
        <v>347.26</v>
      </c>
      <c r="K584" s="47" t="s">
        <v>520</v>
      </c>
      <c r="L584" s="47" t="s">
        <v>521</v>
      </c>
      <c r="M584" s="46" t="s">
        <v>522</v>
      </c>
      <c r="N584" s="47" t="s">
        <v>523</v>
      </c>
      <c r="O584" s="44" t="s">
        <v>4</v>
      </c>
      <c r="P584" s="47" t="s">
        <v>786</v>
      </c>
      <c r="Q584" s="48">
        <v>35800</v>
      </c>
      <c r="R584" s="49" t="s">
        <v>4</v>
      </c>
      <c r="S584" s="48" t="s">
        <v>4</v>
      </c>
      <c r="T584" s="47" t="s">
        <v>525</v>
      </c>
    </row>
    <row r="585" spans="1:20">
      <c r="A585" s="46">
        <v>137929233114</v>
      </c>
      <c r="B585" s="44" t="s">
        <v>517</v>
      </c>
      <c r="C585" s="45">
        <v>46006</v>
      </c>
      <c r="D585" s="46">
        <v>54831836812</v>
      </c>
      <c r="E585" s="46">
        <v>2148711422084</v>
      </c>
      <c r="F585" s="47" t="s">
        <v>526</v>
      </c>
      <c r="G585" s="47" t="s">
        <v>519</v>
      </c>
      <c r="H585" s="47" t="s">
        <v>4</v>
      </c>
      <c r="I585" s="46" t="s">
        <v>4</v>
      </c>
      <c r="J585" s="48">
        <v>93.12</v>
      </c>
      <c r="K585" s="47" t="s">
        <v>520</v>
      </c>
      <c r="L585" s="47" t="s">
        <v>521</v>
      </c>
      <c r="M585" s="46" t="s">
        <v>660</v>
      </c>
      <c r="N585" s="47" t="s">
        <v>661</v>
      </c>
      <c r="O585" s="44" t="s">
        <v>4</v>
      </c>
      <c r="P585" s="47" t="s">
        <v>527</v>
      </c>
      <c r="Q585" s="48">
        <v>9600</v>
      </c>
      <c r="R585" s="49" t="s">
        <v>4</v>
      </c>
      <c r="S585" s="48" t="s">
        <v>4</v>
      </c>
      <c r="T585" s="47" t="s">
        <v>4</v>
      </c>
    </row>
    <row r="586" spans="1:20">
      <c r="A586" s="46">
        <v>137295139849</v>
      </c>
      <c r="B586" s="44" t="s">
        <v>517</v>
      </c>
      <c r="C586" s="45">
        <v>46006</v>
      </c>
      <c r="D586" s="46">
        <v>54832323715</v>
      </c>
      <c r="E586" s="46">
        <v>2148718364938</v>
      </c>
      <c r="F586" s="47" t="s">
        <v>526</v>
      </c>
      <c r="G586" s="47" t="s">
        <v>519</v>
      </c>
      <c r="H586" s="47" t="s">
        <v>4</v>
      </c>
      <c r="I586" s="46" t="s">
        <v>4</v>
      </c>
      <c r="J586" s="48">
        <v>95.06</v>
      </c>
      <c r="K586" s="47" t="s">
        <v>520</v>
      </c>
      <c r="L586" s="47" t="s">
        <v>521</v>
      </c>
      <c r="M586" s="46" t="s">
        <v>522</v>
      </c>
      <c r="N586" s="47" t="s">
        <v>523</v>
      </c>
      <c r="O586" s="44" t="s">
        <v>4</v>
      </c>
      <c r="P586" s="47" t="s">
        <v>527</v>
      </c>
      <c r="Q586" s="48">
        <v>9800</v>
      </c>
      <c r="R586" s="49" t="s">
        <v>4</v>
      </c>
      <c r="S586" s="48" t="s">
        <v>4</v>
      </c>
      <c r="T586" s="47" t="s">
        <v>4</v>
      </c>
    </row>
    <row r="587" spans="1:20">
      <c r="A587" s="46">
        <v>137930498598</v>
      </c>
      <c r="B587" s="44" t="s">
        <v>517</v>
      </c>
      <c r="C587" s="45">
        <v>46006</v>
      </c>
      <c r="D587" s="46">
        <v>54832526793</v>
      </c>
      <c r="E587" s="46">
        <v>2148720719698</v>
      </c>
      <c r="F587" s="47" t="s">
        <v>526</v>
      </c>
      <c r="G587" s="47" t="s">
        <v>519</v>
      </c>
      <c r="H587" s="47" t="s">
        <v>4</v>
      </c>
      <c r="I587" s="46" t="s">
        <v>4</v>
      </c>
      <c r="J587" s="48">
        <v>269.66000000000003</v>
      </c>
      <c r="K587" s="47" t="s">
        <v>520</v>
      </c>
      <c r="L587" s="47" t="s">
        <v>521</v>
      </c>
      <c r="M587" s="46" t="s">
        <v>522</v>
      </c>
      <c r="N587" s="47" t="s">
        <v>523</v>
      </c>
      <c r="O587" s="44" t="s">
        <v>4</v>
      </c>
      <c r="P587" s="47" t="s">
        <v>527</v>
      </c>
      <c r="Q587" s="48">
        <v>27800</v>
      </c>
      <c r="R587" s="49" t="s">
        <v>4</v>
      </c>
      <c r="S587" s="48" t="s">
        <v>4</v>
      </c>
      <c r="T587" s="47" t="s">
        <v>4</v>
      </c>
    </row>
    <row r="588" spans="1:20">
      <c r="A588" s="46">
        <v>137931462000</v>
      </c>
      <c r="B588" s="44" t="s">
        <v>517</v>
      </c>
      <c r="C588" s="45">
        <v>46006</v>
      </c>
      <c r="D588" s="46">
        <v>54833308984</v>
      </c>
      <c r="E588" s="46">
        <v>2148732784980</v>
      </c>
      <c r="F588" s="47" t="s">
        <v>518</v>
      </c>
      <c r="G588" s="47" t="s">
        <v>519</v>
      </c>
      <c r="H588" s="47" t="s">
        <v>4</v>
      </c>
      <c r="I588" s="46" t="s">
        <v>4</v>
      </c>
      <c r="J588" s="48">
        <v>180.42</v>
      </c>
      <c r="K588" s="47" t="s">
        <v>520</v>
      </c>
      <c r="L588" s="47" t="s">
        <v>521</v>
      </c>
      <c r="M588" s="46" t="s">
        <v>660</v>
      </c>
      <c r="N588" s="47" t="s">
        <v>661</v>
      </c>
      <c r="O588" s="44" t="s">
        <v>4</v>
      </c>
      <c r="P588" s="47" t="s">
        <v>761</v>
      </c>
      <c r="Q588" s="48">
        <v>18600</v>
      </c>
      <c r="R588" s="49" t="s">
        <v>4</v>
      </c>
      <c r="S588" s="48" t="s">
        <v>4</v>
      </c>
      <c r="T588" s="47" t="s">
        <v>525</v>
      </c>
    </row>
    <row r="589" spans="1:20">
      <c r="A589" s="46">
        <v>137718027151</v>
      </c>
      <c r="B589" s="44" t="s">
        <v>517</v>
      </c>
      <c r="C589" s="45">
        <v>46008</v>
      </c>
      <c r="D589" s="46">
        <v>55008071800</v>
      </c>
      <c r="E589" s="46">
        <v>2151493474689</v>
      </c>
      <c r="F589" s="47" t="s">
        <v>518</v>
      </c>
      <c r="G589" s="47" t="s">
        <v>519</v>
      </c>
      <c r="H589" s="47" t="s">
        <v>4</v>
      </c>
      <c r="I589" s="46" t="s">
        <v>4</v>
      </c>
      <c r="J589" s="48">
        <v>267.72000000000003</v>
      </c>
      <c r="K589" s="47" t="s">
        <v>520</v>
      </c>
      <c r="L589" s="47" t="s">
        <v>521</v>
      </c>
      <c r="M589" s="46" t="s">
        <v>660</v>
      </c>
      <c r="N589" s="47" t="s">
        <v>661</v>
      </c>
      <c r="O589" s="44" t="s">
        <v>4</v>
      </c>
      <c r="P589" s="47" t="s">
        <v>787</v>
      </c>
      <c r="Q589" s="48">
        <v>27600</v>
      </c>
      <c r="R589" s="49" t="s">
        <v>4</v>
      </c>
      <c r="S589" s="48" t="s">
        <v>4</v>
      </c>
      <c r="T589" s="47" t="s">
        <v>525</v>
      </c>
    </row>
    <row r="590" spans="1:20">
      <c r="A590" s="46">
        <v>138364372438</v>
      </c>
      <c r="B590" s="44" t="s">
        <v>517</v>
      </c>
      <c r="C590" s="45">
        <v>46008</v>
      </c>
      <c r="D590" s="46">
        <v>55011182849</v>
      </c>
      <c r="E590" s="46">
        <v>2151550015485</v>
      </c>
      <c r="F590" s="47" t="s">
        <v>526</v>
      </c>
      <c r="G590" s="47" t="s">
        <v>519</v>
      </c>
      <c r="H590" s="47" t="s">
        <v>4</v>
      </c>
      <c r="I590" s="46" t="s">
        <v>4</v>
      </c>
      <c r="J590" s="48">
        <v>235.71</v>
      </c>
      <c r="K590" s="47" t="s">
        <v>520</v>
      </c>
      <c r="L590" s="47" t="s">
        <v>521</v>
      </c>
      <c r="M590" s="46" t="s">
        <v>522</v>
      </c>
      <c r="N590" s="47" t="s">
        <v>523</v>
      </c>
      <c r="O590" s="44" t="s">
        <v>4</v>
      </c>
      <c r="P590" s="47" t="s">
        <v>527</v>
      </c>
      <c r="Q590" s="48">
        <v>24300</v>
      </c>
      <c r="R590" s="49" t="s">
        <v>4</v>
      </c>
      <c r="S590" s="48" t="s">
        <v>4</v>
      </c>
      <c r="T590" s="47" t="s">
        <v>4</v>
      </c>
    </row>
    <row r="591" spans="1:20">
      <c r="A591" s="46">
        <v>137726653777</v>
      </c>
      <c r="B591" s="44" t="s">
        <v>517</v>
      </c>
      <c r="C591" s="45">
        <v>46008</v>
      </c>
      <c r="D591" s="46">
        <v>55011432119</v>
      </c>
      <c r="E591" s="46">
        <v>2151709421494</v>
      </c>
      <c r="F591" s="47" t="s">
        <v>518</v>
      </c>
      <c r="G591" s="47" t="s">
        <v>519</v>
      </c>
      <c r="H591" s="47" t="s">
        <v>4</v>
      </c>
      <c r="I591" s="46" t="s">
        <v>4</v>
      </c>
      <c r="J591" s="48">
        <v>92.15</v>
      </c>
      <c r="K591" s="47" t="s">
        <v>520</v>
      </c>
      <c r="L591" s="47" t="s">
        <v>521</v>
      </c>
      <c r="M591" s="46" t="s">
        <v>522</v>
      </c>
      <c r="N591" s="47" t="s">
        <v>523</v>
      </c>
      <c r="O591" s="44" t="s">
        <v>4</v>
      </c>
      <c r="P591" s="47" t="s">
        <v>788</v>
      </c>
      <c r="Q591" s="48">
        <v>9500</v>
      </c>
      <c r="R591" s="49" t="s">
        <v>4</v>
      </c>
      <c r="S591" s="48" t="s">
        <v>4</v>
      </c>
      <c r="T591" s="47" t="s">
        <v>525</v>
      </c>
    </row>
    <row r="592" spans="1:20">
      <c r="A592" s="46">
        <v>137727368801</v>
      </c>
      <c r="B592" s="44" t="s">
        <v>517</v>
      </c>
      <c r="C592" s="45">
        <v>46008</v>
      </c>
      <c r="D592" s="46">
        <v>55011652580</v>
      </c>
      <c r="E592" s="46">
        <v>2151714021286</v>
      </c>
      <c r="F592" s="47" t="s">
        <v>518</v>
      </c>
      <c r="G592" s="47" t="s">
        <v>519</v>
      </c>
      <c r="H592" s="47" t="s">
        <v>4</v>
      </c>
      <c r="I592" s="46" t="s">
        <v>4</v>
      </c>
      <c r="J592" s="48">
        <v>47.53</v>
      </c>
      <c r="K592" s="47" t="s">
        <v>520</v>
      </c>
      <c r="L592" s="47" t="s">
        <v>521</v>
      </c>
      <c r="M592" s="46" t="s">
        <v>522</v>
      </c>
      <c r="N592" s="47" t="s">
        <v>523</v>
      </c>
      <c r="O592" s="44" t="s">
        <v>4</v>
      </c>
      <c r="P592" s="47" t="s">
        <v>789</v>
      </c>
      <c r="Q592" s="48">
        <v>4900</v>
      </c>
      <c r="R592" s="49" t="s">
        <v>4</v>
      </c>
      <c r="S592" s="48" t="s">
        <v>4</v>
      </c>
      <c r="T592" s="47" t="s">
        <v>525</v>
      </c>
    </row>
    <row r="593" spans="1:20">
      <c r="A593" s="46">
        <v>138366452506</v>
      </c>
      <c r="B593" s="44" t="s">
        <v>517</v>
      </c>
      <c r="C593" s="45">
        <v>46008</v>
      </c>
      <c r="D593" s="46">
        <v>55012036624</v>
      </c>
      <c r="E593" s="46">
        <v>2151720906896</v>
      </c>
      <c r="F593" s="47" t="s">
        <v>518</v>
      </c>
      <c r="G593" s="47" t="s">
        <v>519</v>
      </c>
      <c r="H593" s="47" t="s">
        <v>4</v>
      </c>
      <c r="I593" s="46" t="s">
        <v>4</v>
      </c>
      <c r="J593" s="48">
        <v>125.13</v>
      </c>
      <c r="K593" s="47" t="s">
        <v>520</v>
      </c>
      <c r="L593" s="47" t="s">
        <v>521</v>
      </c>
      <c r="M593" s="46" t="s">
        <v>522</v>
      </c>
      <c r="N593" s="47" t="s">
        <v>523</v>
      </c>
      <c r="O593" s="44" t="s">
        <v>4</v>
      </c>
      <c r="P593" s="47" t="s">
        <v>543</v>
      </c>
      <c r="Q593" s="48">
        <v>12900</v>
      </c>
      <c r="R593" s="49" t="s">
        <v>4</v>
      </c>
      <c r="S593" s="48" t="s">
        <v>4</v>
      </c>
      <c r="T593" s="47" t="s">
        <v>525</v>
      </c>
    </row>
    <row r="594" spans="1:20">
      <c r="A594" s="46">
        <v>137729187113</v>
      </c>
      <c r="B594" s="44" t="s">
        <v>517</v>
      </c>
      <c r="C594" s="45">
        <v>46008</v>
      </c>
      <c r="D594" s="46">
        <v>55012455552</v>
      </c>
      <c r="E594" s="46">
        <v>2151728813986</v>
      </c>
      <c r="F594" s="47" t="s">
        <v>529</v>
      </c>
      <c r="G594" s="47" t="s">
        <v>519</v>
      </c>
      <c r="H594" s="47" t="s">
        <v>4</v>
      </c>
      <c r="I594" s="46" t="s">
        <v>4</v>
      </c>
      <c r="J594" s="48">
        <v>577.71</v>
      </c>
      <c r="K594" s="47" t="s">
        <v>520</v>
      </c>
      <c r="L594" s="47" t="s">
        <v>530</v>
      </c>
      <c r="M594" s="46" t="s">
        <v>522</v>
      </c>
      <c r="N594" s="47" t="s">
        <v>523</v>
      </c>
      <c r="O594" s="44" t="s">
        <v>263</v>
      </c>
      <c r="P594" s="47" t="s">
        <v>531</v>
      </c>
      <c r="Q594" s="48">
        <v>14700</v>
      </c>
      <c r="R594" s="49" t="s">
        <v>4</v>
      </c>
      <c r="S594" s="48" t="s">
        <v>4</v>
      </c>
      <c r="T594" s="47" t="s">
        <v>525</v>
      </c>
    </row>
    <row r="595" spans="1:20">
      <c r="A595" s="46">
        <v>137732048829</v>
      </c>
      <c r="B595" s="44" t="s">
        <v>517</v>
      </c>
      <c r="C595" s="45">
        <v>46008</v>
      </c>
      <c r="D595" s="46">
        <v>55013566391</v>
      </c>
      <c r="E595" s="46">
        <v>2151595513523</v>
      </c>
      <c r="F595" s="47" t="s">
        <v>529</v>
      </c>
      <c r="G595" s="47" t="s">
        <v>519</v>
      </c>
      <c r="H595" s="47" t="s">
        <v>4</v>
      </c>
      <c r="I595" s="46" t="s">
        <v>4</v>
      </c>
      <c r="J595" s="48">
        <v>1882.35</v>
      </c>
      <c r="K595" s="47" t="s">
        <v>520</v>
      </c>
      <c r="L595" s="47" t="s">
        <v>530</v>
      </c>
      <c r="M595" s="46" t="s">
        <v>522</v>
      </c>
      <c r="N595" s="47" t="s">
        <v>523</v>
      </c>
      <c r="O595" s="44" t="s">
        <v>263</v>
      </c>
      <c r="P595" s="47" t="s">
        <v>531</v>
      </c>
      <c r="Q595" s="48">
        <v>47897</v>
      </c>
      <c r="R595" s="49" t="s">
        <v>4</v>
      </c>
      <c r="S595" s="48" t="s">
        <v>4</v>
      </c>
      <c r="T595" s="47" t="s">
        <v>525</v>
      </c>
    </row>
    <row r="596" spans="1:20">
      <c r="A596" s="46">
        <v>138370582356</v>
      </c>
      <c r="B596" s="44" t="s">
        <v>517</v>
      </c>
      <c r="C596" s="45">
        <v>46008</v>
      </c>
      <c r="D596" s="46">
        <v>55013710668</v>
      </c>
      <c r="E596" s="46">
        <v>2151753330458</v>
      </c>
      <c r="F596" s="47" t="s">
        <v>562</v>
      </c>
      <c r="G596" s="47" t="s">
        <v>519</v>
      </c>
      <c r="H596" s="47" t="s">
        <v>4</v>
      </c>
      <c r="I596" s="46" t="s">
        <v>4</v>
      </c>
      <c r="J596" s="48">
        <v>136.91999999999999</v>
      </c>
      <c r="K596" s="47" t="s">
        <v>520</v>
      </c>
      <c r="L596" s="47" t="s">
        <v>521</v>
      </c>
      <c r="M596" s="46" t="s">
        <v>522</v>
      </c>
      <c r="N596" s="47" t="s">
        <v>523</v>
      </c>
      <c r="O596" s="44" t="s">
        <v>4</v>
      </c>
      <c r="P596" s="47" t="s">
        <v>563</v>
      </c>
      <c r="Q596" s="48">
        <v>8400</v>
      </c>
      <c r="R596" s="49" t="s">
        <v>4</v>
      </c>
      <c r="S596" s="48" t="s">
        <v>4</v>
      </c>
      <c r="T596" s="47" t="s">
        <v>525</v>
      </c>
    </row>
    <row r="597" spans="1:20">
      <c r="A597" s="46">
        <v>137732395913</v>
      </c>
      <c r="B597" s="44" t="s">
        <v>517</v>
      </c>
      <c r="C597" s="45">
        <v>46008</v>
      </c>
      <c r="D597" s="46">
        <v>55013767246</v>
      </c>
      <c r="E597" s="46">
        <v>2151599387467</v>
      </c>
      <c r="F597" s="47" t="s">
        <v>562</v>
      </c>
      <c r="G597" s="47" t="s">
        <v>519</v>
      </c>
      <c r="H597" s="47" t="s">
        <v>4</v>
      </c>
      <c r="I597" s="46" t="s">
        <v>4</v>
      </c>
      <c r="J597" s="48">
        <v>365.28</v>
      </c>
      <c r="K597" s="47" t="s">
        <v>520</v>
      </c>
      <c r="L597" s="47" t="s">
        <v>521</v>
      </c>
      <c r="M597" s="46" t="s">
        <v>522</v>
      </c>
      <c r="N597" s="47" t="s">
        <v>523</v>
      </c>
      <c r="O597" s="44" t="s">
        <v>4</v>
      </c>
      <c r="P597" s="47" t="s">
        <v>739</v>
      </c>
      <c r="Q597" s="48">
        <v>4800</v>
      </c>
      <c r="R597" s="49" t="s">
        <v>4</v>
      </c>
      <c r="S597" s="48" t="s">
        <v>4</v>
      </c>
      <c r="T597" s="47" t="s">
        <v>525</v>
      </c>
    </row>
    <row r="598" spans="1:20">
      <c r="A598" s="46">
        <v>138370811186</v>
      </c>
      <c r="B598" s="44" t="s">
        <v>517</v>
      </c>
      <c r="C598" s="45">
        <v>46008</v>
      </c>
      <c r="D598" s="46">
        <v>55013810726</v>
      </c>
      <c r="E598" s="46">
        <v>2151600476751</v>
      </c>
      <c r="F598" s="47" t="s">
        <v>518</v>
      </c>
      <c r="G598" s="47" t="s">
        <v>519</v>
      </c>
      <c r="H598" s="47" t="s">
        <v>4</v>
      </c>
      <c r="I598" s="46" t="s">
        <v>4</v>
      </c>
      <c r="J598" s="48">
        <v>232.78</v>
      </c>
      <c r="K598" s="47" t="s">
        <v>520</v>
      </c>
      <c r="L598" s="47" t="s">
        <v>521</v>
      </c>
      <c r="M598" s="46" t="s">
        <v>660</v>
      </c>
      <c r="N598" s="47" t="s">
        <v>661</v>
      </c>
      <c r="O598" s="44" t="s">
        <v>4</v>
      </c>
      <c r="P598" s="47" t="s">
        <v>790</v>
      </c>
      <c r="Q598" s="48">
        <v>23998</v>
      </c>
      <c r="R598" s="49" t="s">
        <v>4</v>
      </c>
      <c r="S598" s="48" t="s">
        <v>4</v>
      </c>
      <c r="T598" s="47" t="s">
        <v>525</v>
      </c>
    </row>
    <row r="599" spans="1:20">
      <c r="A599" s="46">
        <v>137733585351</v>
      </c>
      <c r="B599" s="44" t="s">
        <v>517</v>
      </c>
      <c r="C599" s="45">
        <v>46008</v>
      </c>
      <c r="D599" s="46">
        <v>55014248560</v>
      </c>
      <c r="E599" s="46">
        <v>2151608798731</v>
      </c>
      <c r="F599" s="47" t="s">
        <v>518</v>
      </c>
      <c r="G599" s="47" t="s">
        <v>519</v>
      </c>
      <c r="H599" s="47" t="s">
        <v>4</v>
      </c>
      <c r="I599" s="46" t="s">
        <v>4</v>
      </c>
      <c r="J599" s="48">
        <v>465.56</v>
      </c>
      <c r="K599" s="47" t="s">
        <v>520</v>
      </c>
      <c r="L599" s="47" t="s">
        <v>521</v>
      </c>
      <c r="M599" s="46" t="s">
        <v>522</v>
      </c>
      <c r="N599" s="47" t="s">
        <v>523</v>
      </c>
      <c r="O599" s="44" t="s">
        <v>4</v>
      </c>
      <c r="P599" s="47" t="s">
        <v>791</v>
      </c>
      <c r="Q599" s="48">
        <v>47996</v>
      </c>
      <c r="R599" s="49" t="s">
        <v>4</v>
      </c>
      <c r="S599" s="48" t="s">
        <v>4</v>
      </c>
      <c r="T599" s="47" t="s">
        <v>525</v>
      </c>
    </row>
    <row r="600" spans="1:20">
      <c r="A600" s="46">
        <v>137735636327</v>
      </c>
      <c r="B600" s="44" t="s">
        <v>517</v>
      </c>
      <c r="C600" s="45">
        <v>46008</v>
      </c>
      <c r="D600" s="46">
        <v>55015016241</v>
      </c>
      <c r="E600" s="46">
        <v>2151624165559</v>
      </c>
      <c r="F600" s="47" t="s">
        <v>518</v>
      </c>
      <c r="G600" s="47" t="s">
        <v>519</v>
      </c>
      <c r="H600" s="47" t="s">
        <v>4</v>
      </c>
      <c r="I600" s="46" t="s">
        <v>4</v>
      </c>
      <c r="J600" s="48">
        <v>232.78</v>
      </c>
      <c r="K600" s="47" t="s">
        <v>520</v>
      </c>
      <c r="L600" s="47" t="s">
        <v>521</v>
      </c>
      <c r="M600" s="46" t="s">
        <v>522</v>
      </c>
      <c r="N600" s="47" t="s">
        <v>523</v>
      </c>
      <c r="O600" s="44" t="s">
        <v>4</v>
      </c>
      <c r="P600" s="47" t="s">
        <v>792</v>
      </c>
      <c r="Q600" s="48">
        <v>23998</v>
      </c>
      <c r="R600" s="49" t="s">
        <v>4</v>
      </c>
      <c r="S600" s="48" t="s">
        <v>4</v>
      </c>
      <c r="T600" s="47" t="s">
        <v>525</v>
      </c>
    </row>
    <row r="601" spans="1:20">
      <c r="A601" s="46">
        <v>137735718137</v>
      </c>
      <c r="B601" s="44" t="s">
        <v>517</v>
      </c>
      <c r="C601" s="45">
        <v>46008</v>
      </c>
      <c r="D601" s="46">
        <v>55015054860</v>
      </c>
      <c r="E601" s="46">
        <v>2151624803987</v>
      </c>
      <c r="F601" s="47" t="s">
        <v>518</v>
      </c>
      <c r="G601" s="47" t="s">
        <v>519</v>
      </c>
      <c r="H601" s="47" t="s">
        <v>4</v>
      </c>
      <c r="I601" s="46" t="s">
        <v>4</v>
      </c>
      <c r="J601" s="48">
        <v>5266.12</v>
      </c>
      <c r="K601" s="47" t="s">
        <v>520</v>
      </c>
      <c r="L601" s="47" t="s">
        <v>521</v>
      </c>
      <c r="M601" s="46" t="s">
        <v>660</v>
      </c>
      <c r="N601" s="47" t="s">
        <v>661</v>
      </c>
      <c r="O601" s="44" t="s">
        <v>4</v>
      </c>
      <c r="P601" s="47" t="s">
        <v>793</v>
      </c>
      <c r="Q601" s="48">
        <v>69200</v>
      </c>
      <c r="R601" s="49" t="s">
        <v>4</v>
      </c>
      <c r="S601" s="48" t="s">
        <v>4</v>
      </c>
      <c r="T601" s="47" t="s">
        <v>525</v>
      </c>
    </row>
    <row r="602" spans="1:20">
      <c r="A602" s="46">
        <v>138375001336</v>
      </c>
      <c r="B602" s="44" t="s">
        <v>517</v>
      </c>
      <c r="C602" s="45">
        <v>46008</v>
      </c>
      <c r="D602" s="46">
        <v>55015513930</v>
      </c>
      <c r="E602" s="46">
        <v>2151634176795</v>
      </c>
      <c r="F602" s="47" t="s">
        <v>529</v>
      </c>
      <c r="G602" s="47" t="s">
        <v>519</v>
      </c>
      <c r="H602" s="47" t="s">
        <v>4</v>
      </c>
      <c r="I602" s="46" t="s">
        <v>4</v>
      </c>
      <c r="J602" s="48">
        <v>639.24</v>
      </c>
      <c r="K602" s="47" t="s">
        <v>520</v>
      </c>
      <c r="L602" s="47" t="s">
        <v>530</v>
      </c>
      <c r="M602" s="46" t="s">
        <v>522</v>
      </c>
      <c r="N602" s="47" t="s">
        <v>523</v>
      </c>
      <c r="O602" s="44" t="s">
        <v>263</v>
      </c>
      <c r="P602" s="47" t="s">
        <v>531</v>
      </c>
      <c r="Q602" s="48">
        <v>8400</v>
      </c>
      <c r="R602" s="49" t="s">
        <v>4</v>
      </c>
      <c r="S602" s="48" t="s">
        <v>4</v>
      </c>
      <c r="T602" s="47" t="s">
        <v>525</v>
      </c>
    </row>
    <row r="603" spans="1:20">
      <c r="A603" s="46">
        <v>137736891041</v>
      </c>
      <c r="B603" s="44" t="s">
        <v>517</v>
      </c>
      <c r="C603" s="45">
        <v>46008</v>
      </c>
      <c r="D603" s="46">
        <v>55015626064</v>
      </c>
      <c r="E603" s="46">
        <v>2151635403137</v>
      </c>
      <c r="F603" s="47" t="s">
        <v>518</v>
      </c>
      <c r="G603" s="47" t="s">
        <v>519</v>
      </c>
      <c r="H603" s="47" t="s">
        <v>4</v>
      </c>
      <c r="I603" s="46" t="s">
        <v>4</v>
      </c>
      <c r="J603" s="48">
        <v>84.39</v>
      </c>
      <c r="K603" s="47" t="s">
        <v>520</v>
      </c>
      <c r="L603" s="47" t="s">
        <v>521</v>
      </c>
      <c r="M603" s="46" t="s">
        <v>522</v>
      </c>
      <c r="N603" s="47" t="s">
        <v>523</v>
      </c>
      <c r="O603" s="44" t="s">
        <v>4</v>
      </c>
      <c r="P603" s="47" t="s">
        <v>794</v>
      </c>
      <c r="Q603" s="48">
        <v>8700</v>
      </c>
      <c r="R603" s="49" t="s">
        <v>4</v>
      </c>
      <c r="S603" s="48" t="s">
        <v>4</v>
      </c>
      <c r="T603" s="47" t="s">
        <v>525</v>
      </c>
    </row>
    <row r="604" spans="1:20">
      <c r="A604" s="46">
        <v>137737033763</v>
      </c>
      <c r="B604" s="44" t="s">
        <v>517</v>
      </c>
      <c r="C604" s="45">
        <v>46008</v>
      </c>
      <c r="D604" s="46">
        <v>55015658888</v>
      </c>
      <c r="E604" s="46">
        <v>2151636802615</v>
      </c>
      <c r="F604" s="47" t="s">
        <v>518</v>
      </c>
      <c r="G604" s="47" t="s">
        <v>519</v>
      </c>
      <c r="H604" s="47" t="s">
        <v>4</v>
      </c>
      <c r="I604" s="46" t="s">
        <v>4</v>
      </c>
      <c r="J604" s="48">
        <v>369.56</v>
      </c>
      <c r="K604" s="47" t="s">
        <v>520</v>
      </c>
      <c r="L604" s="47" t="s">
        <v>521</v>
      </c>
      <c r="M604" s="46" t="s">
        <v>522</v>
      </c>
      <c r="N604" s="47" t="s">
        <v>523</v>
      </c>
      <c r="O604" s="44" t="s">
        <v>4</v>
      </c>
      <c r="P604" s="47" t="s">
        <v>795</v>
      </c>
      <c r="Q604" s="48">
        <v>38099</v>
      </c>
      <c r="R604" s="49" t="s">
        <v>4</v>
      </c>
      <c r="S604" s="48" t="s">
        <v>4</v>
      </c>
      <c r="T604" s="47" t="s">
        <v>525</v>
      </c>
    </row>
    <row r="605" spans="1:20">
      <c r="A605" s="46">
        <v>138375441034</v>
      </c>
      <c r="B605" s="44" t="s">
        <v>517</v>
      </c>
      <c r="C605" s="45">
        <v>46008</v>
      </c>
      <c r="D605" s="46">
        <v>55015711388</v>
      </c>
      <c r="E605" s="46">
        <v>2151638025765</v>
      </c>
      <c r="F605" s="47" t="s">
        <v>526</v>
      </c>
      <c r="G605" s="47" t="s">
        <v>519</v>
      </c>
      <c r="H605" s="47" t="s">
        <v>4</v>
      </c>
      <c r="I605" s="46" t="s">
        <v>4</v>
      </c>
      <c r="J605" s="48">
        <v>206.61</v>
      </c>
      <c r="K605" s="47" t="s">
        <v>520</v>
      </c>
      <c r="L605" s="47" t="s">
        <v>521</v>
      </c>
      <c r="M605" s="46" t="s">
        <v>522</v>
      </c>
      <c r="N605" s="47" t="s">
        <v>523</v>
      </c>
      <c r="O605" s="44" t="s">
        <v>4</v>
      </c>
      <c r="P605" s="47" t="s">
        <v>527</v>
      </c>
      <c r="Q605" s="48">
        <v>21300</v>
      </c>
      <c r="R605" s="49" t="s">
        <v>4</v>
      </c>
      <c r="S605" s="48" t="s">
        <v>4</v>
      </c>
      <c r="T605" s="47" t="s">
        <v>4</v>
      </c>
    </row>
    <row r="606" spans="1:20">
      <c r="A606" s="46">
        <v>138376025552</v>
      </c>
      <c r="B606" s="44" t="s">
        <v>517</v>
      </c>
      <c r="C606" s="45">
        <v>46008</v>
      </c>
      <c r="D606" s="46">
        <v>55016047136</v>
      </c>
      <c r="E606" s="46">
        <v>2151798084062</v>
      </c>
      <c r="F606" s="47" t="s">
        <v>518</v>
      </c>
      <c r="G606" s="47" t="s">
        <v>519</v>
      </c>
      <c r="H606" s="47" t="s">
        <v>4</v>
      </c>
      <c r="I606" s="46" t="s">
        <v>4</v>
      </c>
      <c r="J606" s="48">
        <v>2092.75</v>
      </c>
      <c r="K606" s="47" t="s">
        <v>520</v>
      </c>
      <c r="L606" s="47" t="s">
        <v>521</v>
      </c>
      <c r="M606" s="46" t="s">
        <v>522</v>
      </c>
      <c r="N606" s="47" t="s">
        <v>523</v>
      </c>
      <c r="O606" s="44" t="s">
        <v>4</v>
      </c>
      <c r="P606" s="47" t="s">
        <v>796</v>
      </c>
      <c r="Q606" s="48">
        <v>27500</v>
      </c>
      <c r="R606" s="49" t="s">
        <v>4</v>
      </c>
      <c r="S606" s="48" t="s">
        <v>4</v>
      </c>
      <c r="T606" s="47" t="s">
        <v>525</v>
      </c>
    </row>
    <row r="607" spans="1:20">
      <c r="A607" s="46">
        <v>137738555625</v>
      </c>
      <c r="B607" s="44" t="s">
        <v>517</v>
      </c>
      <c r="C607" s="45">
        <v>46008</v>
      </c>
      <c r="D607" s="46">
        <v>55016312944</v>
      </c>
      <c r="E607" s="46">
        <v>2151802501732</v>
      </c>
      <c r="F607" s="47" t="s">
        <v>529</v>
      </c>
      <c r="G607" s="47" t="s">
        <v>519</v>
      </c>
      <c r="H607" s="47" t="s">
        <v>4</v>
      </c>
      <c r="I607" s="46" t="s">
        <v>4</v>
      </c>
      <c r="J607" s="48">
        <v>192.57</v>
      </c>
      <c r="K607" s="47" t="s">
        <v>520</v>
      </c>
      <c r="L607" s="47" t="s">
        <v>530</v>
      </c>
      <c r="M607" s="46" t="s">
        <v>660</v>
      </c>
      <c r="N607" s="47" t="s">
        <v>661</v>
      </c>
      <c r="O607" s="44" t="s">
        <v>263</v>
      </c>
      <c r="P607" s="47" t="s">
        <v>531</v>
      </c>
      <c r="Q607" s="48">
        <v>4900</v>
      </c>
      <c r="R607" s="49" t="s">
        <v>4</v>
      </c>
      <c r="S607" s="48" t="s">
        <v>4</v>
      </c>
      <c r="T607" s="47" t="s">
        <v>525</v>
      </c>
    </row>
    <row r="608" spans="1:20">
      <c r="A608" s="46">
        <v>138377865080</v>
      </c>
      <c r="B608" s="44" t="s">
        <v>517</v>
      </c>
      <c r="C608" s="45">
        <v>46008</v>
      </c>
      <c r="D608" s="46">
        <v>55016856604</v>
      </c>
      <c r="E608" s="46">
        <v>2151655005351</v>
      </c>
      <c r="F608" s="47" t="s">
        <v>518</v>
      </c>
      <c r="G608" s="47" t="s">
        <v>519</v>
      </c>
      <c r="H608" s="47" t="s">
        <v>4</v>
      </c>
      <c r="I608" s="46" t="s">
        <v>4</v>
      </c>
      <c r="J608" s="48">
        <v>649.9</v>
      </c>
      <c r="K608" s="47" t="s">
        <v>520</v>
      </c>
      <c r="L608" s="47" t="s">
        <v>521</v>
      </c>
      <c r="M608" s="46" t="s">
        <v>522</v>
      </c>
      <c r="N608" s="47" t="s">
        <v>523</v>
      </c>
      <c r="O608" s="44" t="s">
        <v>4</v>
      </c>
      <c r="P608" s="47" t="s">
        <v>580</v>
      </c>
      <c r="Q608" s="48">
        <v>67000</v>
      </c>
      <c r="R608" s="49" t="s">
        <v>4</v>
      </c>
      <c r="S608" s="48" t="s">
        <v>4</v>
      </c>
      <c r="T608" s="47" t="s">
        <v>525</v>
      </c>
    </row>
    <row r="609" spans="1:20">
      <c r="A609" s="46">
        <v>137739858471</v>
      </c>
      <c r="B609" s="44" t="s">
        <v>517</v>
      </c>
      <c r="C609" s="45">
        <v>46008</v>
      </c>
      <c r="D609" s="46">
        <v>55016986136</v>
      </c>
      <c r="E609" s="46">
        <v>2151811798426</v>
      </c>
      <c r="F609" s="47" t="s">
        <v>518</v>
      </c>
      <c r="G609" s="47" t="s">
        <v>519</v>
      </c>
      <c r="H609" s="47" t="s">
        <v>4</v>
      </c>
      <c r="I609" s="46" t="s">
        <v>4</v>
      </c>
      <c r="J609" s="48">
        <v>600.42999999999995</v>
      </c>
      <c r="K609" s="47" t="s">
        <v>520</v>
      </c>
      <c r="L609" s="47" t="s">
        <v>521</v>
      </c>
      <c r="M609" s="46" t="s">
        <v>522</v>
      </c>
      <c r="N609" s="47" t="s">
        <v>523</v>
      </c>
      <c r="O609" s="44" t="s">
        <v>4</v>
      </c>
      <c r="P609" s="47" t="s">
        <v>797</v>
      </c>
      <c r="Q609" s="48">
        <v>61900</v>
      </c>
      <c r="R609" s="49" t="s">
        <v>4</v>
      </c>
      <c r="S609" s="48" t="s">
        <v>4</v>
      </c>
      <c r="T609" s="47" t="s">
        <v>525</v>
      </c>
    </row>
    <row r="610" spans="1:20">
      <c r="A610" s="46">
        <v>138378205560</v>
      </c>
      <c r="B610" s="44" t="s">
        <v>517</v>
      </c>
      <c r="C610" s="45">
        <v>46008</v>
      </c>
      <c r="D610" s="46">
        <v>55017004135</v>
      </c>
      <c r="E610" s="46">
        <v>2151812500572</v>
      </c>
      <c r="F610" s="47" t="s">
        <v>518</v>
      </c>
      <c r="G610" s="47" t="s">
        <v>519</v>
      </c>
      <c r="H610" s="47" t="s">
        <v>4</v>
      </c>
      <c r="I610" s="46" t="s">
        <v>4</v>
      </c>
      <c r="J610" s="48">
        <v>46.56</v>
      </c>
      <c r="K610" s="47" t="s">
        <v>520</v>
      </c>
      <c r="L610" s="47" t="s">
        <v>521</v>
      </c>
      <c r="M610" s="46" t="s">
        <v>522</v>
      </c>
      <c r="N610" s="47" t="s">
        <v>523</v>
      </c>
      <c r="O610" s="44" t="s">
        <v>4</v>
      </c>
      <c r="P610" s="47" t="s">
        <v>626</v>
      </c>
      <c r="Q610" s="48">
        <v>4800</v>
      </c>
      <c r="R610" s="49" t="s">
        <v>4</v>
      </c>
      <c r="S610" s="48" t="s">
        <v>4</v>
      </c>
      <c r="T610" s="47" t="s">
        <v>525</v>
      </c>
    </row>
    <row r="611" spans="1:20">
      <c r="A611" s="46">
        <v>138378705392</v>
      </c>
      <c r="B611" s="44" t="s">
        <v>517</v>
      </c>
      <c r="C611" s="45">
        <v>46008</v>
      </c>
      <c r="D611" s="46">
        <v>55017297519</v>
      </c>
      <c r="E611" s="46">
        <v>2151816298372</v>
      </c>
      <c r="F611" s="47" t="s">
        <v>526</v>
      </c>
      <c r="G611" s="47" t="s">
        <v>519</v>
      </c>
      <c r="H611" s="47" t="s">
        <v>4</v>
      </c>
      <c r="I611" s="46" t="s">
        <v>4</v>
      </c>
      <c r="J611" s="48">
        <v>453.96</v>
      </c>
      <c r="K611" s="47" t="s">
        <v>520</v>
      </c>
      <c r="L611" s="47" t="s">
        <v>521</v>
      </c>
      <c r="M611" s="46" t="s">
        <v>660</v>
      </c>
      <c r="N611" s="47" t="s">
        <v>661</v>
      </c>
      <c r="O611" s="44" t="s">
        <v>4</v>
      </c>
      <c r="P611" s="47" t="s">
        <v>527</v>
      </c>
      <c r="Q611" s="48">
        <v>46800</v>
      </c>
      <c r="R611" s="49" t="s">
        <v>4</v>
      </c>
      <c r="S611" s="48" t="s">
        <v>4</v>
      </c>
      <c r="T611" s="47" t="s">
        <v>4</v>
      </c>
    </row>
    <row r="612" spans="1:20">
      <c r="A612" s="46">
        <v>138379731852</v>
      </c>
      <c r="B612" s="44" t="s">
        <v>517</v>
      </c>
      <c r="C612" s="45">
        <v>46008</v>
      </c>
      <c r="D612" s="46">
        <v>55017865976</v>
      </c>
      <c r="E612" s="46">
        <v>2151823581912</v>
      </c>
      <c r="F612" s="47" t="s">
        <v>529</v>
      </c>
      <c r="G612" s="47" t="s">
        <v>519</v>
      </c>
      <c r="H612" s="47" t="s">
        <v>4</v>
      </c>
      <c r="I612" s="46" t="s">
        <v>4</v>
      </c>
      <c r="J612" s="48">
        <v>1599.51</v>
      </c>
      <c r="K612" s="47" t="s">
        <v>520</v>
      </c>
      <c r="L612" s="47" t="s">
        <v>530</v>
      </c>
      <c r="M612" s="46" t="s">
        <v>522</v>
      </c>
      <c r="N612" s="47" t="s">
        <v>523</v>
      </c>
      <c r="O612" s="44" t="s">
        <v>263</v>
      </c>
      <c r="P612" s="47" t="s">
        <v>531</v>
      </c>
      <c r="Q612" s="48">
        <v>40700</v>
      </c>
      <c r="R612" s="49" t="s">
        <v>4</v>
      </c>
      <c r="S612" s="48" t="s">
        <v>4</v>
      </c>
      <c r="T612" s="47" t="s">
        <v>525</v>
      </c>
    </row>
    <row r="613" spans="1:20">
      <c r="A613" s="46">
        <v>138380103176</v>
      </c>
      <c r="B613" s="44" t="s">
        <v>517</v>
      </c>
      <c r="C613" s="45">
        <v>46008</v>
      </c>
      <c r="D613" s="46">
        <v>55018010104</v>
      </c>
      <c r="E613" s="46">
        <v>2151670895355</v>
      </c>
      <c r="F613" s="47" t="s">
        <v>526</v>
      </c>
      <c r="G613" s="47" t="s">
        <v>519</v>
      </c>
      <c r="H613" s="47" t="s">
        <v>4</v>
      </c>
      <c r="I613" s="46" t="s">
        <v>4</v>
      </c>
      <c r="J613" s="48">
        <v>496.64</v>
      </c>
      <c r="K613" s="47" t="s">
        <v>520</v>
      </c>
      <c r="L613" s="47" t="s">
        <v>521</v>
      </c>
      <c r="M613" s="46" t="s">
        <v>522</v>
      </c>
      <c r="N613" s="47" t="s">
        <v>523</v>
      </c>
      <c r="O613" s="44" t="s">
        <v>4</v>
      </c>
      <c r="P613" s="47" t="s">
        <v>527</v>
      </c>
      <c r="Q613" s="48">
        <v>51200</v>
      </c>
      <c r="R613" s="49" t="s">
        <v>4</v>
      </c>
      <c r="S613" s="48" t="s">
        <v>4</v>
      </c>
      <c r="T613" s="47" t="s">
        <v>4</v>
      </c>
    </row>
    <row r="614" spans="1:20">
      <c r="A614" s="46">
        <v>138380825924</v>
      </c>
      <c r="B614" s="44" t="s">
        <v>517</v>
      </c>
      <c r="C614" s="45">
        <v>46009</v>
      </c>
      <c r="D614" s="46">
        <v>55018357806</v>
      </c>
      <c r="E614" s="46">
        <v>2151830132022</v>
      </c>
      <c r="F614" s="47" t="s">
        <v>518</v>
      </c>
      <c r="G614" s="47" t="s">
        <v>519</v>
      </c>
      <c r="H614" s="47" t="s">
        <v>4</v>
      </c>
      <c r="I614" s="46" t="s">
        <v>4</v>
      </c>
      <c r="J614" s="48">
        <v>441.33</v>
      </c>
      <c r="K614" s="47" t="s">
        <v>520</v>
      </c>
      <c r="L614" s="47" t="s">
        <v>521</v>
      </c>
      <c r="M614" s="46" t="s">
        <v>522</v>
      </c>
      <c r="N614" s="47" t="s">
        <v>523</v>
      </c>
      <c r="O614" s="44" t="s">
        <v>4</v>
      </c>
      <c r="P614" s="47" t="s">
        <v>798</v>
      </c>
      <c r="Q614" s="48">
        <v>45498</v>
      </c>
      <c r="R614" s="49" t="s">
        <v>4</v>
      </c>
      <c r="S614" s="48" t="s">
        <v>4</v>
      </c>
      <c r="T614" s="47" t="s">
        <v>525</v>
      </c>
    </row>
    <row r="615" spans="1:20">
      <c r="A615" s="46">
        <v>138381183046</v>
      </c>
      <c r="B615" s="44" t="s">
        <v>517</v>
      </c>
      <c r="C615" s="45">
        <v>46009</v>
      </c>
      <c r="D615" s="46">
        <v>55018480137</v>
      </c>
      <c r="E615" s="46">
        <v>2151832102580</v>
      </c>
      <c r="F615" s="47" t="s">
        <v>518</v>
      </c>
      <c r="G615" s="47" t="s">
        <v>519</v>
      </c>
      <c r="H615" s="47" t="s">
        <v>4</v>
      </c>
      <c r="I615" s="46" t="s">
        <v>4</v>
      </c>
      <c r="J615" s="48">
        <v>47.53</v>
      </c>
      <c r="K615" s="47" t="s">
        <v>520</v>
      </c>
      <c r="L615" s="47" t="s">
        <v>521</v>
      </c>
      <c r="M615" s="46" t="s">
        <v>522</v>
      </c>
      <c r="N615" s="47" t="s">
        <v>523</v>
      </c>
      <c r="O615" s="44" t="s">
        <v>4</v>
      </c>
      <c r="P615" s="47" t="s">
        <v>794</v>
      </c>
      <c r="Q615" s="48">
        <v>4900</v>
      </c>
      <c r="R615" s="49" t="s">
        <v>4</v>
      </c>
      <c r="S615" s="48" t="s">
        <v>4</v>
      </c>
      <c r="T615" s="47" t="s">
        <v>525</v>
      </c>
    </row>
    <row r="616" spans="1:20">
      <c r="A616" s="46">
        <v>138382866740</v>
      </c>
      <c r="B616" s="44" t="s">
        <v>517</v>
      </c>
      <c r="C616" s="45">
        <v>46009</v>
      </c>
      <c r="D616" s="46">
        <v>55019291748</v>
      </c>
      <c r="E616" s="46">
        <v>2151843413084</v>
      </c>
      <c r="F616" s="47" t="s">
        <v>526</v>
      </c>
      <c r="G616" s="47" t="s">
        <v>519</v>
      </c>
      <c r="H616" s="47" t="s">
        <v>4</v>
      </c>
      <c r="I616" s="46" t="s">
        <v>4</v>
      </c>
      <c r="J616" s="48">
        <v>326.87</v>
      </c>
      <c r="K616" s="47" t="s">
        <v>520</v>
      </c>
      <c r="L616" s="47" t="s">
        <v>521</v>
      </c>
      <c r="M616" s="46" t="s">
        <v>522</v>
      </c>
      <c r="N616" s="47" t="s">
        <v>523</v>
      </c>
      <c r="O616" s="44" t="s">
        <v>4</v>
      </c>
      <c r="P616" s="47" t="s">
        <v>527</v>
      </c>
      <c r="Q616" s="48">
        <v>33698</v>
      </c>
      <c r="R616" s="49" t="s">
        <v>4</v>
      </c>
      <c r="S616" s="48" t="s">
        <v>4</v>
      </c>
      <c r="T616" s="47" t="s">
        <v>4</v>
      </c>
    </row>
    <row r="617" spans="1:20">
      <c r="A617" s="46">
        <v>138386617202</v>
      </c>
      <c r="B617" s="44" t="s">
        <v>517</v>
      </c>
      <c r="C617" s="45">
        <v>46009</v>
      </c>
      <c r="D617" s="46">
        <v>55021130433</v>
      </c>
      <c r="E617" s="46">
        <v>2151717732387</v>
      </c>
      <c r="F617" s="47" t="s">
        <v>562</v>
      </c>
      <c r="G617" s="47" t="s">
        <v>519</v>
      </c>
      <c r="H617" s="47" t="s">
        <v>4</v>
      </c>
      <c r="I617" s="46" t="s">
        <v>4</v>
      </c>
      <c r="J617" s="48">
        <v>65.2</v>
      </c>
      <c r="K617" s="47" t="s">
        <v>520</v>
      </c>
      <c r="L617" s="47" t="s">
        <v>521</v>
      </c>
      <c r="M617" s="46" t="s">
        <v>522</v>
      </c>
      <c r="N617" s="47" t="s">
        <v>523</v>
      </c>
      <c r="O617" s="44" t="s">
        <v>4</v>
      </c>
      <c r="P617" s="47" t="s">
        <v>563</v>
      </c>
      <c r="Q617" s="48">
        <v>4000</v>
      </c>
      <c r="R617" s="49" t="s">
        <v>4</v>
      </c>
      <c r="S617" s="48" t="s">
        <v>4</v>
      </c>
      <c r="T617" s="47" t="s">
        <v>525</v>
      </c>
    </row>
    <row r="618" spans="1:20">
      <c r="A618" s="46">
        <v>137748725081</v>
      </c>
      <c r="B618" s="44" t="s">
        <v>517</v>
      </c>
      <c r="C618" s="45">
        <v>46009</v>
      </c>
      <c r="D618" s="46">
        <v>55021261013</v>
      </c>
      <c r="E618" s="46">
        <v>2151721621813</v>
      </c>
      <c r="F618" s="47" t="s">
        <v>526</v>
      </c>
      <c r="G618" s="47" t="s">
        <v>519</v>
      </c>
      <c r="H618" s="47" t="s">
        <v>4</v>
      </c>
      <c r="I618" s="46" t="s">
        <v>4</v>
      </c>
      <c r="J618" s="48">
        <v>182.36</v>
      </c>
      <c r="K618" s="47" t="s">
        <v>520</v>
      </c>
      <c r="L618" s="47" t="s">
        <v>521</v>
      </c>
      <c r="M618" s="46" t="s">
        <v>522</v>
      </c>
      <c r="N618" s="47" t="s">
        <v>523</v>
      </c>
      <c r="O618" s="44" t="s">
        <v>4</v>
      </c>
      <c r="P618" s="47" t="s">
        <v>527</v>
      </c>
      <c r="Q618" s="48">
        <v>18800</v>
      </c>
      <c r="R618" s="49" t="s">
        <v>4</v>
      </c>
      <c r="S618" s="48" t="s">
        <v>4</v>
      </c>
      <c r="T618" s="47" t="s">
        <v>4</v>
      </c>
    </row>
    <row r="619" spans="1:20">
      <c r="A619" s="46">
        <v>137748780603</v>
      </c>
      <c r="B619" s="44" t="s">
        <v>517</v>
      </c>
      <c r="C619" s="45">
        <v>46009</v>
      </c>
      <c r="D619" s="46">
        <v>55021291898</v>
      </c>
      <c r="E619" s="46">
        <v>2151721836867</v>
      </c>
      <c r="F619" s="47" t="s">
        <v>529</v>
      </c>
      <c r="G619" s="47" t="s">
        <v>519</v>
      </c>
      <c r="H619" s="47" t="s">
        <v>4</v>
      </c>
      <c r="I619" s="46" t="s">
        <v>4</v>
      </c>
      <c r="J619" s="48">
        <v>926.11</v>
      </c>
      <c r="K619" s="47" t="s">
        <v>520</v>
      </c>
      <c r="L619" s="47" t="s">
        <v>530</v>
      </c>
      <c r="M619" s="46" t="s">
        <v>522</v>
      </c>
      <c r="N619" s="47" t="s">
        <v>523</v>
      </c>
      <c r="O619" s="44" t="s">
        <v>263</v>
      </c>
      <c r="P619" s="47" t="s">
        <v>531</v>
      </c>
      <c r="Q619" s="48">
        <v>20399</v>
      </c>
      <c r="R619" s="49" t="s">
        <v>4</v>
      </c>
      <c r="S619" s="48" t="s">
        <v>4</v>
      </c>
      <c r="T619" s="47" t="s">
        <v>525</v>
      </c>
    </row>
    <row r="620" spans="1:20">
      <c r="A620" s="46">
        <v>138386893506</v>
      </c>
      <c r="B620" s="44" t="s">
        <v>517</v>
      </c>
      <c r="C620" s="45">
        <v>46009</v>
      </c>
      <c r="D620" s="46">
        <v>55021336158</v>
      </c>
      <c r="E620" s="46">
        <v>2151878238828</v>
      </c>
      <c r="F620" s="47" t="s">
        <v>562</v>
      </c>
      <c r="G620" s="47" t="s">
        <v>519</v>
      </c>
      <c r="H620" s="47" t="s">
        <v>4</v>
      </c>
      <c r="I620" s="46" t="s">
        <v>4</v>
      </c>
      <c r="J620" s="48">
        <v>312.95999999999998</v>
      </c>
      <c r="K620" s="47" t="s">
        <v>520</v>
      </c>
      <c r="L620" s="47" t="s">
        <v>521</v>
      </c>
      <c r="M620" s="46" t="s">
        <v>522</v>
      </c>
      <c r="N620" s="47" t="s">
        <v>523</v>
      </c>
      <c r="O620" s="44" t="s">
        <v>4</v>
      </c>
      <c r="P620" s="47" t="s">
        <v>739</v>
      </c>
      <c r="Q620" s="48">
        <v>19200</v>
      </c>
      <c r="R620" s="49" t="s">
        <v>4</v>
      </c>
      <c r="S620" s="48" t="s">
        <v>4</v>
      </c>
      <c r="T620" s="47" t="s">
        <v>525</v>
      </c>
    </row>
    <row r="621" spans="1:20">
      <c r="A621" s="46">
        <v>137748840969</v>
      </c>
      <c r="B621" s="44" t="s">
        <v>517</v>
      </c>
      <c r="C621" s="45">
        <v>46009</v>
      </c>
      <c r="D621" s="46">
        <v>55021342146</v>
      </c>
      <c r="E621" s="46">
        <v>2151879188388</v>
      </c>
      <c r="F621" s="47" t="s">
        <v>529</v>
      </c>
      <c r="G621" s="47" t="s">
        <v>519</v>
      </c>
      <c r="H621" s="47" t="s">
        <v>4</v>
      </c>
      <c r="I621" s="46" t="s">
        <v>4</v>
      </c>
      <c r="J621" s="48">
        <v>1392.63</v>
      </c>
      <c r="K621" s="47" t="s">
        <v>520</v>
      </c>
      <c r="L621" s="47" t="s">
        <v>530</v>
      </c>
      <c r="M621" s="46" t="s">
        <v>522</v>
      </c>
      <c r="N621" s="47" t="s">
        <v>523</v>
      </c>
      <c r="O621" s="44" t="s">
        <v>263</v>
      </c>
      <c r="P621" s="47" t="s">
        <v>531</v>
      </c>
      <c r="Q621" s="48">
        <v>18300</v>
      </c>
      <c r="R621" s="49" t="s">
        <v>4</v>
      </c>
      <c r="S621" s="48" t="s">
        <v>4</v>
      </c>
      <c r="T621" s="47" t="s">
        <v>525</v>
      </c>
    </row>
    <row r="622" spans="1:20">
      <c r="A622" s="46">
        <v>138387393028</v>
      </c>
      <c r="B622" s="44" t="s">
        <v>517</v>
      </c>
      <c r="C622" s="45">
        <v>46009</v>
      </c>
      <c r="D622" s="46">
        <v>55021475515</v>
      </c>
      <c r="E622" s="46">
        <v>2151726694933</v>
      </c>
      <c r="F622" s="47" t="s">
        <v>518</v>
      </c>
      <c r="G622" s="47" t="s">
        <v>519</v>
      </c>
      <c r="H622" s="47" t="s">
        <v>4</v>
      </c>
      <c r="I622" s="46" t="s">
        <v>4</v>
      </c>
      <c r="J622" s="48">
        <v>329.8</v>
      </c>
      <c r="K622" s="47" t="s">
        <v>520</v>
      </c>
      <c r="L622" s="47" t="s">
        <v>521</v>
      </c>
      <c r="M622" s="46" t="s">
        <v>522</v>
      </c>
      <c r="N622" s="47" t="s">
        <v>523</v>
      </c>
      <c r="O622" s="44" t="s">
        <v>4</v>
      </c>
      <c r="P622" s="47" t="s">
        <v>799</v>
      </c>
      <c r="Q622" s="48">
        <v>34000</v>
      </c>
      <c r="R622" s="49" t="s">
        <v>4</v>
      </c>
      <c r="S622" s="48" t="s">
        <v>4</v>
      </c>
      <c r="T622" s="47" t="s">
        <v>525</v>
      </c>
    </row>
    <row r="623" spans="1:20">
      <c r="A623" s="46">
        <v>137862760785</v>
      </c>
      <c r="B623" s="44" t="s">
        <v>517</v>
      </c>
      <c r="C623" s="45">
        <v>46009</v>
      </c>
      <c r="D623" s="46">
        <v>55064294966</v>
      </c>
      <c r="E623" s="46">
        <v>2152657505894</v>
      </c>
      <c r="F623" s="47" t="s">
        <v>518</v>
      </c>
      <c r="G623" s="47" t="s">
        <v>519</v>
      </c>
      <c r="H623" s="47" t="s">
        <v>4</v>
      </c>
      <c r="I623" s="46" t="s">
        <v>4</v>
      </c>
      <c r="J623" s="48">
        <v>121.25</v>
      </c>
      <c r="K623" s="47" t="s">
        <v>520</v>
      </c>
      <c r="L623" s="47" t="s">
        <v>521</v>
      </c>
      <c r="M623" s="46" t="s">
        <v>522</v>
      </c>
      <c r="N623" s="47" t="s">
        <v>523</v>
      </c>
      <c r="O623" s="44" t="s">
        <v>4</v>
      </c>
      <c r="P623" s="47" t="s">
        <v>800</v>
      </c>
      <c r="Q623" s="48">
        <v>12500</v>
      </c>
      <c r="R623" s="49" t="s">
        <v>4</v>
      </c>
      <c r="S623" s="48" t="s">
        <v>4</v>
      </c>
      <c r="T623" s="47" t="s">
        <v>525</v>
      </c>
    </row>
    <row r="624" spans="1:20">
      <c r="A624" s="46">
        <v>137866056777</v>
      </c>
      <c r="B624" s="44" t="s">
        <v>517</v>
      </c>
      <c r="C624" s="45">
        <v>46009</v>
      </c>
      <c r="D624" s="46">
        <v>55065487277</v>
      </c>
      <c r="E624" s="46">
        <v>2152520855321</v>
      </c>
      <c r="F624" s="47" t="s">
        <v>518</v>
      </c>
      <c r="G624" s="47" t="s">
        <v>519</v>
      </c>
      <c r="H624" s="47" t="s">
        <v>4</v>
      </c>
      <c r="I624" s="46" t="s">
        <v>4</v>
      </c>
      <c r="J624" s="48">
        <v>143.56</v>
      </c>
      <c r="K624" s="47" t="s">
        <v>520</v>
      </c>
      <c r="L624" s="47" t="s">
        <v>521</v>
      </c>
      <c r="M624" s="46" t="s">
        <v>522</v>
      </c>
      <c r="N624" s="47" t="s">
        <v>523</v>
      </c>
      <c r="O624" s="44" t="s">
        <v>4</v>
      </c>
      <c r="P624" s="47" t="s">
        <v>801</v>
      </c>
      <c r="Q624" s="48">
        <v>14800</v>
      </c>
      <c r="R624" s="49" t="s">
        <v>4</v>
      </c>
      <c r="S624" s="48" t="s">
        <v>4</v>
      </c>
      <c r="T624" s="47" t="s">
        <v>525</v>
      </c>
    </row>
    <row r="625" spans="1:20">
      <c r="A625" s="46">
        <v>138506489490</v>
      </c>
      <c r="B625" s="44" t="s">
        <v>517</v>
      </c>
      <c r="C625" s="45">
        <v>46009</v>
      </c>
      <c r="D625" s="46">
        <v>55066089782</v>
      </c>
      <c r="E625" s="46">
        <v>2152530540233</v>
      </c>
      <c r="F625" s="47" t="s">
        <v>526</v>
      </c>
      <c r="G625" s="47" t="s">
        <v>519</v>
      </c>
      <c r="H625" s="47" t="s">
        <v>4</v>
      </c>
      <c r="I625" s="46" t="s">
        <v>4</v>
      </c>
      <c r="J625" s="48">
        <v>48.5</v>
      </c>
      <c r="K625" s="47" t="s">
        <v>520</v>
      </c>
      <c r="L625" s="47" t="s">
        <v>521</v>
      </c>
      <c r="M625" s="46" t="s">
        <v>660</v>
      </c>
      <c r="N625" s="47" t="s">
        <v>661</v>
      </c>
      <c r="O625" s="44" t="s">
        <v>4</v>
      </c>
      <c r="P625" s="47" t="s">
        <v>527</v>
      </c>
      <c r="Q625" s="48">
        <v>5000</v>
      </c>
      <c r="R625" s="49" t="s">
        <v>4</v>
      </c>
      <c r="S625" s="48" t="s">
        <v>4</v>
      </c>
      <c r="T625" s="47" t="s">
        <v>4</v>
      </c>
    </row>
    <row r="626" spans="1:20">
      <c r="A626" s="46">
        <v>138507536394</v>
      </c>
      <c r="B626" s="44" t="s">
        <v>517</v>
      </c>
      <c r="C626" s="45">
        <v>46009</v>
      </c>
      <c r="D626" s="46">
        <v>55066422272</v>
      </c>
      <c r="E626" s="46">
        <v>2152693517744</v>
      </c>
      <c r="F626" s="47" t="s">
        <v>518</v>
      </c>
      <c r="G626" s="47" t="s">
        <v>519</v>
      </c>
      <c r="H626" s="47" t="s">
        <v>4</v>
      </c>
      <c r="I626" s="46" t="s">
        <v>4</v>
      </c>
      <c r="J626" s="48">
        <v>97</v>
      </c>
      <c r="K626" s="47" t="s">
        <v>520</v>
      </c>
      <c r="L626" s="47" t="s">
        <v>521</v>
      </c>
      <c r="M626" s="46" t="s">
        <v>660</v>
      </c>
      <c r="N626" s="47" t="s">
        <v>661</v>
      </c>
      <c r="O626" s="44" t="s">
        <v>4</v>
      </c>
      <c r="P626" s="47" t="s">
        <v>802</v>
      </c>
      <c r="Q626" s="48">
        <v>10000</v>
      </c>
      <c r="R626" s="49" t="s">
        <v>4</v>
      </c>
      <c r="S626" s="48" t="s">
        <v>4</v>
      </c>
      <c r="T626" s="47" t="s">
        <v>525</v>
      </c>
    </row>
    <row r="627" spans="1:20">
      <c r="A627" s="46">
        <v>137875762085</v>
      </c>
      <c r="B627" s="44" t="s">
        <v>517</v>
      </c>
      <c r="C627" s="45">
        <v>46009</v>
      </c>
      <c r="D627" s="46">
        <v>55069232859</v>
      </c>
      <c r="E627" s="46">
        <v>2152587525827</v>
      </c>
      <c r="F627" s="47" t="s">
        <v>518</v>
      </c>
      <c r="G627" s="47" t="s">
        <v>519</v>
      </c>
      <c r="H627" s="47" t="s">
        <v>4</v>
      </c>
      <c r="I627" s="46" t="s">
        <v>4</v>
      </c>
      <c r="J627" s="48">
        <v>97</v>
      </c>
      <c r="K627" s="47" t="s">
        <v>520</v>
      </c>
      <c r="L627" s="47" t="s">
        <v>521</v>
      </c>
      <c r="M627" s="46" t="s">
        <v>522</v>
      </c>
      <c r="N627" s="47" t="s">
        <v>523</v>
      </c>
      <c r="O627" s="44" t="s">
        <v>4</v>
      </c>
      <c r="P627" s="47" t="s">
        <v>803</v>
      </c>
      <c r="Q627" s="48">
        <v>10000</v>
      </c>
      <c r="R627" s="49" t="s">
        <v>4</v>
      </c>
      <c r="S627" s="48" t="s">
        <v>4</v>
      </c>
      <c r="T627" s="47" t="s">
        <v>525</v>
      </c>
    </row>
    <row r="628" spans="1:20">
      <c r="A628" s="46">
        <v>138515609406</v>
      </c>
      <c r="B628" s="44" t="s">
        <v>517</v>
      </c>
      <c r="C628" s="45">
        <v>46009</v>
      </c>
      <c r="D628" s="46">
        <v>55069460591</v>
      </c>
      <c r="E628" s="46">
        <v>2152591799819</v>
      </c>
      <c r="F628" s="47" t="s">
        <v>529</v>
      </c>
      <c r="G628" s="47" t="s">
        <v>519</v>
      </c>
      <c r="H628" s="47" t="s">
        <v>4</v>
      </c>
      <c r="I628" s="46" t="s">
        <v>4</v>
      </c>
      <c r="J628" s="48">
        <v>848.88</v>
      </c>
      <c r="K628" s="47" t="s">
        <v>520</v>
      </c>
      <c r="L628" s="47" t="s">
        <v>530</v>
      </c>
      <c r="M628" s="46" t="s">
        <v>522</v>
      </c>
      <c r="N628" s="47" t="s">
        <v>523</v>
      </c>
      <c r="O628" s="44" t="s">
        <v>263</v>
      </c>
      <c r="P628" s="47" t="s">
        <v>531</v>
      </c>
      <c r="Q628" s="48">
        <v>21600</v>
      </c>
      <c r="R628" s="49" t="s">
        <v>4</v>
      </c>
      <c r="S628" s="48" t="s">
        <v>4</v>
      </c>
      <c r="T628" s="47" t="s">
        <v>525</v>
      </c>
    </row>
    <row r="629" spans="1:20">
      <c r="A629" s="46">
        <v>137878494033</v>
      </c>
      <c r="B629" s="44" t="s">
        <v>517</v>
      </c>
      <c r="C629" s="45">
        <v>46009</v>
      </c>
      <c r="D629" s="46">
        <v>55070254457</v>
      </c>
      <c r="E629" s="46">
        <v>2152764431204</v>
      </c>
      <c r="F629" s="47" t="s">
        <v>526</v>
      </c>
      <c r="G629" s="47" t="s">
        <v>519</v>
      </c>
      <c r="H629" s="47" t="s">
        <v>4</v>
      </c>
      <c r="I629" s="46" t="s">
        <v>4</v>
      </c>
      <c r="J629" s="48">
        <v>53.35</v>
      </c>
      <c r="K629" s="47" t="s">
        <v>520</v>
      </c>
      <c r="L629" s="47" t="s">
        <v>521</v>
      </c>
      <c r="M629" s="46" t="s">
        <v>660</v>
      </c>
      <c r="N629" s="47" t="s">
        <v>661</v>
      </c>
      <c r="O629" s="44" t="s">
        <v>4</v>
      </c>
      <c r="P629" s="47" t="s">
        <v>527</v>
      </c>
      <c r="Q629" s="48">
        <v>5500</v>
      </c>
      <c r="R629" s="49" t="s">
        <v>4</v>
      </c>
      <c r="S629" s="48" t="s">
        <v>4</v>
      </c>
      <c r="T629" s="47" t="s">
        <v>4</v>
      </c>
    </row>
    <row r="630" spans="1:20">
      <c r="A630" s="46">
        <v>137879551043</v>
      </c>
      <c r="B630" s="44" t="s">
        <v>517</v>
      </c>
      <c r="C630" s="45">
        <v>46009</v>
      </c>
      <c r="D630" s="46">
        <v>55070610678</v>
      </c>
      <c r="E630" s="46">
        <v>2152771552602</v>
      </c>
      <c r="F630" s="47" t="s">
        <v>529</v>
      </c>
      <c r="G630" s="47" t="s">
        <v>519</v>
      </c>
      <c r="H630" s="47" t="s">
        <v>4</v>
      </c>
      <c r="I630" s="46" t="s">
        <v>4</v>
      </c>
      <c r="J630" s="48">
        <v>380.5</v>
      </c>
      <c r="K630" s="47" t="s">
        <v>520</v>
      </c>
      <c r="L630" s="47" t="s">
        <v>530</v>
      </c>
      <c r="M630" s="46" t="s">
        <v>522</v>
      </c>
      <c r="N630" s="47" t="s">
        <v>523</v>
      </c>
      <c r="O630" s="44" t="s">
        <v>263</v>
      </c>
      <c r="P630" s="47" t="s">
        <v>531</v>
      </c>
      <c r="Q630" s="48">
        <v>5000</v>
      </c>
      <c r="R630" s="49" t="s">
        <v>4</v>
      </c>
      <c r="S630" s="48" t="s">
        <v>4</v>
      </c>
      <c r="T630" s="47" t="s">
        <v>525</v>
      </c>
    </row>
    <row r="631" spans="1:20">
      <c r="A631" s="46">
        <v>137881102495</v>
      </c>
      <c r="B631" s="44" t="s">
        <v>517</v>
      </c>
      <c r="C631" s="45">
        <v>46009</v>
      </c>
      <c r="D631" s="46">
        <v>55071103468</v>
      </c>
      <c r="E631" s="46">
        <v>2152782426942</v>
      </c>
      <c r="F631" s="47" t="s">
        <v>518</v>
      </c>
      <c r="G631" s="47" t="s">
        <v>519</v>
      </c>
      <c r="H631" s="47" t="s">
        <v>4</v>
      </c>
      <c r="I631" s="46" t="s">
        <v>4</v>
      </c>
      <c r="J631" s="48">
        <v>47.53</v>
      </c>
      <c r="K631" s="47" t="s">
        <v>520</v>
      </c>
      <c r="L631" s="47" t="s">
        <v>521</v>
      </c>
      <c r="M631" s="46" t="s">
        <v>522</v>
      </c>
      <c r="N631" s="47" t="s">
        <v>523</v>
      </c>
      <c r="O631" s="44" t="s">
        <v>4</v>
      </c>
      <c r="P631" s="47" t="s">
        <v>804</v>
      </c>
      <c r="Q631" s="48">
        <v>4900</v>
      </c>
      <c r="R631" s="49" t="s">
        <v>4</v>
      </c>
      <c r="S631" s="48" t="s">
        <v>4</v>
      </c>
      <c r="T631" s="47" t="s">
        <v>525</v>
      </c>
    </row>
    <row r="632" spans="1:20">
      <c r="A632" s="46">
        <v>137881181395</v>
      </c>
      <c r="B632" s="44" t="s">
        <v>517</v>
      </c>
      <c r="C632" s="45">
        <v>46009</v>
      </c>
      <c r="D632" s="46">
        <v>55071192193</v>
      </c>
      <c r="E632" s="46">
        <v>2152626093855</v>
      </c>
      <c r="F632" s="47" t="s">
        <v>529</v>
      </c>
      <c r="G632" s="47" t="s">
        <v>519</v>
      </c>
      <c r="H632" s="47" t="s">
        <v>4</v>
      </c>
      <c r="I632" s="46" t="s">
        <v>4</v>
      </c>
      <c r="J632" s="48">
        <v>1053.24</v>
      </c>
      <c r="K632" s="47" t="s">
        <v>520</v>
      </c>
      <c r="L632" s="47" t="s">
        <v>530</v>
      </c>
      <c r="M632" s="46" t="s">
        <v>522</v>
      </c>
      <c r="N632" s="47" t="s">
        <v>523</v>
      </c>
      <c r="O632" s="44" t="s">
        <v>263</v>
      </c>
      <c r="P632" s="47" t="s">
        <v>531</v>
      </c>
      <c r="Q632" s="48">
        <v>26800</v>
      </c>
      <c r="R632" s="49" t="s">
        <v>4</v>
      </c>
      <c r="S632" s="48" t="s">
        <v>4</v>
      </c>
      <c r="T632" s="47" t="s">
        <v>525</v>
      </c>
    </row>
    <row r="633" spans="1:20">
      <c r="A633" s="46">
        <v>137881574967</v>
      </c>
      <c r="B633" s="44" t="s">
        <v>517</v>
      </c>
      <c r="C633" s="45">
        <v>46009</v>
      </c>
      <c r="D633" s="46">
        <v>55071309405</v>
      </c>
      <c r="E633" s="46">
        <v>2152628684711</v>
      </c>
      <c r="F633" s="47" t="s">
        <v>518</v>
      </c>
      <c r="G633" s="47" t="s">
        <v>519</v>
      </c>
      <c r="H633" s="47" t="s">
        <v>4</v>
      </c>
      <c r="I633" s="46" t="s">
        <v>4</v>
      </c>
      <c r="J633" s="48">
        <v>48.5</v>
      </c>
      <c r="K633" s="47" t="s">
        <v>520</v>
      </c>
      <c r="L633" s="47" t="s">
        <v>521</v>
      </c>
      <c r="M633" s="46" t="s">
        <v>522</v>
      </c>
      <c r="N633" s="47" t="s">
        <v>523</v>
      </c>
      <c r="O633" s="44" t="s">
        <v>4</v>
      </c>
      <c r="P633" s="47" t="s">
        <v>805</v>
      </c>
      <c r="Q633" s="48">
        <v>5000</v>
      </c>
      <c r="R633" s="49" t="s">
        <v>4</v>
      </c>
      <c r="S633" s="48" t="s">
        <v>4</v>
      </c>
      <c r="T633" s="47" t="s">
        <v>525</v>
      </c>
    </row>
    <row r="634" spans="1:20">
      <c r="A634" s="46">
        <v>137881925783</v>
      </c>
      <c r="B634" s="44" t="s">
        <v>517</v>
      </c>
      <c r="C634" s="45">
        <v>46009</v>
      </c>
      <c r="D634" s="46">
        <v>55071485499</v>
      </c>
      <c r="E634" s="46">
        <v>2152789157456</v>
      </c>
      <c r="F634" s="47" t="s">
        <v>529</v>
      </c>
      <c r="G634" s="47" t="s">
        <v>519</v>
      </c>
      <c r="H634" s="47" t="s">
        <v>4</v>
      </c>
      <c r="I634" s="46" t="s">
        <v>4</v>
      </c>
      <c r="J634" s="48">
        <v>372.89</v>
      </c>
      <c r="K634" s="47" t="s">
        <v>520</v>
      </c>
      <c r="L634" s="47" t="s">
        <v>530</v>
      </c>
      <c r="M634" s="46" t="s">
        <v>522</v>
      </c>
      <c r="N634" s="47" t="s">
        <v>523</v>
      </c>
      <c r="O634" s="44" t="s">
        <v>263</v>
      </c>
      <c r="P634" s="47" t="s">
        <v>531</v>
      </c>
      <c r="Q634" s="48">
        <v>4900</v>
      </c>
      <c r="R634" s="49" t="s">
        <v>4</v>
      </c>
      <c r="S634" s="48" t="s">
        <v>4</v>
      </c>
      <c r="T634" s="47" t="s">
        <v>525</v>
      </c>
    </row>
    <row r="635" spans="1:20">
      <c r="A635" s="46">
        <v>137882122931</v>
      </c>
      <c r="B635" s="44" t="s">
        <v>517</v>
      </c>
      <c r="C635" s="45">
        <v>46009</v>
      </c>
      <c r="D635" s="46">
        <v>55071545228</v>
      </c>
      <c r="E635" s="46">
        <v>2152790521328</v>
      </c>
      <c r="F635" s="47" t="s">
        <v>529</v>
      </c>
      <c r="G635" s="47" t="s">
        <v>519</v>
      </c>
      <c r="H635" s="47" t="s">
        <v>4</v>
      </c>
      <c r="I635" s="46" t="s">
        <v>4</v>
      </c>
      <c r="J635" s="48">
        <v>192.57</v>
      </c>
      <c r="K635" s="47" t="s">
        <v>520</v>
      </c>
      <c r="L635" s="47" t="s">
        <v>530</v>
      </c>
      <c r="M635" s="46" t="s">
        <v>522</v>
      </c>
      <c r="N635" s="47" t="s">
        <v>523</v>
      </c>
      <c r="O635" s="44" t="s">
        <v>263</v>
      </c>
      <c r="P635" s="47" t="s">
        <v>531</v>
      </c>
      <c r="Q635" s="48">
        <v>4900</v>
      </c>
      <c r="R635" s="49" t="s">
        <v>4</v>
      </c>
      <c r="S635" s="48" t="s">
        <v>4</v>
      </c>
      <c r="T635" s="47" t="s">
        <v>525</v>
      </c>
    </row>
    <row r="636" spans="1:20">
      <c r="A636" s="46">
        <v>138521571152</v>
      </c>
      <c r="B636" s="44" t="s">
        <v>517</v>
      </c>
      <c r="C636" s="45">
        <v>46009</v>
      </c>
      <c r="D636" s="46">
        <v>55071696046</v>
      </c>
      <c r="E636" s="46">
        <v>2152636475439</v>
      </c>
      <c r="F636" s="47" t="s">
        <v>529</v>
      </c>
      <c r="G636" s="47" t="s">
        <v>519</v>
      </c>
      <c r="H636" s="47" t="s">
        <v>4</v>
      </c>
      <c r="I636" s="46" t="s">
        <v>4</v>
      </c>
      <c r="J636" s="48">
        <v>314.39999999999998</v>
      </c>
      <c r="K636" s="47" t="s">
        <v>520</v>
      </c>
      <c r="L636" s="47" t="s">
        <v>530</v>
      </c>
      <c r="M636" s="46" t="s">
        <v>522</v>
      </c>
      <c r="N636" s="47" t="s">
        <v>523</v>
      </c>
      <c r="O636" s="44" t="s">
        <v>263</v>
      </c>
      <c r="P636" s="47" t="s">
        <v>531</v>
      </c>
      <c r="Q636" s="48">
        <v>8000</v>
      </c>
      <c r="R636" s="49" t="s">
        <v>4</v>
      </c>
      <c r="S636" s="48" t="s">
        <v>4</v>
      </c>
      <c r="T636" s="47" t="s">
        <v>525</v>
      </c>
    </row>
    <row r="637" spans="1:20">
      <c r="A637" s="46">
        <v>137883296031</v>
      </c>
      <c r="B637" s="44" t="s">
        <v>517</v>
      </c>
      <c r="C637" s="45">
        <v>46009</v>
      </c>
      <c r="D637" s="46">
        <v>55072035176</v>
      </c>
      <c r="E637" s="46">
        <v>2152643462439</v>
      </c>
      <c r="F637" s="47" t="s">
        <v>518</v>
      </c>
      <c r="G637" s="47" t="s">
        <v>519</v>
      </c>
      <c r="H637" s="47" t="s">
        <v>4</v>
      </c>
      <c r="I637" s="46" t="s">
        <v>4</v>
      </c>
      <c r="J637" s="48">
        <v>146.47</v>
      </c>
      <c r="K637" s="47" t="s">
        <v>520</v>
      </c>
      <c r="L637" s="47" t="s">
        <v>521</v>
      </c>
      <c r="M637" s="46" t="s">
        <v>522</v>
      </c>
      <c r="N637" s="47" t="s">
        <v>523</v>
      </c>
      <c r="O637" s="44" t="s">
        <v>4</v>
      </c>
      <c r="P637" s="47" t="s">
        <v>648</v>
      </c>
      <c r="Q637" s="48">
        <v>15100</v>
      </c>
      <c r="R637" s="49" t="s">
        <v>4</v>
      </c>
      <c r="S637" s="48" t="s">
        <v>4</v>
      </c>
      <c r="T637" s="47" t="s">
        <v>525</v>
      </c>
    </row>
    <row r="638" spans="1:20">
      <c r="A638" s="46">
        <v>138522879906</v>
      </c>
      <c r="B638" s="44" t="s">
        <v>517</v>
      </c>
      <c r="C638" s="45">
        <v>46009</v>
      </c>
      <c r="D638" s="46">
        <v>55072173080</v>
      </c>
      <c r="E638" s="46">
        <v>2152803869042</v>
      </c>
      <c r="F638" s="47" t="s">
        <v>518</v>
      </c>
      <c r="G638" s="47" t="s">
        <v>519</v>
      </c>
      <c r="H638" s="47" t="s">
        <v>4</v>
      </c>
      <c r="I638" s="46" t="s">
        <v>4</v>
      </c>
      <c r="J638" s="48">
        <v>72.75</v>
      </c>
      <c r="K638" s="47" t="s">
        <v>520</v>
      </c>
      <c r="L638" s="47" t="s">
        <v>521</v>
      </c>
      <c r="M638" s="46" t="s">
        <v>522</v>
      </c>
      <c r="N638" s="47" t="s">
        <v>523</v>
      </c>
      <c r="O638" s="44" t="s">
        <v>4</v>
      </c>
      <c r="P638" s="47" t="s">
        <v>543</v>
      </c>
      <c r="Q638" s="48">
        <v>7500</v>
      </c>
      <c r="R638" s="49" t="s">
        <v>4</v>
      </c>
      <c r="S638" s="48" t="s">
        <v>4</v>
      </c>
      <c r="T638" s="47" t="s">
        <v>525</v>
      </c>
    </row>
    <row r="639" spans="1:20">
      <c r="A639" s="46">
        <v>138523156838</v>
      </c>
      <c r="B639" s="44" t="s">
        <v>517</v>
      </c>
      <c r="C639" s="45">
        <v>46009</v>
      </c>
      <c r="D639" s="46">
        <v>55072267033</v>
      </c>
      <c r="E639" s="46">
        <v>2152647755905</v>
      </c>
      <c r="F639" s="47" t="s">
        <v>518</v>
      </c>
      <c r="G639" s="47" t="s">
        <v>519</v>
      </c>
      <c r="H639" s="47" t="s">
        <v>4</v>
      </c>
      <c r="I639" s="46" t="s">
        <v>4</v>
      </c>
      <c r="J639" s="48">
        <v>212.43</v>
      </c>
      <c r="K639" s="47" t="s">
        <v>520</v>
      </c>
      <c r="L639" s="47" t="s">
        <v>521</v>
      </c>
      <c r="M639" s="46" t="s">
        <v>522</v>
      </c>
      <c r="N639" s="47" t="s">
        <v>523</v>
      </c>
      <c r="O639" s="44" t="s">
        <v>4</v>
      </c>
      <c r="P639" s="47" t="s">
        <v>806</v>
      </c>
      <c r="Q639" s="48">
        <v>21900</v>
      </c>
      <c r="R639" s="49" t="s">
        <v>4</v>
      </c>
      <c r="S639" s="48" t="s">
        <v>4</v>
      </c>
      <c r="T639" s="47" t="s">
        <v>525</v>
      </c>
    </row>
    <row r="640" spans="1:20">
      <c r="A640" s="46">
        <v>138523183892</v>
      </c>
      <c r="B640" s="44" t="s">
        <v>517</v>
      </c>
      <c r="C640" s="45">
        <v>46009</v>
      </c>
      <c r="D640" s="46">
        <v>55072307519</v>
      </c>
      <c r="E640" s="46">
        <v>2152806231762</v>
      </c>
      <c r="F640" s="47" t="s">
        <v>518</v>
      </c>
      <c r="G640" s="47" t="s">
        <v>519</v>
      </c>
      <c r="H640" s="47" t="s">
        <v>4</v>
      </c>
      <c r="I640" s="46" t="s">
        <v>4</v>
      </c>
      <c r="J640" s="48">
        <v>47.53</v>
      </c>
      <c r="K640" s="47" t="s">
        <v>520</v>
      </c>
      <c r="L640" s="47" t="s">
        <v>521</v>
      </c>
      <c r="M640" s="46" t="s">
        <v>807</v>
      </c>
      <c r="N640" s="47" t="s">
        <v>808</v>
      </c>
      <c r="O640" s="44" t="s">
        <v>4</v>
      </c>
      <c r="P640" s="47" t="s">
        <v>665</v>
      </c>
      <c r="Q640" s="48">
        <v>4900</v>
      </c>
      <c r="R640" s="49" t="s">
        <v>4</v>
      </c>
      <c r="S640" s="48" t="s">
        <v>4</v>
      </c>
      <c r="T640" s="47" t="s">
        <v>525</v>
      </c>
    </row>
    <row r="641" spans="1:20">
      <c r="A641" s="46">
        <v>138523355880</v>
      </c>
      <c r="B641" s="44" t="s">
        <v>517</v>
      </c>
      <c r="C641" s="45">
        <v>46009</v>
      </c>
      <c r="D641" s="46">
        <v>55072369535</v>
      </c>
      <c r="E641" s="46">
        <v>2152807825214</v>
      </c>
      <c r="F641" s="47" t="s">
        <v>526</v>
      </c>
      <c r="G641" s="47" t="s">
        <v>519</v>
      </c>
      <c r="H641" s="47" t="s">
        <v>4</v>
      </c>
      <c r="I641" s="46" t="s">
        <v>4</v>
      </c>
      <c r="J641" s="48">
        <v>47.53</v>
      </c>
      <c r="K641" s="47" t="s">
        <v>520</v>
      </c>
      <c r="L641" s="47" t="s">
        <v>521</v>
      </c>
      <c r="M641" s="46" t="s">
        <v>807</v>
      </c>
      <c r="N641" s="47" t="s">
        <v>808</v>
      </c>
      <c r="O641" s="44" t="s">
        <v>4</v>
      </c>
      <c r="P641" s="47" t="s">
        <v>527</v>
      </c>
      <c r="Q641" s="48">
        <v>4900</v>
      </c>
      <c r="R641" s="49" t="s">
        <v>4</v>
      </c>
      <c r="S641" s="48" t="s">
        <v>4</v>
      </c>
      <c r="T641" s="47" t="s">
        <v>4</v>
      </c>
    </row>
    <row r="642" spans="1:20">
      <c r="A642" s="46">
        <v>138523750984</v>
      </c>
      <c r="B642" s="44" t="s">
        <v>517</v>
      </c>
      <c r="C642" s="45">
        <v>46009</v>
      </c>
      <c r="D642" s="46">
        <v>55072507200</v>
      </c>
      <c r="E642" s="46">
        <v>2152810114286</v>
      </c>
      <c r="F642" s="47" t="s">
        <v>518</v>
      </c>
      <c r="G642" s="47" t="s">
        <v>519</v>
      </c>
      <c r="H642" s="47" t="s">
        <v>4</v>
      </c>
      <c r="I642" s="46" t="s">
        <v>4</v>
      </c>
      <c r="J642" s="48">
        <v>106.7</v>
      </c>
      <c r="K642" s="47" t="s">
        <v>520</v>
      </c>
      <c r="L642" s="47" t="s">
        <v>521</v>
      </c>
      <c r="M642" s="46" t="s">
        <v>522</v>
      </c>
      <c r="N642" s="47" t="s">
        <v>523</v>
      </c>
      <c r="O642" s="44" t="s">
        <v>4</v>
      </c>
      <c r="P642" s="47" t="s">
        <v>809</v>
      </c>
      <c r="Q642" s="48">
        <v>11000</v>
      </c>
      <c r="R642" s="49" t="s">
        <v>4</v>
      </c>
      <c r="S642" s="48" t="s">
        <v>4</v>
      </c>
      <c r="T642" s="47" t="s">
        <v>525</v>
      </c>
    </row>
    <row r="643" spans="1:20">
      <c r="A643" s="46">
        <v>138523835674</v>
      </c>
      <c r="B643" s="44" t="s">
        <v>517</v>
      </c>
      <c r="C643" s="45">
        <v>46009</v>
      </c>
      <c r="D643" s="46">
        <v>55072574904</v>
      </c>
      <c r="E643" s="46">
        <v>2152653915047</v>
      </c>
      <c r="F643" s="47" t="s">
        <v>518</v>
      </c>
      <c r="G643" s="47" t="s">
        <v>519</v>
      </c>
      <c r="H643" s="47" t="s">
        <v>4</v>
      </c>
      <c r="I643" s="46" t="s">
        <v>4</v>
      </c>
      <c r="J643" s="48">
        <v>24.25</v>
      </c>
      <c r="K643" s="47" t="s">
        <v>520</v>
      </c>
      <c r="L643" s="47" t="s">
        <v>521</v>
      </c>
      <c r="M643" s="46" t="s">
        <v>807</v>
      </c>
      <c r="N643" s="47" t="s">
        <v>808</v>
      </c>
      <c r="O643" s="44" t="s">
        <v>4</v>
      </c>
      <c r="P643" s="47" t="s">
        <v>810</v>
      </c>
      <c r="Q643" s="48">
        <v>2500</v>
      </c>
      <c r="R643" s="49" t="s">
        <v>4</v>
      </c>
      <c r="S643" s="48" t="s">
        <v>4</v>
      </c>
      <c r="T643" s="47" t="s">
        <v>525</v>
      </c>
    </row>
    <row r="644" spans="1:20">
      <c r="A644" s="46">
        <v>137885651617</v>
      </c>
      <c r="B644" s="44" t="s">
        <v>517</v>
      </c>
      <c r="C644" s="45">
        <v>46009</v>
      </c>
      <c r="D644" s="46">
        <v>55072935047</v>
      </c>
      <c r="E644" s="46">
        <v>2152660706927</v>
      </c>
      <c r="F644" s="47" t="s">
        <v>518</v>
      </c>
      <c r="G644" s="47" t="s">
        <v>519</v>
      </c>
      <c r="H644" s="47" t="s">
        <v>4</v>
      </c>
      <c r="I644" s="46" t="s">
        <v>4</v>
      </c>
      <c r="J644" s="48">
        <v>47.53</v>
      </c>
      <c r="K644" s="47" t="s">
        <v>520</v>
      </c>
      <c r="L644" s="47" t="s">
        <v>521</v>
      </c>
      <c r="M644" s="46" t="s">
        <v>522</v>
      </c>
      <c r="N644" s="47" t="s">
        <v>523</v>
      </c>
      <c r="O644" s="44" t="s">
        <v>4</v>
      </c>
      <c r="P644" s="47" t="s">
        <v>811</v>
      </c>
      <c r="Q644" s="48">
        <v>4900</v>
      </c>
      <c r="R644" s="49" t="s">
        <v>4</v>
      </c>
      <c r="S644" s="48" t="s">
        <v>4</v>
      </c>
      <c r="T644" s="47" t="s">
        <v>525</v>
      </c>
    </row>
    <row r="645" spans="1:20">
      <c r="A645" s="46">
        <v>138525332522</v>
      </c>
      <c r="B645" s="44" t="s">
        <v>517</v>
      </c>
      <c r="C645" s="45">
        <v>46009</v>
      </c>
      <c r="D645" s="46">
        <v>55073138029</v>
      </c>
      <c r="E645" s="46">
        <v>2152665273719</v>
      </c>
      <c r="F645" s="47" t="s">
        <v>518</v>
      </c>
      <c r="G645" s="47" t="s">
        <v>519</v>
      </c>
      <c r="H645" s="47" t="s">
        <v>4</v>
      </c>
      <c r="I645" s="46" t="s">
        <v>4</v>
      </c>
      <c r="J645" s="48">
        <v>46.56</v>
      </c>
      <c r="K645" s="47" t="s">
        <v>520</v>
      </c>
      <c r="L645" s="47" t="s">
        <v>521</v>
      </c>
      <c r="M645" s="46" t="s">
        <v>807</v>
      </c>
      <c r="N645" s="47" t="s">
        <v>808</v>
      </c>
      <c r="O645" s="44" t="s">
        <v>4</v>
      </c>
      <c r="P645" s="47" t="s">
        <v>812</v>
      </c>
      <c r="Q645" s="48">
        <v>4800</v>
      </c>
      <c r="R645" s="49" t="s">
        <v>4</v>
      </c>
      <c r="S645" s="48" t="s">
        <v>4</v>
      </c>
      <c r="T645" s="47" t="s">
        <v>525</v>
      </c>
    </row>
    <row r="646" spans="1:20">
      <c r="A646" s="46">
        <v>138525274966</v>
      </c>
      <c r="B646" s="44" t="s">
        <v>517</v>
      </c>
      <c r="C646" s="45">
        <v>46009</v>
      </c>
      <c r="D646" s="46">
        <v>55073138241</v>
      </c>
      <c r="E646" s="46">
        <v>2152665358563</v>
      </c>
      <c r="F646" s="47" t="s">
        <v>518</v>
      </c>
      <c r="G646" s="47" t="s">
        <v>519</v>
      </c>
      <c r="H646" s="47" t="s">
        <v>4</v>
      </c>
      <c r="I646" s="46" t="s">
        <v>4</v>
      </c>
      <c r="J646" s="48">
        <v>93.12</v>
      </c>
      <c r="K646" s="47" t="s">
        <v>520</v>
      </c>
      <c r="L646" s="47" t="s">
        <v>521</v>
      </c>
      <c r="M646" s="46" t="s">
        <v>522</v>
      </c>
      <c r="N646" s="47" t="s">
        <v>523</v>
      </c>
      <c r="O646" s="44" t="s">
        <v>4</v>
      </c>
      <c r="P646" s="47" t="s">
        <v>813</v>
      </c>
      <c r="Q646" s="48">
        <v>9600</v>
      </c>
      <c r="R646" s="49" t="s">
        <v>4</v>
      </c>
      <c r="S646" s="48" t="s">
        <v>4</v>
      </c>
      <c r="T646" s="47" t="s">
        <v>525</v>
      </c>
    </row>
    <row r="647" spans="1:20">
      <c r="A647" s="46">
        <v>137886337273</v>
      </c>
      <c r="B647" s="44" t="s">
        <v>517</v>
      </c>
      <c r="C647" s="45">
        <v>46009</v>
      </c>
      <c r="D647" s="46">
        <v>55073207584</v>
      </c>
      <c r="E647" s="46">
        <v>2152823832526</v>
      </c>
      <c r="F647" s="47" t="s">
        <v>562</v>
      </c>
      <c r="G647" s="47" t="s">
        <v>519</v>
      </c>
      <c r="H647" s="47" t="s">
        <v>4</v>
      </c>
      <c r="I647" s="46" t="s">
        <v>4</v>
      </c>
      <c r="J647" s="48">
        <v>380.5</v>
      </c>
      <c r="K647" s="47" t="s">
        <v>520</v>
      </c>
      <c r="L647" s="47" t="s">
        <v>521</v>
      </c>
      <c r="M647" s="46" t="s">
        <v>807</v>
      </c>
      <c r="N647" s="47" t="s">
        <v>808</v>
      </c>
      <c r="O647" s="44" t="s">
        <v>4</v>
      </c>
      <c r="P647" s="47" t="s">
        <v>574</v>
      </c>
      <c r="Q647" s="48">
        <v>5000</v>
      </c>
      <c r="R647" s="49" t="s">
        <v>4</v>
      </c>
      <c r="S647" s="48" t="s">
        <v>4</v>
      </c>
      <c r="T647" s="47" t="s">
        <v>525</v>
      </c>
    </row>
    <row r="648" spans="1:20">
      <c r="A648" s="46">
        <v>138527208218</v>
      </c>
      <c r="B648" s="44" t="s">
        <v>517</v>
      </c>
      <c r="C648" s="45">
        <v>46009</v>
      </c>
      <c r="D648" s="46">
        <v>55073844578</v>
      </c>
      <c r="E648" s="46">
        <v>2152679452003</v>
      </c>
      <c r="F648" s="47" t="s">
        <v>518</v>
      </c>
      <c r="G648" s="47" t="s">
        <v>519</v>
      </c>
      <c r="H648" s="47" t="s">
        <v>4</v>
      </c>
      <c r="I648" s="46" t="s">
        <v>4</v>
      </c>
      <c r="J648" s="48">
        <v>48.5</v>
      </c>
      <c r="K648" s="47" t="s">
        <v>520</v>
      </c>
      <c r="L648" s="47" t="s">
        <v>521</v>
      </c>
      <c r="M648" s="46" t="s">
        <v>522</v>
      </c>
      <c r="N648" s="47" t="s">
        <v>523</v>
      </c>
      <c r="O648" s="44" t="s">
        <v>4</v>
      </c>
      <c r="P648" s="47" t="s">
        <v>814</v>
      </c>
      <c r="Q648" s="48">
        <v>5000</v>
      </c>
      <c r="R648" s="49" t="s">
        <v>4</v>
      </c>
      <c r="S648" s="48" t="s">
        <v>4</v>
      </c>
      <c r="T648" s="47" t="s">
        <v>525</v>
      </c>
    </row>
    <row r="649" spans="1:20">
      <c r="A649" s="46">
        <v>137888300955</v>
      </c>
      <c r="B649" s="44" t="s">
        <v>517</v>
      </c>
      <c r="C649" s="45">
        <v>46009</v>
      </c>
      <c r="D649" s="46">
        <v>55073939501</v>
      </c>
      <c r="E649" s="46">
        <v>2152838997904</v>
      </c>
      <c r="F649" s="47" t="s">
        <v>518</v>
      </c>
      <c r="G649" s="47" t="s">
        <v>519</v>
      </c>
      <c r="H649" s="47" t="s">
        <v>4</v>
      </c>
      <c r="I649" s="46" t="s">
        <v>4</v>
      </c>
      <c r="J649" s="48">
        <v>47.53</v>
      </c>
      <c r="K649" s="47" t="s">
        <v>520</v>
      </c>
      <c r="L649" s="47" t="s">
        <v>521</v>
      </c>
      <c r="M649" s="46" t="s">
        <v>522</v>
      </c>
      <c r="N649" s="47" t="s">
        <v>523</v>
      </c>
      <c r="O649" s="44" t="s">
        <v>4</v>
      </c>
      <c r="P649" s="47" t="s">
        <v>815</v>
      </c>
      <c r="Q649" s="48">
        <v>4900</v>
      </c>
      <c r="R649" s="49" t="s">
        <v>4</v>
      </c>
      <c r="S649" s="48" t="s">
        <v>4</v>
      </c>
      <c r="T649" s="47" t="s">
        <v>525</v>
      </c>
    </row>
    <row r="650" spans="1:20">
      <c r="A650" s="46">
        <v>137888265807</v>
      </c>
      <c r="B650" s="44" t="s">
        <v>517</v>
      </c>
      <c r="C650" s="45">
        <v>46009</v>
      </c>
      <c r="D650" s="46">
        <v>55073974716</v>
      </c>
      <c r="E650" s="46">
        <v>2152681707041</v>
      </c>
      <c r="F650" s="47" t="s">
        <v>518</v>
      </c>
      <c r="G650" s="47" t="s">
        <v>519</v>
      </c>
      <c r="H650" s="47" t="s">
        <v>4</v>
      </c>
      <c r="I650" s="46" t="s">
        <v>4</v>
      </c>
      <c r="J650" s="48">
        <v>97</v>
      </c>
      <c r="K650" s="47" t="s">
        <v>520</v>
      </c>
      <c r="L650" s="47" t="s">
        <v>521</v>
      </c>
      <c r="M650" s="46" t="s">
        <v>807</v>
      </c>
      <c r="N650" s="47" t="s">
        <v>808</v>
      </c>
      <c r="O650" s="44" t="s">
        <v>4</v>
      </c>
      <c r="P650" s="47" t="s">
        <v>677</v>
      </c>
      <c r="Q650" s="48">
        <v>10000</v>
      </c>
      <c r="R650" s="49" t="s">
        <v>4</v>
      </c>
      <c r="S650" s="48" t="s">
        <v>4</v>
      </c>
      <c r="T650" s="47" t="s">
        <v>525</v>
      </c>
    </row>
    <row r="651" spans="1:20">
      <c r="A651" s="46">
        <v>137888580429</v>
      </c>
      <c r="B651" s="44" t="s">
        <v>517</v>
      </c>
      <c r="C651" s="45">
        <v>46009</v>
      </c>
      <c r="D651" s="46">
        <v>55074023130</v>
      </c>
      <c r="E651" s="46">
        <v>2152840719796</v>
      </c>
      <c r="F651" s="47" t="s">
        <v>529</v>
      </c>
      <c r="G651" s="47" t="s">
        <v>519</v>
      </c>
      <c r="H651" s="47" t="s">
        <v>4</v>
      </c>
      <c r="I651" s="46" t="s">
        <v>4</v>
      </c>
      <c r="J651" s="48">
        <v>1961.28</v>
      </c>
      <c r="K651" s="47" t="s">
        <v>520</v>
      </c>
      <c r="L651" s="47" t="s">
        <v>530</v>
      </c>
      <c r="M651" s="46" t="s">
        <v>522</v>
      </c>
      <c r="N651" s="47" t="s">
        <v>523</v>
      </c>
      <c r="O651" s="44" t="s">
        <v>263</v>
      </c>
      <c r="P651" s="47" t="s">
        <v>531</v>
      </c>
      <c r="Q651" s="48">
        <v>43200</v>
      </c>
      <c r="R651" s="49" t="s">
        <v>4</v>
      </c>
      <c r="S651" s="48" t="s">
        <v>4</v>
      </c>
      <c r="T651" s="47" t="s">
        <v>525</v>
      </c>
    </row>
    <row r="652" spans="1:20">
      <c r="A652" s="46">
        <v>138527881428</v>
      </c>
      <c r="B652" s="44" t="s">
        <v>517</v>
      </c>
      <c r="C652" s="45">
        <v>46009</v>
      </c>
      <c r="D652" s="46">
        <v>55074128122</v>
      </c>
      <c r="E652" s="46">
        <v>2152685481267</v>
      </c>
      <c r="F652" s="47" t="s">
        <v>518</v>
      </c>
      <c r="G652" s="47" t="s">
        <v>519</v>
      </c>
      <c r="H652" s="47" t="s">
        <v>4</v>
      </c>
      <c r="I652" s="46" t="s">
        <v>4</v>
      </c>
      <c r="J652" s="48">
        <v>97</v>
      </c>
      <c r="K652" s="47" t="s">
        <v>520</v>
      </c>
      <c r="L652" s="47" t="s">
        <v>521</v>
      </c>
      <c r="M652" s="46" t="s">
        <v>807</v>
      </c>
      <c r="N652" s="47" t="s">
        <v>808</v>
      </c>
      <c r="O652" s="44" t="s">
        <v>4</v>
      </c>
      <c r="P652" s="47" t="s">
        <v>816</v>
      </c>
      <c r="Q652" s="48">
        <v>10000</v>
      </c>
      <c r="R652" s="49" t="s">
        <v>4</v>
      </c>
      <c r="S652" s="48" t="s">
        <v>4</v>
      </c>
      <c r="T652" s="47" t="s">
        <v>525</v>
      </c>
    </row>
    <row r="653" spans="1:20">
      <c r="A653" s="46">
        <v>138527945930</v>
      </c>
      <c r="B653" s="44" t="s">
        <v>517</v>
      </c>
      <c r="C653" s="45">
        <v>46009</v>
      </c>
      <c r="D653" s="46">
        <v>55074159213</v>
      </c>
      <c r="E653" s="46">
        <v>2152686234861</v>
      </c>
      <c r="F653" s="47" t="s">
        <v>526</v>
      </c>
      <c r="G653" s="47" t="s">
        <v>519</v>
      </c>
      <c r="H653" s="47" t="s">
        <v>4</v>
      </c>
      <c r="I653" s="46" t="s">
        <v>4</v>
      </c>
      <c r="J653" s="48">
        <v>46.56</v>
      </c>
      <c r="K653" s="47" t="s">
        <v>520</v>
      </c>
      <c r="L653" s="47" t="s">
        <v>521</v>
      </c>
      <c r="M653" s="46" t="s">
        <v>807</v>
      </c>
      <c r="N653" s="47" t="s">
        <v>808</v>
      </c>
      <c r="O653" s="44" t="s">
        <v>4</v>
      </c>
      <c r="P653" s="47" t="s">
        <v>527</v>
      </c>
      <c r="Q653" s="48">
        <v>4800</v>
      </c>
      <c r="R653" s="49" t="s">
        <v>4</v>
      </c>
      <c r="S653" s="48" t="s">
        <v>4</v>
      </c>
      <c r="T653" s="47" t="s">
        <v>4</v>
      </c>
    </row>
    <row r="654" spans="1:20">
      <c r="A654" s="46">
        <v>137888937331</v>
      </c>
      <c r="B654" s="44" t="s">
        <v>517</v>
      </c>
      <c r="C654" s="45">
        <v>46009</v>
      </c>
      <c r="D654" s="46">
        <v>55074160577</v>
      </c>
      <c r="E654" s="46">
        <v>2152843893918</v>
      </c>
      <c r="F654" s="47" t="s">
        <v>518</v>
      </c>
      <c r="G654" s="47" t="s">
        <v>519</v>
      </c>
      <c r="H654" s="47" t="s">
        <v>4</v>
      </c>
      <c r="I654" s="46" t="s">
        <v>4</v>
      </c>
      <c r="J654" s="48">
        <v>453.96</v>
      </c>
      <c r="K654" s="47" t="s">
        <v>520</v>
      </c>
      <c r="L654" s="47" t="s">
        <v>521</v>
      </c>
      <c r="M654" s="46" t="s">
        <v>522</v>
      </c>
      <c r="N654" s="47" t="s">
        <v>523</v>
      </c>
      <c r="O654" s="44" t="s">
        <v>4</v>
      </c>
      <c r="P654" s="47" t="s">
        <v>817</v>
      </c>
      <c r="Q654" s="48">
        <v>46800</v>
      </c>
      <c r="R654" s="49" t="s">
        <v>4</v>
      </c>
      <c r="S654" s="48" t="s">
        <v>4</v>
      </c>
      <c r="T654" s="47" t="s">
        <v>525</v>
      </c>
    </row>
    <row r="655" spans="1:20">
      <c r="A655" s="46">
        <v>138528055052</v>
      </c>
      <c r="B655" s="44" t="s">
        <v>517</v>
      </c>
      <c r="C655" s="45">
        <v>46009</v>
      </c>
      <c r="D655" s="46">
        <v>55074195288</v>
      </c>
      <c r="E655" s="46">
        <v>2152686842125</v>
      </c>
      <c r="F655" s="47" t="s">
        <v>518</v>
      </c>
      <c r="G655" s="47" t="s">
        <v>519</v>
      </c>
      <c r="H655" s="47" t="s">
        <v>4</v>
      </c>
      <c r="I655" s="46" t="s">
        <v>4</v>
      </c>
      <c r="J655" s="48">
        <v>23.28</v>
      </c>
      <c r="K655" s="47" t="s">
        <v>520</v>
      </c>
      <c r="L655" s="47" t="s">
        <v>521</v>
      </c>
      <c r="M655" s="46" t="s">
        <v>807</v>
      </c>
      <c r="N655" s="47" t="s">
        <v>808</v>
      </c>
      <c r="O655" s="44" t="s">
        <v>4</v>
      </c>
      <c r="P655" s="47" t="s">
        <v>818</v>
      </c>
      <c r="Q655" s="48">
        <v>2400</v>
      </c>
      <c r="R655" s="49" t="s">
        <v>4</v>
      </c>
      <c r="S655" s="48" t="s">
        <v>4</v>
      </c>
      <c r="T655" s="47" t="s">
        <v>525</v>
      </c>
    </row>
    <row r="656" spans="1:20">
      <c r="A656" s="46">
        <v>138528129514</v>
      </c>
      <c r="B656" s="44" t="s">
        <v>517</v>
      </c>
      <c r="C656" s="45">
        <v>46009</v>
      </c>
      <c r="D656" s="46">
        <v>55074232828</v>
      </c>
      <c r="E656" s="46">
        <v>2152844962684</v>
      </c>
      <c r="F656" s="47" t="s">
        <v>518</v>
      </c>
      <c r="G656" s="47" t="s">
        <v>519</v>
      </c>
      <c r="H656" s="47" t="s">
        <v>4</v>
      </c>
      <c r="I656" s="46" t="s">
        <v>4</v>
      </c>
      <c r="J656" s="48">
        <v>48.5</v>
      </c>
      <c r="K656" s="47" t="s">
        <v>520</v>
      </c>
      <c r="L656" s="47" t="s">
        <v>521</v>
      </c>
      <c r="M656" s="46" t="s">
        <v>807</v>
      </c>
      <c r="N656" s="47" t="s">
        <v>808</v>
      </c>
      <c r="O656" s="44" t="s">
        <v>4</v>
      </c>
      <c r="P656" s="47" t="s">
        <v>654</v>
      </c>
      <c r="Q656" s="48">
        <v>5000</v>
      </c>
      <c r="R656" s="49" t="s">
        <v>4</v>
      </c>
      <c r="S656" s="48" t="s">
        <v>4</v>
      </c>
      <c r="T656" s="47" t="s">
        <v>525</v>
      </c>
    </row>
    <row r="657" spans="1:20">
      <c r="A657" s="46">
        <v>138528213452</v>
      </c>
      <c r="B657" s="44" t="s">
        <v>517</v>
      </c>
      <c r="C657" s="45">
        <v>46009</v>
      </c>
      <c r="D657" s="46">
        <v>55074244126</v>
      </c>
      <c r="E657" s="46">
        <v>2152688454301</v>
      </c>
      <c r="F657" s="47" t="s">
        <v>518</v>
      </c>
      <c r="G657" s="47" t="s">
        <v>519</v>
      </c>
      <c r="H657" s="47" t="s">
        <v>4</v>
      </c>
      <c r="I657" s="46" t="s">
        <v>4</v>
      </c>
      <c r="J657" s="48">
        <v>46.56</v>
      </c>
      <c r="K657" s="47" t="s">
        <v>520</v>
      </c>
      <c r="L657" s="47" t="s">
        <v>521</v>
      </c>
      <c r="M657" s="46" t="s">
        <v>807</v>
      </c>
      <c r="N657" s="47" t="s">
        <v>808</v>
      </c>
      <c r="O657" s="44" t="s">
        <v>4</v>
      </c>
      <c r="P657" s="47" t="s">
        <v>654</v>
      </c>
      <c r="Q657" s="48">
        <v>4800</v>
      </c>
      <c r="R657" s="49" t="s">
        <v>4</v>
      </c>
      <c r="S657" s="48" t="s">
        <v>4</v>
      </c>
      <c r="T657" s="47" t="s">
        <v>525</v>
      </c>
    </row>
    <row r="658" spans="1:20">
      <c r="A658" s="46">
        <v>138528194054</v>
      </c>
      <c r="B658" s="44" t="s">
        <v>517</v>
      </c>
      <c r="C658" s="45">
        <v>46009</v>
      </c>
      <c r="D658" s="46">
        <v>55074294504</v>
      </c>
      <c r="E658" s="46">
        <v>2152688711301</v>
      </c>
      <c r="F658" s="47" t="s">
        <v>518</v>
      </c>
      <c r="G658" s="47" t="s">
        <v>519</v>
      </c>
      <c r="H658" s="47" t="s">
        <v>4</v>
      </c>
      <c r="I658" s="46" t="s">
        <v>4</v>
      </c>
      <c r="J658" s="48">
        <v>48.5</v>
      </c>
      <c r="K658" s="47" t="s">
        <v>520</v>
      </c>
      <c r="L658" s="47" t="s">
        <v>521</v>
      </c>
      <c r="M658" s="46" t="s">
        <v>522</v>
      </c>
      <c r="N658" s="47" t="s">
        <v>523</v>
      </c>
      <c r="O658" s="44" t="s">
        <v>4</v>
      </c>
      <c r="P658" s="47" t="s">
        <v>819</v>
      </c>
      <c r="Q658" s="48">
        <v>5000</v>
      </c>
      <c r="R658" s="49" t="s">
        <v>4</v>
      </c>
      <c r="S658" s="48" t="s">
        <v>4</v>
      </c>
      <c r="T658" s="47" t="s">
        <v>525</v>
      </c>
    </row>
    <row r="659" spans="1:20">
      <c r="A659" s="46">
        <v>137889297597</v>
      </c>
      <c r="B659" s="44" t="s">
        <v>517</v>
      </c>
      <c r="C659" s="45">
        <v>46009</v>
      </c>
      <c r="D659" s="46">
        <v>55074329725</v>
      </c>
      <c r="E659" s="46">
        <v>2152847270298</v>
      </c>
      <c r="F659" s="47" t="s">
        <v>526</v>
      </c>
      <c r="G659" s="47" t="s">
        <v>519</v>
      </c>
      <c r="H659" s="47" t="s">
        <v>4</v>
      </c>
      <c r="I659" s="46" t="s">
        <v>4</v>
      </c>
      <c r="J659" s="48">
        <v>47.53</v>
      </c>
      <c r="K659" s="47" t="s">
        <v>520</v>
      </c>
      <c r="L659" s="47" t="s">
        <v>521</v>
      </c>
      <c r="M659" s="46" t="s">
        <v>807</v>
      </c>
      <c r="N659" s="47" t="s">
        <v>808</v>
      </c>
      <c r="O659" s="44" t="s">
        <v>4</v>
      </c>
      <c r="P659" s="47" t="s">
        <v>527</v>
      </c>
      <c r="Q659" s="48">
        <v>4900</v>
      </c>
      <c r="R659" s="49" t="s">
        <v>4</v>
      </c>
      <c r="S659" s="48" t="s">
        <v>4</v>
      </c>
      <c r="T659" s="47" t="s">
        <v>4</v>
      </c>
    </row>
    <row r="660" spans="1:20">
      <c r="A660" s="46">
        <v>138528391464</v>
      </c>
      <c r="B660" s="44" t="s">
        <v>517</v>
      </c>
      <c r="C660" s="45">
        <v>46009</v>
      </c>
      <c r="D660" s="46">
        <v>55074330277</v>
      </c>
      <c r="E660" s="46">
        <v>2152847113256</v>
      </c>
      <c r="F660" s="47" t="s">
        <v>518</v>
      </c>
      <c r="G660" s="47" t="s">
        <v>519</v>
      </c>
      <c r="H660" s="47" t="s">
        <v>4</v>
      </c>
      <c r="I660" s="46" t="s">
        <v>4</v>
      </c>
      <c r="J660" s="48">
        <v>53.35</v>
      </c>
      <c r="K660" s="47" t="s">
        <v>520</v>
      </c>
      <c r="L660" s="47" t="s">
        <v>521</v>
      </c>
      <c r="M660" s="46" t="s">
        <v>522</v>
      </c>
      <c r="N660" s="47" t="s">
        <v>523</v>
      </c>
      <c r="O660" s="44" t="s">
        <v>4</v>
      </c>
      <c r="P660" s="47" t="s">
        <v>820</v>
      </c>
      <c r="Q660" s="48">
        <v>5500</v>
      </c>
      <c r="R660" s="49" t="s">
        <v>4</v>
      </c>
      <c r="S660" s="48" t="s">
        <v>4</v>
      </c>
      <c r="T660" s="47" t="s">
        <v>525</v>
      </c>
    </row>
    <row r="661" spans="1:20">
      <c r="A661" s="46">
        <v>137889879715</v>
      </c>
      <c r="B661" s="44" t="s">
        <v>517</v>
      </c>
      <c r="C661" s="45">
        <v>46009</v>
      </c>
      <c r="D661" s="46">
        <v>55074567131</v>
      </c>
      <c r="E661" s="46">
        <v>2152694563363</v>
      </c>
      <c r="F661" s="47" t="s">
        <v>518</v>
      </c>
      <c r="G661" s="47" t="s">
        <v>519</v>
      </c>
      <c r="H661" s="47" t="s">
        <v>4</v>
      </c>
      <c r="I661" s="46" t="s">
        <v>4</v>
      </c>
      <c r="J661" s="48">
        <v>95.06</v>
      </c>
      <c r="K661" s="47" t="s">
        <v>520</v>
      </c>
      <c r="L661" s="47" t="s">
        <v>521</v>
      </c>
      <c r="M661" s="46" t="s">
        <v>807</v>
      </c>
      <c r="N661" s="47" t="s">
        <v>808</v>
      </c>
      <c r="O661" s="44" t="s">
        <v>4</v>
      </c>
      <c r="P661" s="47" t="s">
        <v>821</v>
      </c>
      <c r="Q661" s="48">
        <v>9800</v>
      </c>
      <c r="R661" s="49" t="s">
        <v>4</v>
      </c>
      <c r="S661" s="48" t="s">
        <v>4</v>
      </c>
      <c r="T661" s="47" t="s">
        <v>525</v>
      </c>
    </row>
    <row r="662" spans="1:20">
      <c r="A662" s="46">
        <v>138529185350</v>
      </c>
      <c r="B662" s="44" t="s">
        <v>517</v>
      </c>
      <c r="C662" s="45">
        <v>46009</v>
      </c>
      <c r="D662" s="46">
        <v>55074674990</v>
      </c>
      <c r="E662" s="46">
        <v>2152853482988</v>
      </c>
      <c r="F662" s="47" t="s">
        <v>518</v>
      </c>
      <c r="G662" s="47" t="s">
        <v>519</v>
      </c>
      <c r="H662" s="47" t="s">
        <v>4</v>
      </c>
      <c r="I662" s="46" t="s">
        <v>4</v>
      </c>
      <c r="J662" s="48">
        <v>145.5</v>
      </c>
      <c r="K662" s="47" t="s">
        <v>520</v>
      </c>
      <c r="L662" s="47" t="s">
        <v>521</v>
      </c>
      <c r="M662" s="46" t="s">
        <v>807</v>
      </c>
      <c r="N662" s="47" t="s">
        <v>808</v>
      </c>
      <c r="O662" s="44" t="s">
        <v>4</v>
      </c>
      <c r="P662" s="47" t="s">
        <v>822</v>
      </c>
      <c r="Q662" s="48">
        <v>15000</v>
      </c>
      <c r="R662" s="49" t="s">
        <v>4</v>
      </c>
      <c r="S662" s="48" t="s">
        <v>4</v>
      </c>
      <c r="T662" s="47" t="s">
        <v>525</v>
      </c>
    </row>
    <row r="663" spans="1:20">
      <c r="A663" s="46">
        <v>137890291451</v>
      </c>
      <c r="B663" s="44" t="s">
        <v>517</v>
      </c>
      <c r="C663" s="45">
        <v>46009</v>
      </c>
      <c r="D663" s="46">
        <v>55074723908</v>
      </c>
      <c r="E663" s="46">
        <v>2152697828929</v>
      </c>
      <c r="F663" s="47" t="s">
        <v>518</v>
      </c>
      <c r="G663" s="47" t="s">
        <v>519</v>
      </c>
      <c r="H663" s="47" t="s">
        <v>4</v>
      </c>
      <c r="I663" s="46" t="s">
        <v>4</v>
      </c>
      <c r="J663" s="48">
        <v>447.17</v>
      </c>
      <c r="K663" s="47" t="s">
        <v>520</v>
      </c>
      <c r="L663" s="47" t="s">
        <v>521</v>
      </c>
      <c r="M663" s="46" t="s">
        <v>660</v>
      </c>
      <c r="N663" s="47" t="s">
        <v>661</v>
      </c>
      <c r="O663" s="44" t="s">
        <v>4</v>
      </c>
      <c r="P663" s="47" t="s">
        <v>617</v>
      </c>
      <c r="Q663" s="48">
        <v>46100</v>
      </c>
      <c r="R663" s="49" t="s">
        <v>4</v>
      </c>
      <c r="S663" s="48" t="s">
        <v>4</v>
      </c>
      <c r="T663" s="47" t="s">
        <v>525</v>
      </c>
    </row>
    <row r="664" spans="1:20">
      <c r="A664" s="46">
        <v>137890414465</v>
      </c>
      <c r="B664" s="44" t="s">
        <v>517</v>
      </c>
      <c r="C664" s="45">
        <v>46009</v>
      </c>
      <c r="D664" s="46">
        <v>55074749923</v>
      </c>
      <c r="E664" s="46">
        <v>2152855713766</v>
      </c>
      <c r="F664" s="47" t="s">
        <v>526</v>
      </c>
      <c r="G664" s="47" t="s">
        <v>519</v>
      </c>
      <c r="H664" s="47" t="s">
        <v>4</v>
      </c>
      <c r="I664" s="46" t="s">
        <v>4</v>
      </c>
      <c r="J664" s="48">
        <v>106.7</v>
      </c>
      <c r="K664" s="47" t="s">
        <v>520</v>
      </c>
      <c r="L664" s="47" t="s">
        <v>521</v>
      </c>
      <c r="M664" s="46" t="s">
        <v>522</v>
      </c>
      <c r="N664" s="47" t="s">
        <v>523</v>
      </c>
      <c r="O664" s="44" t="s">
        <v>4</v>
      </c>
      <c r="P664" s="47" t="s">
        <v>527</v>
      </c>
      <c r="Q664" s="48">
        <v>11000</v>
      </c>
      <c r="R664" s="49" t="s">
        <v>4</v>
      </c>
      <c r="S664" s="48" t="s">
        <v>4</v>
      </c>
      <c r="T664" s="47" t="s">
        <v>4</v>
      </c>
    </row>
    <row r="665" spans="1:20">
      <c r="A665" s="46">
        <v>138529603148</v>
      </c>
      <c r="B665" s="44" t="s">
        <v>517</v>
      </c>
      <c r="C665" s="45">
        <v>46009</v>
      </c>
      <c r="D665" s="46">
        <v>55074791178</v>
      </c>
      <c r="E665" s="46">
        <v>2152698972703</v>
      </c>
      <c r="F665" s="47" t="s">
        <v>529</v>
      </c>
      <c r="G665" s="47" t="s">
        <v>519</v>
      </c>
      <c r="H665" s="47" t="s">
        <v>4</v>
      </c>
      <c r="I665" s="46" t="s">
        <v>4</v>
      </c>
      <c r="J665" s="48">
        <v>899.97</v>
      </c>
      <c r="K665" s="47" t="s">
        <v>520</v>
      </c>
      <c r="L665" s="47" t="s">
        <v>530</v>
      </c>
      <c r="M665" s="46" t="s">
        <v>522</v>
      </c>
      <c r="N665" s="47" t="s">
        <v>523</v>
      </c>
      <c r="O665" s="44" t="s">
        <v>263</v>
      </c>
      <c r="P665" s="47" t="s">
        <v>531</v>
      </c>
      <c r="Q665" s="48">
        <v>22900</v>
      </c>
      <c r="R665" s="49" t="s">
        <v>4</v>
      </c>
      <c r="S665" s="48" t="s">
        <v>4</v>
      </c>
      <c r="T665" s="47" t="s">
        <v>525</v>
      </c>
    </row>
    <row r="666" spans="1:20">
      <c r="A666" s="46">
        <v>137890542783</v>
      </c>
      <c r="B666" s="44" t="s">
        <v>517</v>
      </c>
      <c r="C666" s="45">
        <v>46009</v>
      </c>
      <c r="D666" s="46">
        <v>55074800191</v>
      </c>
      <c r="E666" s="46">
        <v>2152856952356</v>
      </c>
      <c r="F666" s="47" t="s">
        <v>518</v>
      </c>
      <c r="G666" s="47" t="s">
        <v>519</v>
      </c>
      <c r="H666" s="47" t="s">
        <v>4</v>
      </c>
      <c r="I666" s="46" t="s">
        <v>4</v>
      </c>
      <c r="J666" s="48">
        <v>48.5</v>
      </c>
      <c r="K666" s="47" t="s">
        <v>520</v>
      </c>
      <c r="L666" s="47" t="s">
        <v>521</v>
      </c>
      <c r="M666" s="46" t="s">
        <v>660</v>
      </c>
      <c r="N666" s="47" t="s">
        <v>661</v>
      </c>
      <c r="O666" s="44" t="s">
        <v>4</v>
      </c>
      <c r="P666" s="47" t="s">
        <v>823</v>
      </c>
      <c r="Q666" s="48">
        <v>5000</v>
      </c>
      <c r="R666" s="49" t="s">
        <v>4</v>
      </c>
      <c r="S666" s="48" t="s">
        <v>4</v>
      </c>
      <c r="T666" s="47" t="s">
        <v>525</v>
      </c>
    </row>
    <row r="667" spans="1:20">
      <c r="A667" s="46">
        <v>138529709640</v>
      </c>
      <c r="B667" s="44" t="s">
        <v>517</v>
      </c>
      <c r="C667" s="45">
        <v>46009</v>
      </c>
      <c r="D667" s="46">
        <v>55074856563</v>
      </c>
      <c r="E667" s="46">
        <v>2152700375603</v>
      </c>
      <c r="F667" s="47" t="s">
        <v>529</v>
      </c>
      <c r="G667" s="47" t="s">
        <v>519</v>
      </c>
      <c r="H667" s="47" t="s">
        <v>4</v>
      </c>
      <c r="I667" s="46" t="s">
        <v>4</v>
      </c>
      <c r="J667" s="48">
        <v>217.92</v>
      </c>
      <c r="K667" s="47" t="s">
        <v>520</v>
      </c>
      <c r="L667" s="47" t="s">
        <v>530</v>
      </c>
      <c r="M667" s="46" t="s">
        <v>522</v>
      </c>
      <c r="N667" s="47" t="s">
        <v>523</v>
      </c>
      <c r="O667" s="44" t="s">
        <v>263</v>
      </c>
      <c r="P667" s="47" t="s">
        <v>531</v>
      </c>
      <c r="Q667" s="48">
        <v>4800</v>
      </c>
      <c r="R667" s="49" t="s">
        <v>4</v>
      </c>
      <c r="S667" s="48" t="s">
        <v>4</v>
      </c>
      <c r="T667" s="47" t="s">
        <v>525</v>
      </c>
    </row>
    <row r="668" spans="1:20">
      <c r="A668" s="46">
        <v>138529964152</v>
      </c>
      <c r="B668" s="44" t="s">
        <v>517</v>
      </c>
      <c r="C668" s="45">
        <v>46009</v>
      </c>
      <c r="D668" s="46">
        <v>55074891127</v>
      </c>
      <c r="E668" s="46">
        <v>2152701360699</v>
      </c>
      <c r="F668" s="47" t="s">
        <v>518</v>
      </c>
      <c r="G668" s="47" t="s">
        <v>519</v>
      </c>
      <c r="H668" s="47" t="s">
        <v>4</v>
      </c>
      <c r="I668" s="46" t="s">
        <v>4</v>
      </c>
      <c r="J668" s="48">
        <v>97</v>
      </c>
      <c r="K668" s="47" t="s">
        <v>520</v>
      </c>
      <c r="L668" s="47" t="s">
        <v>521</v>
      </c>
      <c r="M668" s="46" t="s">
        <v>807</v>
      </c>
      <c r="N668" s="47" t="s">
        <v>808</v>
      </c>
      <c r="O668" s="44" t="s">
        <v>4</v>
      </c>
      <c r="P668" s="47" t="s">
        <v>601</v>
      </c>
      <c r="Q668" s="48">
        <v>10000</v>
      </c>
      <c r="R668" s="49" t="s">
        <v>4</v>
      </c>
      <c r="S668" s="48" t="s">
        <v>4</v>
      </c>
      <c r="T668" s="47" t="s">
        <v>525</v>
      </c>
    </row>
    <row r="669" spans="1:20">
      <c r="A669" s="46">
        <v>138530250704</v>
      </c>
      <c r="B669" s="44" t="s">
        <v>517</v>
      </c>
      <c r="C669" s="45">
        <v>46009</v>
      </c>
      <c r="D669" s="46">
        <v>55075033936</v>
      </c>
      <c r="E669" s="46">
        <v>2152861529338</v>
      </c>
      <c r="F669" s="47" t="s">
        <v>529</v>
      </c>
      <c r="G669" s="47" t="s">
        <v>519</v>
      </c>
      <c r="H669" s="47" t="s">
        <v>4</v>
      </c>
      <c r="I669" s="46" t="s">
        <v>4</v>
      </c>
      <c r="J669" s="48">
        <v>2263.6799999999998</v>
      </c>
      <c r="K669" s="47" t="s">
        <v>520</v>
      </c>
      <c r="L669" s="47" t="s">
        <v>530</v>
      </c>
      <c r="M669" s="46" t="s">
        <v>660</v>
      </c>
      <c r="N669" s="47" t="s">
        <v>661</v>
      </c>
      <c r="O669" s="44" t="s">
        <v>263</v>
      </c>
      <c r="P669" s="47" t="s">
        <v>531</v>
      </c>
      <c r="Q669" s="48">
        <v>57600</v>
      </c>
      <c r="R669" s="49" t="s">
        <v>4</v>
      </c>
      <c r="S669" s="48" t="s">
        <v>4</v>
      </c>
      <c r="T669" s="47" t="s">
        <v>525</v>
      </c>
    </row>
    <row r="670" spans="1:20">
      <c r="A670" s="46">
        <v>137891309225</v>
      </c>
      <c r="B670" s="44" t="s">
        <v>517</v>
      </c>
      <c r="C670" s="45">
        <v>46009</v>
      </c>
      <c r="D670" s="46">
        <v>55075145189</v>
      </c>
      <c r="E670" s="46">
        <v>2152705739671</v>
      </c>
      <c r="F670" s="47" t="s">
        <v>518</v>
      </c>
      <c r="G670" s="47" t="s">
        <v>519</v>
      </c>
      <c r="H670" s="47" t="s">
        <v>4</v>
      </c>
      <c r="I670" s="46" t="s">
        <v>4</v>
      </c>
      <c r="J670" s="48">
        <v>355.02</v>
      </c>
      <c r="K670" s="47" t="s">
        <v>520</v>
      </c>
      <c r="L670" s="47" t="s">
        <v>521</v>
      </c>
      <c r="M670" s="46" t="s">
        <v>522</v>
      </c>
      <c r="N670" s="47" t="s">
        <v>523</v>
      </c>
      <c r="O670" s="44" t="s">
        <v>4</v>
      </c>
      <c r="P670" s="47" t="s">
        <v>824</v>
      </c>
      <c r="Q670" s="48">
        <v>36600</v>
      </c>
      <c r="R670" s="49" t="s">
        <v>4</v>
      </c>
      <c r="S670" s="48" t="s">
        <v>4</v>
      </c>
      <c r="T670" s="47" t="s">
        <v>525</v>
      </c>
    </row>
    <row r="671" spans="1:20">
      <c r="A671" s="46">
        <v>137891544975</v>
      </c>
      <c r="B671" s="44" t="s">
        <v>517</v>
      </c>
      <c r="C671" s="45">
        <v>46009</v>
      </c>
      <c r="D671" s="46">
        <v>55075213235</v>
      </c>
      <c r="E671" s="46">
        <v>2152707293465</v>
      </c>
      <c r="F671" s="47" t="s">
        <v>518</v>
      </c>
      <c r="G671" s="47" t="s">
        <v>519</v>
      </c>
      <c r="H671" s="47" t="s">
        <v>4</v>
      </c>
      <c r="I671" s="46" t="s">
        <v>4</v>
      </c>
      <c r="J671" s="48">
        <v>46.56</v>
      </c>
      <c r="K671" s="47" t="s">
        <v>520</v>
      </c>
      <c r="L671" s="47" t="s">
        <v>521</v>
      </c>
      <c r="M671" s="46" t="s">
        <v>522</v>
      </c>
      <c r="N671" s="47" t="s">
        <v>523</v>
      </c>
      <c r="O671" s="44" t="s">
        <v>4</v>
      </c>
      <c r="P671" s="47" t="s">
        <v>825</v>
      </c>
      <c r="Q671" s="48">
        <v>4800</v>
      </c>
      <c r="R671" s="49" t="s">
        <v>4</v>
      </c>
      <c r="S671" s="48" t="s">
        <v>4</v>
      </c>
      <c r="T671" s="47" t="s">
        <v>525</v>
      </c>
    </row>
    <row r="672" spans="1:20">
      <c r="A672" s="46">
        <v>138530623524</v>
      </c>
      <c r="B672" s="44" t="s">
        <v>517</v>
      </c>
      <c r="C672" s="45">
        <v>46009</v>
      </c>
      <c r="D672" s="46">
        <v>55075225928</v>
      </c>
      <c r="E672" s="46">
        <v>2152864656068</v>
      </c>
      <c r="F672" s="47" t="s">
        <v>526</v>
      </c>
      <c r="G672" s="47" t="s">
        <v>519</v>
      </c>
      <c r="H672" s="47" t="s">
        <v>4</v>
      </c>
      <c r="I672" s="46" t="s">
        <v>4</v>
      </c>
      <c r="J672" s="48">
        <v>24.25</v>
      </c>
      <c r="K672" s="47" t="s">
        <v>520</v>
      </c>
      <c r="L672" s="47" t="s">
        <v>521</v>
      </c>
      <c r="M672" s="46" t="s">
        <v>807</v>
      </c>
      <c r="N672" s="47" t="s">
        <v>808</v>
      </c>
      <c r="O672" s="44" t="s">
        <v>4</v>
      </c>
      <c r="P672" s="47" t="s">
        <v>527</v>
      </c>
      <c r="Q672" s="48">
        <v>2500</v>
      </c>
      <c r="R672" s="49" t="s">
        <v>4</v>
      </c>
      <c r="S672" s="48" t="s">
        <v>4</v>
      </c>
      <c r="T672" s="47" t="s">
        <v>4</v>
      </c>
    </row>
    <row r="673" spans="1:20">
      <c r="A673" s="46">
        <v>137891888729</v>
      </c>
      <c r="B673" s="44" t="s">
        <v>517</v>
      </c>
      <c r="C673" s="45">
        <v>46009</v>
      </c>
      <c r="D673" s="46">
        <v>55075336722</v>
      </c>
      <c r="E673" s="46">
        <v>2152866665044</v>
      </c>
      <c r="F673" s="47" t="s">
        <v>518</v>
      </c>
      <c r="G673" s="47" t="s">
        <v>519</v>
      </c>
      <c r="H673" s="47" t="s">
        <v>4</v>
      </c>
      <c r="I673" s="46" t="s">
        <v>4</v>
      </c>
      <c r="J673" s="48">
        <v>106.7</v>
      </c>
      <c r="K673" s="47" t="s">
        <v>520</v>
      </c>
      <c r="L673" s="47" t="s">
        <v>521</v>
      </c>
      <c r="M673" s="46" t="s">
        <v>522</v>
      </c>
      <c r="N673" s="47" t="s">
        <v>523</v>
      </c>
      <c r="O673" s="44" t="s">
        <v>4</v>
      </c>
      <c r="P673" s="47" t="s">
        <v>826</v>
      </c>
      <c r="Q673" s="48">
        <v>11000</v>
      </c>
      <c r="R673" s="49" t="s">
        <v>4</v>
      </c>
      <c r="S673" s="48" t="s">
        <v>4</v>
      </c>
      <c r="T673" s="47" t="s">
        <v>525</v>
      </c>
    </row>
    <row r="674" spans="1:20">
      <c r="A674" s="46">
        <v>137891966741</v>
      </c>
      <c r="B674" s="44" t="s">
        <v>517</v>
      </c>
      <c r="C674" s="45">
        <v>46009</v>
      </c>
      <c r="D674" s="46">
        <v>55075358693</v>
      </c>
      <c r="E674" s="46">
        <v>2152710017699</v>
      </c>
      <c r="F674" s="47" t="s">
        <v>562</v>
      </c>
      <c r="G674" s="47" t="s">
        <v>519</v>
      </c>
      <c r="H674" s="47" t="s">
        <v>4</v>
      </c>
      <c r="I674" s="46" t="s">
        <v>4</v>
      </c>
      <c r="J674" s="48">
        <v>81.5</v>
      </c>
      <c r="K674" s="47" t="s">
        <v>520</v>
      </c>
      <c r="L674" s="47" t="s">
        <v>521</v>
      </c>
      <c r="M674" s="46" t="s">
        <v>807</v>
      </c>
      <c r="N674" s="47" t="s">
        <v>808</v>
      </c>
      <c r="O674" s="44" t="s">
        <v>4</v>
      </c>
      <c r="P674" s="47" t="s">
        <v>739</v>
      </c>
      <c r="Q674" s="48">
        <v>5000</v>
      </c>
      <c r="R674" s="49" t="s">
        <v>4</v>
      </c>
      <c r="S674" s="48" t="s">
        <v>4</v>
      </c>
      <c r="T674" s="47" t="s">
        <v>525</v>
      </c>
    </row>
    <row r="675" spans="1:20">
      <c r="A675" s="46">
        <v>137891994961</v>
      </c>
      <c r="B675" s="44" t="s">
        <v>517</v>
      </c>
      <c r="C675" s="45">
        <v>46009</v>
      </c>
      <c r="D675" s="46">
        <v>55075384858</v>
      </c>
      <c r="E675" s="46">
        <v>2152867724054</v>
      </c>
      <c r="F675" s="47" t="s">
        <v>518</v>
      </c>
      <c r="G675" s="47" t="s">
        <v>519</v>
      </c>
      <c r="H675" s="47" t="s">
        <v>4</v>
      </c>
      <c r="I675" s="46" t="s">
        <v>4</v>
      </c>
      <c r="J675" s="48">
        <v>145.5</v>
      </c>
      <c r="K675" s="47" t="s">
        <v>520</v>
      </c>
      <c r="L675" s="47" t="s">
        <v>521</v>
      </c>
      <c r="M675" s="46" t="s">
        <v>522</v>
      </c>
      <c r="N675" s="47" t="s">
        <v>523</v>
      </c>
      <c r="O675" s="44" t="s">
        <v>4</v>
      </c>
      <c r="P675" s="47" t="s">
        <v>827</v>
      </c>
      <c r="Q675" s="48">
        <v>15000</v>
      </c>
      <c r="R675" s="49" t="s">
        <v>4</v>
      </c>
      <c r="S675" s="48" t="s">
        <v>4</v>
      </c>
      <c r="T675" s="47" t="s">
        <v>525</v>
      </c>
    </row>
    <row r="676" spans="1:20">
      <c r="A676" s="46">
        <v>138531133564</v>
      </c>
      <c r="B676" s="44" t="s">
        <v>517</v>
      </c>
      <c r="C676" s="45">
        <v>46009</v>
      </c>
      <c r="D676" s="46">
        <v>55075400412</v>
      </c>
      <c r="E676" s="46">
        <v>2152868466944</v>
      </c>
      <c r="F676" s="47" t="s">
        <v>518</v>
      </c>
      <c r="G676" s="47" t="s">
        <v>519</v>
      </c>
      <c r="H676" s="47" t="s">
        <v>4</v>
      </c>
      <c r="I676" s="46" t="s">
        <v>4</v>
      </c>
      <c r="J676" s="48">
        <v>176.54</v>
      </c>
      <c r="K676" s="47" t="s">
        <v>520</v>
      </c>
      <c r="L676" s="47" t="s">
        <v>521</v>
      </c>
      <c r="M676" s="46" t="s">
        <v>660</v>
      </c>
      <c r="N676" s="47" t="s">
        <v>661</v>
      </c>
      <c r="O676" s="44" t="s">
        <v>4</v>
      </c>
      <c r="P676" s="47" t="s">
        <v>828</v>
      </c>
      <c r="Q676" s="48">
        <v>18200</v>
      </c>
      <c r="R676" s="49" t="s">
        <v>4</v>
      </c>
      <c r="S676" s="48" t="s">
        <v>4</v>
      </c>
      <c r="T676" s="47" t="s">
        <v>525</v>
      </c>
    </row>
    <row r="677" spans="1:20">
      <c r="A677" s="46">
        <v>138531264710</v>
      </c>
      <c r="B677" s="44" t="s">
        <v>517</v>
      </c>
      <c r="C677" s="45">
        <v>46009</v>
      </c>
      <c r="D677" s="46">
        <v>55075433498</v>
      </c>
      <c r="E677" s="46">
        <v>2152869069774</v>
      </c>
      <c r="F677" s="47" t="s">
        <v>526</v>
      </c>
      <c r="G677" s="47" t="s">
        <v>519</v>
      </c>
      <c r="H677" s="47" t="s">
        <v>4</v>
      </c>
      <c r="I677" s="46" t="s">
        <v>4</v>
      </c>
      <c r="J677" s="48">
        <v>130.94999999999999</v>
      </c>
      <c r="K677" s="47" t="s">
        <v>520</v>
      </c>
      <c r="L677" s="47" t="s">
        <v>521</v>
      </c>
      <c r="M677" s="46" t="s">
        <v>522</v>
      </c>
      <c r="N677" s="47" t="s">
        <v>523</v>
      </c>
      <c r="O677" s="44" t="s">
        <v>4</v>
      </c>
      <c r="P677" s="47" t="s">
        <v>527</v>
      </c>
      <c r="Q677" s="48">
        <v>13500</v>
      </c>
      <c r="R677" s="49" t="s">
        <v>4</v>
      </c>
      <c r="S677" s="48" t="s">
        <v>4</v>
      </c>
      <c r="T677" s="47" t="s">
        <v>4</v>
      </c>
    </row>
    <row r="678" spans="1:20">
      <c r="A678" s="46">
        <v>138531301154</v>
      </c>
      <c r="B678" s="44" t="s">
        <v>517</v>
      </c>
      <c r="C678" s="45">
        <v>46009</v>
      </c>
      <c r="D678" s="46">
        <v>55075471197</v>
      </c>
      <c r="E678" s="46">
        <v>2152711923937</v>
      </c>
      <c r="F678" s="47" t="s">
        <v>518</v>
      </c>
      <c r="G678" s="47" t="s">
        <v>519</v>
      </c>
      <c r="H678" s="47" t="s">
        <v>4</v>
      </c>
      <c r="I678" s="46" t="s">
        <v>4</v>
      </c>
      <c r="J678" s="48">
        <v>320.10000000000002</v>
      </c>
      <c r="K678" s="47" t="s">
        <v>520</v>
      </c>
      <c r="L678" s="47" t="s">
        <v>521</v>
      </c>
      <c r="M678" s="46" t="s">
        <v>660</v>
      </c>
      <c r="N678" s="47" t="s">
        <v>661</v>
      </c>
      <c r="O678" s="44" t="s">
        <v>4</v>
      </c>
      <c r="P678" s="47" t="s">
        <v>829</v>
      </c>
      <c r="Q678" s="48">
        <v>33000</v>
      </c>
      <c r="R678" s="49" t="s">
        <v>4</v>
      </c>
      <c r="S678" s="48" t="s">
        <v>4</v>
      </c>
      <c r="T678" s="47" t="s">
        <v>525</v>
      </c>
    </row>
    <row r="679" spans="1:20">
      <c r="A679" s="46">
        <v>138531468148</v>
      </c>
      <c r="B679" s="44" t="s">
        <v>517</v>
      </c>
      <c r="C679" s="45">
        <v>46009</v>
      </c>
      <c r="D679" s="46">
        <v>55075489589</v>
      </c>
      <c r="E679" s="46">
        <v>2152712710821</v>
      </c>
      <c r="F679" s="47" t="s">
        <v>518</v>
      </c>
      <c r="G679" s="47" t="s">
        <v>519</v>
      </c>
      <c r="H679" s="47" t="s">
        <v>4</v>
      </c>
      <c r="I679" s="46" t="s">
        <v>4</v>
      </c>
      <c r="J679" s="48">
        <v>99.91</v>
      </c>
      <c r="K679" s="47" t="s">
        <v>520</v>
      </c>
      <c r="L679" s="47" t="s">
        <v>521</v>
      </c>
      <c r="M679" s="46" t="s">
        <v>522</v>
      </c>
      <c r="N679" s="47" t="s">
        <v>523</v>
      </c>
      <c r="O679" s="44" t="s">
        <v>4</v>
      </c>
      <c r="P679" s="47" t="s">
        <v>830</v>
      </c>
      <c r="Q679" s="48">
        <v>10300</v>
      </c>
      <c r="R679" s="49" t="s">
        <v>4</v>
      </c>
      <c r="S679" s="48" t="s">
        <v>4</v>
      </c>
      <c r="T679" s="47" t="s">
        <v>525</v>
      </c>
    </row>
    <row r="680" spans="1:20">
      <c r="A680" s="46">
        <v>138531411036</v>
      </c>
      <c r="B680" s="44" t="s">
        <v>517</v>
      </c>
      <c r="C680" s="45">
        <v>46009</v>
      </c>
      <c r="D680" s="46">
        <v>55075503859</v>
      </c>
      <c r="E680" s="46">
        <v>2152712719233</v>
      </c>
      <c r="F680" s="47" t="s">
        <v>526</v>
      </c>
      <c r="G680" s="47" t="s">
        <v>519</v>
      </c>
      <c r="H680" s="47" t="s">
        <v>4</v>
      </c>
      <c r="I680" s="46" t="s">
        <v>4</v>
      </c>
      <c r="J680" s="48">
        <v>348.72</v>
      </c>
      <c r="K680" s="47" t="s">
        <v>520</v>
      </c>
      <c r="L680" s="47" t="s">
        <v>521</v>
      </c>
      <c r="M680" s="46" t="s">
        <v>660</v>
      </c>
      <c r="N680" s="47" t="s">
        <v>661</v>
      </c>
      <c r="O680" s="44" t="s">
        <v>4</v>
      </c>
      <c r="P680" s="47" t="s">
        <v>527</v>
      </c>
      <c r="Q680" s="48">
        <v>35950</v>
      </c>
      <c r="R680" s="49" t="s">
        <v>4</v>
      </c>
      <c r="S680" s="48" t="s">
        <v>4</v>
      </c>
      <c r="T680" s="47" t="s">
        <v>4</v>
      </c>
    </row>
    <row r="681" spans="1:20">
      <c r="A681" s="46">
        <v>137892466823</v>
      </c>
      <c r="B681" s="44" t="s">
        <v>517</v>
      </c>
      <c r="C681" s="45">
        <v>46009</v>
      </c>
      <c r="D681" s="46">
        <v>55075559752</v>
      </c>
      <c r="E681" s="46">
        <v>2152871066510</v>
      </c>
      <c r="F681" s="47" t="s">
        <v>518</v>
      </c>
      <c r="G681" s="47" t="s">
        <v>519</v>
      </c>
      <c r="H681" s="47" t="s">
        <v>4</v>
      </c>
      <c r="I681" s="46" t="s">
        <v>4</v>
      </c>
      <c r="J681" s="48">
        <v>200.79</v>
      </c>
      <c r="K681" s="47" t="s">
        <v>520</v>
      </c>
      <c r="L681" s="47" t="s">
        <v>521</v>
      </c>
      <c r="M681" s="46" t="s">
        <v>522</v>
      </c>
      <c r="N681" s="47" t="s">
        <v>523</v>
      </c>
      <c r="O681" s="44" t="s">
        <v>4</v>
      </c>
      <c r="P681" s="47" t="s">
        <v>831</v>
      </c>
      <c r="Q681" s="48">
        <v>20700</v>
      </c>
      <c r="R681" s="49" t="s">
        <v>4</v>
      </c>
      <c r="S681" s="48" t="s">
        <v>4</v>
      </c>
      <c r="T681" s="47" t="s">
        <v>525</v>
      </c>
    </row>
    <row r="682" spans="1:20">
      <c r="A682" s="46">
        <v>137892552965</v>
      </c>
      <c r="B682" s="44" t="s">
        <v>517</v>
      </c>
      <c r="C682" s="45">
        <v>46009</v>
      </c>
      <c r="D682" s="46">
        <v>55075580952</v>
      </c>
      <c r="E682" s="46">
        <v>2152871656878</v>
      </c>
      <c r="F682" s="47" t="s">
        <v>526</v>
      </c>
      <c r="G682" s="47" t="s">
        <v>519</v>
      </c>
      <c r="H682" s="47" t="s">
        <v>4</v>
      </c>
      <c r="I682" s="46" t="s">
        <v>4</v>
      </c>
      <c r="J682" s="48">
        <v>53.35</v>
      </c>
      <c r="K682" s="47" t="s">
        <v>520</v>
      </c>
      <c r="L682" s="47" t="s">
        <v>521</v>
      </c>
      <c r="M682" s="46" t="s">
        <v>522</v>
      </c>
      <c r="N682" s="47" t="s">
        <v>523</v>
      </c>
      <c r="O682" s="44" t="s">
        <v>4</v>
      </c>
      <c r="P682" s="47" t="s">
        <v>527</v>
      </c>
      <c r="Q682" s="48">
        <v>5500</v>
      </c>
      <c r="R682" s="49" t="s">
        <v>4</v>
      </c>
      <c r="S682" s="48" t="s">
        <v>4</v>
      </c>
      <c r="T682" s="47" t="s">
        <v>4</v>
      </c>
    </row>
    <row r="683" spans="1:20">
      <c r="A683" s="46">
        <v>138532020272</v>
      </c>
      <c r="B683" s="44" t="s">
        <v>517</v>
      </c>
      <c r="C683" s="45">
        <v>46009</v>
      </c>
      <c r="D683" s="46">
        <v>55075725596</v>
      </c>
      <c r="E683" s="46">
        <v>2152873812918</v>
      </c>
      <c r="F683" s="47" t="s">
        <v>529</v>
      </c>
      <c r="G683" s="47" t="s">
        <v>519</v>
      </c>
      <c r="H683" s="47" t="s">
        <v>4</v>
      </c>
      <c r="I683" s="46" t="s">
        <v>4</v>
      </c>
      <c r="J683" s="48">
        <v>358.66</v>
      </c>
      <c r="K683" s="47" t="s">
        <v>520</v>
      </c>
      <c r="L683" s="47" t="s">
        <v>530</v>
      </c>
      <c r="M683" s="46" t="s">
        <v>522</v>
      </c>
      <c r="N683" s="47" t="s">
        <v>523</v>
      </c>
      <c r="O683" s="44" t="s">
        <v>263</v>
      </c>
      <c r="P683" s="47" t="s">
        <v>531</v>
      </c>
      <c r="Q683" s="48">
        <v>7900</v>
      </c>
      <c r="R683" s="49" t="s">
        <v>4</v>
      </c>
      <c r="S683" s="48" t="s">
        <v>4</v>
      </c>
      <c r="T683" s="47" t="s">
        <v>525</v>
      </c>
    </row>
    <row r="684" spans="1:20">
      <c r="A684" s="46">
        <v>137892926953</v>
      </c>
      <c r="B684" s="44" t="s">
        <v>517</v>
      </c>
      <c r="C684" s="45">
        <v>46009</v>
      </c>
      <c r="D684" s="46">
        <v>55075765308</v>
      </c>
      <c r="E684" s="46">
        <v>2152874524706</v>
      </c>
      <c r="F684" s="47" t="s">
        <v>518</v>
      </c>
      <c r="G684" s="47" t="s">
        <v>519</v>
      </c>
      <c r="H684" s="47" t="s">
        <v>4</v>
      </c>
      <c r="I684" s="46" t="s">
        <v>4</v>
      </c>
      <c r="J684" s="48">
        <v>145.5</v>
      </c>
      <c r="K684" s="47" t="s">
        <v>520</v>
      </c>
      <c r="L684" s="47" t="s">
        <v>521</v>
      </c>
      <c r="M684" s="46" t="s">
        <v>660</v>
      </c>
      <c r="N684" s="47" t="s">
        <v>661</v>
      </c>
      <c r="O684" s="44" t="s">
        <v>4</v>
      </c>
      <c r="P684" s="47" t="s">
        <v>832</v>
      </c>
      <c r="Q684" s="48">
        <v>15000</v>
      </c>
      <c r="R684" s="49" t="s">
        <v>4</v>
      </c>
      <c r="S684" s="48" t="s">
        <v>4</v>
      </c>
      <c r="T684" s="47" t="s">
        <v>525</v>
      </c>
    </row>
    <row r="685" spans="1:20">
      <c r="A685" s="46">
        <v>137892927031</v>
      </c>
      <c r="B685" s="44" t="s">
        <v>517</v>
      </c>
      <c r="C685" s="45">
        <v>46009</v>
      </c>
      <c r="D685" s="46">
        <v>55075768087</v>
      </c>
      <c r="E685" s="46">
        <v>2152717054503</v>
      </c>
      <c r="F685" s="47" t="s">
        <v>526</v>
      </c>
      <c r="G685" s="47" t="s">
        <v>519</v>
      </c>
      <c r="H685" s="47" t="s">
        <v>4</v>
      </c>
      <c r="I685" s="46" t="s">
        <v>4</v>
      </c>
      <c r="J685" s="48">
        <v>48.5</v>
      </c>
      <c r="K685" s="47" t="s">
        <v>520</v>
      </c>
      <c r="L685" s="47" t="s">
        <v>521</v>
      </c>
      <c r="M685" s="46" t="s">
        <v>522</v>
      </c>
      <c r="N685" s="47" t="s">
        <v>523</v>
      </c>
      <c r="O685" s="44" t="s">
        <v>4</v>
      </c>
      <c r="P685" s="47" t="s">
        <v>527</v>
      </c>
      <c r="Q685" s="48">
        <v>5000</v>
      </c>
      <c r="R685" s="49" t="s">
        <v>4</v>
      </c>
      <c r="S685" s="48" t="s">
        <v>4</v>
      </c>
      <c r="T685" s="47" t="s">
        <v>4</v>
      </c>
    </row>
    <row r="686" spans="1:20">
      <c r="A686" s="46">
        <v>138532396696</v>
      </c>
      <c r="B686" s="44" t="s">
        <v>517</v>
      </c>
      <c r="C686" s="45">
        <v>46009</v>
      </c>
      <c r="D686" s="46">
        <v>55075885579</v>
      </c>
      <c r="E686" s="46">
        <v>2152719016339</v>
      </c>
      <c r="F686" s="47" t="s">
        <v>518</v>
      </c>
      <c r="G686" s="47" t="s">
        <v>519</v>
      </c>
      <c r="H686" s="47" t="s">
        <v>4</v>
      </c>
      <c r="I686" s="46" t="s">
        <v>4</v>
      </c>
      <c r="J686" s="48">
        <v>48.5</v>
      </c>
      <c r="K686" s="47" t="s">
        <v>520</v>
      </c>
      <c r="L686" s="47" t="s">
        <v>521</v>
      </c>
      <c r="M686" s="46" t="s">
        <v>807</v>
      </c>
      <c r="N686" s="47" t="s">
        <v>808</v>
      </c>
      <c r="O686" s="44" t="s">
        <v>4</v>
      </c>
      <c r="P686" s="47" t="s">
        <v>833</v>
      </c>
      <c r="Q686" s="48">
        <v>5000</v>
      </c>
      <c r="R686" s="49" t="s">
        <v>4</v>
      </c>
      <c r="S686" s="48" t="s">
        <v>4</v>
      </c>
      <c r="T686" s="47" t="s">
        <v>525</v>
      </c>
    </row>
    <row r="687" spans="1:20">
      <c r="A687" s="46">
        <v>137893308257</v>
      </c>
      <c r="B687" s="44" t="s">
        <v>517</v>
      </c>
      <c r="C687" s="45">
        <v>46009</v>
      </c>
      <c r="D687" s="46">
        <v>55075906248</v>
      </c>
      <c r="E687" s="46">
        <v>2152876801680</v>
      </c>
      <c r="F687" s="47" t="s">
        <v>518</v>
      </c>
      <c r="G687" s="47" t="s">
        <v>519</v>
      </c>
      <c r="H687" s="47" t="s">
        <v>4</v>
      </c>
      <c r="I687" s="46" t="s">
        <v>4</v>
      </c>
      <c r="J687" s="48">
        <v>47.53</v>
      </c>
      <c r="K687" s="47" t="s">
        <v>520</v>
      </c>
      <c r="L687" s="47" t="s">
        <v>521</v>
      </c>
      <c r="M687" s="46" t="s">
        <v>807</v>
      </c>
      <c r="N687" s="47" t="s">
        <v>808</v>
      </c>
      <c r="O687" s="44" t="s">
        <v>4</v>
      </c>
      <c r="P687" s="47" t="s">
        <v>815</v>
      </c>
      <c r="Q687" s="48">
        <v>4900</v>
      </c>
      <c r="R687" s="49" t="s">
        <v>4</v>
      </c>
      <c r="S687" s="48" t="s">
        <v>4</v>
      </c>
      <c r="T687" s="47" t="s">
        <v>525</v>
      </c>
    </row>
    <row r="688" spans="1:20">
      <c r="A688" s="46">
        <v>138532436086</v>
      </c>
      <c r="B688" s="44" t="s">
        <v>517</v>
      </c>
      <c r="C688" s="45">
        <v>46009</v>
      </c>
      <c r="D688" s="46">
        <v>55075936267</v>
      </c>
      <c r="E688" s="46">
        <v>2152719977231</v>
      </c>
      <c r="F688" s="47" t="s">
        <v>529</v>
      </c>
      <c r="G688" s="47" t="s">
        <v>519</v>
      </c>
      <c r="H688" s="47" t="s">
        <v>4</v>
      </c>
      <c r="I688" s="46" t="s">
        <v>4</v>
      </c>
      <c r="J688" s="48">
        <v>793.86</v>
      </c>
      <c r="K688" s="47" t="s">
        <v>520</v>
      </c>
      <c r="L688" s="47" t="s">
        <v>530</v>
      </c>
      <c r="M688" s="46" t="s">
        <v>522</v>
      </c>
      <c r="N688" s="47" t="s">
        <v>523</v>
      </c>
      <c r="O688" s="44" t="s">
        <v>263</v>
      </c>
      <c r="P688" s="47" t="s">
        <v>531</v>
      </c>
      <c r="Q688" s="48">
        <v>20200</v>
      </c>
      <c r="R688" s="49" t="s">
        <v>4</v>
      </c>
      <c r="S688" s="48" t="s">
        <v>4</v>
      </c>
      <c r="T688" s="47" t="s">
        <v>525</v>
      </c>
    </row>
    <row r="689" spans="1:20">
      <c r="A689" s="46">
        <v>137893744373</v>
      </c>
      <c r="B689" s="44" t="s">
        <v>517</v>
      </c>
      <c r="C689" s="45">
        <v>46009</v>
      </c>
      <c r="D689" s="46">
        <v>55076095782</v>
      </c>
      <c r="E689" s="46">
        <v>2152880037450</v>
      </c>
      <c r="F689" s="47" t="s">
        <v>518</v>
      </c>
      <c r="G689" s="47" t="s">
        <v>519</v>
      </c>
      <c r="H689" s="47" t="s">
        <v>4</v>
      </c>
      <c r="I689" s="46" t="s">
        <v>4</v>
      </c>
      <c r="J689" s="48">
        <v>69.84</v>
      </c>
      <c r="K689" s="47" t="s">
        <v>520</v>
      </c>
      <c r="L689" s="47" t="s">
        <v>521</v>
      </c>
      <c r="M689" s="46" t="s">
        <v>807</v>
      </c>
      <c r="N689" s="47" t="s">
        <v>808</v>
      </c>
      <c r="O689" s="44" t="s">
        <v>4</v>
      </c>
      <c r="P689" s="47" t="s">
        <v>834</v>
      </c>
      <c r="Q689" s="48">
        <v>7200</v>
      </c>
      <c r="R689" s="49" t="s">
        <v>4</v>
      </c>
      <c r="S689" s="48" t="s">
        <v>4</v>
      </c>
      <c r="T689" s="47" t="s">
        <v>525</v>
      </c>
    </row>
    <row r="690" spans="1:20">
      <c r="A690" s="46">
        <v>138533100352</v>
      </c>
      <c r="B690" s="44" t="s">
        <v>517</v>
      </c>
      <c r="C690" s="45">
        <v>46009</v>
      </c>
      <c r="D690" s="46">
        <v>55076139831</v>
      </c>
      <c r="E690" s="46">
        <v>2152881123880</v>
      </c>
      <c r="F690" s="47" t="s">
        <v>518</v>
      </c>
      <c r="G690" s="47" t="s">
        <v>519</v>
      </c>
      <c r="H690" s="47" t="s">
        <v>4</v>
      </c>
      <c r="I690" s="46" t="s">
        <v>4</v>
      </c>
      <c r="J690" s="48">
        <v>97</v>
      </c>
      <c r="K690" s="47" t="s">
        <v>520</v>
      </c>
      <c r="L690" s="47" t="s">
        <v>521</v>
      </c>
      <c r="M690" s="46" t="s">
        <v>807</v>
      </c>
      <c r="N690" s="47" t="s">
        <v>808</v>
      </c>
      <c r="O690" s="44" t="s">
        <v>4</v>
      </c>
      <c r="P690" s="47" t="s">
        <v>835</v>
      </c>
      <c r="Q690" s="48">
        <v>10000</v>
      </c>
      <c r="R690" s="49" t="s">
        <v>4</v>
      </c>
      <c r="S690" s="48" t="s">
        <v>4</v>
      </c>
      <c r="T690" s="47" t="s">
        <v>525</v>
      </c>
    </row>
    <row r="691" spans="1:20">
      <c r="A691" s="46">
        <v>137893863741</v>
      </c>
      <c r="B691" s="44" t="s">
        <v>517</v>
      </c>
      <c r="C691" s="45">
        <v>46009</v>
      </c>
      <c r="D691" s="46">
        <v>55076152361</v>
      </c>
      <c r="E691" s="46">
        <v>2152881532112</v>
      </c>
      <c r="F691" s="47" t="s">
        <v>518</v>
      </c>
      <c r="G691" s="47" t="s">
        <v>519</v>
      </c>
      <c r="H691" s="47" t="s">
        <v>4</v>
      </c>
      <c r="I691" s="46" t="s">
        <v>4</v>
      </c>
      <c r="J691" s="48">
        <v>302.64</v>
      </c>
      <c r="K691" s="47" t="s">
        <v>520</v>
      </c>
      <c r="L691" s="47" t="s">
        <v>521</v>
      </c>
      <c r="M691" s="46" t="s">
        <v>522</v>
      </c>
      <c r="N691" s="47" t="s">
        <v>523</v>
      </c>
      <c r="O691" s="44" t="s">
        <v>4</v>
      </c>
      <c r="P691" s="47" t="s">
        <v>836</v>
      </c>
      <c r="Q691" s="48">
        <v>31200</v>
      </c>
      <c r="R691" s="49" t="s">
        <v>4</v>
      </c>
      <c r="S691" s="48" t="s">
        <v>4</v>
      </c>
      <c r="T691" s="47" t="s">
        <v>525</v>
      </c>
    </row>
    <row r="692" spans="1:20">
      <c r="A692" s="46">
        <v>137893950695</v>
      </c>
      <c r="B692" s="44" t="s">
        <v>517</v>
      </c>
      <c r="C692" s="45">
        <v>46009</v>
      </c>
      <c r="D692" s="46">
        <v>55076161319</v>
      </c>
      <c r="E692" s="46">
        <v>2152881643550</v>
      </c>
      <c r="F692" s="47" t="s">
        <v>518</v>
      </c>
      <c r="G692" s="47" t="s">
        <v>519</v>
      </c>
      <c r="H692" s="47" t="s">
        <v>4</v>
      </c>
      <c r="I692" s="46" t="s">
        <v>4</v>
      </c>
      <c r="J692" s="48">
        <v>97</v>
      </c>
      <c r="K692" s="47" t="s">
        <v>520</v>
      </c>
      <c r="L692" s="47" t="s">
        <v>521</v>
      </c>
      <c r="M692" s="46" t="s">
        <v>807</v>
      </c>
      <c r="N692" s="47" t="s">
        <v>808</v>
      </c>
      <c r="O692" s="44" t="s">
        <v>4</v>
      </c>
      <c r="P692" s="47" t="s">
        <v>837</v>
      </c>
      <c r="Q692" s="48">
        <v>10000</v>
      </c>
      <c r="R692" s="49" t="s">
        <v>4</v>
      </c>
      <c r="S692" s="48" t="s">
        <v>4</v>
      </c>
      <c r="T692" s="47" t="s">
        <v>525</v>
      </c>
    </row>
    <row r="693" spans="1:20">
      <c r="A693" s="46">
        <v>137894038283</v>
      </c>
      <c r="B693" s="44" t="s">
        <v>517</v>
      </c>
      <c r="C693" s="45">
        <v>46009</v>
      </c>
      <c r="D693" s="46">
        <v>55076199985</v>
      </c>
      <c r="E693" s="46">
        <v>2152882017900</v>
      </c>
      <c r="F693" s="47" t="s">
        <v>518</v>
      </c>
      <c r="G693" s="47" t="s">
        <v>519</v>
      </c>
      <c r="H693" s="47" t="s">
        <v>4</v>
      </c>
      <c r="I693" s="46" t="s">
        <v>4</v>
      </c>
      <c r="J693" s="48">
        <v>46.56</v>
      </c>
      <c r="K693" s="47" t="s">
        <v>520</v>
      </c>
      <c r="L693" s="47" t="s">
        <v>521</v>
      </c>
      <c r="M693" s="46" t="s">
        <v>807</v>
      </c>
      <c r="N693" s="47" t="s">
        <v>808</v>
      </c>
      <c r="O693" s="44" t="s">
        <v>4</v>
      </c>
      <c r="P693" s="47" t="s">
        <v>838</v>
      </c>
      <c r="Q693" s="48">
        <v>4800</v>
      </c>
      <c r="R693" s="49" t="s">
        <v>4</v>
      </c>
      <c r="S693" s="48" t="s">
        <v>4</v>
      </c>
      <c r="T693" s="47" t="s">
        <v>525</v>
      </c>
    </row>
    <row r="694" spans="1:20">
      <c r="A694" s="46">
        <v>137893963885</v>
      </c>
      <c r="B694" s="44" t="s">
        <v>517</v>
      </c>
      <c r="C694" s="45">
        <v>46009</v>
      </c>
      <c r="D694" s="46">
        <v>55076204168</v>
      </c>
      <c r="E694" s="46">
        <v>2152882221328</v>
      </c>
      <c r="F694" s="47" t="s">
        <v>518</v>
      </c>
      <c r="G694" s="47" t="s">
        <v>519</v>
      </c>
      <c r="H694" s="47" t="s">
        <v>4</v>
      </c>
      <c r="I694" s="46" t="s">
        <v>4</v>
      </c>
      <c r="J694" s="48">
        <v>48.5</v>
      </c>
      <c r="K694" s="47" t="s">
        <v>520</v>
      </c>
      <c r="L694" s="47" t="s">
        <v>521</v>
      </c>
      <c r="M694" s="46" t="s">
        <v>807</v>
      </c>
      <c r="N694" s="47" t="s">
        <v>808</v>
      </c>
      <c r="O694" s="44" t="s">
        <v>4</v>
      </c>
      <c r="P694" s="47" t="s">
        <v>838</v>
      </c>
      <c r="Q694" s="48">
        <v>5000</v>
      </c>
      <c r="R694" s="49" t="s">
        <v>4</v>
      </c>
      <c r="S694" s="48" t="s">
        <v>4</v>
      </c>
      <c r="T694" s="47" t="s">
        <v>525</v>
      </c>
    </row>
    <row r="695" spans="1:20">
      <c r="A695" s="46">
        <v>138533430762</v>
      </c>
      <c r="B695" s="44" t="s">
        <v>517</v>
      </c>
      <c r="C695" s="45">
        <v>46009</v>
      </c>
      <c r="D695" s="46">
        <v>55076297898</v>
      </c>
      <c r="E695" s="46">
        <v>2152883388918</v>
      </c>
      <c r="F695" s="47" t="s">
        <v>526</v>
      </c>
      <c r="G695" s="47" t="s">
        <v>519</v>
      </c>
      <c r="H695" s="47" t="s">
        <v>4</v>
      </c>
      <c r="I695" s="46" t="s">
        <v>4</v>
      </c>
      <c r="J695" s="48">
        <v>513.13</v>
      </c>
      <c r="K695" s="47" t="s">
        <v>520</v>
      </c>
      <c r="L695" s="47" t="s">
        <v>521</v>
      </c>
      <c r="M695" s="46" t="s">
        <v>522</v>
      </c>
      <c r="N695" s="47" t="s">
        <v>523</v>
      </c>
      <c r="O695" s="44" t="s">
        <v>4</v>
      </c>
      <c r="P695" s="47" t="s">
        <v>527</v>
      </c>
      <c r="Q695" s="48">
        <v>52900</v>
      </c>
      <c r="R695" s="49" t="s">
        <v>4</v>
      </c>
      <c r="S695" s="48" t="s">
        <v>4</v>
      </c>
      <c r="T695" s="47" t="s">
        <v>4</v>
      </c>
    </row>
    <row r="696" spans="1:20">
      <c r="A696" s="46">
        <v>137894380257</v>
      </c>
      <c r="B696" s="44" t="s">
        <v>517</v>
      </c>
      <c r="C696" s="45">
        <v>46009</v>
      </c>
      <c r="D696" s="46">
        <v>55076317662</v>
      </c>
      <c r="E696" s="46">
        <v>2152884121458</v>
      </c>
      <c r="F696" s="47" t="s">
        <v>518</v>
      </c>
      <c r="G696" s="47" t="s">
        <v>519</v>
      </c>
      <c r="H696" s="47" t="s">
        <v>4</v>
      </c>
      <c r="I696" s="46" t="s">
        <v>4</v>
      </c>
      <c r="J696" s="48">
        <v>46.56</v>
      </c>
      <c r="K696" s="47" t="s">
        <v>520</v>
      </c>
      <c r="L696" s="47" t="s">
        <v>521</v>
      </c>
      <c r="M696" s="46" t="s">
        <v>807</v>
      </c>
      <c r="N696" s="47" t="s">
        <v>808</v>
      </c>
      <c r="O696" s="44" t="s">
        <v>4</v>
      </c>
      <c r="P696" s="47" t="s">
        <v>839</v>
      </c>
      <c r="Q696" s="48">
        <v>4800</v>
      </c>
      <c r="R696" s="49" t="s">
        <v>4</v>
      </c>
      <c r="S696" s="48" t="s">
        <v>4</v>
      </c>
      <c r="T696" s="47" t="s">
        <v>525</v>
      </c>
    </row>
    <row r="697" spans="1:20">
      <c r="A697" s="46">
        <v>138533495288</v>
      </c>
      <c r="B697" s="44" t="s">
        <v>517</v>
      </c>
      <c r="C697" s="45">
        <v>46009</v>
      </c>
      <c r="D697" s="46">
        <v>55076325009</v>
      </c>
      <c r="E697" s="46">
        <v>2152726565071</v>
      </c>
      <c r="F697" s="47" t="s">
        <v>518</v>
      </c>
      <c r="G697" s="47" t="s">
        <v>519</v>
      </c>
      <c r="H697" s="47" t="s">
        <v>4</v>
      </c>
      <c r="I697" s="46" t="s">
        <v>4</v>
      </c>
      <c r="J697" s="48">
        <v>46.56</v>
      </c>
      <c r="K697" s="47" t="s">
        <v>520</v>
      </c>
      <c r="L697" s="47" t="s">
        <v>521</v>
      </c>
      <c r="M697" s="46" t="s">
        <v>522</v>
      </c>
      <c r="N697" s="47" t="s">
        <v>523</v>
      </c>
      <c r="O697" s="44" t="s">
        <v>4</v>
      </c>
      <c r="P697" s="47" t="s">
        <v>840</v>
      </c>
      <c r="Q697" s="48">
        <v>4800</v>
      </c>
      <c r="R697" s="49" t="s">
        <v>4</v>
      </c>
      <c r="S697" s="48" t="s">
        <v>4</v>
      </c>
      <c r="T697" s="47" t="s">
        <v>525</v>
      </c>
    </row>
    <row r="698" spans="1:20">
      <c r="A698" s="46">
        <v>137894534529</v>
      </c>
      <c r="B698" s="44" t="s">
        <v>517</v>
      </c>
      <c r="C698" s="45">
        <v>46009</v>
      </c>
      <c r="D698" s="46">
        <v>55076407014</v>
      </c>
      <c r="E698" s="46">
        <v>2152885115332</v>
      </c>
      <c r="F698" s="47" t="s">
        <v>562</v>
      </c>
      <c r="G698" s="47" t="s">
        <v>519</v>
      </c>
      <c r="H698" s="47" t="s">
        <v>4</v>
      </c>
      <c r="I698" s="46" t="s">
        <v>4</v>
      </c>
      <c r="J698" s="48">
        <v>2145.08</v>
      </c>
      <c r="K698" s="47" t="s">
        <v>520</v>
      </c>
      <c r="L698" s="47" t="s">
        <v>521</v>
      </c>
      <c r="M698" s="46" t="s">
        <v>522</v>
      </c>
      <c r="N698" s="47" t="s">
        <v>523</v>
      </c>
      <c r="O698" s="44" t="s">
        <v>4</v>
      </c>
      <c r="P698" s="47" t="s">
        <v>563</v>
      </c>
      <c r="Q698" s="48">
        <v>131600</v>
      </c>
      <c r="R698" s="49" t="s">
        <v>4</v>
      </c>
      <c r="S698" s="48" t="s">
        <v>4</v>
      </c>
      <c r="T698" s="47" t="s">
        <v>525</v>
      </c>
    </row>
    <row r="699" spans="1:20">
      <c r="A699" s="46">
        <v>137894672723</v>
      </c>
      <c r="B699" s="44" t="s">
        <v>517</v>
      </c>
      <c r="C699" s="45">
        <v>46009</v>
      </c>
      <c r="D699" s="46">
        <v>55076444278</v>
      </c>
      <c r="E699" s="46">
        <v>2152728575645</v>
      </c>
      <c r="F699" s="47" t="s">
        <v>518</v>
      </c>
      <c r="G699" s="47" t="s">
        <v>519</v>
      </c>
      <c r="H699" s="47" t="s">
        <v>4</v>
      </c>
      <c r="I699" s="46" t="s">
        <v>4</v>
      </c>
      <c r="J699" s="48">
        <v>145.5</v>
      </c>
      <c r="K699" s="47" t="s">
        <v>520</v>
      </c>
      <c r="L699" s="47" t="s">
        <v>521</v>
      </c>
      <c r="M699" s="46" t="s">
        <v>807</v>
      </c>
      <c r="N699" s="47" t="s">
        <v>808</v>
      </c>
      <c r="O699" s="44" t="s">
        <v>4</v>
      </c>
      <c r="P699" s="47" t="s">
        <v>841</v>
      </c>
      <c r="Q699" s="48">
        <v>15000</v>
      </c>
      <c r="R699" s="49" t="s">
        <v>4</v>
      </c>
      <c r="S699" s="48" t="s">
        <v>4</v>
      </c>
      <c r="T699" s="47" t="s">
        <v>525</v>
      </c>
    </row>
    <row r="700" spans="1:20">
      <c r="A700" s="46">
        <v>137894549499</v>
      </c>
      <c r="B700" s="44" t="s">
        <v>517</v>
      </c>
      <c r="C700" s="45">
        <v>46009</v>
      </c>
      <c r="D700" s="46">
        <v>55076447102</v>
      </c>
      <c r="E700" s="46">
        <v>2152728253769</v>
      </c>
      <c r="F700" s="47" t="s">
        <v>518</v>
      </c>
      <c r="G700" s="47" t="s">
        <v>519</v>
      </c>
      <c r="H700" s="47" t="s">
        <v>4</v>
      </c>
      <c r="I700" s="46" t="s">
        <v>4</v>
      </c>
      <c r="J700" s="48">
        <v>48.5</v>
      </c>
      <c r="K700" s="47" t="s">
        <v>520</v>
      </c>
      <c r="L700" s="47" t="s">
        <v>521</v>
      </c>
      <c r="M700" s="46" t="s">
        <v>522</v>
      </c>
      <c r="N700" s="47" t="s">
        <v>523</v>
      </c>
      <c r="O700" s="44" t="s">
        <v>4</v>
      </c>
      <c r="P700" s="47" t="s">
        <v>842</v>
      </c>
      <c r="Q700" s="48">
        <v>5000</v>
      </c>
      <c r="R700" s="49" t="s">
        <v>4</v>
      </c>
      <c r="S700" s="48" t="s">
        <v>4</v>
      </c>
      <c r="T700" s="47" t="s">
        <v>525</v>
      </c>
    </row>
    <row r="701" spans="1:20">
      <c r="A701" s="46">
        <v>137894766465</v>
      </c>
      <c r="B701" s="44" t="s">
        <v>517</v>
      </c>
      <c r="C701" s="45">
        <v>46009</v>
      </c>
      <c r="D701" s="46">
        <v>55076470713</v>
      </c>
      <c r="E701" s="46">
        <v>2152886390522</v>
      </c>
      <c r="F701" s="47" t="s">
        <v>526</v>
      </c>
      <c r="G701" s="47" t="s">
        <v>519</v>
      </c>
      <c r="H701" s="47" t="s">
        <v>4</v>
      </c>
      <c r="I701" s="46" t="s">
        <v>4</v>
      </c>
      <c r="J701" s="48">
        <v>507.31</v>
      </c>
      <c r="K701" s="47" t="s">
        <v>520</v>
      </c>
      <c r="L701" s="47" t="s">
        <v>521</v>
      </c>
      <c r="M701" s="46" t="s">
        <v>522</v>
      </c>
      <c r="N701" s="47" t="s">
        <v>523</v>
      </c>
      <c r="O701" s="44" t="s">
        <v>4</v>
      </c>
      <c r="P701" s="47" t="s">
        <v>527</v>
      </c>
      <c r="Q701" s="48">
        <v>52300</v>
      </c>
      <c r="R701" s="49" t="s">
        <v>4</v>
      </c>
      <c r="S701" s="48" t="s">
        <v>4</v>
      </c>
      <c r="T701" s="47" t="s">
        <v>4</v>
      </c>
    </row>
    <row r="702" spans="1:20">
      <c r="A702" s="46">
        <v>137894899763</v>
      </c>
      <c r="B702" s="44" t="s">
        <v>517</v>
      </c>
      <c r="C702" s="45">
        <v>46009</v>
      </c>
      <c r="D702" s="46">
        <v>55076563338</v>
      </c>
      <c r="E702" s="46">
        <v>2152730295199</v>
      </c>
      <c r="F702" s="47" t="s">
        <v>518</v>
      </c>
      <c r="G702" s="47" t="s">
        <v>519</v>
      </c>
      <c r="H702" s="47" t="s">
        <v>4</v>
      </c>
      <c r="I702" s="46" t="s">
        <v>4</v>
      </c>
      <c r="J702" s="48">
        <v>48.5</v>
      </c>
      <c r="K702" s="47" t="s">
        <v>520</v>
      </c>
      <c r="L702" s="47" t="s">
        <v>521</v>
      </c>
      <c r="M702" s="46" t="s">
        <v>807</v>
      </c>
      <c r="N702" s="47" t="s">
        <v>808</v>
      </c>
      <c r="O702" s="44" t="s">
        <v>4</v>
      </c>
      <c r="P702" s="47" t="s">
        <v>843</v>
      </c>
      <c r="Q702" s="48">
        <v>5000</v>
      </c>
      <c r="R702" s="49" t="s">
        <v>4</v>
      </c>
      <c r="S702" s="48" t="s">
        <v>4</v>
      </c>
      <c r="T702" s="47" t="s">
        <v>525</v>
      </c>
    </row>
    <row r="703" spans="1:20">
      <c r="A703" s="46">
        <v>138533953280</v>
      </c>
      <c r="B703" s="44" t="s">
        <v>517</v>
      </c>
      <c r="C703" s="45">
        <v>46009</v>
      </c>
      <c r="D703" s="46">
        <v>55076584620</v>
      </c>
      <c r="E703" s="46">
        <v>2152730014267</v>
      </c>
      <c r="F703" s="47" t="s">
        <v>518</v>
      </c>
      <c r="G703" s="47" t="s">
        <v>519</v>
      </c>
      <c r="H703" s="47" t="s">
        <v>4</v>
      </c>
      <c r="I703" s="46" t="s">
        <v>4</v>
      </c>
      <c r="J703" s="48">
        <v>242.5</v>
      </c>
      <c r="K703" s="47" t="s">
        <v>520</v>
      </c>
      <c r="L703" s="47" t="s">
        <v>521</v>
      </c>
      <c r="M703" s="46" t="s">
        <v>522</v>
      </c>
      <c r="N703" s="47" t="s">
        <v>523</v>
      </c>
      <c r="O703" s="44" t="s">
        <v>4</v>
      </c>
      <c r="P703" s="47" t="s">
        <v>844</v>
      </c>
      <c r="Q703" s="48">
        <v>25000</v>
      </c>
      <c r="R703" s="49" t="s">
        <v>4</v>
      </c>
      <c r="S703" s="48" t="s">
        <v>4</v>
      </c>
      <c r="T703" s="47" t="s">
        <v>525</v>
      </c>
    </row>
    <row r="704" spans="1:20">
      <c r="A704" s="46">
        <v>138534165884</v>
      </c>
      <c r="B704" s="44" t="s">
        <v>517</v>
      </c>
      <c r="C704" s="45">
        <v>46009</v>
      </c>
      <c r="D704" s="46">
        <v>55076655496</v>
      </c>
      <c r="E704" s="46">
        <v>2152731479795</v>
      </c>
      <c r="F704" s="47" t="s">
        <v>518</v>
      </c>
      <c r="G704" s="47" t="s">
        <v>519</v>
      </c>
      <c r="H704" s="47" t="s">
        <v>4</v>
      </c>
      <c r="I704" s="46" t="s">
        <v>4</v>
      </c>
      <c r="J704" s="48">
        <v>46.56</v>
      </c>
      <c r="K704" s="47" t="s">
        <v>520</v>
      </c>
      <c r="L704" s="47" t="s">
        <v>521</v>
      </c>
      <c r="M704" s="46" t="s">
        <v>522</v>
      </c>
      <c r="N704" s="47" t="s">
        <v>523</v>
      </c>
      <c r="O704" s="44" t="s">
        <v>4</v>
      </c>
      <c r="P704" s="47" t="s">
        <v>845</v>
      </c>
      <c r="Q704" s="48">
        <v>4800</v>
      </c>
      <c r="R704" s="49" t="s">
        <v>4</v>
      </c>
      <c r="S704" s="48" t="s">
        <v>4</v>
      </c>
      <c r="T704" s="47" t="s">
        <v>525</v>
      </c>
    </row>
    <row r="705" spans="1:20">
      <c r="A705" s="46">
        <v>138534343360</v>
      </c>
      <c r="B705" s="44" t="s">
        <v>517</v>
      </c>
      <c r="C705" s="45">
        <v>46009</v>
      </c>
      <c r="D705" s="46">
        <v>55076692323</v>
      </c>
      <c r="E705" s="46">
        <v>2152732283369</v>
      </c>
      <c r="F705" s="47" t="s">
        <v>518</v>
      </c>
      <c r="G705" s="47" t="s">
        <v>519</v>
      </c>
      <c r="H705" s="47" t="s">
        <v>4</v>
      </c>
      <c r="I705" s="46" t="s">
        <v>4</v>
      </c>
      <c r="J705" s="48">
        <v>46.56</v>
      </c>
      <c r="K705" s="47" t="s">
        <v>520</v>
      </c>
      <c r="L705" s="47" t="s">
        <v>521</v>
      </c>
      <c r="M705" s="46" t="s">
        <v>522</v>
      </c>
      <c r="N705" s="47" t="s">
        <v>523</v>
      </c>
      <c r="O705" s="44" t="s">
        <v>4</v>
      </c>
      <c r="P705" s="47" t="s">
        <v>846</v>
      </c>
      <c r="Q705" s="48">
        <v>4800</v>
      </c>
      <c r="R705" s="49" t="s">
        <v>4</v>
      </c>
      <c r="S705" s="48" t="s">
        <v>4</v>
      </c>
      <c r="T705" s="47" t="s">
        <v>525</v>
      </c>
    </row>
    <row r="706" spans="1:20">
      <c r="A706" s="46">
        <v>138534337942</v>
      </c>
      <c r="B706" s="44" t="s">
        <v>517</v>
      </c>
      <c r="C706" s="45">
        <v>46009</v>
      </c>
      <c r="D706" s="46">
        <v>55076700446</v>
      </c>
      <c r="E706" s="46">
        <v>2152732752871</v>
      </c>
      <c r="F706" s="47" t="s">
        <v>518</v>
      </c>
      <c r="G706" s="47" t="s">
        <v>519</v>
      </c>
      <c r="H706" s="47" t="s">
        <v>4</v>
      </c>
      <c r="I706" s="46" t="s">
        <v>4</v>
      </c>
      <c r="J706" s="48">
        <v>72.75</v>
      </c>
      <c r="K706" s="47" t="s">
        <v>520</v>
      </c>
      <c r="L706" s="47" t="s">
        <v>521</v>
      </c>
      <c r="M706" s="46" t="s">
        <v>807</v>
      </c>
      <c r="N706" s="47" t="s">
        <v>808</v>
      </c>
      <c r="O706" s="44" t="s">
        <v>4</v>
      </c>
      <c r="P706" s="47" t="s">
        <v>847</v>
      </c>
      <c r="Q706" s="48">
        <v>7500</v>
      </c>
      <c r="R706" s="49" t="s">
        <v>4</v>
      </c>
      <c r="S706" s="48" t="s">
        <v>4</v>
      </c>
      <c r="T706" s="47" t="s">
        <v>525</v>
      </c>
    </row>
    <row r="707" spans="1:20">
      <c r="A707" s="46">
        <v>137895364073</v>
      </c>
      <c r="B707" s="44" t="s">
        <v>517</v>
      </c>
      <c r="C707" s="45">
        <v>46009</v>
      </c>
      <c r="D707" s="46">
        <v>55076751510</v>
      </c>
      <c r="E707" s="46">
        <v>2152890882504</v>
      </c>
      <c r="F707" s="47" t="s">
        <v>529</v>
      </c>
      <c r="G707" s="47" t="s">
        <v>519</v>
      </c>
      <c r="H707" s="47" t="s">
        <v>4</v>
      </c>
      <c r="I707" s="46" t="s">
        <v>4</v>
      </c>
      <c r="J707" s="48">
        <v>188.64</v>
      </c>
      <c r="K707" s="47" t="s">
        <v>520</v>
      </c>
      <c r="L707" s="47" t="s">
        <v>530</v>
      </c>
      <c r="M707" s="46" t="s">
        <v>522</v>
      </c>
      <c r="N707" s="47" t="s">
        <v>523</v>
      </c>
      <c r="O707" s="44" t="s">
        <v>263</v>
      </c>
      <c r="P707" s="47" t="s">
        <v>531</v>
      </c>
      <c r="Q707" s="48">
        <v>4800</v>
      </c>
      <c r="R707" s="49" t="s">
        <v>4</v>
      </c>
      <c r="S707" s="48" t="s">
        <v>4</v>
      </c>
      <c r="T707" s="47" t="s">
        <v>525</v>
      </c>
    </row>
    <row r="708" spans="1:20">
      <c r="A708" s="46">
        <v>138534631434</v>
      </c>
      <c r="B708" s="44" t="s">
        <v>517</v>
      </c>
      <c r="C708" s="45">
        <v>46009</v>
      </c>
      <c r="D708" s="46">
        <v>55076864907</v>
      </c>
      <c r="E708" s="46">
        <v>2152891675984</v>
      </c>
      <c r="F708" s="47" t="s">
        <v>518</v>
      </c>
      <c r="G708" s="47" t="s">
        <v>519</v>
      </c>
      <c r="H708" s="47" t="s">
        <v>4</v>
      </c>
      <c r="I708" s="46" t="s">
        <v>4</v>
      </c>
      <c r="J708" s="48">
        <v>72.75</v>
      </c>
      <c r="K708" s="47" t="s">
        <v>520</v>
      </c>
      <c r="L708" s="47" t="s">
        <v>521</v>
      </c>
      <c r="M708" s="46" t="s">
        <v>807</v>
      </c>
      <c r="N708" s="47" t="s">
        <v>808</v>
      </c>
      <c r="O708" s="44" t="s">
        <v>4</v>
      </c>
      <c r="P708" s="47" t="s">
        <v>810</v>
      </c>
      <c r="Q708" s="48">
        <v>7500</v>
      </c>
      <c r="R708" s="49" t="s">
        <v>4</v>
      </c>
      <c r="S708" s="48" t="s">
        <v>4</v>
      </c>
      <c r="T708" s="47" t="s">
        <v>525</v>
      </c>
    </row>
    <row r="709" spans="1:20">
      <c r="A709" s="46">
        <v>138534793054</v>
      </c>
      <c r="B709" s="44" t="s">
        <v>517</v>
      </c>
      <c r="C709" s="45">
        <v>46009</v>
      </c>
      <c r="D709" s="46">
        <v>55076925554</v>
      </c>
      <c r="E709" s="46">
        <v>2152735125051</v>
      </c>
      <c r="F709" s="47" t="s">
        <v>518</v>
      </c>
      <c r="G709" s="47" t="s">
        <v>519</v>
      </c>
      <c r="H709" s="47" t="s">
        <v>4</v>
      </c>
      <c r="I709" s="46" t="s">
        <v>4</v>
      </c>
      <c r="J709" s="48">
        <v>106.7</v>
      </c>
      <c r="K709" s="47" t="s">
        <v>520</v>
      </c>
      <c r="L709" s="47" t="s">
        <v>521</v>
      </c>
      <c r="M709" s="46" t="s">
        <v>522</v>
      </c>
      <c r="N709" s="47" t="s">
        <v>523</v>
      </c>
      <c r="O709" s="44" t="s">
        <v>4</v>
      </c>
      <c r="P709" s="47" t="s">
        <v>848</v>
      </c>
      <c r="Q709" s="48">
        <v>11000</v>
      </c>
      <c r="R709" s="49" t="s">
        <v>4</v>
      </c>
      <c r="S709" s="48" t="s">
        <v>4</v>
      </c>
      <c r="T709" s="47" t="s">
        <v>525</v>
      </c>
    </row>
    <row r="710" spans="1:20">
      <c r="A710" s="46">
        <v>137895836485</v>
      </c>
      <c r="B710" s="44" t="s">
        <v>517</v>
      </c>
      <c r="C710" s="45">
        <v>46009</v>
      </c>
      <c r="D710" s="46">
        <v>55076947391</v>
      </c>
      <c r="E710" s="46">
        <v>2152735656823</v>
      </c>
      <c r="F710" s="47" t="s">
        <v>518</v>
      </c>
      <c r="G710" s="47" t="s">
        <v>519</v>
      </c>
      <c r="H710" s="47" t="s">
        <v>4</v>
      </c>
      <c r="I710" s="46" t="s">
        <v>4</v>
      </c>
      <c r="J710" s="48">
        <v>48.5</v>
      </c>
      <c r="K710" s="47" t="s">
        <v>520</v>
      </c>
      <c r="L710" s="47" t="s">
        <v>521</v>
      </c>
      <c r="M710" s="46" t="s">
        <v>807</v>
      </c>
      <c r="N710" s="47" t="s">
        <v>808</v>
      </c>
      <c r="O710" s="44" t="s">
        <v>4</v>
      </c>
      <c r="P710" s="47" t="s">
        <v>849</v>
      </c>
      <c r="Q710" s="48">
        <v>5000</v>
      </c>
      <c r="R710" s="49" t="s">
        <v>4</v>
      </c>
      <c r="S710" s="48" t="s">
        <v>4</v>
      </c>
      <c r="T710" s="47" t="s">
        <v>525</v>
      </c>
    </row>
    <row r="711" spans="1:20">
      <c r="A711" s="46">
        <v>138534996160</v>
      </c>
      <c r="B711" s="44" t="s">
        <v>517</v>
      </c>
      <c r="C711" s="45">
        <v>46009</v>
      </c>
      <c r="D711" s="46">
        <v>55076965033</v>
      </c>
      <c r="E711" s="46">
        <v>2152735970889</v>
      </c>
      <c r="F711" s="47" t="s">
        <v>518</v>
      </c>
      <c r="G711" s="47" t="s">
        <v>519</v>
      </c>
      <c r="H711" s="47" t="s">
        <v>4</v>
      </c>
      <c r="I711" s="46" t="s">
        <v>4</v>
      </c>
      <c r="J711" s="48">
        <v>48.5</v>
      </c>
      <c r="K711" s="47" t="s">
        <v>520</v>
      </c>
      <c r="L711" s="47" t="s">
        <v>521</v>
      </c>
      <c r="M711" s="46" t="s">
        <v>807</v>
      </c>
      <c r="N711" s="47" t="s">
        <v>808</v>
      </c>
      <c r="O711" s="44" t="s">
        <v>4</v>
      </c>
      <c r="P711" s="47" t="s">
        <v>850</v>
      </c>
      <c r="Q711" s="48">
        <v>5000</v>
      </c>
      <c r="R711" s="49" t="s">
        <v>4</v>
      </c>
      <c r="S711" s="48" t="s">
        <v>4</v>
      </c>
      <c r="T711" s="47" t="s">
        <v>525</v>
      </c>
    </row>
    <row r="712" spans="1:20">
      <c r="A712" s="46">
        <v>138534978934</v>
      </c>
      <c r="B712" s="44" t="s">
        <v>517</v>
      </c>
      <c r="C712" s="45">
        <v>46009</v>
      </c>
      <c r="D712" s="46">
        <v>55076969109</v>
      </c>
      <c r="E712" s="46">
        <v>2152893680054</v>
      </c>
      <c r="F712" s="47" t="s">
        <v>562</v>
      </c>
      <c r="G712" s="47" t="s">
        <v>519</v>
      </c>
      <c r="H712" s="47" t="s">
        <v>4</v>
      </c>
      <c r="I712" s="46" t="s">
        <v>4</v>
      </c>
      <c r="J712" s="48">
        <v>81.5</v>
      </c>
      <c r="K712" s="47" t="s">
        <v>520</v>
      </c>
      <c r="L712" s="47" t="s">
        <v>521</v>
      </c>
      <c r="M712" s="46" t="s">
        <v>807</v>
      </c>
      <c r="N712" s="47" t="s">
        <v>808</v>
      </c>
      <c r="O712" s="44" t="s">
        <v>4</v>
      </c>
      <c r="P712" s="47" t="s">
        <v>563</v>
      </c>
      <c r="Q712" s="48">
        <v>5000</v>
      </c>
      <c r="R712" s="49" t="s">
        <v>4</v>
      </c>
      <c r="S712" s="48" t="s">
        <v>4</v>
      </c>
      <c r="T712" s="47" t="s">
        <v>525</v>
      </c>
    </row>
    <row r="713" spans="1:20">
      <c r="A713" s="46">
        <v>137895887285</v>
      </c>
      <c r="B713" s="44" t="s">
        <v>517</v>
      </c>
      <c r="C713" s="45">
        <v>46009</v>
      </c>
      <c r="D713" s="46">
        <v>55076983762</v>
      </c>
      <c r="E713" s="46">
        <v>2152893958068</v>
      </c>
      <c r="F713" s="47" t="s">
        <v>526</v>
      </c>
      <c r="G713" s="47" t="s">
        <v>519</v>
      </c>
      <c r="H713" s="47" t="s">
        <v>4</v>
      </c>
      <c r="I713" s="46" t="s">
        <v>4</v>
      </c>
      <c r="J713" s="48">
        <v>97</v>
      </c>
      <c r="K713" s="47" t="s">
        <v>520</v>
      </c>
      <c r="L713" s="47" t="s">
        <v>521</v>
      </c>
      <c r="M713" s="46" t="s">
        <v>807</v>
      </c>
      <c r="N713" s="47" t="s">
        <v>808</v>
      </c>
      <c r="O713" s="44" t="s">
        <v>4</v>
      </c>
      <c r="P713" s="47" t="s">
        <v>527</v>
      </c>
      <c r="Q713" s="48">
        <v>10000</v>
      </c>
      <c r="R713" s="49" t="s">
        <v>4</v>
      </c>
      <c r="S713" s="48" t="s">
        <v>4</v>
      </c>
      <c r="T713" s="47" t="s">
        <v>4</v>
      </c>
    </row>
    <row r="714" spans="1:20">
      <c r="A714" s="46">
        <v>138535116146</v>
      </c>
      <c r="B714" s="44" t="s">
        <v>517</v>
      </c>
      <c r="C714" s="45">
        <v>46009</v>
      </c>
      <c r="D714" s="46">
        <v>55077000056</v>
      </c>
      <c r="E714" s="46">
        <v>2152736869197</v>
      </c>
      <c r="F714" s="47" t="s">
        <v>518</v>
      </c>
      <c r="G714" s="47" t="s">
        <v>519</v>
      </c>
      <c r="H714" s="47" t="s">
        <v>4</v>
      </c>
      <c r="I714" s="46" t="s">
        <v>4</v>
      </c>
      <c r="J714" s="48">
        <v>48.5</v>
      </c>
      <c r="K714" s="47" t="s">
        <v>520</v>
      </c>
      <c r="L714" s="47" t="s">
        <v>521</v>
      </c>
      <c r="M714" s="46" t="s">
        <v>807</v>
      </c>
      <c r="N714" s="47" t="s">
        <v>808</v>
      </c>
      <c r="O714" s="44" t="s">
        <v>4</v>
      </c>
      <c r="P714" s="47" t="s">
        <v>851</v>
      </c>
      <c r="Q714" s="48">
        <v>5000</v>
      </c>
      <c r="R714" s="49" t="s">
        <v>4</v>
      </c>
      <c r="S714" s="48" t="s">
        <v>4</v>
      </c>
      <c r="T714" s="47" t="s">
        <v>525</v>
      </c>
    </row>
    <row r="715" spans="1:20">
      <c r="A715" s="46">
        <v>138535053938</v>
      </c>
      <c r="B715" s="44" t="s">
        <v>517</v>
      </c>
      <c r="C715" s="45">
        <v>46009</v>
      </c>
      <c r="D715" s="46">
        <v>55077023065</v>
      </c>
      <c r="E715" s="46">
        <v>2152894490812</v>
      </c>
      <c r="F715" s="47" t="s">
        <v>518</v>
      </c>
      <c r="G715" s="47" t="s">
        <v>519</v>
      </c>
      <c r="H715" s="47" t="s">
        <v>4</v>
      </c>
      <c r="I715" s="46" t="s">
        <v>4</v>
      </c>
      <c r="J715" s="48">
        <v>46.56</v>
      </c>
      <c r="K715" s="47" t="s">
        <v>520</v>
      </c>
      <c r="L715" s="47" t="s">
        <v>521</v>
      </c>
      <c r="M715" s="46" t="s">
        <v>807</v>
      </c>
      <c r="N715" s="47" t="s">
        <v>808</v>
      </c>
      <c r="O715" s="44" t="s">
        <v>4</v>
      </c>
      <c r="P715" s="47" t="s">
        <v>852</v>
      </c>
      <c r="Q715" s="48">
        <v>4800</v>
      </c>
      <c r="R715" s="49" t="s">
        <v>4</v>
      </c>
      <c r="S715" s="48" t="s">
        <v>4</v>
      </c>
      <c r="T715" s="47" t="s">
        <v>525</v>
      </c>
    </row>
    <row r="716" spans="1:20">
      <c r="A716" s="46">
        <v>138535089536</v>
      </c>
      <c r="B716" s="44" t="s">
        <v>517</v>
      </c>
      <c r="C716" s="45">
        <v>46009</v>
      </c>
      <c r="D716" s="46">
        <v>55077054927</v>
      </c>
      <c r="E716" s="46">
        <v>2152737378203</v>
      </c>
      <c r="F716" s="47" t="s">
        <v>518</v>
      </c>
      <c r="G716" s="47" t="s">
        <v>519</v>
      </c>
      <c r="H716" s="47" t="s">
        <v>4</v>
      </c>
      <c r="I716" s="46" t="s">
        <v>4</v>
      </c>
      <c r="J716" s="48">
        <v>154.22999999999999</v>
      </c>
      <c r="K716" s="47" t="s">
        <v>520</v>
      </c>
      <c r="L716" s="47" t="s">
        <v>521</v>
      </c>
      <c r="M716" s="46" t="s">
        <v>522</v>
      </c>
      <c r="N716" s="47" t="s">
        <v>523</v>
      </c>
      <c r="O716" s="44" t="s">
        <v>4</v>
      </c>
      <c r="P716" s="47" t="s">
        <v>831</v>
      </c>
      <c r="Q716" s="48">
        <v>15900</v>
      </c>
      <c r="R716" s="49" t="s">
        <v>4</v>
      </c>
      <c r="S716" s="48" t="s">
        <v>4</v>
      </c>
      <c r="T716" s="47" t="s">
        <v>525</v>
      </c>
    </row>
    <row r="717" spans="1:20">
      <c r="A717" s="46">
        <v>137896094497</v>
      </c>
      <c r="B717" s="44" t="s">
        <v>517</v>
      </c>
      <c r="C717" s="45">
        <v>46009</v>
      </c>
      <c r="D717" s="46">
        <v>55077071406</v>
      </c>
      <c r="E717" s="46">
        <v>2152737430867</v>
      </c>
      <c r="F717" s="47" t="s">
        <v>518</v>
      </c>
      <c r="G717" s="47" t="s">
        <v>519</v>
      </c>
      <c r="H717" s="47" t="s">
        <v>4</v>
      </c>
      <c r="I717" s="46" t="s">
        <v>4</v>
      </c>
      <c r="J717" s="48">
        <v>97</v>
      </c>
      <c r="K717" s="47" t="s">
        <v>520</v>
      </c>
      <c r="L717" s="47" t="s">
        <v>521</v>
      </c>
      <c r="M717" s="46" t="s">
        <v>807</v>
      </c>
      <c r="N717" s="47" t="s">
        <v>808</v>
      </c>
      <c r="O717" s="44" t="s">
        <v>4</v>
      </c>
      <c r="P717" s="47" t="s">
        <v>853</v>
      </c>
      <c r="Q717" s="48">
        <v>10000</v>
      </c>
      <c r="R717" s="49" t="s">
        <v>4</v>
      </c>
      <c r="S717" s="48" t="s">
        <v>4</v>
      </c>
      <c r="T717" s="47" t="s">
        <v>525</v>
      </c>
    </row>
    <row r="718" spans="1:20">
      <c r="A718" s="46">
        <v>137896413189</v>
      </c>
      <c r="B718" s="44" t="s">
        <v>517</v>
      </c>
      <c r="C718" s="45">
        <v>46010</v>
      </c>
      <c r="D718" s="46">
        <v>55077219291</v>
      </c>
      <c r="E718" s="46">
        <v>2152897154136</v>
      </c>
      <c r="F718" s="47" t="s">
        <v>518</v>
      </c>
      <c r="G718" s="47" t="s">
        <v>519</v>
      </c>
      <c r="H718" s="47" t="s">
        <v>4</v>
      </c>
      <c r="I718" s="46" t="s">
        <v>4</v>
      </c>
      <c r="J718" s="48">
        <v>93.12</v>
      </c>
      <c r="K718" s="47" t="s">
        <v>520</v>
      </c>
      <c r="L718" s="47" t="s">
        <v>521</v>
      </c>
      <c r="M718" s="46" t="s">
        <v>807</v>
      </c>
      <c r="N718" s="47" t="s">
        <v>808</v>
      </c>
      <c r="O718" s="44" t="s">
        <v>4</v>
      </c>
      <c r="P718" s="47" t="s">
        <v>854</v>
      </c>
      <c r="Q718" s="48">
        <v>9600</v>
      </c>
      <c r="R718" s="49" t="s">
        <v>4</v>
      </c>
      <c r="S718" s="48" t="s">
        <v>4</v>
      </c>
      <c r="T718" s="47" t="s">
        <v>525</v>
      </c>
    </row>
    <row r="719" spans="1:20">
      <c r="A719" s="46">
        <v>138535507900</v>
      </c>
      <c r="B719" s="44" t="s">
        <v>517</v>
      </c>
      <c r="C719" s="45">
        <v>46010</v>
      </c>
      <c r="D719" s="46">
        <v>55077240512</v>
      </c>
      <c r="E719" s="46">
        <v>2152740134539</v>
      </c>
      <c r="F719" s="47" t="s">
        <v>526</v>
      </c>
      <c r="G719" s="47" t="s">
        <v>519</v>
      </c>
      <c r="H719" s="47" t="s">
        <v>4</v>
      </c>
      <c r="I719" s="46" t="s">
        <v>4</v>
      </c>
      <c r="J719" s="48">
        <v>48.5</v>
      </c>
      <c r="K719" s="47" t="s">
        <v>520</v>
      </c>
      <c r="L719" s="47" t="s">
        <v>521</v>
      </c>
      <c r="M719" s="46" t="s">
        <v>522</v>
      </c>
      <c r="N719" s="47" t="s">
        <v>523</v>
      </c>
      <c r="O719" s="44" t="s">
        <v>4</v>
      </c>
      <c r="P719" s="47" t="s">
        <v>527</v>
      </c>
      <c r="Q719" s="48">
        <v>5000</v>
      </c>
      <c r="R719" s="49" t="s">
        <v>4</v>
      </c>
      <c r="S719" s="48" t="s">
        <v>4</v>
      </c>
      <c r="T719" s="47" t="s">
        <v>4</v>
      </c>
    </row>
    <row r="720" spans="1:20">
      <c r="A720" s="46">
        <v>137896500919</v>
      </c>
      <c r="B720" s="44" t="s">
        <v>517</v>
      </c>
      <c r="C720" s="45">
        <v>46010</v>
      </c>
      <c r="D720" s="46">
        <v>55077266486</v>
      </c>
      <c r="E720" s="46">
        <v>2152897894118</v>
      </c>
      <c r="F720" s="47" t="s">
        <v>518</v>
      </c>
      <c r="G720" s="47" t="s">
        <v>519</v>
      </c>
      <c r="H720" s="47" t="s">
        <v>4</v>
      </c>
      <c r="I720" s="46" t="s">
        <v>4</v>
      </c>
      <c r="J720" s="48">
        <v>48.5</v>
      </c>
      <c r="K720" s="47" t="s">
        <v>520</v>
      </c>
      <c r="L720" s="47" t="s">
        <v>521</v>
      </c>
      <c r="M720" s="46" t="s">
        <v>807</v>
      </c>
      <c r="N720" s="47" t="s">
        <v>808</v>
      </c>
      <c r="O720" s="44" t="s">
        <v>4</v>
      </c>
      <c r="P720" s="47" t="s">
        <v>855</v>
      </c>
      <c r="Q720" s="48">
        <v>5000</v>
      </c>
      <c r="R720" s="49" t="s">
        <v>4</v>
      </c>
      <c r="S720" s="48" t="s">
        <v>4</v>
      </c>
      <c r="T720" s="47" t="s">
        <v>525</v>
      </c>
    </row>
    <row r="721" spans="1:20">
      <c r="A721" s="46">
        <v>138535706824</v>
      </c>
      <c r="B721" s="44" t="s">
        <v>517</v>
      </c>
      <c r="C721" s="45">
        <v>46010</v>
      </c>
      <c r="D721" s="46">
        <v>55077296412</v>
      </c>
      <c r="E721" s="46">
        <v>2152898179374</v>
      </c>
      <c r="F721" s="47" t="s">
        <v>518</v>
      </c>
      <c r="G721" s="47" t="s">
        <v>519</v>
      </c>
      <c r="H721" s="47" t="s">
        <v>4</v>
      </c>
      <c r="I721" s="46" t="s">
        <v>4</v>
      </c>
      <c r="J721" s="48">
        <v>81.5</v>
      </c>
      <c r="K721" s="47" t="s">
        <v>520</v>
      </c>
      <c r="L721" s="47" t="s">
        <v>521</v>
      </c>
      <c r="M721" s="46" t="s">
        <v>807</v>
      </c>
      <c r="N721" s="47" t="s">
        <v>808</v>
      </c>
      <c r="O721" s="44" t="s">
        <v>4</v>
      </c>
      <c r="P721" s="47" t="s">
        <v>856</v>
      </c>
      <c r="Q721" s="48">
        <v>5000</v>
      </c>
      <c r="R721" s="49" t="s">
        <v>4</v>
      </c>
      <c r="S721" s="48" t="s">
        <v>4</v>
      </c>
      <c r="T721" s="47" t="s">
        <v>525</v>
      </c>
    </row>
    <row r="722" spans="1:20">
      <c r="A722" s="46">
        <v>137896651907</v>
      </c>
      <c r="B722" s="44" t="s">
        <v>517</v>
      </c>
      <c r="C722" s="45">
        <v>46010</v>
      </c>
      <c r="D722" s="46">
        <v>55077379700</v>
      </c>
      <c r="E722" s="46">
        <v>2152899083176</v>
      </c>
      <c r="F722" s="47" t="s">
        <v>526</v>
      </c>
      <c r="G722" s="47" t="s">
        <v>519</v>
      </c>
      <c r="H722" s="47" t="s">
        <v>4</v>
      </c>
      <c r="I722" s="46" t="s">
        <v>4</v>
      </c>
      <c r="J722" s="48">
        <v>121.25</v>
      </c>
      <c r="K722" s="47" t="s">
        <v>520</v>
      </c>
      <c r="L722" s="47" t="s">
        <v>521</v>
      </c>
      <c r="M722" s="46" t="s">
        <v>807</v>
      </c>
      <c r="N722" s="47" t="s">
        <v>808</v>
      </c>
      <c r="O722" s="44" t="s">
        <v>4</v>
      </c>
      <c r="P722" s="47" t="s">
        <v>527</v>
      </c>
      <c r="Q722" s="48">
        <v>12500</v>
      </c>
      <c r="R722" s="49" t="s">
        <v>4</v>
      </c>
      <c r="S722" s="48" t="s">
        <v>4</v>
      </c>
      <c r="T722" s="47" t="s">
        <v>4</v>
      </c>
    </row>
    <row r="723" spans="1:20">
      <c r="A723" s="46">
        <v>138535920782</v>
      </c>
      <c r="B723" s="44" t="s">
        <v>517</v>
      </c>
      <c r="C723" s="45">
        <v>46010</v>
      </c>
      <c r="D723" s="46">
        <v>55077396972</v>
      </c>
      <c r="E723" s="46">
        <v>2152742165111</v>
      </c>
      <c r="F723" s="47" t="s">
        <v>518</v>
      </c>
      <c r="G723" s="47" t="s">
        <v>519</v>
      </c>
      <c r="H723" s="47" t="s">
        <v>4</v>
      </c>
      <c r="I723" s="46" t="s">
        <v>4</v>
      </c>
      <c r="J723" s="48">
        <v>145.5</v>
      </c>
      <c r="K723" s="47" t="s">
        <v>520</v>
      </c>
      <c r="L723" s="47" t="s">
        <v>521</v>
      </c>
      <c r="M723" s="46" t="s">
        <v>807</v>
      </c>
      <c r="N723" s="47" t="s">
        <v>808</v>
      </c>
      <c r="O723" s="44" t="s">
        <v>4</v>
      </c>
      <c r="P723" s="47" t="s">
        <v>827</v>
      </c>
      <c r="Q723" s="48">
        <v>15000</v>
      </c>
      <c r="R723" s="49" t="s">
        <v>4</v>
      </c>
      <c r="S723" s="48" t="s">
        <v>4</v>
      </c>
      <c r="T723" s="47" t="s">
        <v>525</v>
      </c>
    </row>
    <row r="724" spans="1:20">
      <c r="A724" s="46">
        <v>137896837169</v>
      </c>
      <c r="B724" s="44" t="s">
        <v>517</v>
      </c>
      <c r="C724" s="45">
        <v>46010</v>
      </c>
      <c r="D724" s="46">
        <v>55077403415</v>
      </c>
      <c r="E724" s="46">
        <v>2152900125296</v>
      </c>
      <c r="F724" s="47" t="s">
        <v>518</v>
      </c>
      <c r="G724" s="47" t="s">
        <v>519</v>
      </c>
      <c r="H724" s="47" t="s">
        <v>4</v>
      </c>
      <c r="I724" s="46" t="s">
        <v>4</v>
      </c>
      <c r="J724" s="48">
        <v>48.5</v>
      </c>
      <c r="K724" s="47" t="s">
        <v>520</v>
      </c>
      <c r="L724" s="47" t="s">
        <v>521</v>
      </c>
      <c r="M724" s="46" t="s">
        <v>807</v>
      </c>
      <c r="N724" s="47" t="s">
        <v>808</v>
      </c>
      <c r="O724" s="44" t="s">
        <v>4</v>
      </c>
      <c r="P724" s="47" t="s">
        <v>814</v>
      </c>
      <c r="Q724" s="48">
        <v>5000</v>
      </c>
      <c r="R724" s="49" t="s">
        <v>4</v>
      </c>
      <c r="S724" s="48" t="s">
        <v>4</v>
      </c>
      <c r="T724" s="47" t="s">
        <v>525</v>
      </c>
    </row>
    <row r="725" spans="1:20">
      <c r="A725" s="46">
        <v>137896807477</v>
      </c>
      <c r="B725" s="44" t="s">
        <v>517</v>
      </c>
      <c r="C725" s="45">
        <v>46010</v>
      </c>
      <c r="D725" s="46">
        <v>55077420070</v>
      </c>
      <c r="E725" s="46">
        <v>2152742469911</v>
      </c>
      <c r="F725" s="47" t="s">
        <v>529</v>
      </c>
      <c r="G725" s="47" t="s">
        <v>519</v>
      </c>
      <c r="H725" s="47" t="s">
        <v>4</v>
      </c>
      <c r="I725" s="46" t="s">
        <v>4</v>
      </c>
      <c r="J725" s="48">
        <v>1079.04</v>
      </c>
      <c r="K725" s="47" t="s">
        <v>520</v>
      </c>
      <c r="L725" s="47" t="s">
        <v>530</v>
      </c>
      <c r="M725" s="46" t="s">
        <v>522</v>
      </c>
      <c r="N725" s="47" t="s">
        <v>523</v>
      </c>
      <c r="O725" s="44" t="s">
        <v>263</v>
      </c>
      <c r="P725" s="47" t="s">
        <v>531</v>
      </c>
      <c r="Q725" s="48">
        <v>9600</v>
      </c>
      <c r="R725" s="49" t="s">
        <v>4</v>
      </c>
      <c r="S725" s="48" t="s">
        <v>4</v>
      </c>
      <c r="T725" s="47" t="s">
        <v>525</v>
      </c>
    </row>
    <row r="726" spans="1:20">
      <c r="A726" s="46">
        <v>137896861447</v>
      </c>
      <c r="B726" s="44" t="s">
        <v>517</v>
      </c>
      <c r="C726" s="45">
        <v>46010</v>
      </c>
      <c r="D726" s="46">
        <v>55077460219</v>
      </c>
      <c r="E726" s="46">
        <v>2152742939461</v>
      </c>
      <c r="F726" s="47" t="s">
        <v>526</v>
      </c>
      <c r="G726" s="47" t="s">
        <v>519</v>
      </c>
      <c r="H726" s="47" t="s">
        <v>4</v>
      </c>
      <c r="I726" s="46" t="s">
        <v>4</v>
      </c>
      <c r="J726" s="48">
        <v>47.53</v>
      </c>
      <c r="K726" s="47" t="s">
        <v>520</v>
      </c>
      <c r="L726" s="47" t="s">
        <v>521</v>
      </c>
      <c r="M726" s="46" t="s">
        <v>807</v>
      </c>
      <c r="N726" s="47" t="s">
        <v>808</v>
      </c>
      <c r="O726" s="44" t="s">
        <v>4</v>
      </c>
      <c r="P726" s="47" t="s">
        <v>527</v>
      </c>
      <c r="Q726" s="48">
        <v>4900</v>
      </c>
      <c r="R726" s="49" t="s">
        <v>4</v>
      </c>
      <c r="S726" s="48" t="s">
        <v>4</v>
      </c>
      <c r="T726" s="47" t="s">
        <v>4</v>
      </c>
    </row>
    <row r="727" spans="1:20">
      <c r="A727" s="46">
        <v>137896976563</v>
      </c>
      <c r="B727" s="44" t="s">
        <v>517</v>
      </c>
      <c r="C727" s="45">
        <v>46010</v>
      </c>
      <c r="D727" s="46">
        <v>55077469680</v>
      </c>
      <c r="E727" s="46">
        <v>2152900730134</v>
      </c>
      <c r="F727" s="47" t="s">
        <v>518</v>
      </c>
      <c r="G727" s="47" t="s">
        <v>519</v>
      </c>
      <c r="H727" s="47" t="s">
        <v>4</v>
      </c>
      <c r="I727" s="46" t="s">
        <v>4</v>
      </c>
      <c r="J727" s="48">
        <v>46.56</v>
      </c>
      <c r="K727" s="47" t="s">
        <v>520</v>
      </c>
      <c r="L727" s="47" t="s">
        <v>521</v>
      </c>
      <c r="M727" s="46" t="s">
        <v>807</v>
      </c>
      <c r="N727" s="47" t="s">
        <v>808</v>
      </c>
      <c r="O727" s="44" t="s">
        <v>4</v>
      </c>
      <c r="P727" s="47" t="s">
        <v>857</v>
      </c>
      <c r="Q727" s="48">
        <v>4800</v>
      </c>
      <c r="R727" s="49" t="s">
        <v>4</v>
      </c>
      <c r="S727" s="48" t="s">
        <v>4</v>
      </c>
      <c r="T727" s="47" t="s">
        <v>525</v>
      </c>
    </row>
    <row r="728" spans="1:20">
      <c r="A728" s="46">
        <v>137896955087</v>
      </c>
      <c r="B728" s="44" t="s">
        <v>517</v>
      </c>
      <c r="C728" s="45">
        <v>46010</v>
      </c>
      <c r="D728" s="46">
        <v>55077475642</v>
      </c>
      <c r="E728" s="46">
        <v>2152743152531</v>
      </c>
      <c r="F728" s="47" t="s">
        <v>518</v>
      </c>
      <c r="G728" s="47" t="s">
        <v>519</v>
      </c>
      <c r="H728" s="47" t="s">
        <v>4</v>
      </c>
      <c r="I728" s="46" t="s">
        <v>4</v>
      </c>
      <c r="J728" s="48">
        <v>426.8</v>
      </c>
      <c r="K728" s="47" t="s">
        <v>520</v>
      </c>
      <c r="L728" s="47" t="s">
        <v>521</v>
      </c>
      <c r="M728" s="46" t="s">
        <v>522</v>
      </c>
      <c r="N728" s="47" t="s">
        <v>523</v>
      </c>
      <c r="O728" s="44" t="s">
        <v>4</v>
      </c>
      <c r="P728" s="47" t="s">
        <v>858</v>
      </c>
      <c r="Q728" s="48">
        <v>44000</v>
      </c>
      <c r="R728" s="49" t="s">
        <v>4</v>
      </c>
      <c r="S728" s="48" t="s">
        <v>4</v>
      </c>
      <c r="T728" s="47" t="s">
        <v>525</v>
      </c>
    </row>
    <row r="729" spans="1:20">
      <c r="A729" s="46">
        <v>138536070026</v>
      </c>
      <c r="B729" s="44" t="s">
        <v>517</v>
      </c>
      <c r="C729" s="45">
        <v>46010</v>
      </c>
      <c r="D729" s="46">
        <v>55077492426</v>
      </c>
      <c r="E729" s="46">
        <v>2152743641821</v>
      </c>
      <c r="F729" s="47" t="s">
        <v>562</v>
      </c>
      <c r="G729" s="47" t="s">
        <v>519</v>
      </c>
      <c r="H729" s="47" t="s">
        <v>4</v>
      </c>
      <c r="I729" s="46" t="s">
        <v>4</v>
      </c>
      <c r="J729" s="48">
        <v>479.22</v>
      </c>
      <c r="K729" s="47" t="s">
        <v>520</v>
      </c>
      <c r="L729" s="47" t="s">
        <v>521</v>
      </c>
      <c r="M729" s="46" t="s">
        <v>522</v>
      </c>
      <c r="N729" s="47" t="s">
        <v>523</v>
      </c>
      <c r="O729" s="44" t="s">
        <v>4</v>
      </c>
      <c r="P729" s="47" t="s">
        <v>563</v>
      </c>
      <c r="Q729" s="48">
        <v>29400</v>
      </c>
      <c r="R729" s="49" t="s">
        <v>4</v>
      </c>
      <c r="S729" s="48" t="s">
        <v>4</v>
      </c>
      <c r="T729" s="47" t="s">
        <v>525</v>
      </c>
    </row>
    <row r="730" spans="1:20">
      <c r="A730" s="46">
        <v>137897183137</v>
      </c>
      <c r="B730" s="44" t="s">
        <v>517</v>
      </c>
      <c r="C730" s="45">
        <v>46010</v>
      </c>
      <c r="D730" s="46">
        <v>55077584776</v>
      </c>
      <c r="E730" s="46">
        <v>2152902278360</v>
      </c>
      <c r="F730" s="47" t="s">
        <v>529</v>
      </c>
      <c r="G730" s="47" t="s">
        <v>519</v>
      </c>
      <c r="H730" s="47" t="s">
        <v>4</v>
      </c>
      <c r="I730" s="46" t="s">
        <v>4</v>
      </c>
      <c r="J730" s="48">
        <v>2837.46</v>
      </c>
      <c r="K730" s="47" t="s">
        <v>520</v>
      </c>
      <c r="L730" s="47" t="s">
        <v>530</v>
      </c>
      <c r="M730" s="46" t="s">
        <v>522</v>
      </c>
      <c r="N730" s="47" t="s">
        <v>523</v>
      </c>
      <c r="O730" s="44" t="s">
        <v>263</v>
      </c>
      <c r="P730" s="47" t="s">
        <v>531</v>
      </c>
      <c r="Q730" s="48">
        <v>72200</v>
      </c>
      <c r="R730" s="49" t="s">
        <v>4</v>
      </c>
      <c r="S730" s="48" t="s">
        <v>4</v>
      </c>
      <c r="T730" s="47" t="s">
        <v>525</v>
      </c>
    </row>
    <row r="731" spans="1:20">
      <c r="A731" s="46">
        <v>138536451722</v>
      </c>
      <c r="B731" s="44" t="s">
        <v>517</v>
      </c>
      <c r="C731" s="45">
        <v>46010</v>
      </c>
      <c r="D731" s="46">
        <v>55077649243</v>
      </c>
      <c r="E731" s="46">
        <v>2152746530251</v>
      </c>
      <c r="F731" s="47" t="s">
        <v>518</v>
      </c>
      <c r="G731" s="47" t="s">
        <v>519</v>
      </c>
      <c r="H731" s="47" t="s">
        <v>4</v>
      </c>
      <c r="I731" s="46" t="s">
        <v>4</v>
      </c>
      <c r="J731" s="48">
        <v>48.5</v>
      </c>
      <c r="K731" s="47" t="s">
        <v>520</v>
      </c>
      <c r="L731" s="47" t="s">
        <v>521</v>
      </c>
      <c r="M731" s="46" t="s">
        <v>807</v>
      </c>
      <c r="N731" s="47" t="s">
        <v>808</v>
      </c>
      <c r="O731" s="44" t="s">
        <v>4</v>
      </c>
      <c r="P731" s="47" t="s">
        <v>859</v>
      </c>
      <c r="Q731" s="48">
        <v>5000</v>
      </c>
      <c r="R731" s="49" t="s">
        <v>4</v>
      </c>
      <c r="S731" s="48" t="s">
        <v>4</v>
      </c>
      <c r="T731" s="47" t="s">
        <v>525</v>
      </c>
    </row>
    <row r="732" spans="1:20">
      <c r="A732" s="46">
        <v>138536523088</v>
      </c>
      <c r="B732" s="44" t="s">
        <v>517</v>
      </c>
      <c r="C732" s="45">
        <v>46010</v>
      </c>
      <c r="D732" s="46">
        <v>55077670384</v>
      </c>
      <c r="E732" s="46">
        <v>2152746697013</v>
      </c>
      <c r="F732" s="47" t="s">
        <v>518</v>
      </c>
      <c r="G732" s="47" t="s">
        <v>519</v>
      </c>
      <c r="H732" s="47" t="s">
        <v>4</v>
      </c>
      <c r="I732" s="46" t="s">
        <v>4</v>
      </c>
      <c r="J732" s="48">
        <v>765.33</v>
      </c>
      <c r="K732" s="47" t="s">
        <v>520</v>
      </c>
      <c r="L732" s="47" t="s">
        <v>521</v>
      </c>
      <c r="M732" s="46" t="s">
        <v>522</v>
      </c>
      <c r="N732" s="47" t="s">
        <v>523</v>
      </c>
      <c r="O732" s="44" t="s">
        <v>4</v>
      </c>
      <c r="P732" s="47" t="s">
        <v>860</v>
      </c>
      <c r="Q732" s="48">
        <v>78900</v>
      </c>
      <c r="R732" s="49" t="s">
        <v>4</v>
      </c>
      <c r="S732" s="48" t="s">
        <v>4</v>
      </c>
      <c r="T732" s="47" t="s">
        <v>525</v>
      </c>
    </row>
    <row r="733" spans="1:20">
      <c r="A733" s="46">
        <v>137897499495</v>
      </c>
      <c r="B733" s="44" t="s">
        <v>517</v>
      </c>
      <c r="C733" s="45">
        <v>46010</v>
      </c>
      <c r="D733" s="46">
        <v>55077688396</v>
      </c>
      <c r="E733" s="46">
        <v>2152904472732</v>
      </c>
      <c r="F733" s="47" t="s">
        <v>518</v>
      </c>
      <c r="G733" s="47" t="s">
        <v>519</v>
      </c>
      <c r="H733" s="47" t="s">
        <v>4</v>
      </c>
      <c r="I733" s="46" t="s">
        <v>4</v>
      </c>
      <c r="J733" s="48">
        <v>46.56</v>
      </c>
      <c r="K733" s="47" t="s">
        <v>520</v>
      </c>
      <c r="L733" s="47" t="s">
        <v>521</v>
      </c>
      <c r="M733" s="46" t="s">
        <v>807</v>
      </c>
      <c r="N733" s="47" t="s">
        <v>808</v>
      </c>
      <c r="O733" s="44" t="s">
        <v>4</v>
      </c>
      <c r="P733" s="47" t="s">
        <v>861</v>
      </c>
      <c r="Q733" s="48">
        <v>4800</v>
      </c>
      <c r="R733" s="49" t="s">
        <v>4</v>
      </c>
      <c r="S733" s="48" t="s">
        <v>4</v>
      </c>
      <c r="T733" s="47" t="s">
        <v>525</v>
      </c>
    </row>
    <row r="734" spans="1:20">
      <c r="A734" s="46">
        <v>138536523820</v>
      </c>
      <c r="B734" s="44" t="s">
        <v>517</v>
      </c>
      <c r="C734" s="45">
        <v>46010</v>
      </c>
      <c r="D734" s="46">
        <v>55077716275</v>
      </c>
      <c r="E734" s="46">
        <v>2152746882471</v>
      </c>
      <c r="F734" s="47" t="s">
        <v>518</v>
      </c>
      <c r="G734" s="47" t="s">
        <v>519</v>
      </c>
      <c r="H734" s="47" t="s">
        <v>4</v>
      </c>
      <c r="I734" s="46" t="s">
        <v>4</v>
      </c>
      <c r="J734" s="48">
        <v>754.66</v>
      </c>
      <c r="K734" s="47" t="s">
        <v>520</v>
      </c>
      <c r="L734" s="47" t="s">
        <v>521</v>
      </c>
      <c r="M734" s="46" t="s">
        <v>522</v>
      </c>
      <c r="N734" s="47" t="s">
        <v>523</v>
      </c>
      <c r="O734" s="44" t="s">
        <v>4</v>
      </c>
      <c r="P734" s="47" t="s">
        <v>862</v>
      </c>
      <c r="Q734" s="48">
        <v>77800</v>
      </c>
      <c r="R734" s="49" t="s">
        <v>4</v>
      </c>
      <c r="S734" s="48" t="s">
        <v>4</v>
      </c>
      <c r="T734" s="47" t="s">
        <v>525</v>
      </c>
    </row>
    <row r="735" spans="1:20">
      <c r="A735" s="46">
        <v>138536694508</v>
      </c>
      <c r="B735" s="44" t="s">
        <v>517</v>
      </c>
      <c r="C735" s="45">
        <v>46010</v>
      </c>
      <c r="D735" s="46">
        <v>55077735084</v>
      </c>
      <c r="E735" s="46">
        <v>2152905087168</v>
      </c>
      <c r="F735" s="47" t="s">
        <v>518</v>
      </c>
      <c r="G735" s="47" t="s">
        <v>519</v>
      </c>
      <c r="H735" s="47" t="s">
        <v>4</v>
      </c>
      <c r="I735" s="46" t="s">
        <v>4</v>
      </c>
      <c r="J735" s="48">
        <v>761</v>
      </c>
      <c r="K735" s="47" t="s">
        <v>520</v>
      </c>
      <c r="L735" s="47" t="s">
        <v>521</v>
      </c>
      <c r="M735" s="46" t="s">
        <v>807</v>
      </c>
      <c r="N735" s="47" t="s">
        <v>808</v>
      </c>
      <c r="O735" s="44" t="s">
        <v>4</v>
      </c>
      <c r="P735" s="47" t="s">
        <v>863</v>
      </c>
      <c r="Q735" s="48">
        <v>10000</v>
      </c>
      <c r="R735" s="49" t="s">
        <v>4</v>
      </c>
      <c r="S735" s="48" t="s">
        <v>4</v>
      </c>
      <c r="T735" s="47" t="s">
        <v>525</v>
      </c>
    </row>
    <row r="736" spans="1:20">
      <c r="A736" s="46">
        <v>138536621798</v>
      </c>
      <c r="B736" s="44" t="s">
        <v>517</v>
      </c>
      <c r="C736" s="45">
        <v>46010</v>
      </c>
      <c r="D736" s="46">
        <v>55077737653</v>
      </c>
      <c r="E736" s="46">
        <v>2152904976976</v>
      </c>
      <c r="F736" s="47" t="s">
        <v>518</v>
      </c>
      <c r="G736" s="47" t="s">
        <v>519</v>
      </c>
      <c r="H736" s="47" t="s">
        <v>4</v>
      </c>
      <c r="I736" s="46" t="s">
        <v>4</v>
      </c>
      <c r="J736" s="48">
        <v>48.5</v>
      </c>
      <c r="K736" s="47" t="s">
        <v>520</v>
      </c>
      <c r="L736" s="47" t="s">
        <v>521</v>
      </c>
      <c r="M736" s="46" t="s">
        <v>807</v>
      </c>
      <c r="N736" s="47" t="s">
        <v>808</v>
      </c>
      <c r="O736" s="44" t="s">
        <v>4</v>
      </c>
      <c r="P736" s="47" t="s">
        <v>826</v>
      </c>
      <c r="Q736" s="48">
        <v>5000</v>
      </c>
      <c r="R736" s="49" t="s">
        <v>4</v>
      </c>
      <c r="S736" s="48" t="s">
        <v>4</v>
      </c>
      <c r="T736" s="47" t="s">
        <v>525</v>
      </c>
    </row>
    <row r="737" spans="1:20">
      <c r="A737" s="46">
        <v>138536804822</v>
      </c>
      <c r="B737" s="44" t="s">
        <v>517</v>
      </c>
      <c r="C737" s="45">
        <v>46010</v>
      </c>
      <c r="D737" s="46">
        <v>55077778178</v>
      </c>
      <c r="E737" s="46">
        <v>2152905925034</v>
      </c>
      <c r="F737" s="47" t="s">
        <v>562</v>
      </c>
      <c r="G737" s="47" t="s">
        <v>519</v>
      </c>
      <c r="H737" s="47" t="s">
        <v>4</v>
      </c>
      <c r="I737" s="46" t="s">
        <v>4</v>
      </c>
      <c r="J737" s="48">
        <v>79.87</v>
      </c>
      <c r="K737" s="47" t="s">
        <v>520</v>
      </c>
      <c r="L737" s="47" t="s">
        <v>521</v>
      </c>
      <c r="M737" s="46" t="s">
        <v>807</v>
      </c>
      <c r="N737" s="47" t="s">
        <v>808</v>
      </c>
      <c r="O737" s="44" t="s">
        <v>4</v>
      </c>
      <c r="P737" s="47" t="s">
        <v>563</v>
      </c>
      <c r="Q737" s="48">
        <v>4900</v>
      </c>
      <c r="R737" s="49" t="s">
        <v>4</v>
      </c>
      <c r="S737" s="48" t="s">
        <v>4</v>
      </c>
      <c r="T737" s="47" t="s">
        <v>525</v>
      </c>
    </row>
    <row r="738" spans="1:20">
      <c r="A738" s="46">
        <v>137897818889</v>
      </c>
      <c r="B738" s="44" t="s">
        <v>517</v>
      </c>
      <c r="C738" s="45">
        <v>46010</v>
      </c>
      <c r="D738" s="46">
        <v>55077819464</v>
      </c>
      <c r="E738" s="46">
        <v>2152906608462</v>
      </c>
      <c r="F738" s="47" t="s">
        <v>526</v>
      </c>
      <c r="G738" s="47" t="s">
        <v>519</v>
      </c>
      <c r="H738" s="47" t="s">
        <v>4</v>
      </c>
      <c r="I738" s="46" t="s">
        <v>4</v>
      </c>
      <c r="J738" s="48">
        <v>71.78</v>
      </c>
      <c r="K738" s="47" t="s">
        <v>520</v>
      </c>
      <c r="L738" s="47" t="s">
        <v>521</v>
      </c>
      <c r="M738" s="46" t="s">
        <v>807</v>
      </c>
      <c r="N738" s="47" t="s">
        <v>808</v>
      </c>
      <c r="O738" s="44" t="s">
        <v>4</v>
      </c>
      <c r="P738" s="47" t="s">
        <v>527</v>
      </c>
      <c r="Q738" s="48">
        <v>7400</v>
      </c>
      <c r="R738" s="49" t="s">
        <v>4</v>
      </c>
      <c r="S738" s="48" t="s">
        <v>4</v>
      </c>
      <c r="T738" s="47" t="s">
        <v>4</v>
      </c>
    </row>
    <row r="739" spans="1:20">
      <c r="A739" s="46">
        <v>138536945536</v>
      </c>
      <c r="B739" s="44" t="s">
        <v>517</v>
      </c>
      <c r="C739" s="45">
        <v>46010</v>
      </c>
      <c r="D739" s="46">
        <v>55077832613</v>
      </c>
      <c r="E739" s="46">
        <v>2152749608535</v>
      </c>
      <c r="F739" s="47" t="s">
        <v>518</v>
      </c>
      <c r="G739" s="47" t="s">
        <v>519</v>
      </c>
      <c r="H739" s="47" t="s">
        <v>4</v>
      </c>
      <c r="I739" s="46" t="s">
        <v>4</v>
      </c>
      <c r="J739" s="48">
        <v>46.56</v>
      </c>
      <c r="K739" s="47" t="s">
        <v>520</v>
      </c>
      <c r="L739" s="47" t="s">
        <v>521</v>
      </c>
      <c r="M739" s="46" t="s">
        <v>807</v>
      </c>
      <c r="N739" s="47" t="s">
        <v>808</v>
      </c>
      <c r="O739" s="44" t="s">
        <v>4</v>
      </c>
      <c r="P739" s="47" t="s">
        <v>864</v>
      </c>
      <c r="Q739" s="48">
        <v>4800</v>
      </c>
      <c r="R739" s="49" t="s">
        <v>4</v>
      </c>
      <c r="S739" s="48" t="s">
        <v>4</v>
      </c>
      <c r="T739" s="47" t="s">
        <v>525</v>
      </c>
    </row>
    <row r="740" spans="1:20">
      <c r="A740" s="46">
        <v>137897873121</v>
      </c>
      <c r="B740" s="44" t="s">
        <v>517</v>
      </c>
      <c r="C740" s="45">
        <v>46010</v>
      </c>
      <c r="D740" s="46">
        <v>55077854553</v>
      </c>
      <c r="E740" s="46">
        <v>2152907145050</v>
      </c>
      <c r="F740" s="47" t="s">
        <v>518</v>
      </c>
      <c r="G740" s="47" t="s">
        <v>519</v>
      </c>
      <c r="H740" s="47" t="s">
        <v>4</v>
      </c>
      <c r="I740" s="46" t="s">
        <v>4</v>
      </c>
      <c r="J740" s="48">
        <v>48.5</v>
      </c>
      <c r="K740" s="47" t="s">
        <v>520</v>
      </c>
      <c r="L740" s="47" t="s">
        <v>521</v>
      </c>
      <c r="M740" s="46" t="s">
        <v>807</v>
      </c>
      <c r="N740" s="47" t="s">
        <v>808</v>
      </c>
      <c r="O740" s="44" t="s">
        <v>4</v>
      </c>
      <c r="P740" s="47" t="s">
        <v>842</v>
      </c>
      <c r="Q740" s="48">
        <v>5000</v>
      </c>
      <c r="R740" s="49" t="s">
        <v>4</v>
      </c>
      <c r="S740" s="48" t="s">
        <v>4</v>
      </c>
      <c r="T740" s="47" t="s">
        <v>525</v>
      </c>
    </row>
    <row r="741" spans="1:20">
      <c r="A741" s="46">
        <v>137897957069</v>
      </c>
      <c r="B741" s="44" t="s">
        <v>517</v>
      </c>
      <c r="C741" s="45">
        <v>46010</v>
      </c>
      <c r="D741" s="46">
        <v>55077863373</v>
      </c>
      <c r="E741" s="46">
        <v>2152750319173</v>
      </c>
      <c r="F741" s="47" t="s">
        <v>518</v>
      </c>
      <c r="G741" s="47" t="s">
        <v>519</v>
      </c>
      <c r="H741" s="47" t="s">
        <v>4</v>
      </c>
      <c r="I741" s="46" t="s">
        <v>4</v>
      </c>
      <c r="J741" s="48">
        <v>46.56</v>
      </c>
      <c r="K741" s="47" t="s">
        <v>520</v>
      </c>
      <c r="L741" s="47" t="s">
        <v>521</v>
      </c>
      <c r="M741" s="46" t="s">
        <v>807</v>
      </c>
      <c r="N741" s="47" t="s">
        <v>808</v>
      </c>
      <c r="O741" s="44" t="s">
        <v>4</v>
      </c>
      <c r="P741" s="47" t="s">
        <v>865</v>
      </c>
      <c r="Q741" s="48">
        <v>4800</v>
      </c>
      <c r="R741" s="49" t="s">
        <v>4</v>
      </c>
      <c r="S741" s="48" t="s">
        <v>4</v>
      </c>
      <c r="T741" s="47" t="s">
        <v>525</v>
      </c>
    </row>
    <row r="742" spans="1:20">
      <c r="A742" s="46">
        <v>138537038742</v>
      </c>
      <c r="B742" s="44" t="s">
        <v>517</v>
      </c>
      <c r="C742" s="45">
        <v>46010</v>
      </c>
      <c r="D742" s="46">
        <v>55077865804</v>
      </c>
      <c r="E742" s="46">
        <v>2152750013339</v>
      </c>
      <c r="F742" s="47" t="s">
        <v>518</v>
      </c>
      <c r="G742" s="47" t="s">
        <v>519</v>
      </c>
      <c r="H742" s="47" t="s">
        <v>4</v>
      </c>
      <c r="I742" s="46" t="s">
        <v>4</v>
      </c>
      <c r="J742" s="48">
        <v>47.53</v>
      </c>
      <c r="K742" s="47" t="s">
        <v>520</v>
      </c>
      <c r="L742" s="47" t="s">
        <v>521</v>
      </c>
      <c r="M742" s="46" t="s">
        <v>807</v>
      </c>
      <c r="N742" s="47" t="s">
        <v>808</v>
      </c>
      <c r="O742" s="44" t="s">
        <v>4</v>
      </c>
      <c r="P742" s="47" t="s">
        <v>680</v>
      </c>
      <c r="Q742" s="48">
        <v>4900</v>
      </c>
      <c r="R742" s="49" t="s">
        <v>4</v>
      </c>
      <c r="S742" s="48" t="s">
        <v>4</v>
      </c>
      <c r="T742" s="47" t="s">
        <v>525</v>
      </c>
    </row>
    <row r="743" spans="1:20">
      <c r="A743" s="46">
        <v>137898000905</v>
      </c>
      <c r="B743" s="44" t="s">
        <v>517</v>
      </c>
      <c r="C743" s="45">
        <v>46010</v>
      </c>
      <c r="D743" s="46">
        <v>55077873577</v>
      </c>
      <c r="E743" s="46">
        <v>2152908065624</v>
      </c>
      <c r="F743" s="47" t="s">
        <v>518</v>
      </c>
      <c r="G743" s="47" t="s">
        <v>519</v>
      </c>
      <c r="H743" s="47" t="s">
        <v>4</v>
      </c>
      <c r="I743" s="46" t="s">
        <v>4</v>
      </c>
      <c r="J743" s="48">
        <v>46.56</v>
      </c>
      <c r="K743" s="47" t="s">
        <v>520</v>
      </c>
      <c r="L743" s="47" t="s">
        <v>521</v>
      </c>
      <c r="M743" s="46" t="s">
        <v>807</v>
      </c>
      <c r="N743" s="47" t="s">
        <v>808</v>
      </c>
      <c r="O743" s="44" t="s">
        <v>4</v>
      </c>
      <c r="P743" s="47" t="s">
        <v>839</v>
      </c>
      <c r="Q743" s="48">
        <v>4800</v>
      </c>
      <c r="R743" s="49" t="s">
        <v>4</v>
      </c>
      <c r="S743" s="48" t="s">
        <v>4</v>
      </c>
      <c r="T743" s="47" t="s">
        <v>525</v>
      </c>
    </row>
    <row r="744" spans="1:20">
      <c r="A744" s="46">
        <v>137898074457</v>
      </c>
      <c r="B744" s="44" t="s">
        <v>517</v>
      </c>
      <c r="C744" s="45">
        <v>46010</v>
      </c>
      <c r="D744" s="46">
        <v>55077906505</v>
      </c>
      <c r="E744" s="46">
        <v>2152908235722</v>
      </c>
      <c r="F744" s="47" t="s">
        <v>518</v>
      </c>
      <c r="G744" s="47" t="s">
        <v>519</v>
      </c>
      <c r="H744" s="47" t="s">
        <v>4</v>
      </c>
      <c r="I744" s="46" t="s">
        <v>4</v>
      </c>
      <c r="J744" s="48">
        <v>46.56</v>
      </c>
      <c r="K744" s="47" t="s">
        <v>520</v>
      </c>
      <c r="L744" s="47" t="s">
        <v>521</v>
      </c>
      <c r="M744" s="46" t="s">
        <v>807</v>
      </c>
      <c r="N744" s="47" t="s">
        <v>808</v>
      </c>
      <c r="O744" s="44" t="s">
        <v>4</v>
      </c>
      <c r="P744" s="47" t="s">
        <v>866</v>
      </c>
      <c r="Q744" s="48">
        <v>4800</v>
      </c>
      <c r="R744" s="49" t="s">
        <v>4</v>
      </c>
      <c r="S744" s="48" t="s">
        <v>4</v>
      </c>
      <c r="T744" s="47" t="s">
        <v>525</v>
      </c>
    </row>
    <row r="745" spans="1:20">
      <c r="A745" s="46">
        <v>138537226196</v>
      </c>
      <c r="B745" s="44" t="s">
        <v>517</v>
      </c>
      <c r="C745" s="45">
        <v>46010</v>
      </c>
      <c r="D745" s="46">
        <v>55077910655</v>
      </c>
      <c r="E745" s="46">
        <v>2152908456280</v>
      </c>
      <c r="F745" s="47" t="s">
        <v>518</v>
      </c>
      <c r="G745" s="47" t="s">
        <v>519</v>
      </c>
      <c r="H745" s="47" t="s">
        <v>4</v>
      </c>
      <c r="I745" s="46" t="s">
        <v>4</v>
      </c>
      <c r="J745" s="48">
        <v>81.5</v>
      </c>
      <c r="K745" s="47" t="s">
        <v>520</v>
      </c>
      <c r="L745" s="47" t="s">
        <v>521</v>
      </c>
      <c r="M745" s="46" t="s">
        <v>807</v>
      </c>
      <c r="N745" s="47" t="s">
        <v>808</v>
      </c>
      <c r="O745" s="44" t="s">
        <v>4</v>
      </c>
      <c r="P745" s="47" t="s">
        <v>867</v>
      </c>
      <c r="Q745" s="48">
        <v>5000</v>
      </c>
      <c r="R745" s="49" t="s">
        <v>4</v>
      </c>
      <c r="S745" s="48" t="s">
        <v>4</v>
      </c>
      <c r="T745" s="47" t="s">
        <v>525</v>
      </c>
    </row>
    <row r="746" spans="1:20">
      <c r="A746" s="46">
        <v>138537157486</v>
      </c>
      <c r="B746" s="44" t="s">
        <v>517</v>
      </c>
      <c r="C746" s="45">
        <v>46010</v>
      </c>
      <c r="D746" s="46">
        <v>55077934589</v>
      </c>
      <c r="E746" s="46">
        <v>2152751312783</v>
      </c>
      <c r="F746" s="47" t="s">
        <v>518</v>
      </c>
      <c r="G746" s="47" t="s">
        <v>519</v>
      </c>
      <c r="H746" s="47" t="s">
        <v>4</v>
      </c>
      <c r="I746" s="46" t="s">
        <v>4</v>
      </c>
      <c r="J746" s="48">
        <v>46.56</v>
      </c>
      <c r="K746" s="47" t="s">
        <v>520</v>
      </c>
      <c r="L746" s="47" t="s">
        <v>521</v>
      </c>
      <c r="M746" s="46" t="s">
        <v>807</v>
      </c>
      <c r="N746" s="47" t="s">
        <v>808</v>
      </c>
      <c r="O746" s="44" t="s">
        <v>4</v>
      </c>
      <c r="P746" s="47" t="s">
        <v>834</v>
      </c>
      <c r="Q746" s="48">
        <v>4800</v>
      </c>
      <c r="R746" s="49" t="s">
        <v>4</v>
      </c>
      <c r="S746" s="48" t="s">
        <v>4</v>
      </c>
      <c r="T746" s="47" t="s">
        <v>525</v>
      </c>
    </row>
    <row r="747" spans="1:20">
      <c r="A747" s="46">
        <v>137898095891</v>
      </c>
      <c r="B747" s="44" t="s">
        <v>517</v>
      </c>
      <c r="C747" s="45">
        <v>46010</v>
      </c>
      <c r="D747" s="46">
        <v>55077950642</v>
      </c>
      <c r="E747" s="46">
        <v>2152909231658</v>
      </c>
      <c r="F747" s="47" t="s">
        <v>518</v>
      </c>
      <c r="G747" s="47" t="s">
        <v>519</v>
      </c>
      <c r="H747" s="47" t="s">
        <v>4</v>
      </c>
      <c r="I747" s="46" t="s">
        <v>4</v>
      </c>
      <c r="J747" s="48">
        <v>72.75</v>
      </c>
      <c r="K747" s="47" t="s">
        <v>520</v>
      </c>
      <c r="L747" s="47" t="s">
        <v>521</v>
      </c>
      <c r="M747" s="46" t="s">
        <v>807</v>
      </c>
      <c r="N747" s="47" t="s">
        <v>808</v>
      </c>
      <c r="O747" s="44" t="s">
        <v>4</v>
      </c>
      <c r="P747" s="47" t="s">
        <v>843</v>
      </c>
      <c r="Q747" s="48">
        <v>7500</v>
      </c>
      <c r="R747" s="49" t="s">
        <v>4</v>
      </c>
      <c r="S747" s="48" t="s">
        <v>4</v>
      </c>
      <c r="T747" s="47" t="s">
        <v>525</v>
      </c>
    </row>
    <row r="748" spans="1:20">
      <c r="A748" s="46">
        <v>137898141923</v>
      </c>
      <c r="B748" s="44" t="s">
        <v>517</v>
      </c>
      <c r="C748" s="45">
        <v>46010</v>
      </c>
      <c r="D748" s="46">
        <v>55077986321</v>
      </c>
      <c r="E748" s="46">
        <v>2152751774653</v>
      </c>
      <c r="F748" s="47" t="s">
        <v>518</v>
      </c>
      <c r="G748" s="47" t="s">
        <v>519</v>
      </c>
      <c r="H748" s="47" t="s">
        <v>4</v>
      </c>
      <c r="I748" s="46" t="s">
        <v>4</v>
      </c>
      <c r="J748" s="48">
        <v>46.56</v>
      </c>
      <c r="K748" s="47" t="s">
        <v>520</v>
      </c>
      <c r="L748" s="47" t="s">
        <v>521</v>
      </c>
      <c r="M748" s="46" t="s">
        <v>807</v>
      </c>
      <c r="N748" s="47" t="s">
        <v>808</v>
      </c>
      <c r="O748" s="44" t="s">
        <v>4</v>
      </c>
      <c r="P748" s="47" t="s">
        <v>868</v>
      </c>
      <c r="Q748" s="48">
        <v>4800</v>
      </c>
      <c r="R748" s="49" t="s">
        <v>4</v>
      </c>
      <c r="S748" s="48" t="s">
        <v>4</v>
      </c>
      <c r="T748" s="47" t="s">
        <v>525</v>
      </c>
    </row>
    <row r="749" spans="1:20">
      <c r="A749" s="46">
        <v>138537259896</v>
      </c>
      <c r="B749" s="44" t="s">
        <v>517</v>
      </c>
      <c r="C749" s="45">
        <v>46010</v>
      </c>
      <c r="D749" s="46">
        <v>55078015131</v>
      </c>
      <c r="E749" s="46">
        <v>2152909718194</v>
      </c>
      <c r="F749" s="47" t="s">
        <v>518</v>
      </c>
      <c r="G749" s="47" t="s">
        <v>519</v>
      </c>
      <c r="H749" s="47" t="s">
        <v>4</v>
      </c>
      <c r="I749" s="46" t="s">
        <v>4</v>
      </c>
      <c r="J749" s="48">
        <v>23.28</v>
      </c>
      <c r="K749" s="47" t="s">
        <v>520</v>
      </c>
      <c r="L749" s="47" t="s">
        <v>521</v>
      </c>
      <c r="M749" s="46" t="s">
        <v>807</v>
      </c>
      <c r="N749" s="47" t="s">
        <v>808</v>
      </c>
      <c r="O749" s="44" t="s">
        <v>4</v>
      </c>
      <c r="P749" s="47" t="s">
        <v>869</v>
      </c>
      <c r="Q749" s="48">
        <v>2400</v>
      </c>
      <c r="R749" s="49" t="s">
        <v>4</v>
      </c>
      <c r="S749" s="48" t="s">
        <v>4</v>
      </c>
      <c r="T749" s="47" t="s">
        <v>525</v>
      </c>
    </row>
    <row r="750" spans="1:20">
      <c r="A750" s="46">
        <v>138537415846</v>
      </c>
      <c r="B750" s="44" t="s">
        <v>517</v>
      </c>
      <c r="C750" s="45">
        <v>46010</v>
      </c>
      <c r="D750" s="46">
        <v>55078030502</v>
      </c>
      <c r="E750" s="46">
        <v>2152910493306</v>
      </c>
      <c r="F750" s="47" t="s">
        <v>518</v>
      </c>
      <c r="G750" s="47" t="s">
        <v>519</v>
      </c>
      <c r="H750" s="47" t="s">
        <v>4</v>
      </c>
      <c r="I750" s="46" t="s">
        <v>4</v>
      </c>
      <c r="J750" s="48">
        <v>47.53</v>
      </c>
      <c r="K750" s="47" t="s">
        <v>520</v>
      </c>
      <c r="L750" s="47" t="s">
        <v>521</v>
      </c>
      <c r="M750" s="46" t="s">
        <v>807</v>
      </c>
      <c r="N750" s="47" t="s">
        <v>808</v>
      </c>
      <c r="O750" s="44" t="s">
        <v>4</v>
      </c>
      <c r="P750" s="47" t="s">
        <v>870</v>
      </c>
      <c r="Q750" s="48">
        <v>4900</v>
      </c>
      <c r="R750" s="49" t="s">
        <v>4</v>
      </c>
      <c r="S750" s="48" t="s">
        <v>4</v>
      </c>
      <c r="T750" s="47" t="s">
        <v>525</v>
      </c>
    </row>
    <row r="751" spans="1:20">
      <c r="A751" s="46">
        <v>137898434267</v>
      </c>
      <c r="B751" s="44" t="s">
        <v>517</v>
      </c>
      <c r="C751" s="45">
        <v>46010</v>
      </c>
      <c r="D751" s="46">
        <v>55078058564</v>
      </c>
      <c r="E751" s="46">
        <v>2152910903760</v>
      </c>
      <c r="F751" s="47" t="s">
        <v>526</v>
      </c>
      <c r="G751" s="47" t="s">
        <v>519</v>
      </c>
      <c r="H751" s="47" t="s">
        <v>4</v>
      </c>
      <c r="I751" s="46" t="s">
        <v>4</v>
      </c>
      <c r="J751" s="48">
        <v>48.5</v>
      </c>
      <c r="K751" s="47" t="s">
        <v>520</v>
      </c>
      <c r="L751" s="47" t="s">
        <v>521</v>
      </c>
      <c r="M751" s="46" t="s">
        <v>807</v>
      </c>
      <c r="N751" s="47" t="s">
        <v>808</v>
      </c>
      <c r="O751" s="44" t="s">
        <v>4</v>
      </c>
      <c r="P751" s="47" t="s">
        <v>527</v>
      </c>
      <c r="Q751" s="48">
        <v>5000</v>
      </c>
      <c r="R751" s="49" t="s">
        <v>4</v>
      </c>
      <c r="S751" s="48" t="s">
        <v>4</v>
      </c>
      <c r="T751" s="47" t="s">
        <v>4</v>
      </c>
    </row>
    <row r="752" spans="1:20">
      <c r="A752" s="46">
        <v>137898470195</v>
      </c>
      <c r="B752" s="44" t="s">
        <v>517</v>
      </c>
      <c r="C752" s="45">
        <v>46010</v>
      </c>
      <c r="D752" s="46">
        <v>55078066442</v>
      </c>
      <c r="E752" s="46">
        <v>2152753558727</v>
      </c>
      <c r="F752" s="47" t="s">
        <v>518</v>
      </c>
      <c r="G752" s="47" t="s">
        <v>519</v>
      </c>
      <c r="H752" s="47" t="s">
        <v>4</v>
      </c>
      <c r="I752" s="46" t="s">
        <v>4</v>
      </c>
      <c r="J752" s="48">
        <v>97</v>
      </c>
      <c r="K752" s="47" t="s">
        <v>520</v>
      </c>
      <c r="L752" s="47" t="s">
        <v>521</v>
      </c>
      <c r="M752" s="46" t="s">
        <v>807</v>
      </c>
      <c r="N752" s="47" t="s">
        <v>808</v>
      </c>
      <c r="O752" s="44" t="s">
        <v>4</v>
      </c>
      <c r="P752" s="47" t="s">
        <v>871</v>
      </c>
      <c r="Q752" s="48">
        <v>10000</v>
      </c>
      <c r="R752" s="49" t="s">
        <v>4</v>
      </c>
      <c r="S752" s="48" t="s">
        <v>4</v>
      </c>
      <c r="T752" s="47" t="s">
        <v>525</v>
      </c>
    </row>
    <row r="753" spans="1:20">
      <c r="A753" s="46">
        <v>138537549358</v>
      </c>
      <c r="B753" s="44" t="s">
        <v>517</v>
      </c>
      <c r="C753" s="45">
        <v>46010</v>
      </c>
      <c r="D753" s="46">
        <v>55078079583</v>
      </c>
      <c r="E753" s="46">
        <v>2152753552821</v>
      </c>
      <c r="F753" s="47" t="s">
        <v>518</v>
      </c>
      <c r="G753" s="47" t="s">
        <v>519</v>
      </c>
      <c r="H753" s="47" t="s">
        <v>4</v>
      </c>
      <c r="I753" s="46" t="s">
        <v>4</v>
      </c>
      <c r="J753" s="48">
        <v>48.5</v>
      </c>
      <c r="K753" s="47" t="s">
        <v>520</v>
      </c>
      <c r="L753" s="47" t="s">
        <v>521</v>
      </c>
      <c r="M753" s="46" t="s">
        <v>807</v>
      </c>
      <c r="N753" s="47" t="s">
        <v>808</v>
      </c>
      <c r="O753" s="44" t="s">
        <v>4</v>
      </c>
      <c r="P753" s="47" t="s">
        <v>851</v>
      </c>
      <c r="Q753" s="48">
        <v>5000</v>
      </c>
      <c r="R753" s="49" t="s">
        <v>4</v>
      </c>
      <c r="S753" s="48" t="s">
        <v>4</v>
      </c>
      <c r="T753" s="47" t="s">
        <v>525</v>
      </c>
    </row>
    <row r="754" spans="1:20">
      <c r="A754" s="46">
        <v>137898593083</v>
      </c>
      <c r="B754" s="44" t="s">
        <v>517</v>
      </c>
      <c r="C754" s="45">
        <v>46010</v>
      </c>
      <c r="D754" s="46">
        <v>55078133753</v>
      </c>
      <c r="E754" s="46">
        <v>2152912587600</v>
      </c>
      <c r="F754" s="47" t="s">
        <v>529</v>
      </c>
      <c r="G754" s="47" t="s">
        <v>519</v>
      </c>
      <c r="H754" s="47" t="s">
        <v>4</v>
      </c>
      <c r="I754" s="46" t="s">
        <v>4</v>
      </c>
      <c r="J754" s="48">
        <v>601.19000000000005</v>
      </c>
      <c r="K754" s="47" t="s">
        <v>520</v>
      </c>
      <c r="L754" s="47" t="s">
        <v>530</v>
      </c>
      <c r="M754" s="46" t="s">
        <v>522</v>
      </c>
      <c r="N754" s="47" t="s">
        <v>523</v>
      </c>
      <c r="O754" s="44" t="s">
        <v>263</v>
      </c>
      <c r="P754" s="47" t="s">
        <v>531</v>
      </c>
      <c r="Q754" s="48">
        <v>7900</v>
      </c>
      <c r="R754" s="49" t="s">
        <v>4</v>
      </c>
      <c r="S754" s="48" t="s">
        <v>4</v>
      </c>
      <c r="T754" s="47" t="s">
        <v>525</v>
      </c>
    </row>
    <row r="755" spans="1:20">
      <c r="A755" s="46">
        <v>138537858578</v>
      </c>
      <c r="B755" s="44" t="s">
        <v>517</v>
      </c>
      <c r="C755" s="45">
        <v>46010</v>
      </c>
      <c r="D755" s="46">
        <v>55078173922</v>
      </c>
      <c r="E755" s="46">
        <v>2152913240824</v>
      </c>
      <c r="F755" s="47" t="s">
        <v>526</v>
      </c>
      <c r="G755" s="47" t="s">
        <v>519</v>
      </c>
      <c r="H755" s="47" t="s">
        <v>4</v>
      </c>
      <c r="I755" s="46" t="s">
        <v>4</v>
      </c>
      <c r="J755" s="48">
        <v>48.5</v>
      </c>
      <c r="K755" s="47" t="s">
        <v>520</v>
      </c>
      <c r="L755" s="47" t="s">
        <v>521</v>
      </c>
      <c r="M755" s="46" t="s">
        <v>807</v>
      </c>
      <c r="N755" s="47" t="s">
        <v>808</v>
      </c>
      <c r="O755" s="44" t="s">
        <v>4</v>
      </c>
      <c r="P755" s="47" t="s">
        <v>527</v>
      </c>
      <c r="Q755" s="48">
        <v>5000</v>
      </c>
      <c r="R755" s="49" t="s">
        <v>4</v>
      </c>
      <c r="S755" s="48" t="s">
        <v>4</v>
      </c>
      <c r="T755" s="47" t="s">
        <v>4</v>
      </c>
    </row>
    <row r="756" spans="1:20">
      <c r="A756" s="46">
        <v>138537959300</v>
      </c>
      <c r="B756" s="44" t="s">
        <v>517</v>
      </c>
      <c r="C756" s="45">
        <v>46010</v>
      </c>
      <c r="D756" s="46">
        <v>55078227312</v>
      </c>
      <c r="E756" s="46">
        <v>2152914146970</v>
      </c>
      <c r="F756" s="47" t="s">
        <v>518</v>
      </c>
      <c r="G756" s="47" t="s">
        <v>519</v>
      </c>
      <c r="H756" s="47" t="s">
        <v>4</v>
      </c>
      <c r="I756" s="46" t="s">
        <v>4</v>
      </c>
      <c r="J756" s="48">
        <v>145.5</v>
      </c>
      <c r="K756" s="47" t="s">
        <v>520</v>
      </c>
      <c r="L756" s="47" t="s">
        <v>521</v>
      </c>
      <c r="M756" s="46" t="s">
        <v>660</v>
      </c>
      <c r="N756" s="47" t="s">
        <v>661</v>
      </c>
      <c r="O756" s="44" t="s">
        <v>4</v>
      </c>
      <c r="P756" s="47" t="s">
        <v>872</v>
      </c>
      <c r="Q756" s="48">
        <v>15000</v>
      </c>
      <c r="R756" s="49" t="s">
        <v>4</v>
      </c>
      <c r="S756" s="48" t="s">
        <v>4</v>
      </c>
      <c r="T756" s="47" t="s">
        <v>525</v>
      </c>
    </row>
    <row r="757" spans="1:20">
      <c r="A757" s="46">
        <v>138538192316</v>
      </c>
      <c r="B757" s="44" t="s">
        <v>517</v>
      </c>
      <c r="C757" s="45">
        <v>46010</v>
      </c>
      <c r="D757" s="46">
        <v>55078268626</v>
      </c>
      <c r="E757" s="46">
        <v>2152915405776</v>
      </c>
      <c r="F757" s="47" t="s">
        <v>518</v>
      </c>
      <c r="G757" s="47" t="s">
        <v>519</v>
      </c>
      <c r="H757" s="47" t="s">
        <v>4</v>
      </c>
      <c r="I757" s="46" t="s">
        <v>4</v>
      </c>
      <c r="J757" s="48">
        <v>260.93</v>
      </c>
      <c r="K757" s="47" t="s">
        <v>520</v>
      </c>
      <c r="L757" s="47" t="s">
        <v>521</v>
      </c>
      <c r="M757" s="46" t="s">
        <v>522</v>
      </c>
      <c r="N757" s="47" t="s">
        <v>523</v>
      </c>
      <c r="O757" s="44" t="s">
        <v>4</v>
      </c>
      <c r="P757" s="47" t="s">
        <v>809</v>
      </c>
      <c r="Q757" s="48">
        <v>26900</v>
      </c>
      <c r="R757" s="49" t="s">
        <v>4</v>
      </c>
      <c r="S757" s="48" t="s">
        <v>4</v>
      </c>
      <c r="T757" s="47" t="s">
        <v>525</v>
      </c>
    </row>
    <row r="758" spans="1:20">
      <c r="A758" s="46">
        <v>137899248237</v>
      </c>
      <c r="B758" s="44" t="s">
        <v>517</v>
      </c>
      <c r="C758" s="45">
        <v>46010</v>
      </c>
      <c r="D758" s="46">
        <v>55078343219</v>
      </c>
      <c r="E758" s="46">
        <v>2152916992996</v>
      </c>
      <c r="F758" s="47" t="s">
        <v>518</v>
      </c>
      <c r="G758" s="47" t="s">
        <v>519</v>
      </c>
      <c r="H758" s="47" t="s">
        <v>4</v>
      </c>
      <c r="I758" s="46" t="s">
        <v>4</v>
      </c>
      <c r="J758" s="48">
        <v>48.5</v>
      </c>
      <c r="K758" s="47" t="s">
        <v>520</v>
      </c>
      <c r="L758" s="47" t="s">
        <v>521</v>
      </c>
      <c r="M758" s="46" t="s">
        <v>807</v>
      </c>
      <c r="N758" s="47" t="s">
        <v>808</v>
      </c>
      <c r="O758" s="44" t="s">
        <v>4</v>
      </c>
      <c r="P758" s="47" t="s">
        <v>873</v>
      </c>
      <c r="Q758" s="48">
        <v>5000</v>
      </c>
      <c r="R758" s="49" t="s">
        <v>4</v>
      </c>
      <c r="S758" s="48" t="s">
        <v>4</v>
      </c>
      <c r="T758" s="47" t="s">
        <v>525</v>
      </c>
    </row>
    <row r="759" spans="1:20">
      <c r="A759" s="46">
        <v>138538294534</v>
      </c>
      <c r="B759" s="44" t="s">
        <v>517</v>
      </c>
      <c r="C759" s="45">
        <v>46010</v>
      </c>
      <c r="D759" s="46">
        <v>55078346475</v>
      </c>
      <c r="E759" s="46">
        <v>2152759078121</v>
      </c>
      <c r="F759" s="47" t="s">
        <v>518</v>
      </c>
      <c r="G759" s="47" t="s">
        <v>519</v>
      </c>
      <c r="H759" s="47" t="s">
        <v>4</v>
      </c>
      <c r="I759" s="46" t="s">
        <v>4</v>
      </c>
      <c r="J759" s="48">
        <v>97</v>
      </c>
      <c r="K759" s="47" t="s">
        <v>520</v>
      </c>
      <c r="L759" s="47" t="s">
        <v>521</v>
      </c>
      <c r="M759" s="46" t="s">
        <v>807</v>
      </c>
      <c r="N759" s="47" t="s">
        <v>808</v>
      </c>
      <c r="O759" s="44" t="s">
        <v>4</v>
      </c>
      <c r="P759" s="47" t="s">
        <v>874</v>
      </c>
      <c r="Q759" s="48">
        <v>10000</v>
      </c>
      <c r="R759" s="49" t="s">
        <v>4</v>
      </c>
      <c r="S759" s="48" t="s">
        <v>4</v>
      </c>
      <c r="T759" s="47" t="s">
        <v>525</v>
      </c>
    </row>
    <row r="760" spans="1:20">
      <c r="A760" s="46">
        <v>138538409638</v>
      </c>
      <c r="B760" s="44" t="s">
        <v>517</v>
      </c>
      <c r="C760" s="45">
        <v>46010</v>
      </c>
      <c r="D760" s="46">
        <v>55078383585</v>
      </c>
      <c r="E760" s="46">
        <v>2152760633689</v>
      </c>
      <c r="F760" s="47" t="s">
        <v>529</v>
      </c>
      <c r="G760" s="47" t="s">
        <v>519</v>
      </c>
      <c r="H760" s="47" t="s">
        <v>4</v>
      </c>
      <c r="I760" s="46" t="s">
        <v>4</v>
      </c>
      <c r="J760" s="48">
        <v>2975.01</v>
      </c>
      <c r="K760" s="47" t="s">
        <v>520</v>
      </c>
      <c r="L760" s="47" t="s">
        <v>530</v>
      </c>
      <c r="M760" s="46" t="s">
        <v>522</v>
      </c>
      <c r="N760" s="47" t="s">
        <v>523</v>
      </c>
      <c r="O760" s="44" t="s">
        <v>263</v>
      </c>
      <c r="P760" s="47" t="s">
        <v>531</v>
      </c>
      <c r="Q760" s="48">
        <v>75700</v>
      </c>
      <c r="R760" s="49" t="s">
        <v>4</v>
      </c>
      <c r="S760" s="48" t="s">
        <v>4</v>
      </c>
      <c r="T760" s="47" t="s">
        <v>525</v>
      </c>
    </row>
    <row r="761" spans="1:20">
      <c r="A761" s="46">
        <v>138538371730</v>
      </c>
      <c r="B761" s="44" t="s">
        <v>517</v>
      </c>
      <c r="C761" s="45">
        <v>46010</v>
      </c>
      <c r="D761" s="46">
        <v>55078398506</v>
      </c>
      <c r="E761" s="46">
        <v>2152760367299</v>
      </c>
      <c r="F761" s="47" t="s">
        <v>518</v>
      </c>
      <c r="G761" s="47" t="s">
        <v>519</v>
      </c>
      <c r="H761" s="47" t="s">
        <v>4</v>
      </c>
      <c r="I761" s="46" t="s">
        <v>4</v>
      </c>
      <c r="J761" s="48">
        <v>97</v>
      </c>
      <c r="K761" s="47" t="s">
        <v>520</v>
      </c>
      <c r="L761" s="47" t="s">
        <v>521</v>
      </c>
      <c r="M761" s="46" t="s">
        <v>807</v>
      </c>
      <c r="N761" s="47" t="s">
        <v>808</v>
      </c>
      <c r="O761" s="44" t="s">
        <v>4</v>
      </c>
      <c r="P761" s="47" t="s">
        <v>875</v>
      </c>
      <c r="Q761" s="48">
        <v>10000</v>
      </c>
      <c r="R761" s="49" t="s">
        <v>4</v>
      </c>
      <c r="S761" s="48" t="s">
        <v>4</v>
      </c>
      <c r="T761" s="47" t="s">
        <v>525</v>
      </c>
    </row>
    <row r="762" spans="1:20">
      <c r="A762" s="46">
        <v>138538526420</v>
      </c>
      <c r="B762" s="44" t="s">
        <v>517</v>
      </c>
      <c r="C762" s="45">
        <v>46010</v>
      </c>
      <c r="D762" s="46">
        <v>55078403060</v>
      </c>
      <c r="E762" s="46">
        <v>2152918058574</v>
      </c>
      <c r="F762" s="47" t="s">
        <v>518</v>
      </c>
      <c r="G762" s="47" t="s">
        <v>519</v>
      </c>
      <c r="H762" s="47" t="s">
        <v>4</v>
      </c>
      <c r="I762" s="46" t="s">
        <v>4</v>
      </c>
      <c r="J762" s="48">
        <v>48.5</v>
      </c>
      <c r="K762" s="47" t="s">
        <v>520</v>
      </c>
      <c r="L762" s="47" t="s">
        <v>521</v>
      </c>
      <c r="M762" s="46" t="s">
        <v>807</v>
      </c>
      <c r="N762" s="47" t="s">
        <v>808</v>
      </c>
      <c r="O762" s="44" t="s">
        <v>4</v>
      </c>
      <c r="P762" s="47" t="s">
        <v>876</v>
      </c>
      <c r="Q762" s="48">
        <v>5000</v>
      </c>
      <c r="R762" s="49" t="s">
        <v>4</v>
      </c>
      <c r="S762" s="48" t="s">
        <v>4</v>
      </c>
      <c r="T762" s="47" t="s">
        <v>525</v>
      </c>
    </row>
    <row r="763" spans="1:20">
      <c r="A763" s="46">
        <v>137899463333</v>
      </c>
      <c r="B763" s="44" t="s">
        <v>517</v>
      </c>
      <c r="C763" s="45">
        <v>46010</v>
      </c>
      <c r="D763" s="46">
        <v>55078463264</v>
      </c>
      <c r="E763" s="46">
        <v>2152919615932</v>
      </c>
      <c r="F763" s="47" t="s">
        <v>518</v>
      </c>
      <c r="G763" s="47" t="s">
        <v>519</v>
      </c>
      <c r="H763" s="47" t="s">
        <v>4</v>
      </c>
      <c r="I763" s="46" t="s">
        <v>4</v>
      </c>
      <c r="J763" s="48">
        <v>53.35</v>
      </c>
      <c r="K763" s="47" t="s">
        <v>520</v>
      </c>
      <c r="L763" s="47" t="s">
        <v>521</v>
      </c>
      <c r="M763" s="46" t="s">
        <v>522</v>
      </c>
      <c r="N763" s="47" t="s">
        <v>523</v>
      </c>
      <c r="O763" s="44" t="s">
        <v>4</v>
      </c>
      <c r="P763" s="47" t="s">
        <v>877</v>
      </c>
      <c r="Q763" s="48">
        <v>5500</v>
      </c>
      <c r="R763" s="49" t="s">
        <v>4</v>
      </c>
      <c r="S763" s="48" t="s">
        <v>4</v>
      </c>
      <c r="T763" s="47" t="s">
        <v>525</v>
      </c>
    </row>
    <row r="764" spans="1:20">
      <c r="A764" s="46">
        <v>138538764448</v>
      </c>
      <c r="B764" s="44" t="s">
        <v>517</v>
      </c>
      <c r="C764" s="45">
        <v>46010</v>
      </c>
      <c r="D764" s="46">
        <v>55078493772</v>
      </c>
      <c r="E764" s="46">
        <v>2152762702411</v>
      </c>
      <c r="F764" s="47" t="s">
        <v>518</v>
      </c>
      <c r="G764" s="47" t="s">
        <v>519</v>
      </c>
      <c r="H764" s="47" t="s">
        <v>4</v>
      </c>
      <c r="I764" s="46" t="s">
        <v>4</v>
      </c>
      <c r="J764" s="48">
        <v>210.49</v>
      </c>
      <c r="K764" s="47" t="s">
        <v>520</v>
      </c>
      <c r="L764" s="47" t="s">
        <v>521</v>
      </c>
      <c r="M764" s="46" t="s">
        <v>522</v>
      </c>
      <c r="N764" s="47" t="s">
        <v>523</v>
      </c>
      <c r="O764" s="44" t="s">
        <v>4</v>
      </c>
      <c r="P764" s="47" t="s">
        <v>812</v>
      </c>
      <c r="Q764" s="48">
        <v>21700</v>
      </c>
      <c r="R764" s="49" t="s">
        <v>4</v>
      </c>
      <c r="S764" s="48" t="s">
        <v>4</v>
      </c>
      <c r="T764" s="47" t="s">
        <v>525</v>
      </c>
    </row>
    <row r="765" spans="1:20">
      <c r="A765" s="46">
        <v>137899567743</v>
      </c>
      <c r="B765" s="44" t="s">
        <v>517</v>
      </c>
      <c r="C765" s="45">
        <v>46010</v>
      </c>
      <c r="D765" s="46">
        <v>55078519350</v>
      </c>
      <c r="E765" s="46">
        <v>2152920458016</v>
      </c>
      <c r="F765" s="47" t="s">
        <v>526</v>
      </c>
      <c r="G765" s="47" t="s">
        <v>519</v>
      </c>
      <c r="H765" s="47" t="s">
        <v>4</v>
      </c>
      <c r="I765" s="46" t="s">
        <v>4</v>
      </c>
      <c r="J765" s="48">
        <v>467.54</v>
      </c>
      <c r="K765" s="47" t="s">
        <v>520</v>
      </c>
      <c r="L765" s="47" t="s">
        <v>521</v>
      </c>
      <c r="M765" s="46" t="s">
        <v>522</v>
      </c>
      <c r="N765" s="47" t="s">
        <v>523</v>
      </c>
      <c r="O765" s="44" t="s">
        <v>4</v>
      </c>
      <c r="P765" s="47" t="s">
        <v>527</v>
      </c>
      <c r="Q765" s="48">
        <v>48200</v>
      </c>
      <c r="R765" s="49" t="s">
        <v>4</v>
      </c>
      <c r="S765" s="48" t="s">
        <v>4</v>
      </c>
      <c r="T765" s="47" t="s">
        <v>4</v>
      </c>
    </row>
    <row r="766" spans="1:20">
      <c r="A766" s="46">
        <v>138538774982</v>
      </c>
      <c r="B766" s="44" t="s">
        <v>517</v>
      </c>
      <c r="C766" s="45">
        <v>46010</v>
      </c>
      <c r="D766" s="46">
        <v>55078546262</v>
      </c>
      <c r="E766" s="46">
        <v>2152920564948</v>
      </c>
      <c r="F766" s="47" t="s">
        <v>518</v>
      </c>
      <c r="G766" s="47" t="s">
        <v>519</v>
      </c>
      <c r="H766" s="47" t="s">
        <v>4</v>
      </c>
      <c r="I766" s="46" t="s">
        <v>4</v>
      </c>
      <c r="J766" s="48">
        <v>97</v>
      </c>
      <c r="K766" s="47" t="s">
        <v>520</v>
      </c>
      <c r="L766" s="47" t="s">
        <v>521</v>
      </c>
      <c r="M766" s="46" t="s">
        <v>807</v>
      </c>
      <c r="N766" s="47" t="s">
        <v>808</v>
      </c>
      <c r="O766" s="44" t="s">
        <v>4</v>
      </c>
      <c r="P766" s="47" t="s">
        <v>878</v>
      </c>
      <c r="Q766" s="48">
        <v>10000</v>
      </c>
      <c r="R766" s="49" t="s">
        <v>4</v>
      </c>
      <c r="S766" s="48" t="s">
        <v>4</v>
      </c>
      <c r="T766" s="47" t="s">
        <v>525</v>
      </c>
    </row>
    <row r="767" spans="1:20">
      <c r="A767" s="46">
        <v>138538877614</v>
      </c>
      <c r="B767" s="44" t="s">
        <v>517</v>
      </c>
      <c r="C767" s="45">
        <v>46010</v>
      </c>
      <c r="D767" s="46">
        <v>55078587171</v>
      </c>
      <c r="E767" s="46">
        <v>2152764262825</v>
      </c>
      <c r="F767" s="47" t="s">
        <v>518</v>
      </c>
      <c r="G767" s="47" t="s">
        <v>519</v>
      </c>
      <c r="H767" s="47" t="s">
        <v>4</v>
      </c>
      <c r="I767" s="46" t="s">
        <v>4</v>
      </c>
      <c r="J767" s="48">
        <v>94.09</v>
      </c>
      <c r="K767" s="47" t="s">
        <v>520</v>
      </c>
      <c r="L767" s="47" t="s">
        <v>521</v>
      </c>
      <c r="M767" s="46" t="s">
        <v>807</v>
      </c>
      <c r="N767" s="47" t="s">
        <v>808</v>
      </c>
      <c r="O767" s="44" t="s">
        <v>4</v>
      </c>
      <c r="P767" s="47" t="s">
        <v>854</v>
      </c>
      <c r="Q767" s="48">
        <v>9700</v>
      </c>
      <c r="R767" s="49" t="s">
        <v>4</v>
      </c>
      <c r="S767" s="48" t="s">
        <v>4</v>
      </c>
      <c r="T767" s="47" t="s">
        <v>525</v>
      </c>
    </row>
    <row r="768" spans="1:20">
      <c r="A768" s="46">
        <v>138538968416</v>
      </c>
      <c r="B768" s="44" t="s">
        <v>517</v>
      </c>
      <c r="C768" s="45">
        <v>46010</v>
      </c>
      <c r="D768" s="46">
        <v>55078597042</v>
      </c>
      <c r="E768" s="46">
        <v>2152921794694</v>
      </c>
      <c r="F768" s="47" t="s">
        <v>518</v>
      </c>
      <c r="G768" s="47" t="s">
        <v>519</v>
      </c>
      <c r="H768" s="47" t="s">
        <v>4</v>
      </c>
      <c r="I768" s="46" t="s">
        <v>4</v>
      </c>
      <c r="J768" s="48">
        <v>53.35</v>
      </c>
      <c r="K768" s="47" t="s">
        <v>520</v>
      </c>
      <c r="L768" s="47" t="s">
        <v>521</v>
      </c>
      <c r="M768" s="46" t="s">
        <v>522</v>
      </c>
      <c r="N768" s="47" t="s">
        <v>523</v>
      </c>
      <c r="O768" s="44" t="s">
        <v>4</v>
      </c>
      <c r="P768" s="47" t="s">
        <v>879</v>
      </c>
      <c r="Q768" s="48">
        <v>5500</v>
      </c>
      <c r="R768" s="49" t="s">
        <v>4</v>
      </c>
      <c r="S768" s="48" t="s">
        <v>4</v>
      </c>
      <c r="T768" s="47" t="s">
        <v>525</v>
      </c>
    </row>
    <row r="769" spans="1:20">
      <c r="A769" s="46">
        <v>137900124225</v>
      </c>
      <c r="B769" s="44" t="s">
        <v>517</v>
      </c>
      <c r="C769" s="45">
        <v>46010</v>
      </c>
      <c r="D769" s="46">
        <v>55078698570</v>
      </c>
      <c r="E769" s="46">
        <v>2152766468755</v>
      </c>
      <c r="F769" s="47" t="s">
        <v>518</v>
      </c>
      <c r="G769" s="47" t="s">
        <v>519</v>
      </c>
      <c r="H769" s="47" t="s">
        <v>4</v>
      </c>
      <c r="I769" s="46" t="s">
        <v>4</v>
      </c>
      <c r="J769" s="48">
        <v>46.56</v>
      </c>
      <c r="K769" s="47" t="s">
        <v>520</v>
      </c>
      <c r="L769" s="47" t="s">
        <v>521</v>
      </c>
      <c r="M769" s="46" t="s">
        <v>807</v>
      </c>
      <c r="N769" s="47" t="s">
        <v>808</v>
      </c>
      <c r="O769" s="44" t="s">
        <v>4</v>
      </c>
      <c r="P769" s="47" t="s">
        <v>866</v>
      </c>
      <c r="Q769" s="48">
        <v>4800</v>
      </c>
      <c r="R769" s="49" t="s">
        <v>4</v>
      </c>
      <c r="S769" s="48" t="s">
        <v>4</v>
      </c>
      <c r="T769" s="47" t="s">
        <v>525</v>
      </c>
    </row>
    <row r="770" spans="1:20">
      <c r="A770" s="46">
        <v>137899983959</v>
      </c>
      <c r="B770" s="44" t="s">
        <v>517</v>
      </c>
      <c r="C770" s="45">
        <v>46010</v>
      </c>
      <c r="D770" s="46">
        <v>55078698951</v>
      </c>
      <c r="E770" s="46">
        <v>2152766577681</v>
      </c>
      <c r="F770" s="47" t="s">
        <v>518</v>
      </c>
      <c r="G770" s="47" t="s">
        <v>519</v>
      </c>
      <c r="H770" s="47" t="s">
        <v>4</v>
      </c>
      <c r="I770" s="46" t="s">
        <v>4</v>
      </c>
      <c r="J770" s="48">
        <v>656.69</v>
      </c>
      <c r="K770" s="47" t="s">
        <v>520</v>
      </c>
      <c r="L770" s="47" t="s">
        <v>521</v>
      </c>
      <c r="M770" s="46" t="s">
        <v>522</v>
      </c>
      <c r="N770" s="47" t="s">
        <v>523</v>
      </c>
      <c r="O770" s="44" t="s">
        <v>4</v>
      </c>
      <c r="P770" s="47" t="s">
        <v>880</v>
      </c>
      <c r="Q770" s="48">
        <v>67700</v>
      </c>
      <c r="R770" s="49" t="s">
        <v>4</v>
      </c>
      <c r="S770" s="48" t="s">
        <v>4</v>
      </c>
      <c r="T770" s="47" t="s">
        <v>525</v>
      </c>
    </row>
    <row r="771" spans="1:20">
      <c r="A771" s="46">
        <v>137900051953</v>
      </c>
      <c r="B771" s="44" t="s">
        <v>517</v>
      </c>
      <c r="C771" s="45">
        <v>46010</v>
      </c>
      <c r="D771" s="46">
        <v>55078721447</v>
      </c>
      <c r="E771" s="46">
        <v>2152767243563</v>
      </c>
      <c r="F771" s="47" t="s">
        <v>518</v>
      </c>
      <c r="G771" s="47" t="s">
        <v>519</v>
      </c>
      <c r="H771" s="47" t="s">
        <v>4</v>
      </c>
      <c r="I771" s="46" t="s">
        <v>4</v>
      </c>
      <c r="J771" s="48">
        <v>48.5</v>
      </c>
      <c r="K771" s="47" t="s">
        <v>520</v>
      </c>
      <c r="L771" s="47" t="s">
        <v>521</v>
      </c>
      <c r="M771" s="46" t="s">
        <v>807</v>
      </c>
      <c r="N771" s="47" t="s">
        <v>808</v>
      </c>
      <c r="O771" s="44" t="s">
        <v>4</v>
      </c>
      <c r="P771" s="47" t="s">
        <v>881</v>
      </c>
      <c r="Q771" s="48">
        <v>5000</v>
      </c>
      <c r="R771" s="49" t="s">
        <v>4</v>
      </c>
      <c r="S771" s="48" t="s">
        <v>4</v>
      </c>
      <c r="T771" s="47" t="s">
        <v>525</v>
      </c>
    </row>
    <row r="772" spans="1:20">
      <c r="A772" s="46">
        <v>138539450730</v>
      </c>
      <c r="B772" s="44" t="s">
        <v>517</v>
      </c>
      <c r="C772" s="45">
        <v>46010</v>
      </c>
      <c r="D772" s="46">
        <v>55078785480</v>
      </c>
      <c r="E772" s="46">
        <v>2152768491587</v>
      </c>
      <c r="F772" s="47" t="s">
        <v>526</v>
      </c>
      <c r="G772" s="47" t="s">
        <v>519</v>
      </c>
      <c r="H772" s="47" t="s">
        <v>4</v>
      </c>
      <c r="I772" s="46" t="s">
        <v>4</v>
      </c>
      <c r="J772" s="48">
        <v>106.7</v>
      </c>
      <c r="K772" s="47" t="s">
        <v>520</v>
      </c>
      <c r="L772" s="47" t="s">
        <v>521</v>
      </c>
      <c r="M772" s="46" t="s">
        <v>522</v>
      </c>
      <c r="N772" s="47" t="s">
        <v>523</v>
      </c>
      <c r="O772" s="44" t="s">
        <v>4</v>
      </c>
      <c r="P772" s="47" t="s">
        <v>527</v>
      </c>
      <c r="Q772" s="48">
        <v>11000</v>
      </c>
      <c r="R772" s="49" t="s">
        <v>4</v>
      </c>
      <c r="S772" s="48" t="s">
        <v>4</v>
      </c>
      <c r="T772" s="47" t="s">
        <v>4</v>
      </c>
    </row>
    <row r="773" spans="1:20">
      <c r="A773" s="46">
        <v>137900357205</v>
      </c>
      <c r="B773" s="44" t="s">
        <v>517</v>
      </c>
      <c r="C773" s="45">
        <v>46010</v>
      </c>
      <c r="D773" s="46">
        <v>55078802375</v>
      </c>
      <c r="E773" s="46">
        <v>2152926662402</v>
      </c>
      <c r="F773" s="47" t="s">
        <v>518</v>
      </c>
      <c r="G773" s="47" t="s">
        <v>519</v>
      </c>
      <c r="H773" s="47" t="s">
        <v>4</v>
      </c>
      <c r="I773" s="46" t="s">
        <v>4</v>
      </c>
      <c r="J773" s="48">
        <v>93.12</v>
      </c>
      <c r="K773" s="47" t="s">
        <v>520</v>
      </c>
      <c r="L773" s="47" t="s">
        <v>521</v>
      </c>
      <c r="M773" s="46" t="s">
        <v>660</v>
      </c>
      <c r="N773" s="47" t="s">
        <v>661</v>
      </c>
      <c r="O773" s="44" t="s">
        <v>4</v>
      </c>
      <c r="P773" s="47" t="s">
        <v>756</v>
      </c>
      <c r="Q773" s="48">
        <v>9600</v>
      </c>
      <c r="R773" s="49" t="s">
        <v>4</v>
      </c>
      <c r="S773" s="48" t="s">
        <v>4</v>
      </c>
      <c r="T773" s="47" t="s">
        <v>525</v>
      </c>
    </row>
    <row r="774" spans="1:20">
      <c r="A774" s="46">
        <v>137900480563</v>
      </c>
      <c r="B774" s="44" t="s">
        <v>517</v>
      </c>
      <c r="C774" s="45">
        <v>46010</v>
      </c>
      <c r="D774" s="46">
        <v>55078840021</v>
      </c>
      <c r="E774" s="46">
        <v>2152769664035</v>
      </c>
      <c r="F774" s="47" t="s">
        <v>518</v>
      </c>
      <c r="G774" s="47" t="s">
        <v>519</v>
      </c>
      <c r="H774" s="47" t="s">
        <v>4</v>
      </c>
      <c r="I774" s="46" t="s">
        <v>4</v>
      </c>
      <c r="J774" s="48">
        <v>23.28</v>
      </c>
      <c r="K774" s="47" t="s">
        <v>520</v>
      </c>
      <c r="L774" s="47" t="s">
        <v>521</v>
      </c>
      <c r="M774" s="46" t="s">
        <v>522</v>
      </c>
      <c r="N774" s="47" t="s">
        <v>523</v>
      </c>
      <c r="O774" s="44" t="s">
        <v>4</v>
      </c>
      <c r="P774" s="47" t="s">
        <v>708</v>
      </c>
      <c r="Q774" s="48">
        <v>2400</v>
      </c>
      <c r="R774" s="49" t="s">
        <v>4</v>
      </c>
      <c r="S774" s="48" t="s">
        <v>4</v>
      </c>
      <c r="T774" s="47" t="s">
        <v>525</v>
      </c>
    </row>
    <row r="775" spans="1:20">
      <c r="A775" s="46">
        <v>138539639336</v>
      </c>
      <c r="B775" s="44" t="s">
        <v>517</v>
      </c>
      <c r="C775" s="45">
        <v>46010</v>
      </c>
      <c r="D775" s="46">
        <v>55078868834</v>
      </c>
      <c r="E775" s="46">
        <v>2152770350705</v>
      </c>
      <c r="F775" s="47" t="s">
        <v>518</v>
      </c>
      <c r="G775" s="47" t="s">
        <v>519</v>
      </c>
      <c r="H775" s="47" t="s">
        <v>4</v>
      </c>
      <c r="I775" s="46" t="s">
        <v>4</v>
      </c>
      <c r="J775" s="48">
        <v>865.24</v>
      </c>
      <c r="K775" s="47" t="s">
        <v>520</v>
      </c>
      <c r="L775" s="47" t="s">
        <v>521</v>
      </c>
      <c r="M775" s="46" t="s">
        <v>522</v>
      </c>
      <c r="N775" s="47" t="s">
        <v>523</v>
      </c>
      <c r="O775" s="44" t="s">
        <v>4</v>
      </c>
      <c r="P775" s="47" t="s">
        <v>882</v>
      </c>
      <c r="Q775" s="48">
        <v>89200</v>
      </c>
      <c r="R775" s="49" t="s">
        <v>4</v>
      </c>
      <c r="S775" s="48" t="s">
        <v>4</v>
      </c>
      <c r="T775" s="47" t="s">
        <v>525</v>
      </c>
    </row>
    <row r="776" spans="1:20">
      <c r="A776" s="46">
        <v>138539540062</v>
      </c>
      <c r="B776" s="44" t="s">
        <v>517</v>
      </c>
      <c r="C776" s="45">
        <v>46010</v>
      </c>
      <c r="D776" s="46">
        <v>55078874702</v>
      </c>
      <c r="E776" s="46">
        <v>2152770069109</v>
      </c>
      <c r="F776" s="47" t="s">
        <v>518</v>
      </c>
      <c r="G776" s="47" t="s">
        <v>519</v>
      </c>
      <c r="H776" s="47" t="s">
        <v>4</v>
      </c>
      <c r="I776" s="46" t="s">
        <v>4</v>
      </c>
      <c r="J776" s="48">
        <v>47.53</v>
      </c>
      <c r="K776" s="47" t="s">
        <v>520</v>
      </c>
      <c r="L776" s="47" t="s">
        <v>521</v>
      </c>
      <c r="M776" s="46" t="s">
        <v>807</v>
      </c>
      <c r="N776" s="47" t="s">
        <v>808</v>
      </c>
      <c r="O776" s="44" t="s">
        <v>4</v>
      </c>
      <c r="P776" s="47" t="s">
        <v>844</v>
      </c>
      <c r="Q776" s="48">
        <v>4900</v>
      </c>
      <c r="R776" s="49" t="s">
        <v>4</v>
      </c>
      <c r="S776" s="48" t="s">
        <v>4</v>
      </c>
      <c r="T776" s="47" t="s">
        <v>525</v>
      </c>
    </row>
    <row r="777" spans="1:20">
      <c r="A777" s="46">
        <v>138539685694</v>
      </c>
      <c r="B777" s="44" t="s">
        <v>517</v>
      </c>
      <c r="C777" s="45">
        <v>46010</v>
      </c>
      <c r="D777" s="46">
        <v>55078899012</v>
      </c>
      <c r="E777" s="46">
        <v>2152770846883</v>
      </c>
      <c r="F777" s="47" t="s">
        <v>518</v>
      </c>
      <c r="G777" s="47" t="s">
        <v>519</v>
      </c>
      <c r="H777" s="47" t="s">
        <v>4</v>
      </c>
      <c r="I777" s="46" t="s">
        <v>4</v>
      </c>
      <c r="J777" s="48">
        <v>47.53</v>
      </c>
      <c r="K777" s="47" t="s">
        <v>520</v>
      </c>
      <c r="L777" s="47" t="s">
        <v>521</v>
      </c>
      <c r="M777" s="46" t="s">
        <v>807</v>
      </c>
      <c r="N777" s="47" t="s">
        <v>808</v>
      </c>
      <c r="O777" s="44" t="s">
        <v>4</v>
      </c>
      <c r="P777" s="47" t="s">
        <v>883</v>
      </c>
      <c r="Q777" s="48">
        <v>4900</v>
      </c>
      <c r="R777" s="49" t="s">
        <v>4</v>
      </c>
      <c r="S777" s="48" t="s">
        <v>4</v>
      </c>
      <c r="T777" s="47" t="s">
        <v>525</v>
      </c>
    </row>
    <row r="778" spans="1:20">
      <c r="A778" s="46">
        <v>137900568985</v>
      </c>
      <c r="B778" s="44" t="s">
        <v>517</v>
      </c>
      <c r="C778" s="45">
        <v>46010</v>
      </c>
      <c r="D778" s="46">
        <v>55078909706</v>
      </c>
      <c r="E778" s="46">
        <v>2152770704783</v>
      </c>
      <c r="F778" s="47" t="s">
        <v>518</v>
      </c>
      <c r="G778" s="47" t="s">
        <v>519</v>
      </c>
      <c r="H778" s="47" t="s">
        <v>4</v>
      </c>
      <c r="I778" s="46" t="s">
        <v>4</v>
      </c>
      <c r="J778" s="48">
        <v>144.53</v>
      </c>
      <c r="K778" s="47" t="s">
        <v>520</v>
      </c>
      <c r="L778" s="47" t="s">
        <v>521</v>
      </c>
      <c r="M778" s="46" t="s">
        <v>522</v>
      </c>
      <c r="N778" s="47" t="s">
        <v>523</v>
      </c>
      <c r="O778" s="44" t="s">
        <v>4</v>
      </c>
      <c r="P778" s="47" t="s">
        <v>884</v>
      </c>
      <c r="Q778" s="48">
        <v>14900</v>
      </c>
      <c r="R778" s="49" t="s">
        <v>4</v>
      </c>
      <c r="S778" s="48" t="s">
        <v>4</v>
      </c>
      <c r="T778" s="47" t="s">
        <v>525</v>
      </c>
    </row>
    <row r="779" spans="1:20">
      <c r="A779" s="46">
        <v>137900724285</v>
      </c>
      <c r="B779" s="44" t="s">
        <v>517</v>
      </c>
      <c r="C779" s="45">
        <v>46010</v>
      </c>
      <c r="D779" s="46">
        <v>55078920241</v>
      </c>
      <c r="E779" s="46">
        <v>2152928842594</v>
      </c>
      <c r="F779" s="47" t="s">
        <v>518</v>
      </c>
      <c r="G779" s="47" t="s">
        <v>519</v>
      </c>
      <c r="H779" s="47" t="s">
        <v>4</v>
      </c>
      <c r="I779" s="46" t="s">
        <v>4</v>
      </c>
      <c r="J779" s="48">
        <v>47.53</v>
      </c>
      <c r="K779" s="47" t="s">
        <v>520</v>
      </c>
      <c r="L779" s="47" t="s">
        <v>521</v>
      </c>
      <c r="M779" s="46" t="s">
        <v>807</v>
      </c>
      <c r="N779" s="47" t="s">
        <v>808</v>
      </c>
      <c r="O779" s="44" t="s">
        <v>4</v>
      </c>
      <c r="P779" s="47" t="s">
        <v>883</v>
      </c>
      <c r="Q779" s="48">
        <v>4900</v>
      </c>
      <c r="R779" s="49" t="s">
        <v>4</v>
      </c>
      <c r="S779" s="48" t="s">
        <v>4</v>
      </c>
      <c r="T779" s="47" t="s">
        <v>525</v>
      </c>
    </row>
    <row r="780" spans="1:20">
      <c r="A780" s="46">
        <v>137900583251</v>
      </c>
      <c r="B780" s="44" t="s">
        <v>517</v>
      </c>
      <c r="C780" s="45">
        <v>46010</v>
      </c>
      <c r="D780" s="46">
        <v>55078927910</v>
      </c>
      <c r="E780" s="46">
        <v>2152928658656</v>
      </c>
      <c r="F780" s="47" t="s">
        <v>526</v>
      </c>
      <c r="G780" s="47" t="s">
        <v>519</v>
      </c>
      <c r="H780" s="47" t="s">
        <v>4</v>
      </c>
      <c r="I780" s="46" t="s">
        <v>4</v>
      </c>
      <c r="J780" s="48">
        <v>48.5</v>
      </c>
      <c r="K780" s="47" t="s">
        <v>520</v>
      </c>
      <c r="L780" s="47" t="s">
        <v>521</v>
      </c>
      <c r="M780" s="46" t="s">
        <v>807</v>
      </c>
      <c r="N780" s="47" t="s">
        <v>808</v>
      </c>
      <c r="O780" s="44" t="s">
        <v>4</v>
      </c>
      <c r="P780" s="47" t="s">
        <v>527</v>
      </c>
      <c r="Q780" s="48">
        <v>5000</v>
      </c>
      <c r="R780" s="49" t="s">
        <v>4</v>
      </c>
      <c r="S780" s="48" t="s">
        <v>4</v>
      </c>
      <c r="T780" s="47" t="s">
        <v>4</v>
      </c>
    </row>
    <row r="781" spans="1:20">
      <c r="A781" s="46">
        <v>137900842553</v>
      </c>
      <c r="B781" s="44" t="s">
        <v>517</v>
      </c>
      <c r="C781" s="45">
        <v>46010</v>
      </c>
      <c r="D781" s="46">
        <v>55078971256</v>
      </c>
      <c r="E781" s="46">
        <v>2152772683489</v>
      </c>
      <c r="F781" s="47" t="s">
        <v>518</v>
      </c>
      <c r="G781" s="47" t="s">
        <v>519</v>
      </c>
      <c r="H781" s="47" t="s">
        <v>4</v>
      </c>
      <c r="I781" s="46" t="s">
        <v>4</v>
      </c>
      <c r="J781" s="48">
        <v>115.43</v>
      </c>
      <c r="K781" s="47" t="s">
        <v>520</v>
      </c>
      <c r="L781" s="47" t="s">
        <v>521</v>
      </c>
      <c r="M781" s="46" t="s">
        <v>522</v>
      </c>
      <c r="N781" s="47" t="s">
        <v>523</v>
      </c>
      <c r="O781" s="44" t="s">
        <v>4</v>
      </c>
      <c r="P781" s="47" t="s">
        <v>654</v>
      </c>
      <c r="Q781" s="48">
        <v>11900</v>
      </c>
      <c r="R781" s="49" t="s">
        <v>4</v>
      </c>
      <c r="S781" s="48" t="s">
        <v>4</v>
      </c>
      <c r="T781" s="47" t="s">
        <v>525</v>
      </c>
    </row>
    <row r="782" spans="1:20">
      <c r="A782" s="46">
        <v>138539991186</v>
      </c>
      <c r="B782" s="44" t="s">
        <v>517</v>
      </c>
      <c r="C782" s="45">
        <v>46010</v>
      </c>
      <c r="D782" s="46">
        <v>55078993034</v>
      </c>
      <c r="E782" s="46">
        <v>2152930761356</v>
      </c>
      <c r="F782" s="47" t="s">
        <v>562</v>
      </c>
      <c r="G782" s="47" t="s">
        <v>519</v>
      </c>
      <c r="H782" s="47" t="s">
        <v>4</v>
      </c>
      <c r="I782" s="46" t="s">
        <v>4</v>
      </c>
      <c r="J782" s="48">
        <v>78.239999999999995</v>
      </c>
      <c r="K782" s="47" t="s">
        <v>520</v>
      </c>
      <c r="L782" s="47" t="s">
        <v>521</v>
      </c>
      <c r="M782" s="46" t="s">
        <v>807</v>
      </c>
      <c r="N782" s="47" t="s">
        <v>808</v>
      </c>
      <c r="O782" s="44" t="s">
        <v>4</v>
      </c>
      <c r="P782" s="47" t="s">
        <v>563</v>
      </c>
      <c r="Q782" s="48">
        <v>4800</v>
      </c>
      <c r="R782" s="49" t="s">
        <v>4</v>
      </c>
      <c r="S782" s="48" t="s">
        <v>4</v>
      </c>
      <c r="T782" s="47" t="s">
        <v>525</v>
      </c>
    </row>
    <row r="783" spans="1:20">
      <c r="A783" s="46">
        <v>138540017574</v>
      </c>
      <c r="B783" s="44" t="s">
        <v>517</v>
      </c>
      <c r="C783" s="45">
        <v>46010</v>
      </c>
      <c r="D783" s="46">
        <v>55079045921</v>
      </c>
      <c r="E783" s="46">
        <v>2152931376726</v>
      </c>
      <c r="F783" s="47" t="s">
        <v>518</v>
      </c>
      <c r="G783" s="47" t="s">
        <v>519</v>
      </c>
      <c r="H783" s="47" t="s">
        <v>4</v>
      </c>
      <c r="I783" s="46" t="s">
        <v>4</v>
      </c>
      <c r="J783" s="48">
        <v>154.22999999999999</v>
      </c>
      <c r="K783" s="47" t="s">
        <v>520</v>
      </c>
      <c r="L783" s="47" t="s">
        <v>521</v>
      </c>
      <c r="M783" s="46" t="s">
        <v>522</v>
      </c>
      <c r="N783" s="47" t="s">
        <v>523</v>
      </c>
      <c r="O783" s="44" t="s">
        <v>4</v>
      </c>
      <c r="P783" s="47" t="s">
        <v>831</v>
      </c>
      <c r="Q783" s="48">
        <v>15900</v>
      </c>
      <c r="R783" s="49" t="s">
        <v>4</v>
      </c>
      <c r="S783" s="48" t="s">
        <v>4</v>
      </c>
      <c r="T783" s="47" t="s">
        <v>525</v>
      </c>
    </row>
    <row r="784" spans="1:20">
      <c r="A784" s="46">
        <v>137901100913</v>
      </c>
      <c r="B784" s="44" t="s">
        <v>517</v>
      </c>
      <c r="C784" s="45">
        <v>46010</v>
      </c>
      <c r="D784" s="46">
        <v>55079093537</v>
      </c>
      <c r="E784" s="46">
        <v>2152775193985</v>
      </c>
      <c r="F784" s="47" t="s">
        <v>518</v>
      </c>
      <c r="G784" s="47" t="s">
        <v>519</v>
      </c>
      <c r="H784" s="47" t="s">
        <v>4</v>
      </c>
      <c r="I784" s="46" t="s">
        <v>4</v>
      </c>
      <c r="J784" s="48">
        <v>46.56</v>
      </c>
      <c r="K784" s="47" t="s">
        <v>520</v>
      </c>
      <c r="L784" s="47" t="s">
        <v>521</v>
      </c>
      <c r="M784" s="46" t="s">
        <v>807</v>
      </c>
      <c r="N784" s="47" t="s">
        <v>808</v>
      </c>
      <c r="O784" s="44" t="s">
        <v>4</v>
      </c>
      <c r="P784" s="47" t="s">
        <v>885</v>
      </c>
      <c r="Q784" s="48">
        <v>4800</v>
      </c>
      <c r="R784" s="49" t="s">
        <v>4</v>
      </c>
      <c r="S784" s="48" t="s">
        <v>4</v>
      </c>
      <c r="T784" s="47" t="s">
        <v>525</v>
      </c>
    </row>
    <row r="785" spans="1:20">
      <c r="A785" s="46">
        <v>138540271020</v>
      </c>
      <c r="B785" s="44" t="s">
        <v>517</v>
      </c>
      <c r="C785" s="45">
        <v>46010</v>
      </c>
      <c r="D785" s="46">
        <v>55079101738</v>
      </c>
      <c r="E785" s="46">
        <v>2152775618085</v>
      </c>
      <c r="F785" s="47" t="s">
        <v>526</v>
      </c>
      <c r="G785" s="47" t="s">
        <v>519</v>
      </c>
      <c r="H785" s="47" t="s">
        <v>4</v>
      </c>
      <c r="I785" s="46" t="s">
        <v>4</v>
      </c>
      <c r="J785" s="48">
        <v>191.09</v>
      </c>
      <c r="K785" s="47" t="s">
        <v>520</v>
      </c>
      <c r="L785" s="47" t="s">
        <v>521</v>
      </c>
      <c r="M785" s="46" t="s">
        <v>522</v>
      </c>
      <c r="N785" s="47" t="s">
        <v>523</v>
      </c>
      <c r="O785" s="44" t="s">
        <v>4</v>
      </c>
      <c r="P785" s="47" t="s">
        <v>527</v>
      </c>
      <c r="Q785" s="48">
        <v>19700</v>
      </c>
      <c r="R785" s="49" t="s">
        <v>4</v>
      </c>
      <c r="S785" s="48" t="s">
        <v>4</v>
      </c>
      <c r="T785" s="47" t="s">
        <v>4</v>
      </c>
    </row>
    <row r="786" spans="1:20">
      <c r="A786" s="46">
        <v>138540272932</v>
      </c>
      <c r="B786" s="44" t="s">
        <v>517</v>
      </c>
      <c r="C786" s="45">
        <v>46010</v>
      </c>
      <c r="D786" s="46">
        <v>55079118244</v>
      </c>
      <c r="E786" s="46">
        <v>2152933052832</v>
      </c>
      <c r="F786" s="47" t="s">
        <v>518</v>
      </c>
      <c r="G786" s="47" t="s">
        <v>519</v>
      </c>
      <c r="H786" s="47" t="s">
        <v>4</v>
      </c>
      <c r="I786" s="46" t="s">
        <v>4</v>
      </c>
      <c r="J786" s="48">
        <v>97</v>
      </c>
      <c r="K786" s="47" t="s">
        <v>520</v>
      </c>
      <c r="L786" s="47" t="s">
        <v>521</v>
      </c>
      <c r="M786" s="46" t="s">
        <v>807</v>
      </c>
      <c r="N786" s="47" t="s">
        <v>808</v>
      </c>
      <c r="O786" s="44" t="s">
        <v>4</v>
      </c>
      <c r="P786" s="47" t="s">
        <v>886</v>
      </c>
      <c r="Q786" s="48">
        <v>10000</v>
      </c>
      <c r="R786" s="49" t="s">
        <v>4</v>
      </c>
      <c r="S786" s="48" t="s">
        <v>4</v>
      </c>
      <c r="T786" s="47" t="s">
        <v>525</v>
      </c>
    </row>
    <row r="787" spans="1:20">
      <c r="A787" s="46">
        <v>138540355548</v>
      </c>
      <c r="B787" s="44" t="s">
        <v>517</v>
      </c>
      <c r="C787" s="45">
        <v>46010</v>
      </c>
      <c r="D787" s="46">
        <v>55079173210</v>
      </c>
      <c r="E787" s="46">
        <v>2152934278542</v>
      </c>
      <c r="F787" s="47" t="s">
        <v>518</v>
      </c>
      <c r="G787" s="47" t="s">
        <v>519</v>
      </c>
      <c r="H787" s="47" t="s">
        <v>4</v>
      </c>
      <c r="I787" s="46" t="s">
        <v>4</v>
      </c>
      <c r="J787" s="48">
        <v>48.5</v>
      </c>
      <c r="K787" s="47" t="s">
        <v>520</v>
      </c>
      <c r="L787" s="47" t="s">
        <v>521</v>
      </c>
      <c r="M787" s="46" t="s">
        <v>807</v>
      </c>
      <c r="N787" s="47" t="s">
        <v>808</v>
      </c>
      <c r="O787" s="44" t="s">
        <v>4</v>
      </c>
      <c r="P787" s="47" t="s">
        <v>887</v>
      </c>
      <c r="Q787" s="48">
        <v>5000</v>
      </c>
      <c r="R787" s="49" t="s">
        <v>4</v>
      </c>
      <c r="S787" s="48" t="s">
        <v>4</v>
      </c>
      <c r="T787" s="47" t="s">
        <v>525</v>
      </c>
    </row>
    <row r="788" spans="1:20">
      <c r="A788" s="46">
        <v>138540490748</v>
      </c>
      <c r="B788" s="44" t="s">
        <v>517</v>
      </c>
      <c r="C788" s="45">
        <v>46010</v>
      </c>
      <c r="D788" s="46">
        <v>55079187964</v>
      </c>
      <c r="E788" s="46">
        <v>2152777320381</v>
      </c>
      <c r="F788" s="47" t="s">
        <v>529</v>
      </c>
      <c r="G788" s="47" t="s">
        <v>519</v>
      </c>
      <c r="H788" s="47" t="s">
        <v>4</v>
      </c>
      <c r="I788" s="46" t="s">
        <v>4</v>
      </c>
      <c r="J788" s="48">
        <v>113.5</v>
      </c>
      <c r="K788" s="47" t="s">
        <v>520</v>
      </c>
      <c r="L788" s="47" t="s">
        <v>530</v>
      </c>
      <c r="M788" s="46" t="s">
        <v>807</v>
      </c>
      <c r="N788" s="47" t="s">
        <v>808</v>
      </c>
      <c r="O788" s="44" t="s">
        <v>263</v>
      </c>
      <c r="P788" s="47" t="s">
        <v>531</v>
      </c>
      <c r="Q788" s="48">
        <v>2500</v>
      </c>
      <c r="R788" s="49" t="s">
        <v>4</v>
      </c>
      <c r="S788" s="48" t="s">
        <v>4</v>
      </c>
      <c r="T788" s="47" t="s">
        <v>525</v>
      </c>
    </row>
    <row r="789" spans="1:20">
      <c r="A789" s="46">
        <v>138540518482</v>
      </c>
      <c r="B789" s="44" t="s">
        <v>517</v>
      </c>
      <c r="C789" s="45">
        <v>46010</v>
      </c>
      <c r="D789" s="46">
        <v>55079206928</v>
      </c>
      <c r="E789" s="46">
        <v>2152934811104</v>
      </c>
      <c r="F789" s="47" t="s">
        <v>526</v>
      </c>
      <c r="G789" s="47" t="s">
        <v>519</v>
      </c>
      <c r="H789" s="47" t="s">
        <v>4</v>
      </c>
      <c r="I789" s="46" t="s">
        <v>4</v>
      </c>
      <c r="J789" s="48">
        <v>95.06</v>
      </c>
      <c r="K789" s="47" t="s">
        <v>520</v>
      </c>
      <c r="L789" s="47" t="s">
        <v>521</v>
      </c>
      <c r="M789" s="46" t="s">
        <v>522</v>
      </c>
      <c r="N789" s="47" t="s">
        <v>523</v>
      </c>
      <c r="O789" s="44" t="s">
        <v>4</v>
      </c>
      <c r="P789" s="47" t="s">
        <v>527</v>
      </c>
      <c r="Q789" s="48">
        <v>9800</v>
      </c>
      <c r="R789" s="49" t="s">
        <v>4</v>
      </c>
      <c r="S789" s="48" t="s">
        <v>4</v>
      </c>
      <c r="T789" s="47" t="s">
        <v>4</v>
      </c>
    </row>
    <row r="790" spans="1:20">
      <c r="A790" s="46">
        <v>138540460020</v>
      </c>
      <c r="B790" s="44" t="s">
        <v>517</v>
      </c>
      <c r="C790" s="45">
        <v>46010</v>
      </c>
      <c r="D790" s="46">
        <v>55079212905</v>
      </c>
      <c r="E790" s="46">
        <v>2152778139593</v>
      </c>
      <c r="F790" s="47" t="s">
        <v>518</v>
      </c>
      <c r="G790" s="47" t="s">
        <v>519</v>
      </c>
      <c r="H790" s="47" t="s">
        <v>4</v>
      </c>
      <c r="I790" s="46" t="s">
        <v>4</v>
      </c>
      <c r="J790" s="48">
        <v>48.5</v>
      </c>
      <c r="K790" s="47" t="s">
        <v>520</v>
      </c>
      <c r="L790" s="47" t="s">
        <v>521</v>
      </c>
      <c r="M790" s="46" t="s">
        <v>807</v>
      </c>
      <c r="N790" s="47" t="s">
        <v>808</v>
      </c>
      <c r="O790" s="44" t="s">
        <v>4</v>
      </c>
      <c r="P790" s="47" t="s">
        <v>888</v>
      </c>
      <c r="Q790" s="48">
        <v>5000</v>
      </c>
      <c r="R790" s="49" t="s">
        <v>4</v>
      </c>
      <c r="S790" s="48" t="s">
        <v>4</v>
      </c>
      <c r="T790" s="47" t="s">
        <v>525</v>
      </c>
    </row>
    <row r="791" spans="1:20">
      <c r="A791" s="46">
        <v>138540544612</v>
      </c>
      <c r="B791" s="44" t="s">
        <v>517</v>
      </c>
      <c r="C791" s="45">
        <v>46010</v>
      </c>
      <c r="D791" s="46">
        <v>55079216377</v>
      </c>
      <c r="E791" s="46">
        <v>2152777522689</v>
      </c>
      <c r="F791" s="47" t="s">
        <v>518</v>
      </c>
      <c r="G791" s="47" t="s">
        <v>519</v>
      </c>
      <c r="H791" s="47" t="s">
        <v>4</v>
      </c>
      <c r="I791" s="46" t="s">
        <v>4</v>
      </c>
      <c r="J791" s="48">
        <v>194</v>
      </c>
      <c r="K791" s="47" t="s">
        <v>520</v>
      </c>
      <c r="L791" s="47" t="s">
        <v>521</v>
      </c>
      <c r="M791" s="46" t="s">
        <v>807</v>
      </c>
      <c r="N791" s="47" t="s">
        <v>808</v>
      </c>
      <c r="O791" s="44" t="s">
        <v>4</v>
      </c>
      <c r="P791" s="47" t="s">
        <v>889</v>
      </c>
      <c r="Q791" s="48">
        <v>20000</v>
      </c>
      <c r="R791" s="49" t="s">
        <v>4</v>
      </c>
      <c r="S791" s="48" t="s">
        <v>4</v>
      </c>
      <c r="T791" s="47" t="s">
        <v>525</v>
      </c>
    </row>
    <row r="792" spans="1:20">
      <c r="A792" s="46">
        <v>137901496673</v>
      </c>
      <c r="B792" s="44" t="s">
        <v>517</v>
      </c>
      <c r="C792" s="45">
        <v>46010</v>
      </c>
      <c r="D792" s="46">
        <v>55079247097</v>
      </c>
      <c r="E792" s="46">
        <v>2152778295251</v>
      </c>
      <c r="F792" s="47" t="s">
        <v>518</v>
      </c>
      <c r="G792" s="47" t="s">
        <v>519</v>
      </c>
      <c r="H792" s="47" t="s">
        <v>4</v>
      </c>
      <c r="I792" s="46" t="s">
        <v>4</v>
      </c>
      <c r="J792" s="48">
        <v>238.62</v>
      </c>
      <c r="K792" s="47" t="s">
        <v>520</v>
      </c>
      <c r="L792" s="47" t="s">
        <v>521</v>
      </c>
      <c r="M792" s="46" t="s">
        <v>522</v>
      </c>
      <c r="N792" s="47" t="s">
        <v>523</v>
      </c>
      <c r="O792" s="44" t="s">
        <v>4</v>
      </c>
      <c r="P792" s="47" t="s">
        <v>890</v>
      </c>
      <c r="Q792" s="48">
        <v>24600</v>
      </c>
      <c r="R792" s="49" t="s">
        <v>4</v>
      </c>
      <c r="S792" s="48" t="s">
        <v>4</v>
      </c>
      <c r="T792" s="47" t="s">
        <v>525</v>
      </c>
    </row>
    <row r="793" spans="1:20">
      <c r="A793" s="46">
        <v>138540533782</v>
      </c>
      <c r="B793" s="44" t="s">
        <v>517</v>
      </c>
      <c r="C793" s="45">
        <v>46010</v>
      </c>
      <c r="D793" s="46">
        <v>55079247707</v>
      </c>
      <c r="E793" s="46">
        <v>2152936109480</v>
      </c>
      <c r="F793" s="47" t="s">
        <v>518</v>
      </c>
      <c r="G793" s="47" t="s">
        <v>519</v>
      </c>
      <c r="H793" s="47" t="s">
        <v>4</v>
      </c>
      <c r="I793" s="46" t="s">
        <v>4</v>
      </c>
      <c r="J793" s="48">
        <v>46.56</v>
      </c>
      <c r="K793" s="47" t="s">
        <v>520</v>
      </c>
      <c r="L793" s="47" t="s">
        <v>521</v>
      </c>
      <c r="M793" s="46" t="s">
        <v>807</v>
      </c>
      <c r="N793" s="47" t="s">
        <v>808</v>
      </c>
      <c r="O793" s="44" t="s">
        <v>4</v>
      </c>
      <c r="P793" s="47" t="s">
        <v>891</v>
      </c>
      <c r="Q793" s="48">
        <v>4800</v>
      </c>
      <c r="R793" s="49" t="s">
        <v>4</v>
      </c>
      <c r="S793" s="48" t="s">
        <v>4</v>
      </c>
      <c r="T793" s="47" t="s">
        <v>525</v>
      </c>
    </row>
    <row r="794" spans="1:20">
      <c r="A794" s="46">
        <v>138540748380</v>
      </c>
      <c r="B794" s="44" t="s">
        <v>517</v>
      </c>
      <c r="C794" s="45">
        <v>46010</v>
      </c>
      <c r="D794" s="46">
        <v>55079263270</v>
      </c>
      <c r="E794" s="46">
        <v>2152779422149</v>
      </c>
      <c r="F794" s="47" t="s">
        <v>526</v>
      </c>
      <c r="G794" s="47" t="s">
        <v>519</v>
      </c>
      <c r="H794" s="47" t="s">
        <v>4</v>
      </c>
      <c r="I794" s="46" t="s">
        <v>4</v>
      </c>
      <c r="J794" s="48">
        <v>47.53</v>
      </c>
      <c r="K794" s="47" t="s">
        <v>520</v>
      </c>
      <c r="L794" s="47" t="s">
        <v>521</v>
      </c>
      <c r="M794" s="46" t="s">
        <v>807</v>
      </c>
      <c r="N794" s="47" t="s">
        <v>808</v>
      </c>
      <c r="O794" s="44" t="s">
        <v>4</v>
      </c>
      <c r="P794" s="47" t="s">
        <v>527</v>
      </c>
      <c r="Q794" s="48">
        <v>4900</v>
      </c>
      <c r="R794" s="49" t="s">
        <v>4</v>
      </c>
      <c r="S794" s="48" t="s">
        <v>4</v>
      </c>
      <c r="T794" s="47" t="s">
        <v>4</v>
      </c>
    </row>
    <row r="795" spans="1:20">
      <c r="A795" s="46">
        <v>137901634467</v>
      </c>
      <c r="B795" s="44" t="s">
        <v>517</v>
      </c>
      <c r="C795" s="45">
        <v>46010</v>
      </c>
      <c r="D795" s="46">
        <v>55079301281</v>
      </c>
      <c r="E795" s="46">
        <v>2152937083006</v>
      </c>
      <c r="F795" s="47" t="s">
        <v>518</v>
      </c>
      <c r="G795" s="47" t="s">
        <v>519</v>
      </c>
      <c r="H795" s="47" t="s">
        <v>4</v>
      </c>
      <c r="I795" s="46" t="s">
        <v>4</v>
      </c>
      <c r="J795" s="48">
        <v>125.13</v>
      </c>
      <c r="K795" s="47" t="s">
        <v>520</v>
      </c>
      <c r="L795" s="47" t="s">
        <v>521</v>
      </c>
      <c r="M795" s="46" t="s">
        <v>522</v>
      </c>
      <c r="N795" s="47" t="s">
        <v>523</v>
      </c>
      <c r="O795" s="44" t="s">
        <v>4</v>
      </c>
      <c r="P795" s="47" t="s">
        <v>892</v>
      </c>
      <c r="Q795" s="48">
        <v>12900</v>
      </c>
      <c r="R795" s="49" t="s">
        <v>4</v>
      </c>
      <c r="S795" s="48" t="s">
        <v>4</v>
      </c>
      <c r="T795" s="47" t="s">
        <v>525</v>
      </c>
    </row>
    <row r="796" spans="1:20">
      <c r="A796" s="46">
        <v>137901732771</v>
      </c>
      <c r="B796" s="44" t="s">
        <v>517</v>
      </c>
      <c r="C796" s="45">
        <v>46010</v>
      </c>
      <c r="D796" s="46">
        <v>55079347599</v>
      </c>
      <c r="E796" s="46">
        <v>2152781169595</v>
      </c>
      <c r="F796" s="47" t="s">
        <v>518</v>
      </c>
      <c r="G796" s="47" t="s">
        <v>519</v>
      </c>
      <c r="H796" s="47" t="s">
        <v>4</v>
      </c>
      <c r="I796" s="46" t="s">
        <v>4</v>
      </c>
      <c r="J796" s="48">
        <v>48.5</v>
      </c>
      <c r="K796" s="47" t="s">
        <v>520</v>
      </c>
      <c r="L796" s="47" t="s">
        <v>521</v>
      </c>
      <c r="M796" s="46" t="s">
        <v>807</v>
      </c>
      <c r="N796" s="47" t="s">
        <v>808</v>
      </c>
      <c r="O796" s="44" t="s">
        <v>4</v>
      </c>
      <c r="P796" s="47" t="s">
        <v>876</v>
      </c>
      <c r="Q796" s="48">
        <v>5000</v>
      </c>
      <c r="R796" s="49" t="s">
        <v>4</v>
      </c>
      <c r="S796" s="48" t="s">
        <v>4</v>
      </c>
      <c r="T796" s="47" t="s">
        <v>525</v>
      </c>
    </row>
    <row r="797" spans="1:20">
      <c r="A797" s="46">
        <v>137901777597</v>
      </c>
      <c r="B797" s="44" t="s">
        <v>517</v>
      </c>
      <c r="C797" s="45">
        <v>46010</v>
      </c>
      <c r="D797" s="46">
        <v>55079396854</v>
      </c>
      <c r="E797" s="46">
        <v>2152782224719</v>
      </c>
      <c r="F797" s="47" t="s">
        <v>526</v>
      </c>
      <c r="G797" s="47" t="s">
        <v>519</v>
      </c>
      <c r="H797" s="47" t="s">
        <v>4</v>
      </c>
      <c r="I797" s="46" t="s">
        <v>4</v>
      </c>
      <c r="J797" s="48">
        <v>153.26</v>
      </c>
      <c r="K797" s="47" t="s">
        <v>520</v>
      </c>
      <c r="L797" s="47" t="s">
        <v>521</v>
      </c>
      <c r="M797" s="46" t="s">
        <v>522</v>
      </c>
      <c r="N797" s="47" t="s">
        <v>523</v>
      </c>
      <c r="O797" s="44" t="s">
        <v>4</v>
      </c>
      <c r="P797" s="47" t="s">
        <v>527</v>
      </c>
      <c r="Q797" s="48">
        <v>15800</v>
      </c>
      <c r="R797" s="49" t="s">
        <v>4</v>
      </c>
      <c r="S797" s="48" t="s">
        <v>4</v>
      </c>
      <c r="T797" s="47" t="s">
        <v>4</v>
      </c>
    </row>
    <row r="798" spans="1:20">
      <c r="A798" s="46">
        <v>138541087572</v>
      </c>
      <c r="B798" s="44" t="s">
        <v>517</v>
      </c>
      <c r="C798" s="45">
        <v>46010</v>
      </c>
      <c r="D798" s="46">
        <v>55079433290</v>
      </c>
      <c r="E798" s="46">
        <v>2152783621033</v>
      </c>
      <c r="F798" s="47" t="s">
        <v>518</v>
      </c>
      <c r="G798" s="47" t="s">
        <v>519</v>
      </c>
      <c r="H798" s="47" t="s">
        <v>4</v>
      </c>
      <c r="I798" s="46" t="s">
        <v>4</v>
      </c>
      <c r="J798" s="48">
        <v>126.1</v>
      </c>
      <c r="K798" s="47" t="s">
        <v>520</v>
      </c>
      <c r="L798" s="47" t="s">
        <v>521</v>
      </c>
      <c r="M798" s="46" t="s">
        <v>522</v>
      </c>
      <c r="N798" s="47" t="s">
        <v>523</v>
      </c>
      <c r="O798" s="44" t="s">
        <v>4</v>
      </c>
      <c r="P798" s="47" t="s">
        <v>893</v>
      </c>
      <c r="Q798" s="48">
        <v>13000</v>
      </c>
      <c r="R798" s="49" t="s">
        <v>4</v>
      </c>
      <c r="S798" s="48" t="s">
        <v>4</v>
      </c>
      <c r="T798" s="47" t="s">
        <v>525</v>
      </c>
    </row>
    <row r="799" spans="1:20">
      <c r="A799" s="46">
        <v>138541267178</v>
      </c>
      <c r="B799" s="44" t="s">
        <v>517</v>
      </c>
      <c r="C799" s="45">
        <v>46010</v>
      </c>
      <c r="D799" s="46">
        <v>55079506499</v>
      </c>
      <c r="E799" s="46">
        <v>2152785051287</v>
      </c>
      <c r="F799" s="47" t="s">
        <v>518</v>
      </c>
      <c r="G799" s="47" t="s">
        <v>519</v>
      </c>
      <c r="H799" s="47" t="s">
        <v>4</v>
      </c>
      <c r="I799" s="46" t="s">
        <v>4</v>
      </c>
      <c r="J799" s="48">
        <v>46.56</v>
      </c>
      <c r="K799" s="47" t="s">
        <v>520</v>
      </c>
      <c r="L799" s="47" t="s">
        <v>521</v>
      </c>
      <c r="M799" s="46" t="s">
        <v>807</v>
      </c>
      <c r="N799" s="47" t="s">
        <v>808</v>
      </c>
      <c r="O799" s="44" t="s">
        <v>4</v>
      </c>
      <c r="P799" s="47" t="s">
        <v>857</v>
      </c>
      <c r="Q799" s="48">
        <v>4800</v>
      </c>
      <c r="R799" s="49" t="s">
        <v>4</v>
      </c>
      <c r="S799" s="48" t="s">
        <v>4</v>
      </c>
      <c r="T799" s="47" t="s">
        <v>525</v>
      </c>
    </row>
    <row r="800" spans="1:20">
      <c r="A800" s="46">
        <v>138541611002</v>
      </c>
      <c r="B800" s="44" t="s">
        <v>517</v>
      </c>
      <c r="C800" s="45">
        <v>46010</v>
      </c>
      <c r="D800" s="46">
        <v>55079620547</v>
      </c>
      <c r="E800" s="46">
        <v>2152945761440</v>
      </c>
      <c r="F800" s="47" t="s">
        <v>529</v>
      </c>
      <c r="G800" s="47" t="s">
        <v>519</v>
      </c>
      <c r="H800" s="47" t="s">
        <v>4</v>
      </c>
      <c r="I800" s="46" t="s">
        <v>4</v>
      </c>
      <c r="J800" s="48">
        <v>444.92</v>
      </c>
      <c r="K800" s="47" t="s">
        <v>520</v>
      </c>
      <c r="L800" s="47" t="s">
        <v>530</v>
      </c>
      <c r="M800" s="46" t="s">
        <v>522</v>
      </c>
      <c r="N800" s="47" t="s">
        <v>523</v>
      </c>
      <c r="O800" s="44" t="s">
        <v>263</v>
      </c>
      <c r="P800" s="47" t="s">
        <v>531</v>
      </c>
      <c r="Q800" s="48">
        <v>9800</v>
      </c>
      <c r="R800" s="49" t="s">
        <v>4</v>
      </c>
      <c r="S800" s="48" t="s">
        <v>4</v>
      </c>
      <c r="T800" s="47" t="s">
        <v>525</v>
      </c>
    </row>
    <row r="801" spans="1:20">
      <c r="A801" s="46">
        <v>137902485901</v>
      </c>
      <c r="B801" s="44" t="s">
        <v>517</v>
      </c>
      <c r="C801" s="45">
        <v>46010</v>
      </c>
      <c r="D801" s="46">
        <v>55079648268</v>
      </c>
      <c r="E801" s="46">
        <v>2152789018509</v>
      </c>
      <c r="F801" s="47" t="s">
        <v>518</v>
      </c>
      <c r="G801" s="47" t="s">
        <v>519</v>
      </c>
      <c r="H801" s="47" t="s">
        <v>4</v>
      </c>
      <c r="I801" s="46" t="s">
        <v>4</v>
      </c>
      <c r="J801" s="48">
        <v>97</v>
      </c>
      <c r="K801" s="47" t="s">
        <v>520</v>
      </c>
      <c r="L801" s="47" t="s">
        <v>521</v>
      </c>
      <c r="M801" s="46" t="s">
        <v>807</v>
      </c>
      <c r="N801" s="47" t="s">
        <v>808</v>
      </c>
      <c r="O801" s="44" t="s">
        <v>4</v>
      </c>
      <c r="P801" s="47" t="s">
        <v>875</v>
      </c>
      <c r="Q801" s="48">
        <v>10000</v>
      </c>
      <c r="R801" s="49" t="s">
        <v>4</v>
      </c>
      <c r="S801" s="48" t="s">
        <v>4</v>
      </c>
      <c r="T801" s="47" t="s">
        <v>525</v>
      </c>
    </row>
    <row r="802" spans="1:20">
      <c r="A802" s="46">
        <v>137902691017</v>
      </c>
      <c r="B802" s="44" t="s">
        <v>517</v>
      </c>
      <c r="C802" s="45">
        <v>46010</v>
      </c>
      <c r="D802" s="46">
        <v>55079696178</v>
      </c>
      <c r="E802" s="46">
        <v>2152947681856</v>
      </c>
      <c r="F802" s="47" t="s">
        <v>518</v>
      </c>
      <c r="G802" s="47" t="s">
        <v>519</v>
      </c>
      <c r="H802" s="47" t="s">
        <v>4</v>
      </c>
      <c r="I802" s="46" t="s">
        <v>4</v>
      </c>
      <c r="J802" s="48">
        <v>99.91</v>
      </c>
      <c r="K802" s="47" t="s">
        <v>520</v>
      </c>
      <c r="L802" s="47" t="s">
        <v>521</v>
      </c>
      <c r="M802" s="46" t="s">
        <v>522</v>
      </c>
      <c r="N802" s="47" t="s">
        <v>523</v>
      </c>
      <c r="O802" s="44" t="s">
        <v>4</v>
      </c>
      <c r="P802" s="47" t="s">
        <v>894</v>
      </c>
      <c r="Q802" s="48">
        <v>10300</v>
      </c>
      <c r="R802" s="49" t="s">
        <v>4</v>
      </c>
      <c r="S802" s="48" t="s">
        <v>4</v>
      </c>
      <c r="T802" s="47" t="s">
        <v>525</v>
      </c>
    </row>
    <row r="803" spans="1:20">
      <c r="A803" s="46">
        <v>137902854741</v>
      </c>
      <c r="B803" s="44" t="s">
        <v>517</v>
      </c>
      <c r="C803" s="45">
        <v>46010</v>
      </c>
      <c r="D803" s="46">
        <v>55079713769</v>
      </c>
      <c r="E803" s="46">
        <v>2152948729486</v>
      </c>
      <c r="F803" s="47" t="s">
        <v>518</v>
      </c>
      <c r="G803" s="47" t="s">
        <v>519</v>
      </c>
      <c r="H803" s="47" t="s">
        <v>4</v>
      </c>
      <c r="I803" s="46" t="s">
        <v>4</v>
      </c>
      <c r="J803" s="48">
        <v>121.25</v>
      </c>
      <c r="K803" s="47" t="s">
        <v>520</v>
      </c>
      <c r="L803" s="47" t="s">
        <v>521</v>
      </c>
      <c r="M803" s="46" t="s">
        <v>807</v>
      </c>
      <c r="N803" s="47" t="s">
        <v>808</v>
      </c>
      <c r="O803" s="44" t="s">
        <v>4</v>
      </c>
      <c r="P803" s="47" t="s">
        <v>567</v>
      </c>
      <c r="Q803" s="48">
        <v>12500</v>
      </c>
      <c r="R803" s="49" t="s">
        <v>4</v>
      </c>
      <c r="S803" s="48" t="s">
        <v>4</v>
      </c>
      <c r="T803" s="47" t="s">
        <v>525</v>
      </c>
    </row>
    <row r="804" spans="1:20">
      <c r="A804" s="46">
        <v>137903168103</v>
      </c>
      <c r="B804" s="44" t="s">
        <v>517</v>
      </c>
      <c r="C804" s="45">
        <v>46010</v>
      </c>
      <c r="D804" s="46">
        <v>55079799493</v>
      </c>
      <c r="E804" s="46">
        <v>2152793527861</v>
      </c>
      <c r="F804" s="47" t="s">
        <v>529</v>
      </c>
      <c r="G804" s="47" t="s">
        <v>519</v>
      </c>
      <c r="H804" s="47" t="s">
        <v>4</v>
      </c>
      <c r="I804" s="46" t="s">
        <v>4</v>
      </c>
      <c r="J804" s="48">
        <v>217.92</v>
      </c>
      <c r="K804" s="47" t="s">
        <v>520</v>
      </c>
      <c r="L804" s="47" t="s">
        <v>530</v>
      </c>
      <c r="M804" s="46" t="s">
        <v>807</v>
      </c>
      <c r="N804" s="47" t="s">
        <v>808</v>
      </c>
      <c r="O804" s="44" t="s">
        <v>263</v>
      </c>
      <c r="P804" s="47" t="s">
        <v>531</v>
      </c>
      <c r="Q804" s="48">
        <v>4800</v>
      </c>
      <c r="R804" s="49" t="s">
        <v>4</v>
      </c>
      <c r="S804" s="48" t="s">
        <v>4</v>
      </c>
      <c r="T804" s="47" t="s">
        <v>525</v>
      </c>
    </row>
    <row r="805" spans="1:20">
      <c r="A805" s="46">
        <v>138542085322</v>
      </c>
      <c r="B805" s="44" t="s">
        <v>517</v>
      </c>
      <c r="C805" s="45">
        <v>46010</v>
      </c>
      <c r="D805" s="46">
        <v>55079814971</v>
      </c>
      <c r="E805" s="46">
        <v>2152793328059</v>
      </c>
      <c r="F805" s="47" t="s">
        <v>518</v>
      </c>
      <c r="G805" s="47" t="s">
        <v>519</v>
      </c>
      <c r="H805" s="47" t="s">
        <v>4</v>
      </c>
      <c r="I805" s="46" t="s">
        <v>4</v>
      </c>
      <c r="J805" s="48">
        <v>145.5</v>
      </c>
      <c r="K805" s="47" t="s">
        <v>520</v>
      </c>
      <c r="L805" s="47" t="s">
        <v>521</v>
      </c>
      <c r="M805" s="46" t="s">
        <v>522</v>
      </c>
      <c r="N805" s="47" t="s">
        <v>523</v>
      </c>
      <c r="O805" s="44" t="s">
        <v>4</v>
      </c>
      <c r="P805" s="47" t="s">
        <v>895</v>
      </c>
      <c r="Q805" s="48">
        <v>15000</v>
      </c>
      <c r="R805" s="49" t="s">
        <v>4</v>
      </c>
      <c r="S805" s="48" t="s">
        <v>4</v>
      </c>
      <c r="T805" s="47" t="s">
        <v>525</v>
      </c>
    </row>
    <row r="806" spans="1:20">
      <c r="A806" s="46">
        <v>138542183900</v>
      </c>
      <c r="B806" s="44" t="s">
        <v>517</v>
      </c>
      <c r="C806" s="45">
        <v>46010</v>
      </c>
      <c r="D806" s="46">
        <v>55079864867</v>
      </c>
      <c r="E806" s="46">
        <v>2152952510784</v>
      </c>
      <c r="F806" s="47" t="s">
        <v>518</v>
      </c>
      <c r="G806" s="47" t="s">
        <v>519</v>
      </c>
      <c r="H806" s="47" t="s">
        <v>4</v>
      </c>
      <c r="I806" s="46" t="s">
        <v>4</v>
      </c>
      <c r="J806" s="48">
        <v>93.12</v>
      </c>
      <c r="K806" s="47" t="s">
        <v>520</v>
      </c>
      <c r="L806" s="47" t="s">
        <v>521</v>
      </c>
      <c r="M806" s="46" t="s">
        <v>522</v>
      </c>
      <c r="N806" s="47" t="s">
        <v>523</v>
      </c>
      <c r="O806" s="44" t="s">
        <v>4</v>
      </c>
      <c r="P806" s="47" t="s">
        <v>896</v>
      </c>
      <c r="Q806" s="48">
        <v>9600</v>
      </c>
      <c r="R806" s="49" t="s">
        <v>4</v>
      </c>
      <c r="S806" s="48" t="s">
        <v>4</v>
      </c>
      <c r="T806" s="47" t="s">
        <v>525</v>
      </c>
    </row>
    <row r="807" spans="1:20">
      <c r="A807" s="46">
        <v>137903253005</v>
      </c>
      <c r="B807" s="44" t="s">
        <v>517</v>
      </c>
      <c r="C807" s="45">
        <v>46010</v>
      </c>
      <c r="D807" s="46">
        <v>55079874606</v>
      </c>
      <c r="E807" s="46">
        <v>2152795483725</v>
      </c>
      <c r="F807" s="47" t="s">
        <v>518</v>
      </c>
      <c r="G807" s="47" t="s">
        <v>519</v>
      </c>
      <c r="H807" s="47" t="s">
        <v>4</v>
      </c>
      <c r="I807" s="46" t="s">
        <v>4</v>
      </c>
      <c r="J807" s="48">
        <v>97</v>
      </c>
      <c r="K807" s="47" t="s">
        <v>520</v>
      </c>
      <c r="L807" s="47" t="s">
        <v>521</v>
      </c>
      <c r="M807" s="46" t="s">
        <v>807</v>
      </c>
      <c r="N807" s="47" t="s">
        <v>808</v>
      </c>
      <c r="O807" s="44" t="s">
        <v>4</v>
      </c>
      <c r="P807" s="47" t="s">
        <v>897</v>
      </c>
      <c r="Q807" s="48">
        <v>10000</v>
      </c>
      <c r="R807" s="49" t="s">
        <v>4</v>
      </c>
      <c r="S807" s="48" t="s">
        <v>4</v>
      </c>
      <c r="T807" s="47" t="s">
        <v>525</v>
      </c>
    </row>
    <row r="808" spans="1:20">
      <c r="A808" s="46">
        <v>138542590960</v>
      </c>
      <c r="B808" s="44" t="s">
        <v>517</v>
      </c>
      <c r="C808" s="45">
        <v>46010</v>
      </c>
      <c r="D808" s="46">
        <v>55079933643</v>
      </c>
      <c r="E808" s="46">
        <v>2152955111042</v>
      </c>
      <c r="F808" s="47" t="s">
        <v>529</v>
      </c>
      <c r="G808" s="47" t="s">
        <v>519</v>
      </c>
      <c r="H808" s="47" t="s">
        <v>4</v>
      </c>
      <c r="I808" s="46" t="s">
        <v>4</v>
      </c>
      <c r="J808" s="48">
        <v>2120.1799999999998</v>
      </c>
      <c r="K808" s="47" t="s">
        <v>520</v>
      </c>
      <c r="L808" s="47" t="s">
        <v>530</v>
      </c>
      <c r="M808" s="46" t="s">
        <v>522</v>
      </c>
      <c r="N808" s="47" t="s">
        <v>523</v>
      </c>
      <c r="O808" s="44" t="s">
        <v>263</v>
      </c>
      <c r="P808" s="47" t="s">
        <v>531</v>
      </c>
      <c r="Q808" s="48">
        <v>46700</v>
      </c>
      <c r="R808" s="49" t="s">
        <v>4</v>
      </c>
      <c r="S808" s="48" t="s">
        <v>4</v>
      </c>
      <c r="T808" s="47" t="s">
        <v>525</v>
      </c>
    </row>
    <row r="809" spans="1:20">
      <c r="A809" s="46">
        <v>137903325729</v>
      </c>
      <c r="B809" s="44" t="s">
        <v>517</v>
      </c>
      <c r="C809" s="45">
        <v>46010</v>
      </c>
      <c r="D809" s="46">
        <v>55079939150</v>
      </c>
      <c r="E809" s="46">
        <v>2152797058487</v>
      </c>
      <c r="F809" s="47" t="s">
        <v>518</v>
      </c>
      <c r="G809" s="47" t="s">
        <v>519</v>
      </c>
      <c r="H809" s="47" t="s">
        <v>4</v>
      </c>
      <c r="I809" s="46" t="s">
        <v>4</v>
      </c>
      <c r="J809" s="48">
        <v>502.46</v>
      </c>
      <c r="K809" s="47" t="s">
        <v>520</v>
      </c>
      <c r="L809" s="47" t="s">
        <v>521</v>
      </c>
      <c r="M809" s="46" t="s">
        <v>522</v>
      </c>
      <c r="N809" s="47" t="s">
        <v>523</v>
      </c>
      <c r="O809" s="44" t="s">
        <v>4</v>
      </c>
      <c r="P809" s="47" t="s">
        <v>898</v>
      </c>
      <c r="Q809" s="48">
        <v>51800</v>
      </c>
      <c r="R809" s="49" t="s">
        <v>4</v>
      </c>
      <c r="S809" s="48" t="s">
        <v>4</v>
      </c>
      <c r="T809" s="47" t="s">
        <v>525</v>
      </c>
    </row>
    <row r="810" spans="1:20">
      <c r="A810" s="46">
        <v>138542676996</v>
      </c>
      <c r="B810" s="44" t="s">
        <v>517</v>
      </c>
      <c r="C810" s="45">
        <v>46010</v>
      </c>
      <c r="D810" s="46">
        <v>55079952586</v>
      </c>
      <c r="E810" s="46">
        <v>2152798113307</v>
      </c>
      <c r="F810" s="47" t="s">
        <v>518</v>
      </c>
      <c r="G810" s="47" t="s">
        <v>519</v>
      </c>
      <c r="H810" s="47" t="s">
        <v>4</v>
      </c>
      <c r="I810" s="46" t="s">
        <v>4</v>
      </c>
      <c r="J810" s="48">
        <v>106.7</v>
      </c>
      <c r="K810" s="47" t="s">
        <v>520</v>
      </c>
      <c r="L810" s="47" t="s">
        <v>521</v>
      </c>
      <c r="M810" s="46" t="s">
        <v>522</v>
      </c>
      <c r="N810" s="47" t="s">
        <v>523</v>
      </c>
      <c r="O810" s="44" t="s">
        <v>4</v>
      </c>
      <c r="P810" s="47" t="s">
        <v>891</v>
      </c>
      <c r="Q810" s="48">
        <v>11000</v>
      </c>
      <c r="R810" s="49" t="s">
        <v>4</v>
      </c>
      <c r="S810" s="48" t="s">
        <v>4</v>
      </c>
      <c r="T810" s="47" t="s">
        <v>525</v>
      </c>
    </row>
    <row r="811" spans="1:20">
      <c r="A811" s="46">
        <v>137903782181</v>
      </c>
      <c r="B811" s="44" t="s">
        <v>517</v>
      </c>
      <c r="C811" s="45">
        <v>46010</v>
      </c>
      <c r="D811" s="46">
        <v>55079993693</v>
      </c>
      <c r="E811" s="46">
        <v>2152799661683</v>
      </c>
      <c r="F811" s="47" t="s">
        <v>526</v>
      </c>
      <c r="G811" s="47" t="s">
        <v>519</v>
      </c>
      <c r="H811" s="47" t="s">
        <v>4</v>
      </c>
      <c r="I811" s="46" t="s">
        <v>4</v>
      </c>
      <c r="J811" s="48">
        <v>95.06</v>
      </c>
      <c r="K811" s="47" t="s">
        <v>520</v>
      </c>
      <c r="L811" s="47" t="s">
        <v>521</v>
      </c>
      <c r="M811" s="46" t="s">
        <v>522</v>
      </c>
      <c r="N811" s="47" t="s">
        <v>523</v>
      </c>
      <c r="O811" s="44" t="s">
        <v>4</v>
      </c>
      <c r="P811" s="47" t="s">
        <v>527</v>
      </c>
      <c r="Q811" s="48">
        <v>9800</v>
      </c>
      <c r="R811" s="49" t="s">
        <v>4</v>
      </c>
      <c r="S811" s="48" t="s">
        <v>4</v>
      </c>
      <c r="T811" s="47" t="s">
        <v>4</v>
      </c>
    </row>
    <row r="812" spans="1:20">
      <c r="A812" s="46">
        <v>137903699165</v>
      </c>
      <c r="B812" s="44" t="s">
        <v>517</v>
      </c>
      <c r="C812" s="45">
        <v>46010</v>
      </c>
      <c r="D812" s="46">
        <v>55080019603</v>
      </c>
      <c r="E812" s="46">
        <v>2152800053645</v>
      </c>
      <c r="F812" s="47" t="s">
        <v>518</v>
      </c>
      <c r="G812" s="47" t="s">
        <v>519</v>
      </c>
      <c r="H812" s="47" t="s">
        <v>4</v>
      </c>
      <c r="I812" s="46" t="s">
        <v>4</v>
      </c>
      <c r="J812" s="48">
        <v>48.5</v>
      </c>
      <c r="K812" s="47" t="s">
        <v>520</v>
      </c>
      <c r="L812" s="47" t="s">
        <v>521</v>
      </c>
      <c r="M812" s="46" t="s">
        <v>807</v>
      </c>
      <c r="N812" s="47" t="s">
        <v>808</v>
      </c>
      <c r="O812" s="44" t="s">
        <v>4</v>
      </c>
      <c r="P812" s="47" t="s">
        <v>899</v>
      </c>
      <c r="Q812" s="48">
        <v>5000</v>
      </c>
      <c r="R812" s="49" t="s">
        <v>4</v>
      </c>
      <c r="S812" s="48" t="s">
        <v>4</v>
      </c>
      <c r="T812" s="47" t="s">
        <v>525</v>
      </c>
    </row>
    <row r="813" spans="1:20">
      <c r="A813" s="46">
        <v>137903674013</v>
      </c>
      <c r="B813" s="44" t="s">
        <v>517</v>
      </c>
      <c r="C813" s="45">
        <v>46010</v>
      </c>
      <c r="D813" s="46">
        <v>55080043288</v>
      </c>
      <c r="E813" s="46">
        <v>2152958478284</v>
      </c>
      <c r="F813" s="47" t="s">
        <v>518</v>
      </c>
      <c r="G813" s="47" t="s">
        <v>519</v>
      </c>
      <c r="H813" s="47" t="s">
        <v>4</v>
      </c>
      <c r="I813" s="46" t="s">
        <v>4</v>
      </c>
      <c r="J813" s="48">
        <v>48.5</v>
      </c>
      <c r="K813" s="47" t="s">
        <v>520</v>
      </c>
      <c r="L813" s="47" t="s">
        <v>521</v>
      </c>
      <c r="M813" s="46" t="s">
        <v>807</v>
      </c>
      <c r="N813" s="47" t="s">
        <v>808</v>
      </c>
      <c r="O813" s="44" t="s">
        <v>4</v>
      </c>
      <c r="P813" s="47" t="s">
        <v>827</v>
      </c>
      <c r="Q813" s="48">
        <v>5000</v>
      </c>
      <c r="R813" s="49" t="s">
        <v>4</v>
      </c>
      <c r="S813" s="48" t="s">
        <v>4</v>
      </c>
      <c r="T813" s="47" t="s">
        <v>525</v>
      </c>
    </row>
    <row r="814" spans="1:20">
      <c r="A814" s="46">
        <v>137903890489</v>
      </c>
      <c r="B814" s="44" t="s">
        <v>517</v>
      </c>
      <c r="C814" s="45">
        <v>46010</v>
      </c>
      <c r="D814" s="46">
        <v>55080068075</v>
      </c>
      <c r="E814" s="46">
        <v>2152958657586</v>
      </c>
      <c r="F814" s="47" t="s">
        <v>518</v>
      </c>
      <c r="G814" s="47" t="s">
        <v>519</v>
      </c>
      <c r="H814" s="47" t="s">
        <v>4</v>
      </c>
      <c r="I814" s="46" t="s">
        <v>4</v>
      </c>
      <c r="J814" s="48">
        <v>106.7</v>
      </c>
      <c r="K814" s="47" t="s">
        <v>520</v>
      </c>
      <c r="L814" s="47" t="s">
        <v>521</v>
      </c>
      <c r="M814" s="46" t="s">
        <v>522</v>
      </c>
      <c r="N814" s="47" t="s">
        <v>523</v>
      </c>
      <c r="O814" s="44" t="s">
        <v>4</v>
      </c>
      <c r="P814" s="47" t="s">
        <v>900</v>
      </c>
      <c r="Q814" s="48">
        <v>11000</v>
      </c>
      <c r="R814" s="49" t="s">
        <v>4</v>
      </c>
      <c r="S814" s="48" t="s">
        <v>4</v>
      </c>
      <c r="T814" s="47" t="s">
        <v>525</v>
      </c>
    </row>
    <row r="815" spans="1:20">
      <c r="A815" s="46">
        <v>138543115054</v>
      </c>
      <c r="B815" s="44" t="s">
        <v>517</v>
      </c>
      <c r="C815" s="45">
        <v>46010</v>
      </c>
      <c r="D815" s="46">
        <v>55080157389</v>
      </c>
      <c r="E815" s="46">
        <v>2152803150429</v>
      </c>
      <c r="F815" s="47" t="s">
        <v>526</v>
      </c>
      <c r="G815" s="47" t="s">
        <v>519</v>
      </c>
      <c r="H815" s="47" t="s">
        <v>4</v>
      </c>
      <c r="I815" s="46" t="s">
        <v>4</v>
      </c>
      <c r="J815" s="48">
        <v>46.56</v>
      </c>
      <c r="K815" s="47" t="s">
        <v>520</v>
      </c>
      <c r="L815" s="47" t="s">
        <v>521</v>
      </c>
      <c r="M815" s="46" t="s">
        <v>807</v>
      </c>
      <c r="N815" s="47" t="s">
        <v>808</v>
      </c>
      <c r="O815" s="44" t="s">
        <v>4</v>
      </c>
      <c r="P815" s="47" t="s">
        <v>527</v>
      </c>
      <c r="Q815" s="48">
        <v>4800</v>
      </c>
      <c r="R815" s="49" t="s">
        <v>4</v>
      </c>
      <c r="S815" s="48" t="s">
        <v>4</v>
      </c>
      <c r="T815" s="47" t="s">
        <v>4</v>
      </c>
    </row>
    <row r="816" spans="1:20">
      <c r="A816" s="46">
        <v>138543218206</v>
      </c>
      <c r="B816" s="44" t="s">
        <v>517</v>
      </c>
      <c r="C816" s="45">
        <v>46010</v>
      </c>
      <c r="D816" s="46">
        <v>55080157725</v>
      </c>
      <c r="E816" s="46">
        <v>2152803445899</v>
      </c>
      <c r="F816" s="47" t="s">
        <v>518</v>
      </c>
      <c r="G816" s="47" t="s">
        <v>519</v>
      </c>
      <c r="H816" s="47" t="s">
        <v>4</v>
      </c>
      <c r="I816" s="46" t="s">
        <v>4</v>
      </c>
      <c r="J816" s="48">
        <v>145.5</v>
      </c>
      <c r="K816" s="47" t="s">
        <v>520</v>
      </c>
      <c r="L816" s="47" t="s">
        <v>521</v>
      </c>
      <c r="M816" s="46" t="s">
        <v>522</v>
      </c>
      <c r="N816" s="47" t="s">
        <v>523</v>
      </c>
      <c r="O816" s="44" t="s">
        <v>4</v>
      </c>
      <c r="P816" s="47" t="s">
        <v>901</v>
      </c>
      <c r="Q816" s="48">
        <v>15000</v>
      </c>
      <c r="R816" s="49" t="s">
        <v>4</v>
      </c>
      <c r="S816" s="48" t="s">
        <v>4</v>
      </c>
      <c r="T816" s="47" t="s">
        <v>525</v>
      </c>
    </row>
    <row r="817" spans="1:20">
      <c r="A817" s="46">
        <v>138543129840</v>
      </c>
      <c r="B817" s="44" t="s">
        <v>517</v>
      </c>
      <c r="C817" s="45">
        <v>46010</v>
      </c>
      <c r="D817" s="46">
        <v>55080199686</v>
      </c>
      <c r="E817" s="46">
        <v>2152804452817</v>
      </c>
      <c r="F817" s="47" t="s">
        <v>518</v>
      </c>
      <c r="G817" s="47" t="s">
        <v>519</v>
      </c>
      <c r="H817" s="47" t="s">
        <v>4</v>
      </c>
      <c r="I817" s="46" t="s">
        <v>4</v>
      </c>
      <c r="J817" s="48">
        <v>106.7</v>
      </c>
      <c r="K817" s="47" t="s">
        <v>520</v>
      </c>
      <c r="L817" s="47" t="s">
        <v>521</v>
      </c>
      <c r="M817" s="46" t="s">
        <v>522</v>
      </c>
      <c r="N817" s="47" t="s">
        <v>523</v>
      </c>
      <c r="O817" s="44" t="s">
        <v>4</v>
      </c>
      <c r="P817" s="47" t="s">
        <v>902</v>
      </c>
      <c r="Q817" s="48">
        <v>11000</v>
      </c>
      <c r="R817" s="49" t="s">
        <v>4</v>
      </c>
      <c r="S817" s="48" t="s">
        <v>4</v>
      </c>
      <c r="T817" s="47" t="s">
        <v>525</v>
      </c>
    </row>
    <row r="818" spans="1:20">
      <c r="A818" s="46">
        <v>137904241645</v>
      </c>
      <c r="B818" s="44" t="s">
        <v>517</v>
      </c>
      <c r="C818" s="45">
        <v>46010</v>
      </c>
      <c r="D818" s="46">
        <v>55080277979</v>
      </c>
      <c r="E818" s="46">
        <v>2152964087912</v>
      </c>
      <c r="F818" s="47" t="s">
        <v>518</v>
      </c>
      <c r="G818" s="47" t="s">
        <v>519</v>
      </c>
      <c r="H818" s="47" t="s">
        <v>4</v>
      </c>
      <c r="I818" s="46" t="s">
        <v>4</v>
      </c>
      <c r="J818" s="48">
        <v>48.5</v>
      </c>
      <c r="K818" s="47" t="s">
        <v>520</v>
      </c>
      <c r="L818" s="47" t="s">
        <v>521</v>
      </c>
      <c r="M818" s="46" t="s">
        <v>807</v>
      </c>
      <c r="N818" s="47" t="s">
        <v>808</v>
      </c>
      <c r="O818" s="44" t="s">
        <v>4</v>
      </c>
      <c r="P818" s="47" t="s">
        <v>837</v>
      </c>
      <c r="Q818" s="48">
        <v>5000</v>
      </c>
      <c r="R818" s="49" t="s">
        <v>4</v>
      </c>
      <c r="S818" s="48" t="s">
        <v>4</v>
      </c>
      <c r="T818" s="47" t="s">
        <v>525</v>
      </c>
    </row>
    <row r="819" spans="1:20">
      <c r="A819" s="46">
        <v>138543548466</v>
      </c>
      <c r="B819" s="44" t="s">
        <v>517</v>
      </c>
      <c r="C819" s="45">
        <v>46010</v>
      </c>
      <c r="D819" s="46">
        <v>55080291837</v>
      </c>
      <c r="E819" s="46">
        <v>2152807212405</v>
      </c>
      <c r="F819" s="47" t="s">
        <v>518</v>
      </c>
      <c r="G819" s="47" t="s">
        <v>519</v>
      </c>
      <c r="H819" s="47" t="s">
        <v>4</v>
      </c>
      <c r="I819" s="46" t="s">
        <v>4</v>
      </c>
      <c r="J819" s="48">
        <v>23.28</v>
      </c>
      <c r="K819" s="47" t="s">
        <v>520</v>
      </c>
      <c r="L819" s="47" t="s">
        <v>521</v>
      </c>
      <c r="M819" s="46" t="s">
        <v>522</v>
      </c>
      <c r="N819" s="47" t="s">
        <v>523</v>
      </c>
      <c r="O819" s="44" t="s">
        <v>4</v>
      </c>
      <c r="P819" s="47" t="s">
        <v>903</v>
      </c>
      <c r="Q819" s="48">
        <v>2400</v>
      </c>
      <c r="R819" s="49" t="s">
        <v>4</v>
      </c>
      <c r="S819" s="48" t="s">
        <v>4</v>
      </c>
      <c r="T819" s="47" t="s">
        <v>525</v>
      </c>
    </row>
    <row r="820" spans="1:20">
      <c r="A820" s="46">
        <v>138543772980</v>
      </c>
      <c r="B820" s="44" t="s">
        <v>517</v>
      </c>
      <c r="C820" s="45">
        <v>46010</v>
      </c>
      <c r="D820" s="46">
        <v>55080373486</v>
      </c>
      <c r="E820" s="46">
        <v>2152968277564</v>
      </c>
      <c r="F820" s="47" t="s">
        <v>518</v>
      </c>
      <c r="G820" s="47" t="s">
        <v>519</v>
      </c>
      <c r="H820" s="47" t="s">
        <v>4</v>
      </c>
      <c r="I820" s="46" t="s">
        <v>4</v>
      </c>
      <c r="J820" s="48">
        <v>48.5</v>
      </c>
      <c r="K820" s="47" t="s">
        <v>520</v>
      </c>
      <c r="L820" s="47" t="s">
        <v>521</v>
      </c>
      <c r="M820" s="46" t="s">
        <v>522</v>
      </c>
      <c r="N820" s="47" t="s">
        <v>523</v>
      </c>
      <c r="O820" s="44" t="s">
        <v>4</v>
      </c>
      <c r="P820" s="47" t="s">
        <v>847</v>
      </c>
      <c r="Q820" s="48">
        <v>5000</v>
      </c>
      <c r="R820" s="49" t="s">
        <v>4</v>
      </c>
      <c r="S820" s="48" t="s">
        <v>4</v>
      </c>
      <c r="T820" s="47" t="s">
        <v>525</v>
      </c>
    </row>
    <row r="821" spans="1:20">
      <c r="A821" s="46">
        <v>137904711931</v>
      </c>
      <c r="B821" s="44" t="s">
        <v>517</v>
      </c>
      <c r="C821" s="45">
        <v>46010</v>
      </c>
      <c r="D821" s="46">
        <v>55080420110</v>
      </c>
      <c r="E821" s="46">
        <v>2152969131690</v>
      </c>
      <c r="F821" s="47" t="s">
        <v>518</v>
      </c>
      <c r="G821" s="47" t="s">
        <v>519</v>
      </c>
      <c r="H821" s="47" t="s">
        <v>4</v>
      </c>
      <c r="I821" s="46" t="s">
        <v>4</v>
      </c>
      <c r="J821" s="48">
        <v>48.5</v>
      </c>
      <c r="K821" s="47" t="s">
        <v>520</v>
      </c>
      <c r="L821" s="47" t="s">
        <v>521</v>
      </c>
      <c r="M821" s="46" t="s">
        <v>807</v>
      </c>
      <c r="N821" s="47" t="s">
        <v>808</v>
      </c>
      <c r="O821" s="44" t="s">
        <v>4</v>
      </c>
      <c r="P821" s="47" t="s">
        <v>881</v>
      </c>
      <c r="Q821" s="48">
        <v>5000</v>
      </c>
      <c r="R821" s="49" t="s">
        <v>4</v>
      </c>
      <c r="S821" s="48" t="s">
        <v>4</v>
      </c>
      <c r="T821" s="47" t="s">
        <v>525</v>
      </c>
    </row>
    <row r="822" spans="1:20">
      <c r="A822" s="46">
        <v>137904878419</v>
      </c>
      <c r="B822" s="44" t="s">
        <v>517</v>
      </c>
      <c r="C822" s="45">
        <v>46010</v>
      </c>
      <c r="D822" s="46">
        <v>55080431932</v>
      </c>
      <c r="E822" s="46">
        <v>2152969197046</v>
      </c>
      <c r="F822" s="47" t="s">
        <v>518</v>
      </c>
      <c r="G822" s="47" t="s">
        <v>519</v>
      </c>
      <c r="H822" s="47" t="s">
        <v>4</v>
      </c>
      <c r="I822" s="46" t="s">
        <v>4</v>
      </c>
      <c r="J822" s="48">
        <v>48.5</v>
      </c>
      <c r="K822" s="47" t="s">
        <v>520</v>
      </c>
      <c r="L822" s="47" t="s">
        <v>521</v>
      </c>
      <c r="M822" s="46" t="s">
        <v>522</v>
      </c>
      <c r="N822" s="47" t="s">
        <v>523</v>
      </c>
      <c r="O822" s="44" t="s">
        <v>4</v>
      </c>
      <c r="P822" s="47" t="s">
        <v>904</v>
      </c>
      <c r="Q822" s="48">
        <v>5000</v>
      </c>
      <c r="R822" s="49" t="s">
        <v>4</v>
      </c>
      <c r="S822" s="48" t="s">
        <v>4</v>
      </c>
      <c r="T822" s="47" t="s">
        <v>525</v>
      </c>
    </row>
    <row r="823" spans="1:20">
      <c r="A823" s="46">
        <v>137904833777</v>
      </c>
      <c r="B823" s="44" t="s">
        <v>517</v>
      </c>
      <c r="C823" s="45">
        <v>46010</v>
      </c>
      <c r="D823" s="46">
        <v>55080450709</v>
      </c>
      <c r="E823" s="46">
        <v>2152812581061</v>
      </c>
      <c r="F823" s="47" t="s">
        <v>518</v>
      </c>
      <c r="G823" s="47" t="s">
        <v>519</v>
      </c>
      <c r="H823" s="47" t="s">
        <v>4</v>
      </c>
      <c r="I823" s="46" t="s">
        <v>4</v>
      </c>
      <c r="J823" s="48">
        <v>97</v>
      </c>
      <c r="K823" s="47" t="s">
        <v>520</v>
      </c>
      <c r="L823" s="47" t="s">
        <v>521</v>
      </c>
      <c r="M823" s="46" t="s">
        <v>807</v>
      </c>
      <c r="N823" s="47" t="s">
        <v>808</v>
      </c>
      <c r="O823" s="44" t="s">
        <v>4</v>
      </c>
      <c r="P823" s="47" t="s">
        <v>905</v>
      </c>
      <c r="Q823" s="48">
        <v>10000</v>
      </c>
      <c r="R823" s="49" t="s">
        <v>4</v>
      </c>
      <c r="S823" s="48" t="s">
        <v>4</v>
      </c>
      <c r="T823" s="47" t="s">
        <v>525</v>
      </c>
    </row>
    <row r="824" spans="1:20">
      <c r="A824" s="46">
        <v>138544060956</v>
      </c>
      <c r="B824" s="44" t="s">
        <v>517</v>
      </c>
      <c r="C824" s="45">
        <v>46010</v>
      </c>
      <c r="D824" s="46">
        <v>55080462186</v>
      </c>
      <c r="E824" s="46">
        <v>2152970493568</v>
      </c>
      <c r="F824" s="47" t="s">
        <v>518</v>
      </c>
      <c r="G824" s="47" t="s">
        <v>519</v>
      </c>
      <c r="H824" s="47" t="s">
        <v>4</v>
      </c>
      <c r="I824" s="46" t="s">
        <v>4</v>
      </c>
      <c r="J824" s="48">
        <v>48.5</v>
      </c>
      <c r="K824" s="47" t="s">
        <v>520</v>
      </c>
      <c r="L824" s="47" t="s">
        <v>521</v>
      </c>
      <c r="M824" s="46" t="s">
        <v>807</v>
      </c>
      <c r="N824" s="47" t="s">
        <v>808</v>
      </c>
      <c r="O824" s="44" t="s">
        <v>4</v>
      </c>
      <c r="P824" s="47" t="s">
        <v>876</v>
      </c>
      <c r="Q824" s="48">
        <v>5000</v>
      </c>
      <c r="R824" s="49" t="s">
        <v>4</v>
      </c>
      <c r="S824" s="48" t="s">
        <v>4</v>
      </c>
      <c r="T824" s="47" t="s">
        <v>525</v>
      </c>
    </row>
    <row r="825" spans="1:20">
      <c r="A825" s="46">
        <v>138544134616</v>
      </c>
      <c r="B825" s="44" t="s">
        <v>517</v>
      </c>
      <c r="C825" s="45">
        <v>46010</v>
      </c>
      <c r="D825" s="46">
        <v>55080486609</v>
      </c>
      <c r="E825" s="46">
        <v>2152971106606</v>
      </c>
      <c r="F825" s="47" t="s">
        <v>529</v>
      </c>
      <c r="G825" s="47" t="s">
        <v>519</v>
      </c>
      <c r="H825" s="47" t="s">
        <v>4</v>
      </c>
      <c r="I825" s="46" t="s">
        <v>4</v>
      </c>
      <c r="J825" s="48">
        <v>3151.86</v>
      </c>
      <c r="K825" s="47" t="s">
        <v>520</v>
      </c>
      <c r="L825" s="47" t="s">
        <v>530</v>
      </c>
      <c r="M825" s="46" t="s">
        <v>522</v>
      </c>
      <c r="N825" s="47" t="s">
        <v>523</v>
      </c>
      <c r="O825" s="44" t="s">
        <v>263</v>
      </c>
      <c r="P825" s="47" t="s">
        <v>531</v>
      </c>
      <c r="Q825" s="48">
        <v>80200</v>
      </c>
      <c r="R825" s="49" t="s">
        <v>4</v>
      </c>
      <c r="S825" s="48" t="s">
        <v>4</v>
      </c>
      <c r="T825" s="47" t="s">
        <v>525</v>
      </c>
    </row>
    <row r="826" spans="1:20">
      <c r="A826" s="46">
        <v>138544075084</v>
      </c>
      <c r="B826" s="44" t="s">
        <v>517</v>
      </c>
      <c r="C826" s="45">
        <v>46010</v>
      </c>
      <c r="D826" s="46">
        <v>55080506161</v>
      </c>
      <c r="E826" s="46">
        <v>2152813545507</v>
      </c>
      <c r="F826" s="47" t="s">
        <v>518</v>
      </c>
      <c r="G826" s="47" t="s">
        <v>519</v>
      </c>
      <c r="H826" s="47" t="s">
        <v>4</v>
      </c>
      <c r="I826" s="46" t="s">
        <v>4</v>
      </c>
      <c r="J826" s="48">
        <v>48.5</v>
      </c>
      <c r="K826" s="47" t="s">
        <v>520</v>
      </c>
      <c r="L826" s="47" t="s">
        <v>521</v>
      </c>
      <c r="M826" s="46" t="s">
        <v>807</v>
      </c>
      <c r="N826" s="47" t="s">
        <v>808</v>
      </c>
      <c r="O826" s="44" t="s">
        <v>4</v>
      </c>
      <c r="P826" s="47" t="s">
        <v>888</v>
      </c>
      <c r="Q826" s="48">
        <v>5000</v>
      </c>
      <c r="R826" s="49" t="s">
        <v>4</v>
      </c>
      <c r="S826" s="48" t="s">
        <v>4</v>
      </c>
      <c r="T826" s="47" t="s">
        <v>525</v>
      </c>
    </row>
    <row r="827" spans="1:20">
      <c r="A827" s="46">
        <v>137905264613</v>
      </c>
      <c r="B827" s="44" t="s">
        <v>517</v>
      </c>
      <c r="C827" s="45">
        <v>46010</v>
      </c>
      <c r="D827" s="46">
        <v>55080553801</v>
      </c>
      <c r="E827" s="46">
        <v>2152973542172</v>
      </c>
      <c r="F827" s="47" t="s">
        <v>529</v>
      </c>
      <c r="G827" s="47" t="s">
        <v>519</v>
      </c>
      <c r="H827" s="47" t="s">
        <v>4</v>
      </c>
      <c r="I827" s="46" t="s">
        <v>4</v>
      </c>
      <c r="J827" s="48">
        <v>1709.55</v>
      </c>
      <c r="K827" s="47" t="s">
        <v>520</v>
      </c>
      <c r="L827" s="47" t="s">
        <v>530</v>
      </c>
      <c r="M827" s="46" t="s">
        <v>522</v>
      </c>
      <c r="N827" s="47" t="s">
        <v>523</v>
      </c>
      <c r="O827" s="44" t="s">
        <v>263</v>
      </c>
      <c r="P827" s="47" t="s">
        <v>531</v>
      </c>
      <c r="Q827" s="48">
        <v>43500</v>
      </c>
      <c r="R827" s="49" t="s">
        <v>4</v>
      </c>
      <c r="S827" s="48" t="s">
        <v>4</v>
      </c>
      <c r="T827" s="47" t="s">
        <v>525</v>
      </c>
    </row>
    <row r="828" spans="1:20">
      <c r="A828" s="46">
        <v>138544276084</v>
      </c>
      <c r="B828" s="44" t="s">
        <v>517</v>
      </c>
      <c r="C828" s="45">
        <v>46010</v>
      </c>
      <c r="D828" s="46">
        <v>55080602497</v>
      </c>
      <c r="E828" s="46">
        <v>2152974610052</v>
      </c>
      <c r="F828" s="47" t="s">
        <v>518</v>
      </c>
      <c r="G828" s="47" t="s">
        <v>519</v>
      </c>
      <c r="H828" s="47" t="s">
        <v>4</v>
      </c>
      <c r="I828" s="46" t="s">
        <v>4</v>
      </c>
      <c r="J828" s="48">
        <v>48.5</v>
      </c>
      <c r="K828" s="47" t="s">
        <v>520</v>
      </c>
      <c r="L828" s="47" t="s">
        <v>521</v>
      </c>
      <c r="M828" s="46" t="s">
        <v>807</v>
      </c>
      <c r="N828" s="47" t="s">
        <v>808</v>
      </c>
      <c r="O828" s="44" t="s">
        <v>4</v>
      </c>
      <c r="P828" s="47" t="s">
        <v>889</v>
      </c>
      <c r="Q828" s="48">
        <v>5000</v>
      </c>
      <c r="R828" s="49" t="s">
        <v>4</v>
      </c>
      <c r="S828" s="48" t="s">
        <v>4</v>
      </c>
      <c r="T828" s="47" t="s">
        <v>525</v>
      </c>
    </row>
    <row r="829" spans="1:20">
      <c r="A829" s="46">
        <v>138544457004</v>
      </c>
      <c r="B829" s="44" t="s">
        <v>517</v>
      </c>
      <c r="C829" s="45">
        <v>46010</v>
      </c>
      <c r="D829" s="46">
        <v>55080619622</v>
      </c>
      <c r="E829" s="46">
        <v>2152817941813</v>
      </c>
      <c r="F829" s="47" t="s">
        <v>526</v>
      </c>
      <c r="G829" s="47" t="s">
        <v>519</v>
      </c>
      <c r="H829" s="47" t="s">
        <v>4</v>
      </c>
      <c r="I829" s="46" t="s">
        <v>4</v>
      </c>
      <c r="J829" s="48">
        <v>53.35</v>
      </c>
      <c r="K829" s="47" t="s">
        <v>520</v>
      </c>
      <c r="L829" s="47" t="s">
        <v>521</v>
      </c>
      <c r="M829" s="46" t="s">
        <v>522</v>
      </c>
      <c r="N829" s="47" t="s">
        <v>523</v>
      </c>
      <c r="O829" s="44" t="s">
        <v>4</v>
      </c>
      <c r="P829" s="47" t="s">
        <v>527</v>
      </c>
      <c r="Q829" s="48">
        <v>5500</v>
      </c>
      <c r="R829" s="49" t="s">
        <v>4</v>
      </c>
      <c r="S829" s="48" t="s">
        <v>4</v>
      </c>
      <c r="T829" s="47" t="s">
        <v>4</v>
      </c>
    </row>
    <row r="830" spans="1:20">
      <c r="A830" s="46">
        <v>137905494935</v>
      </c>
      <c r="B830" s="44" t="s">
        <v>517</v>
      </c>
      <c r="C830" s="45">
        <v>46010</v>
      </c>
      <c r="D830" s="46">
        <v>55080660279</v>
      </c>
      <c r="E830" s="46">
        <v>2152976717902</v>
      </c>
      <c r="F830" s="47" t="s">
        <v>518</v>
      </c>
      <c r="G830" s="47" t="s">
        <v>519</v>
      </c>
      <c r="H830" s="47" t="s">
        <v>4</v>
      </c>
      <c r="I830" s="46" t="s">
        <v>4</v>
      </c>
      <c r="J830" s="48">
        <v>106.7</v>
      </c>
      <c r="K830" s="47" t="s">
        <v>520</v>
      </c>
      <c r="L830" s="47" t="s">
        <v>521</v>
      </c>
      <c r="M830" s="46" t="s">
        <v>522</v>
      </c>
      <c r="N830" s="47" t="s">
        <v>523</v>
      </c>
      <c r="O830" s="44" t="s">
        <v>4</v>
      </c>
      <c r="P830" s="47" t="s">
        <v>906</v>
      </c>
      <c r="Q830" s="48">
        <v>11000</v>
      </c>
      <c r="R830" s="49" t="s">
        <v>4</v>
      </c>
      <c r="S830" s="48" t="s">
        <v>4</v>
      </c>
      <c r="T830" s="47" t="s">
        <v>525</v>
      </c>
    </row>
    <row r="831" spans="1:20">
      <c r="A831" s="46">
        <v>138544549666</v>
      </c>
      <c r="B831" s="44" t="s">
        <v>517</v>
      </c>
      <c r="C831" s="45">
        <v>46010</v>
      </c>
      <c r="D831" s="46">
        <v>55080670309</v>
      </c>
      <c r="E831" s="46">
        <v>2152819408123</v>
      </c>
      <c r="F831" s="47" t="s">
        <v>518</v>
      </c>
      <c r="G831" s="47" t="s">
        <v>519</v>
      </c>
      <c r="H831" s="47" t="s">
        <v>4</v>
      </c>
      <c r="I831" s="46" t="s">
        <v>4</v>
      </c>
      <c r="J831" s="48">
        <v>48.5</v>
      </c>
      <c r="K831" s="47" t="s">
        <v>520</v>
      </c>
      <c r="L831" s="47" t="s">
        <v>521</v>
      </c>
      <c r="M831" s="46" t="s">
        <v>807</v>
      </c>
      <c r="N831" s="47" t="s">
        <v>808</v>
      </c>
      <c r="O831" s="44" t="s">
        <v>4</v>
      </c>
      <c r="P831" s="47" t="s">
        <v>881</v>
      </c>
      <c r="Q831" s="48">
        <v>5000</v>
      </c>
      <c r="R831" s="49" t="s">
        <v>4</v>
      </c>
      <c r="S831" s="48" t="s">
        <v>4</v>
      </c>
      <c r="T831" s="47" t="s">
        <v>525</v>
      </c>
    </row>
    <row r="832" spans="1:20">
      <c r="A832" s="46">
        <v>138544583838</v>
      </c>
      <c r="B832" s="44" t="s">
        <v>517</v>
      </c>
      <c r="C832" s="45">
        <v>46010</v>
      </c>
      <c r="D832" s="46">
        <v>55080708651</v>
      </c>
      <c r="E832" s="46">
        <v>2152977843350</v>
      </c>
      <c r="F832" s="47" t="s">
        <v>518</v>
      </c>
      <c r="G832" s="47" t="s">
        <v>519</v>
      </c>
      <c r="H832" s="47" t="s">
        <v>4</v>
      </c>
      <c r="I832" s="46" t="s">
        <v>4</v>
      </c>
      <c r="J832" s="48">
        <v>42.68</v>
      </c>
      <c r="K832" s="47" t="s">
        <v>520</v>
      </c>
      <c r="L832" s="47" t="s">
        <v>521</v>
      </c>
      <c r="M832" s="46" t="s">
        <v>522</v>
      </c>
      <c r="N832" s="47" t="s">
        <v>523</v>
      </c>
      <c r="O832" s="44" t="s">
        <v>4</v>
      </c>
      <c r="P832" s="47" t="s">
        <v>907</v>
      </c>
      <c r="Q832" s="48">
        <v>4400</v>
      </c>
      <c r="R832" s="49" t="s">
        <v>4</v>
      </c>
      <c r="S832" s="48" t="s">
        <v>4</v>
      </c>
      <c r="T832" s="47" t="s">
        <v>525</v>
      </c>
    </row>
    <row r="833" spans="1:20">
      <c r="A833" s="46">
        <v>138544846336</v>
      </c>
      <c r="B833" s="44" t="s">
        <v>517</v>
      </c>
      <c r="C833" s="45">
        <v>46010</v>
      </c>
      <c r="D833" s="46">
        <v>55080735872</v>
      </c>
      <c r="E833" s="46">
        <v>2152978540474</v>
      </c>
      <c r="F833" s="47" t="s">
        <v>518</v>
      </c>
      <c r="G833" s="47" t="s">
        <v>519</v>
      </c>
      <c r="H833" s="47" t="s">
        <v>4</v>
      </c>
      <c r="I833" s="46" t="s">
        <v>4</v>
      </c>
      <c r="J833" s="48">
        <v>47.53</v>
      </c>
      <c r="K833" s="47" t="s">
        <v>520</v>
      </c>
      <c r="L833" s="47" t="s">
        <v>521</v>
      </c>
      <c r="M833" s="46" t="s">
        <v>807</v>
      </c>
      <c r="N833" s="47" t="s">
        <v>808</v>
      </c>
      <c r="O833" s="44" t="s">
        <v>4</v>
      </c>
      <c r="P833" s="47" t="s">
        <v>908</v>
      </c>
      <c r="Q833" s="48">
        <v>4900</v>
      </c>
      <c r="R833" s="49" t="s">
        <v>4</v>
      </c>
      <c r="S833" s="48" t="s">
        <v>4</v>
      </c>
      <c r="T833" s="47" t="s">
        <v>525</v>
      </c>
    </row>
    <row r="834" spans="1:20">
      <c r="A834" s="46">
        <v>137905815953</v>
      </c>
      <c r="B834" s="44" t="s">
        <v>517</v>
      </c>
      <c r="C834" s="45">
        <v>46010</v>
      </c>
      <c r="D834" s="46">
        <v>55080817260</v>
      </c>
      <c r="E834" s="46">
        <v>2152824420017</v>
      </c>
      <c r="F834" s="47" t="s">
        <v>518</v>
      </c>
      <c r="G834" s="47" t="s">
        <v>519</v>
      </c>
      <c r="H834" s="47" t="s">
        <v>4</v>
      </c>
      <c r="I834" s="46" t="s">
        <v>4</v>
      </c>
      <c r="J834" s="48">
        <v>77.599999999999994</v>
      </c>
      <c r="K834" s="47" t="s">
        <v>520</v>
      </c>
      <c r="L834" s="47" t="s">
        <v>521</v>
      </c>
      <c r="M834" s="46" t="s">
        <v>522</v>
      </c>
      <c r="N834" s="47" t="s">
        <v>523</v>
      </c>
      <c r="O834" s="44" t="s">
        <v>4</v>
      </c>
      <c r="P834" s="47" t="s">
        <v>893</v>
      </c>
      <c r="Q834" s="48">
        <v>8000</v>
      </c>
      <c r="R834" s="49" t="s">
        <v>4</v>
      </c>
      <c r="S834" s="48" t="s">
        <v>4</v>
      </c>
      <c r="T834" s="47" t="s">
        <v>525</v>
      </c>
    </row>
    <row r="835" spans="1:20">
      <c r="A835" s="46">
        <v>138545094492</v>
      </c>
      <c r="B835" s="44" t="s">
        <v>517</v>
      </c>
      <c r="C835" s="45">
        <v>46010</v>
      </c>
      <c r="D835" s="46">
        <v>55080828345</v>
      </c>
      <c r="E835" s="46">
        <v>2152824137807</v>
      </c>
      <c r="F835" s="47" t="s">
        <v>518</v>
      </c>
      <c r="G835" s="47" t="s">
        <v>519</v>
      </c>
      <c r="H835" s="47" t="s">
        <v>4</v>
      </c>
      <c r="I835" s="46" t="s">
        <v>4</v>
      </c>
      <c r="J835" s="48">
        <v>48.5</v>
      </c>
      <c r="K835" s="47" t="s">
        <v>520</v>
      </c>
      <c r="L835" s="47" t="s">
        <v>521</v>
      </c>
      <c r="M835" s="46" t="s">
        <v>807</v>
      </c>
      <c r="N835" s="47" t="s">
        <v>808</v>
      </c>
      <c r="O835" s="44" t="s">
        <v>4</v>
      </c>
      <c r="P835" s="47" t="s">
        <v>909</v>
      </c>
      <c r="Q835" s="48">
        <v>5000</v>
      </c>
      <c r="R835" s="49" t="s">
        <v>4</v>
      </c>
      <c r="S835" s="48" t="s">
        <v>4</v>
      </c>
      <c r="T835" s="47" t="s">
        <v>525</v>
      </c>
    </row>
    <row r="836" spans="1:20">
      <c r="A836" s="46">
        <v>137906026971</v>
      </c>
      <c r="B836" s="44" t="s">
        <v>517</v>
      </c>
      <c r="C836" s="45">
        <v>46010</v>
      </c>
      <c r="D836" s="46">
        <v>55080855228</v>
      </c>
      <c r="E836" s="46">
        <v>2152982379956</v>
      </c>
      <c r="F836" s="47" t="s">
        <v>518</v>
      </c>
      <c r="G836" s="47" t="s">
        <v>519</v>
      </c>
      <c r="H836" s="47" t="s">
        <v>4</v>
      </c>
      <c r="I836" s="46" t="s">
        <v>4</v>
      </c>
      <c r="J836" s="48">
        <v>124.16</v>
      </c>
      <c r="K836" s="47" t="s">
        <v>520</v>
      </c>
      <c r="L836" s="47" t="s">
        <v>521</v>
      </c>
      <c r="M836" s="46" t="s">
        <v>522</v>
      </c>
      <c r="N836" s="47" t="s">
        <v>523</v>
      </c>
      <c r="O836" s="44" t="s">
        <v>4</v>
      </c>
      <c r="P836" s="47" t="s">
        <v>910</v>
      </c>
      <c r="Q836" s="48">
        <v>12800</v>
      </c>
      <c r="R836" s="49" t="s">
        <v>4</v>
      </c>
      <c r="S836" s="48" t="s">
        <v>4</v>
      </c>
      <c r="T836" s="47" t="s">
        <v>525</v>
      </c>
    </row>
    <row r="837" spans="1:20">
      <c r="A837" s="46">
        <v>138545509656</v>
      </c>
      <c r="B837" s="44" t="s">
        <v>517</v>
      </c>
      <c r="C837" s="45">
        <v>46010</v>
      </c>
      <c r="D837" s="46">
        <v>55081000107</v>
      </c>
      <c r="E837" s="46">
        <v>2152987602812</v>
      </c>
      <c r="F837" s="47" t="s">
        <v>518</v>
      </c>
      <c r="G837" s="47" t="s">
        <v>519</v>
      </c>
      <c r="H837" s="47" t="s">
        <v>4</v>
      </c>
      <c r="I837" s="46" t="s">
        <v>4</v>
      </c>
      <c r="J837" s="48">
        <v>169.75</v>
      </c>
      <c r="K837" s="47" t="s">
        <v>520</v>
      </c>
      <c r="L837" s="47" t="s">
        <v>521</v>
      </c>
      <c r="M837" s="46" t="s">
        <v>522</v>
      </c>
      <c r="N837" s="47" t="s">
        <v>523</v>
      </c>
      <c r="O837" s="44" t="s">
        <v>4</v>
      </c>
      <c r="P837" s="47" t="s">
        <v>749</v>
      </c>
      <c r="Q837" s="48">
        <v>17500</v>
      </c>
      <c r="R837" s="49" t="s">
        <v>4</v>
      </c>
      <c r="S837" s="48" t="s">
        <v>4</v>
      </c>
      <c r="T837" s="47" t="s">
        <v>525</v>
      </c>
    </row>
    <row r="838" spans="1:20">
      <c r="A838" s="46">
        <v>138545532014</v>
      </c>
      <c r="B838" s="44" t="s">
        <v>517</v>
      </c>
      <c r="C838" s="45">
        <v>46010</v>
      </c>
      <c r="D838" s="46">
        <v>55081034491</v>
      </c>
      <c r="E838" s="46">
        <v>2152988586184</v>
      </c>
      <c r="F838" s="47" t="s">
        <v>518</v>
      </c>
      <c r="G838" s="47" t="s">
        <v>519</v>
      </c>
      <c r="H838" s="47" t="s">
        <v>4</v>
      </c>
      <c r="I838" s="46" t="s">
        <v>4</v>
      </c>
      <c r="J838" s="48">
        <v>130.94999999999999</v>
      </c>
      <c r="K838" s="47" t="s">
        <v>520</v>
      </c>
      <c r="L838" s="47" t="s">
        <v>521</v>
      </c>
      <c r="M838" s="46" t="s">
        <v>522</v>
      </c>
      <c r="N838" s="47" t="s">
        <v>523</v>
      </c>
      <c r="O838" s="44" t="s">
        <v>4</v>
      </c>
      <c r="P838" s="47" t="s">
        <v>911</v>
      </c>
      <c r="Q838" s="48">
        <v>13500</v>
      </c>
      <c r="R838" s="49" t="s">
        <v>4</v>
      </c>
      <c r="S838" s="48" t="s">
        <v>4</v>
      </c>
      <c r="T838" s="47" t="s">
        <v>525</v>
      </c>
    </row>
    <row r="839" spans="1:20">
      <c r="A839" s="46">
        <v>137906505763</v>
      </c>
      <c r="B839" s="44" t="s">
        <v>517</v>
      </c>
      <c r="C839" s="45">
        <v>46010</v>
      </c>
      <c r="D839" s="46">
        <v>55081056706</v>
      </c>
      <c r="E839" s="46">
        <v>2152831873859</v>
      </c>
      <c r="F839" s="47" t="s">
        <v>518</v>
      </c>
      <c r="G839" s="47" t="s">
        <v>519</v>
      </c>
      <c r="H839" s="47" t="s">
        <v>4</v>
      </c>
      <c r="I839" s="46" t="s">
        <v>4</v>
      </c>
      <c r="J839" s="48">
        <v>95.06</v>
      </c>
      <c r="K839" s="47" t="s">
        <v>520</v>
      </c>
      <c r="L839" s="47" t="s">
        <v>521</v>
      </c>
      <c r="M839" s="46" t="s">
        <v>522</v>
      </c>
      <c r="N839" s="47" t="s">
        <v>523</v>
      </c>
      <c r="O839" s="44" t="s">
        <v>4</v>
      </c>
      <c r="P839" s="47" t="s">
        <v>907</v>
      </c>
      <c r="Q839" s="48">
        <v>9800</v>
      </c>
      <c r="R839" s="49" t="s">
        <v>4</v>
      </c>
      <c r="S839" s="48" t="s">
        <v>4</v>
      </c>
      <c r="T839" s="47" t="s">
        <v>525</v>
      </c>
    </row>
    <row r="840" spans="1:20">
      <c r="A840" s="46">
        <v>137906502057</v>
      </c>
      <c r="B840" s="44" t="s">
        <v>517</v>
      </c>
      <c r="C840" s="45">
        <v>46010</v>
      </c>
      <c r="D840" s="46">
        <v>55081070225</v>
      </c>
      <c r="E840" s="46">
        <v>2152990332650</v>
      </c>
      <c r="F840" s="47" t="s">
        <v>526</v>
      </c>
      <c r="G840" s="47" t="s">
        <v>519</v>
      </c>
      <c r="H840" s="47" t="s">
        <v>4</v>
      </c>
      <c r="I840" s="46" t="s">
        <v>4</v>
      </c>
      <c r="J840" s="48">
        <v>101.85</v>
      </c>
      <c r="K840" s="47" t="s">
        <v>520</v>
      </c>
      <c r="L840" s="47" t="s">
        <v>521</v>
      </c>
      <c r="M840" s="46" t="s">
        <v>522</v>
      </c>
      <c r="N840" s="47" t="s">
        <v>523</v>
      </c>
      <c r="O840" s="44" t="s">
        <v>4</v>
      </c>
      <c r="P840" s="47" t="s">
        <v>527</v>
      </c>
      <c r="Q840" s="48">
        <v>10500</v>
      </c>
      <c r="R840" s="49" t="s">
        <v>4</v>
      </c>
      <c r="S840" s="48" t="s">
        <v>4</v>
      </c>
      <c r="T840" s="47" t="s">
        <v>4</v>
      </c>
    </row>
    <row r="841" spans="1:20">
      <c r="A841" s="46">
        <v>138034620679</v>
      </c>
      <c r="B841" s="44" t="s">
        <v>517</v>
      </c>
      <c r="C841" s="45">
        <v>46010</v>
      </c>
      <c r="D841" s="46">
        <v>55126780957</v>
      </c>
      <c r="E841" s="46">
        <v>2153671062263</v>
      </c>
      <c r="F841" s="47" t="s">
        <v>529</v>
      </c>
      <c r="G841" s="47" t="s">
        <v>569</v>
      </c>
      <c r="H841" s="47" t="s">
        <v>570</v>
      </c>
      <c r="I841" s="46" t="s">
        <v>4</v>
      </c>
      <c r="J841" s="48">
        <v>754.56</v>
      </c>
      <c r="K841" s="47" t="s">
        <v>520</v>
      </c>
      <c r="L841" s="47" t="s">
        <v>530</v>
      </c>
      <c r="M841" s="46" t="s">
        <v>807</v>
      </c>
      <c r="N841" s="47" t="s">
        <v>808</v>
      </c>
      <c r="O841" s="44" t="s">
        <v>263</v>
      </c>
      <c r="P841" s="47" t="s">
        <v>531</v>
      </c>
      <c r="Q841" s="48">
        <v>19200</v>
      </c>
      <c r="R841" s="49" t="s">
        <v>4</v>
      </c>
      <c r="S841" s="48" t="s">
        <v>4</v>
      </c>
      <c r="T841" s="47" t="s">
        <v>525</v>
      </c>
    </row>
    <row r="842" spans="1:20">
      <c r="A842" s="46">
        <v>138674677786</v>
      </c>
      <c r="B842" s="44" t="s">
        <v>517</v>
      </c>
      <c r="C842" s="45">
        <v>46010</v>
      </c>
      <c r="D842" s="46">
        <v>55126820093</v>
      </c>
      <c r="E842" s="46">
        <v>2153831313262</v>
      </c>
      <c r="F842" s="47" t="s">
        <v>529</v>
      </c>
      <c r="G842" s="47" t="s">
        <v>519</v>
      </c>
      <c r="H842" s="47" t="s">
        <v>4</v>
      </c>
      <c r="I842" s="46" t="s">
        <v>4</v>
      </c>
      <c r="J842" s="48">
        <v>754.56</v>
      </c>
      <c r="K842" s="47" t="s">
        <v>520</v>
      </c>
      <c r="L842" s="47" t="s">
        <v>530</v>
      </c>
      <c r="M842" s="46" t="s">
        <v>807</v>
      </c>
      <c r="N842" s="47" t="s">
        <v>808</v>
      </c>
      <c r="O842" s="44" t="s">
        <v>263</v>
      </c>
      <c r="P842" s="47" t="s">
        <v>531</v>
      </c>
      <c r="Q842" s="48">
        <v>19200</v>
      </c>
      <c r="R842" s="49" t="s">
        <v>4</v>
      </c>
      <c r="S842" s="48" t="s">
        <v>4</v>
      </c>
      <c r="T842" s="47" t="s">
        <v>525</v>
      </c>
    </row>
    <row r="843" spans="1:20">
      <c r="A843" s="46">
        <v>138034620679</v>
      </c>
      <c r="B843" s="44" t="s">
        <v>517</v>
      </c>
      <c r="C843" s="45">
        <v>46010</v>
      </c>
      <c r="D843" s="46">
        <v>55126827241</v>
      </c>
      <c r="E843" s="46">
        <v>2153830813164</v>
      </c>
      <c r="F843" s="47" t="s">
        <v>571</v>
      </c>
      <c r="G843" s="47" t="s">
        <v>569</v>
      </c>
      <c r="H843" s="47" t="s">
        <v>4</v>
      </c>
      <c r="I843" s="46">
        <v>55126780957</v>
      </c>
      <c r="J843" s="48">
        <v>-754.56</v>
      </c>
      <c r="K843" s="47" t="s">
        <v>520</v>
      </c>
      <c r="L843" s="47" t="s">
        <v>530</v>
      </c>
      <c r="M843" s="46" t="s">
        <v>807</v>
      </c>
      <c r="N843" s="47" t="s">
        <v>808</v>
      </c>
      <c r="O843" s="44" t="s">
        <v>263</v>
      </c>
      <c r="P843" s="47" t="s">
        <v>531</v>
      </c>
      <c r="Q843" s="48">
        <v>19200</v>
      </c>
      <c r="R843" s="49" t="s">
        <v>4</v>
      </c>
      <c r="S843" s="48" t="s">
        <v>4</v>
      </c>
      <c r="T843" s="47" t="s">
        <v>4</v>
      </c>
    </row>
    <row r="844" spans="1:20">
      <c r="A844" s="46">
        <v>138034929089</v>
      </c>
      <c r="B844" s="44" t="s">
        <v>517</v>
      </c>
      <c r="C844" s="45">
        <v>46010</v>
      </c>
      <c r="D844" s="46">
        <v>55126936323</v>
      </c>
      <c r="E844" s="46">
        <v>2153673536177</v>
      </c>
      <c r="F844" s="47" t="s">
        <v>529</v>
      </c>
      <c r="G844" s="47" t="s">
        <v>569</v>
      </c>
      <c r="H844" s="47" t="s">
        <v>570</v>
      </c>
      <c r="I844" s="46" t="s">
        <v>4</v>
      </c>
      <c r="J844" s="48">
        <v>3.93</v>
      </c>
      <c r="K844" s="47" t="s">
        <v>520</v>
      </c>
      <c r="L844" s="47" t="s">
        <v>530</v>
      </c>
      <c r="M844" s="46" t="s">
        <v>807</v>
      </c>
      <c r="N844" s="47" t="s">
        <v>808</v>
      </c>
      <c r="O844" s="44" t="s">
        <v>263</v>
      </c>
      <c r="P844" s="47" t="s">
        <v>531</v>
      </c>
      <c r="Q844" s="48">
        <v>100</v>
      </c>
      <c r="R844" s="49" t="s">
        <v>4</v>
      </c>
      <c r="S844" s="48" t="s">
        <v>4</v>
      </c>
      <c r="T844" s="47" t="s">
        <v>525</v>
      </c>
    </row>
    <row r="845" spans="1:20">
      <c r="A845" s="46">
        <v>138034929089</v>
      </c>
      <c r="B845" s="44" t="s">
        <v>517</v>
      </c>
      <c r="C845" s="45">
        <v>46010</v>
      </c>
      <c r="D845" s="46">
        <v>55126987015</v>
      </c>
      <c r="E845" s="46">
        <v>2153833679408</v>
      </c>
      <c r="F845" s="47" t="s">
        <v>571</v>
      </c>
      <c r="G845" s="47" t="s">
        <v>569</v>
      </c>
      <c r="H845" s="47" t="s">
        <v>4</v>
      </c>
      <c r="I845" s="46">
        <v>55126936323</v>
      </c>
      <c r="J845" s="48">
        <v>-3.93</v>
      </c>
      <c r="K845" s="47" t="s">
        <v>520</v>
      </c>
      <c r="L845" s="47" t="s">
        <v>530</v>
      </c>
      <c r="M845" s="46" t="s">
        <v>807</v>
      </c>
      <c r="N845" s="47" t="s">
        <v>808</v>
      </c>
      <c r="O845" s="44" t="s">
        <v>263</v>
      </c>
      <c r="P845" s="47" t="s">
        <v>531</v>
      </c>
      <c r="Q845" s="48">
        <v>100</v>
      </c>
      <c r="R845" s="49" t="s">
        <v>4</v>
      </c>
      <c r="S845" s="48" t="s">
        <v>4</v>
      </c>
      <c r="T845" s="47" t="s">
        <v>4</v>
      </c>
    </row>
    <row r="846" spans="1:20">
      <c r="A846" s="46">
        <v>138039811091</v>
      </c>
      <c r="B846" s="44" t="s">
        <v>517</v>
      </c>
      <c r="C846" s="45">
        <v>46010</v>
      </c>
      <c r="D846" s="46">
        <v>55128609056</v>
      </c>
      <c r="E846" s="46">
        <v>2153704500785</v>
      </c>
      <c r="F846" s="47" t="s">
        <v>529</v>
      </c>
      <c r="G846" s="47" t="s">
        <v>519</v>
      </c>
      <c r="H846" s="47" t="s">
        <v>4</v>
      </c>
      <c r="I846" s="46" t="s">
        <v>4</v>
      </c>
      <c r="J846" s="48">
        <v>188.64</v>
      </c>
      <c r="K846" s="47" t="s">
        <v>520</v>
      </c>
      <c r="L846" s="47" t="s">
        <v>530</v>
      </c>
      <c r="M846" s="46" t="s">
        <v>807</v>
      </c>
      <c r="N846" s="47" t="s">
        <v>808</v>
      </c>
      <c r="O846" s="44" t="s">
        <v>263</v>
      </c>
      <c r="P846" s="47" t="s">
        <v>531</v>
      </c>
      <c r="Q846" s="48">
        <v>4800</v>
      </c>
      <c r="R846" s="49" t="s">
        <v>4</v>
      </c>
      <c r="S846" s="48" t="s">
        <v>4</v>
      </c>
      <c r="T846" s="47" t="s">
        <v>525</v>
      </c>
    </row>
    <row r="847" spans="1:20">
      <c r="A847" s="46">
        <v>138041526863</v>
      </c>
      <c r="B847" s="44" t="s">
        <v>517</v>
      </c>
      <c r="C847" s="45">
        <v>46010</v>
      </c>
      <c r="D847" s="46">
        <v>55129184974</v>
      </c>
      <c r="E847" s="46">
        <v>2153874836932</v>
      </c>
      <c r="F847" s="47" t="s">
        <v>518</v>
      </c>
      <c r="G847" s="47" t="s">
        <v>519</v>
      </c>
      <c r="H847" s="47" t="s">
        <v>4</v>
      </c>
      <c r="I847" s="46" t="s">
        <v>4</v>
      </c>
      <c r="J847" s="48">
        <v>272.20999999999998</v>
      </c>
      <c r="K847" s="47" t="s">
        <v>520</v>
      </c>
      <c r="L847" s="47" t="s">
        <v>521</v>
      </c>
      <c r="M847" s="46" t="s">
        <v>660</v>
      </c>
      <c r="N847" s="47" t="s">
        <v>661</v>
      </c>
      <c r="O847" s="44" t="s">
        <v>4</v>
      </c>
      <c r="P847" s="47" t="s">
        <v>912</v>
      </c>
      <c r="Q847" s="48">
        <v>16700</v>
      </c>
      <c r="R847" s="49" t="s">
        <v>4</v>
      </c>
      <c r="S847" s="48" t="s">
        <v>4</v>
      </c>
      <c r="T847" s="47" t="s">
        <v>525</v>
      </c>
    </row>
    <row r="848" spans="1:20">
      <c r="A848" s="46">
        <v>138043978781</v>
      </c>
      <c r="B848" s="44" t="s">
        <v>517</v>
      </c>
      <c r="C848" s="45">
        <v>46010</v>
      </c>
      <c r="D848" s="46">
        <v>55129993747</v>
      </c>
      <c r="E848" s="46">
        <v>2153891522728</v>
      </c>
      <c r="F848" s="47" t="s">
        <v>518</v>
      </c>
      <c r="G848" s="47" t="s">
        <v>519</v>
      </c>
      <c r="H848" s="47" t="s">
        <v>4</v>
      </c>
      <c r="I848" s="46" t="s">
        <v>4</v>
      </c>
      <c r="J848" s="48">
        <v>53.35</v>
      </c>
      <c r="K848" s="47" t="s">
        <v>520</v>
      </c>
      <c r="L848" s="47" t="s">
        <v>521</v>
      </c>
      <c r="M848" s="46" t="s">
        <v>807</v>
      </c>
      <c r="N848" s="47" t="s">
        <v>808</v>
      </c>
      <c r="O848" s="44" t="s">
        <v>4</v>
      </c>
      <c r="P848" s="47" t="s">
        <v>913</v>
      </c>
      <c r="Q848" s="48">
        <v>5500</v>
      </c>
      <c r="R848" s="49" t="s">
        <v>4</v>
      </c>
      <c r="S848" s="48" t="s">
        <v>4</v>
      </c>
      <c r="T848" s="47" t="s">
        <v>525</v>
      </c>
    </row>
    <row r="849" spans="1:20">
      <c r="A849" s="46">
        <v>138685012854</v>
      </c>
      <c r="B849" s="44" t="s">
        <v>517</v>
      </c>
      <c r="C849" s="45">
        <v>46010</v>
      </c>
      <c r="D849" s="46">
        <v>55130438329</v>
      </c>
      <c r="E849" s="46">
        <v>2153740606377</v>
      </c>
      <c r="F849" s="47" t="s">
        <v>518</v>
      </c>
      <c r="G849" s="47" t="s">
        <v>519</v>
      </c>
      <c r="H849" s="47" t="s">
        <v>4</v>
      </c>
      <c r="I849" s="46" t="s">
        <v>4</v>
      </c>
      <c r="J849" s="48">
        <v>145.5</v>
      </c>
      <c r="K849" s="47" t="s">
        <v>520</v>
      </c>
      <c r="L849" s="47" t="s">
        <v>521</v>
      </c>
      <c r="M849" s="46" t="s">
        <v>807</v>
      </c>
      <c r="N849" s="47" t="s">
        <v>808</v>
      </c>
      <c r="O849" s="44" t="s">
        <v>4</v>
      </c>
      <c r="P849" s="47" t="s">
        <v>914</v>
      </c>
      <c r="Q849" s="48">
        <v>15000</v>
      </c>
      <c r="R849" s="49" t="s">
        <v>4</v>
      </c>
      <c r="S849" s="48" t="s">
        <v>4</v>
      </c>
      <c r="T849" s="47" t="s">
        <v>525</v>
      </c>
    </row>
    <row r="850" spans="1:20">
      <c r="A850" s="46">
        <v>138685196796</v>
      </c>
      <c r="B850" s="44" t="s">
        <v>517</v>
      </c>
      <c r="C850" s="45">
        <v>46010</v>
      </c>
      <c r="D850" s="46">
        <v>55130480651</v>
      </c>
      <c r="E850" s="46">
        <v>2153901126666</v>
      </c>
      <c r="F850" s="47" t="s">
        <v>529</v>
      </c>
      <c r="G850" s="47" t="s">
        <v>519</v>
      </c>
      <c r="H850" s="47" t="s">
        <v>4</v>
      </c>
      <c r="I850" s="46" t="s">
        <v>4</v>
      </c>
      <c r="J850" s="48">
        <v>761</v>
      </c>
      <c r="K850" s="47" t="s">
        <v>520</v>
      </c>
      <c r="L850" s="47" t="s">
        <v>530</v>
      </c>
      <c r="M850" s="46" t="s">
        <v>807</v>
      </c>
      <c r="N850" s="47" t="s">
        <v>808</v>
      </c>
      <c r="O850" s="44" t="s">
        <v>263</v>
      </c>
      <c r="P850" s="47" t="s">
        <v>531</v>
      </c>
      <c r="Q850" s="48">
        <v>10000</v>
      </c>
      <c r="R850" s="49" t="s">
        <v>4</v>
      </c>
      <c r="S850" s="48" t="s">
        <v>4</v>
      </c>
      <c r="T850" s="47" t="s">
        <v>525</v>
      </c>
    </row>
    <row r="851" spans="1:20">
      <c r="A851" s="46">
        <v>138045999405</v>
      </c>
      <c r="B851" s="44" t="s">
        <v>517</v>
      </c>
      <c r="C851" s="45">
        <v>46010</v>
      </c>
      <c r="D851" s="46">
        <v>55130720778</v>
      </c>
      <c r="E851" s="46">
        <v>2153746624751</v>
      </c>
      <c r="F851" s="47" t="s">
        <v>529</v>
      </c>
      <c r="G851" s="47" t="s">
        <v>519</v>
      </c>
      <c r="H851" s="47" t="s">
        <v>4</v>
      </c>
      <c r="I851" s="46" t="s">
        <v>4</v>
      </c>
      <c r="J851" s="48">
        <v>4989.46</v>
      </c>
      <c r="K851" s="47" t="s">
        <v>520</v>
      </c>
      <c r="L851" s="47" t="s">
        <v>530</v>
      </c>
      <c r="M851" s="46" t="s">
        <v>660</v>
      </c>
      <c r="N851" s="47" t="s">
        <v>661</v>
      </c>
      <c r="O851" s="44" t="s">
        <v>263</v>
      </c>
      <c r="P851" s="47" t="s">
        <v>531</v>
      </c>
      <c r="Q851" s="48">
        <v>109900</v>
      </c>
      <c r="R851" s="49" t="s">
        <v>4</v>
      </c>
      <c r="S851" s="48" t="s">
        <v>4</v>
      </c>
      <c r="T851" s="47" t="s">
        <v>525</v>
      </c>
    </row>
    <row r="852" spans="1:20">
      <c r="A852" s="46">
        <v>138687056118</v>
      </c>
      <c r="B852" s="44" t="s">
        <v>517</v>
      </c>
      <c r="C852" s="45">
        <v>46010</v>
      </c>
      <c r="D852" s="46">
        <v>55131046767</v>
      </c>
      <c r="E852" s="46">
        <v>2153912962898</v>
      </c>
      <c r="F852" s="47" t="s">
        <v>526</v>
      </c>
      <c r="G852" s="47" t="s">
        <v>519</v>
      </c>
      <c r="H852" s="47" t="s">
        <v>4</v>
      </c>
      <c r="I852" s="46" t="s">
        <v>4</v>
      </c>
      <c r="J852" s="48">
        <v>106.7</v>
      </c>
      <c r="K852" s="47" t="s">
        <v>520</v>
      </c>
      <c r="L852" s="47" t="s">
        <v>521</v>
      </c>
      <c r="M852" s="46" t="s">
        <v>807</v>
      </c>
      <c r="N852" s="47" t="s">
        <v>808</v>
      </c>
      <c r="O852" s="44" t="s">
        <v>4</v>
      </c>
      <c r="P852" s="47" t="s">
        <v>527</v>
      </c>
      <c r="Q852" s="48">
        <v>11000</v>
      </c>
      <c r="R852" s="49" t="s">
        <v>4</v>
      </c>
      <c r="S852" s="48" t="s">
        <v>4</v>
      </c>
      <c r="T852" s="47" t="s">
        <v>4</v>
      </c>
    </row>
    <row r="853" spans="1:20">
      <c r="A853" s="46">
        <v>138047673181</v>
      </c>
      <c r="B853" s="44" t="s">
        <v>517</v>
      </c>
      <c r="C853" s="45">
        <v>46010</v>
      </c>
      <c r="D853" s="46">
        <v>55131261341</v>
      </c>
      <c r="E853" s="46">
        <v>2153758349197</v>
      </c>
      <c r="F853" s="47" t="s">
        <v>529</v>
      </c>
      <c r="G853" s="47" t="s">
        <v>519</v>
      </c>
      <c r="H853" s="47" t="s">
        <v>4</v>
      </c>
      <c r="I853" s="46" t="s">
        <v>4</v>
      </c>
      <c r="J853" s="48">
        <v>1257.5999999999999</v>
      </c>
      <c r="K853" s="47" t="s">
        <v>520</v>
      </c>
      <c r="L853" s="47" t="s">
        <v>530</v>
      </c>
      <c r="M853" s="46" t="s">
        <v>807</v>
      </c>
      <c r="N853" s="47" t="s">
        <v>808</v>
      </c>
      <c r="O853" s="44" t="s">
        <v>263</v>
      </c>
      <c r="P853" s="47" t="s">
        <v>531</v>
      </c>
      <c r="Q853" s="48">
        <v>32000</v>
      </c>
      <c r="R853" s="49" t="s">
        <v>4</v>
      </c>
      <c r="S853" s="48" t="s">
        <v>4</v>
      </c>
      <c r="T853" s="47" t="s">
        <v>525</v>
      </c>
    </row>
    <row r="854" spans="1:20">
      <c r="A854" s="46">
        <v>138049357257</v>
      </c>
      <c r="B854" s="44" t="s">
        <v>517</v>
      </c>
      <c r="C854" s="45">
        <v>46010</v>
      </c>
      <c r="D854" s="46">
        <v>55131865222</v>
      </c>
      <c r="E854" s="46">
        <v>2153929518468</v>
      </c>
      <c r="F854" s="47" t="s">
        <v>518</v>
      </c>
      <c r="G854" s="47" t="s">
        <v>519</v>
      </c>
      <c r="H854" s="47" t="s">
        <v>4</v>
      </c>
      <c r="I854" s="46" t="s">
        <v>4</v>
      </c>
      <c r="J854" s="48">
        <v>101.85</v>
      </c>
      <c r="K854" s="47" t="s">
        <v>520</v>
      </c>
      <c r="L854" s="47" t="s">
        <v>521</v>
      </c>
      <c r="M854" s="46" t="s">
        <v>807</v>
      </c>
      <c r="N854" s="47" t="s">
        <v>808</v>
      </c>
      <c r="O854" s="44" t="s">
        <v>4</v>
      </c>
      <c r="P854" s="47" t="s">
        <v>915</v>
      </c>
      <c r="Q854" s="48">
        <v>10500</v>
      </c>
      <c r="R854" s="49" t="s">
        <v>4</v>
      </c>
      <c r="S854" s="48" t="s">
        <v>4</v>
      </c>
      <c r="T854" s="47" t="s">
        <v>525</v>
      </c>
    </row>
    <row r="855" spans="1:20">
      <c r="A855" s="46">
        <v>138691649412</v>
      </c>
      <c r="B855" s="44" t="s">
        <v>517</v>
      </c>
      <c r="C855" s="45">
        <v>46010</v>
      </c>
      <c r="D855" s="46">
        <v>55132703911</v>
      </c>
      <c r="E855" s="46">
        <v>2153947442396</v>
      </c>
      <c r="F855" s="47" t="s">
        <v>518</v>
      </c>
      <c r="G855" s="47" t="s">
        <v>519</v>
      </c>
      <c r="H855" s="47" t="s">
        <v>4</v>
      </c>
      <c r="I855" s="46" t="s">
        <v>4</v>
      </c>
      <c r="J855" s="48">
        <v>145.5</v>
      </c>
      <c r="K855" s="47" t="s">
        <v>520</v>
      </c>
      <c r="L855" s="47" t="s">
        <v>521</v>
      </c>
      <c r="M855" s="46" t="s">
        <v>660</v>
      </c>
      <c r="N855" s="47" t="s">
        <v>661</v>
      </c>
      <c r="O855" s="44" t="s">
        <v>4</v>
      </c>
      <c r="P855" s="47" t="s">
        <v>916</v>
      </c>
      <c r="Q855" s="48">
        <v>15000</v>
      </c>
      <c r="R855" s="49" t="s">
        <v>4</v>
      </c>
      <c r="S855" s="48" t="s">
        <v>4</v>
      </c>
      <c r="T855" s="47" t="s">
        <v>525</v>
      </c>
    </row>
    <row r="856" spans="1:20">
      <c r="A856" s="46">
        <v>138052305423</v>
      </c>
      <c r="B856" s="44" t="s">
        <v>517</v>
      </c>
      <c r="C856" s="45">
        <v>46010</v>
      </c>
      <c r="D856" s="46">
        <v>55132890387</v>
      </c>
      <c r="E856" s="46">
        <v>2153950881298</v>
      </c>
      <c r="F856" s="47" t="s">
        <v>529</v>
      </c>
      <c r="G856" s="47" t="s">
        <v>519</v>
      </c>
      <c r="H856" s="47" t="s">
        <v>4</v>
      </c>
      <c r="I856" s="46" t="s">
        <v>4</v>
      </c>
      <c r="J856" s="48">
        <v>491.25</v>
      </c>
      <c r="K856" s="47" t="s">
        <v>520</v>
      </c>
      <c r="L856" s="47" t="s">
        <v>530</v>
      </c>
      <c r="M856" s="46" t="s">
        <v>807</v>
      </c>
      <c r="N856" s="47" t="s">
        <v>808</v>
      </c>
      <c r="O856" s="44" t="s">
        <v>263</v>
      </c>
      <c r="P856" s="47" t="s">
        <v>531</v>
      </c>
      <c r="Q856" s="48">
        <v>12500</v>
      </c>
      <c r="R856" s="49" t="s">
        <v>4</v>
      </c>
      <c r="S856" s="48" t="s">
        <v>4</v>
      </c>
      <c r="T856" s="47" t="s">
        <v>525</v>
      </c>
    </row>
    <row r="857" spans="1:20">
      <c r="A857" s="46">
        <v>138052500883</v>
      </c>
      <c r="B857" s="44" t="s">
        <v>517</v>
      </c>
      <c r="C857" s="45">
        <v>46010</v>
      </c>
      <c r="D857" s="46">
        <v>55132928567</v>
      </c>
      <c r="E857" s="46">
        <v>2153792188653</v>
      </c>
      <c r="F857" s="47" t="s">
        <v>529</v>
      </c>
      <c r="G857" s="47" t="s">
        <v>519</v>
      </c>
      <c r="H857" s="47" t="s">
        <v>4</v>
      </c>
      <c r="I857" s="46" t="s">
        <v>4</v>
      </c>
      <c r="J857" s="48">
        <v>227</v>
      </c>
      <c r="K857" s="47" t="s">
        <v>520</v>
      </c>
      <c r="L857" s="47" t="s">
        <v>530</v>
      </c>
      <c r="M857" s="46" t="s">
        <v>807</v>
      </c>
      <c r="N857" s="47" t="s">
        <v>808</v>
      </c>
      <c r="O857" s="44" t="s">
        <v>263</v>
      </c>
      <c r="P857" s="47" t="s">
        <v>531</v>
      </c>
      <c r="Q857" s="48">
        <v>5000</v>
      </c>
      <c r="R857" s="49" t="s">
        <v>4</v>
      </c>
      <c r="S857" s="48" t="s">
        <v>4</v>
      </c>
      <c r="T857" s="47" t="s">
        <v>525</v>
      </c>
    </row>
    <row r="858" spans="1:20">
      <c r="A858" s="46">
        <v>138692382652</v>
      </c>
      <c r="B858" s="44" t="s">
        <v>517</v>
      </c>
      <c r="C858" s="45">
        <v>46010</v>
      </c>
      <c r="D858" s="46">
        <v>55132983439</v>
      </c>
      <c r="E858" s="46">
        <v>2153793226111</v>
      </c>
      <c r="F858" s="47" t="s">
        <v>529</v>
      </c>
      <c r="G858" s="47" t="s">
        <v>519</v>
      </c>
      <c r="H858" s="47" t="s">
        <v>4</v>
      </c>
      <c r="I858" s="46" t="s">
        <v>4</v>
      </c>
      <c r="J858" s="48">
        <v>799.05</v>
      </c>
      <c r="K858" s="47" t="s">
        <v>520</v>
      </c>
      <c r="L858" s="47" t="s">
        <v>530</v>
      </c>
      <c r="M858" s="46" t="s">
        <v>807</v>
      </c>
      <c r="N858" s="47" t="s">
        <v>808</v>
      </c>
      <c r="O858" s="44" t="s">
        <v>263</v>
      </c>
      <c r="P858" s="47" t="s">
        <v>531</v>
      </c>
      <c r="Q858" s="48">
        <v>10500</v>
      </c>
      <c r="R858" s="49" t="s">
        <v>4</v>
      </c>
      <c r="S858" s="48" t="s">
        <v>4</v>
      </c>
      <c r="T858" s="47" t="s">
        <v>525</v>
      </c>
    </row>
    <row r="859" spans="1:20">
      <c r="A859" s="46">
        <v>138053465951</v>
      </c>
      <c r="B859" s="44" t="s">
        <v>517</v>
      </c>
      <c r="C859" s="45">
        <v>46010</v>
      </c>
      <c r="D859" s="46">
        <v>55133344380</v>
      </c>
      <c r="E859" s="46">
        <v>2153959992382</v>
      </c>
      <c r="F859" s="47" t="s">
        <v>518</v>
      </c>
      <c r="G859" s="47" t="s">
        <v>519</v>
      </c>
      <c r="H859" s="47" t="s">
        <v>4</v>
      </c>
      <c r="I859" s="46" t="s">
        <v>4</v>
      </c>
      <c r="J859" s="48">
        <v>101.85</v>
      </c>
      <c r="K859" s="47" t="s">
        <v>520</v>
      </c>
      <c r="L859" s="47" t="s">
        <v>521</v>
      </c>
      <c r="M859" s="46" t="s">
        <v>807</v>
      </c>
      <c r="N859" s="47" t="s">
        <v>808</v>
      </c>
      <c r="O859" s="44" t="s">
        <v>4</v>
      </c>
      <c r="P859" s="47" t="s">
        <v>917</v>
      </c>
      <c r="Q859" s="48">
        <v>10500</v>
      </c>
      <c r="R859" s="49" t="s">
        <v>4</v>
      </c>
      <c r="S859" s="48" t="s">
        <v>4</v>
      </c>
      <c r="T859" s="47" t="s">
        <v>525</v>
      </c>
    </row>
    <row r="860" spans="1:20">
      <c r="A860" s="46">
        <v>138053974887</v>
      </c>
      <c r="B860" s="44" t="s">
        <v>517</v>
      </c>
      <c r="C860" s="45">
        <v>46010</v>
      </c>
      <c r="D860" s="46">
        <v>55133524872</v>
      </c>
      <c r="E860" s="46">
        <v>2153804024259</v>
      </c>
      <c r="F860" s="47" t="s">
        <v>518</v>
      </c>
      <c r="G860" s="47" t="s">
        <v>519</v>
      </c>
      <c r="H860" s="47" t="s">
        <v>4</v>
      </c>
      <c r="I860" s="46" t="s">
        <v>4</v>
      </c>
      <c r="J860" s="48">
        <v>393.82</v>
      </c>
      <c r="K860" s="47" t="s">
        <v>520</v>
      </c>
      <c r="L860" s="47" t="s">
        <v>521</v>
      </c>
      <c r="M860" s="46" t="s">
        <v>807</v>
      </c>
      <c r="N860" s="47" t="s">
        <v>808</v>
      </c>
      <c r="O860" s="44" t="s">
        <v>4</v>
      </c>
      <c r="P860" s="47" t="s">
        <v>918</v>
      </c>
      <c r="Q860" s="48">
        <v>40600</v>
      </c>
      <c r="R860" s="49" t="s">
        <v>4</v>
      </c>
      <c r="S860" s="48" t="s">
        <v>4</v>
      </c>
      <c r="T860" s="47" t="s">
        <v>525</v>
      </c>
    </row>
    <row r="861" spans="1:20">
      <c r="A861" s="46">
        <v>138055103481</v>
      </c>
      <c r="B861" s="44" t="s">
        <v>517</v>
      </c>
      <c r="C861" s="45">
        <v>46010</v>
      </c>
      <c r="D861" s="46">
        <v>55133903748</v>
      </c>
      <c r="E861" s="46">
        <v>2153972008504</v>
      </c>
      <c r="F861" s="47" t="s">
        <v>529</v>
      </c>
      <c r="G861" s="47" t="s">
        <v>519</v>
      </c>
      <c r="H861" s="47" t="s">
        <v>4</v>
      </c>
      <c r="I861" s="46" t="s">
        <v>4</v>
      </c>
      <c r="J861" s="48">
        <v>2350.14</v>
      </c>
      <c r="K861" s="47" t="s">
        <v>520</v>
      </c>
      <c r="L861" s="47" t="s">
        <v>530</v>
      </c>
      <c r="M861" s="46" t="s">
        <v>807</v>
      </c>
      <c r="N861" s="47" t="s">
        <v>808</v>
      </c>
      <c r="O861" s="44" t="s">
        <v>263</v>
      </c>
      <c r="P861" s="47" t="s">
        <v>531</v>
      </c>
      <c r="Q861" s="48">
        <v>59800</v>
      </c>
      <c r="R861" s="49" t="s">
        <v>4</v>
      </c>
      <c r="S861" s="48" t="s">
        <v>4</v>
      </c>
      <c r="T861" s="47" t="s">
        <v>525</v>
      </c>
    </row>
    <row r="862" spans="1:20">
      <c r="A862" s="46">
        <v>138055864673</v>
      </c>
      <c r="B862" s="44" t="s">
        <v>517</v>
      </c>
      <c r="C862" s="45">
        <v>46010</v>
      </c>
      <c r="D862" s="46">
        <v>55134135129</v>
      </c>
      <c r="E862" s="46">
        <v>2153817122003</v>
      </c>
      <c r="F862" s="47" t="s">
        <v>529</v>
      </c>
      <c r="G862" s="47" t="s">
        <v>519</v>
      </c>
      <c r="H862" s="47" t="s">
        <v>4</v>
      </c>
      <c r="I862" s="46" t="s">
        <v>4</v>
      </c>
      <c r="J862" s="48">
        <v>6956.1</v>
      </c>
      <c r="K862" s="47" t="s">
        <v>520</v>
      </c>
      <c r="L862" s="47" t="s">
        <v>530</v>
      </c>
      <c r="M862" s="46" t="s">
        <v>660</v>
      </c>
      <c r="N862" s="47" t="s">
        <v>661</v>
      </c>
      <c r="O862" s="44" t="s">
        <v>263</v>
      </c>
      <c r="P862" s="47" t="s">
        <v>531</v>
      </c>
      <c r="Q862" s="48">
        <v>177000</v>
      </c>
      <c r="R862" s="49" t="s">
        <v>4</v>
      </c>
      <c r="S862" s="48" t="s">
        <v>4</v>
      </c>
      <c r="T862" s="47" t="s">
        <v>525</v>
      </c>
    </row>
    <row r="863" spans="1:20">
      <c r="A863" s="46">
        <v>138695928646</v>
      </c>
      <c r="B863" s="44" t="s">
        <v>517</v>
      </c>
      <c r="C863" s="45">
        <v>46010</v>
      </c>
      <c r="D863" s="46">
        <v>55134228419</v>
      </c>
      <c r="E863" s="46">
        <v>2153819057813</v>
      </c>
      <c r="F863" s="47" t="s">
        <v>529</v>
      </c>
      <c r="G863" s="47" t="s">
        <v>519</v>
      </c>
      <c r="H863" s="47" t="s">
        <v>4</v>
      </c>
      <c r="I863" s="46" t="s">
        <v>4</v>
      </c>
      <c r="J863" s="48">
        <v>1332.27</v>
      </c>
      <c r="K863" s="47" t="s">
        <v>520</v>
      </c>
      <c r="L863" s="47" t="s">
        <v>530</v>
      </c>
      <c r="M863" s="46" t="s">
        <v>807</v>
      </c>
      <c r="N863" s="47" t="s">
        <v>808</v>
      </c>
      <c r="O863" s="44" t="s">
        <v>263</v>
      </c>
      <c r="P863" s="47" t="s">
        <v>531</v>
      </c>
      <c r="Q863" s="48">
        <v>33900</v>
      </c>
      <c r="R863" s="49" t="s">
        <v>4</v>
      </c>
      <c r="S863" s="48" t="s">
        <v>4</v>
      </c>
      <c r="T863" s="47" t="s">
        <v>525</v>
      </c>
    </row>
    <row r="864" spans="1:20">
      <c r="A864" s="46">
        <v>138696344716</v>
      </c>
      <c r="B864" s="44" t="s">
        <v>517</v>
      </c>
      <c r="C864" s="45">
        <v>46010</v>
      </c>
      <c r="D864" s="46">
        <v>55134391518</v>
      </c>
      <c r="E864" s="46">
        <v>2153822109455</v>
      </c>
      <c r="F864" s="47" t="s">
        <v>518</v>
      </c>
      <c r="G864" s="47" t="s">
        <v>519</v>
      </c>
      <c r="H864" s="47" t="s">
        <v>4</v>
      </c>
      <c r="I864" s="46" t="s">
        <v>4</v>
      </c>
      <c r="J864" s="48">
        <v>4010.47</v>
      </c>
      <c r="K864" s="47" t="s">
        <v>520</v>
      </c>
      <c r="L864" s="47" t="s">
        <v>521</v>
      </c>
      <c r="M864" s="46" t="s">
        <v>660</v>
      </c>
      <c r="N864" s="47" t="s">
        <v>661</v>
      </c>
      <c r="O864" s="44" t="s">
        <v>4</v>
      </c>
      <c r="P864" s="47" t="s">
        <v>577</v>
      </c>
      <c r="Q864" s="48">
        <v>52700</v>
      </c>
      <c r="R864" s="49" t="s">
        <v>4</v>
      </c>
      <c r="S864" s="48" t="s">
        <v>4</v>
      </c>
      <c r="T864" s="47" t="s">
        <v>525</v>
      </c>
    </row>
    <row r="865" spans="1:20">
      <c r="A865" s="46">
        <v>138056660625</v>
      </c>
      <c r="B865" s="44" t="s">
        <v>517</v>
      </c>
      <c r="C865" s="45">
        <v>46010</v>
      </c>
      <c r="D865" s="46">
        <v>55134429808</v>
      </c>
      <c r="E865" s="46">
        <v>2153982658462</v>
      </c>
      <c r="F865" s="47" t="s">
        <v>529</v>
      </c>
      <c r="G865" s="47" t="s">
        <v>519</v>
      </c>
      <c r="H865" s="47" t="s">
        <v>4</v>
      </c>
      <c r="I865" s="46" t="s">
        <v>4</v>
      </c>
      <c r="J865" s="48">
        <v>1198.6500000000001</v>
      </c>
      <c r="K865" s="47" t="s">
        <v>520</v>
      </c>
      <c r="L865" s="47" t="s">
        <v>530</v>
      </c>
      <c r="M865" s="46" t="s">
        <v>807</v>
      </c>
      <c r="N865" s="47" t="s">
        <v>808</v>
      </c>
      <c r="O865" s="44" t="s">
        <v>263</v>
      </c>
      <c r="P865" s="47" t="s">
        <v>531</v>
      </c>
      <c r="Q865" s="48">
        <v>30500</v>
      </c>
      <c r="R865" s="49" t="s">
        <v>4</v>
      </c>
      <c r="S865" s="48" t="s">
        <v>4</v>
      </c>
      <c r="T865" s="47" t="s">
        <v>525</v>
      </c>
    </row>
    <row r="866" spans="1:20">
      <c r="A866" s="46">
        <v>138697904534</v>
      </c>
      <c r="B866" s="44" t="s">
        <v>517</v>
      </c>
      <c r="C866" s="45">
        <v>46010</v>
      </c>
      <c r="D866" s="46">
        <v>55134957282</v>
      </c>
      <c r="E866" s="46">
        <v>2153992955884</v>
      </c>
      <c r="F866" s="47" t="s">
        <v>518</v>
      </c>
      <c r="G866" s="47" t="s">
        <v>519</v>
      </c>
      <c r="H866" s="47" t="s">
        <v>4</v>
      </c>
      <c r="I866" s="46" t="s">
        <v>4</v>
      </c>
      <c r="J866" s="48">
        <v>579.09</v>
      </c>
      <c r="K866" s="47" t="s">
        <v>520</v>
      </c>
      <c r="L866" s="47" t="s">
        <v>521</v>
      </c>
      <c r="M866" s="46" t="s">
        <v>807</v>
      </c>
      <c r="N866" s="47" t="s">
        <v>808</v>
      </c>
      <c r="O866" s="44" t="s">
        <v>4</v>
      </c>
      <c r="P866" s="47" t="s">
        <v>919</v>
      </c>
      <c r="Q866" s="48">
        <v>59700</v>
      </c>
      <c r="R866" s="49" t="s">
        <v>4</v>
      </c>
      <c r="S866" s="48" t="s">
        <v>4</v>
      </c>
      <c r="T866" s="47" t="s">
        <v>525</v>
      </c>
    </row>
    <row r="867" spans="1:20">
      <c r="A867" s="46">
        <v>138058107457</v>
      </c>
      <c r="B867" s="44" t="s">
        <v>517</v>
      </c>
      <c r="C867" s="45">
        <v>46010</v>
      </c>
      <c r="D867" s="46">
        <v>55135055773</v>
      </c>
      <c r="E867" s="46">
        <v>2153995065936</v>
      </c>
      <c r="F867" s="47" t="s">
        <v>518</v>
      </c>
      <c r="G867" s="47" t="s">
        <v>519</v>
      </c>
      <c r="H867" s="47" t="s">
        <v>4</v>
      </c>
      <c r="I867" s="46" t="s">
        <v>4</v>
      </c>
      <c r="J867" s="48">
        <v>500.52</v>
      </c>
      <c r="K867" s="47" t="s">
        <v>520</v>
      </c>
      <c r="L867" s="47" t="s">
        <v>521</v>
      </c>
      <c r="M867" s="46" t="s">
        <v>807</v>
      </c>
      <c r="N867" s="47" t="s">
        <v>808</v>
      </c>
      <c r="O867" s="44" t="s">
        <v>4</v>
      </c>
      <c r="P867" s="47" t="s">
        <v>920</v>
      </c>
      <c r="Q867" s="48">
        <v>51600</v>
      </c>
      <c r="R867" s="49" t="s">
        <v>4</v>
      </c>
      <c r="S867" s="48" t="s">
        <v>4</v>
      </c>
      <c r="T867" s="47" t="s">
        <v>525</v>
      </c>
    </row>
    <row r="868" spans="1:20">
      <c r="A868" s="46">
        <v>138699426344</v>
      </c>
      <c r="B868" s="44" t="s">
        <v>517</v>
      </c>
      <c r="C868" s="45">
        <v>46010</v>
      </c>
      <c r="D868" s="46">
        <v>55135539697</v>
      </c>
      <c r="E868" s="46">
        <v>2153845871591</v>
      </c>
      <c r="F868" s="47" t="s">
        <v>518</v>
      </c>
      <c r="G868" s="47" t="s">
        <v>519</v>
      </c>
      <c r="H868" s="47" t="s">
        <v>4</v>
      </c>
      <c r="I868" s="46" t="s">
        <v>4</v>
      </c>
      <c r="J868" s="48">
        <v>305.55</v>
      </c>
      <c r="K868" s="47" t="s">
        <v>520</v>
      </c>
      <c r="L868" s="47" t="s">
        <v>521</v>
      </c>
      <c r="M868" s="46" t="s">
        <v>660</v>
      </c>
      <c r="N868" s="47" t="s">
        <v>661</v>
      </c>
      <c r="O868" s="44" t="s">
        <v>4</v>
      </c>
      <c r="P868" s="47" t="s">
        <v>921</v>
      </c>
      <c r="Q868" s="48">
        <v>31500</v>
      </c>
      <c r="R868" s="49" t="s">
        <v>4</v>
      </c>
      <c r="S868" s="48" t="s">
        <v>4</v>
      </c>
      <c r="T868" s="47" t="s">
        <v>525</v>
      </c>
    </row>
    <row r="869" spans="1:20">
      <c r="A869" s="46">
        <v>138060170477</v>
      </c>
      <c r="B869" s="44" t="s">
        <v>517</v>
      </c>
      <c r="C869" s="45">
        <v>46010</v>
      </c>
      <c r="D869" s="46">
        <v>55135773837</v>
      </c>
      <c r="E869" s="46">
        <v>2154010240678</v>
      </c>
      <c r="F869" s="47" t="s">
        <v>518</v>
      </c>
      <c r="G869" s="47" t="s">
        <v>519</v>
      </c>
      <c r="H869" s="47" t="s">
        <v>4</v>
      </c>
      <c r="I869" s="46" t="s">
        <v>4</v>
      </c>
      <c r="J869" s="48">
        <v>284.20999999999998</v>
      </c>
      <c r="K869" s="47" t="s">
        <v>520</v>
      </c>
      <c r="L869" s="47" t="s">
        <v>521</v>
      </c>
      <c r="M869" s="46" t="s">
        <v>807</v>
      </c>
      <c r="N869" s="47" t="s">
        <v>808</v>
      </c>
      <c r="O869" s="44" t="s">
        <v>4</v>
      </c>
      <c r="P869" s="47" t="s">
        <v>922</v>
      </c>
      <c r="Q869" s="48">
        <v>29300</v>
      </c>
      <c r="R869" s="49" t="s">
        <v>4</v>
      </c>
      <c r="S869" s="48" t="s">
        <v>4</v>
      </c>
      <c r="T869" s="47" t="s">
        <v>525</v>
      </c>
    </row>
    <row r="870" spans="1:20">
      <c r="A870" s="46">
        <v>138060572491</v>
      </c>
      <c r="B870" s="44" t="s">
        <v>517</v>
      </c>
      <c r="C870" s="45">
        <v>46010</v>
      </c>
      <c r="D870" s="46">
        <v>55135965058</v>
      </c>
      <c r="E870" s="46">
        <v>2153853693461</v>
      </c>
      <c r="F870" s="47" t="s">
        <v>518</v>
      </c>
      <c r="G870" s="47" t="s">
        <v>519</v>
      </c>
      <c r="H870" s="47" t="s">
        <v>4</v>
      </c>
      <c r="I870" s="46" t="s">
        <v>4</v>
      </c>
      <c r="J870" s="48">
        <v>155.19999999999999</v>
      </c>
      <c r="K870" s="47" t="s">
        <v>520</v>
      </c>
      <c r="L870" s="47" t="s">
        <v>521</v>
      </c>
      <c r="M870" s="46" t="s">
        <v>807</v>
      </c>
      <c r="N870" s="47" t="s">
        <v>808</v>
      </c>
      <c r="O870" s="44" t="s">
        <v>4</v>
      </c>
      <c r="P870" s="47" t="s">
        <v>923</v>
      </c>
      <c r="Q870" s="48">
        <v>16000</v>
      </c>
      <c r="R870" s="49" t="s">
        <v>4</v>
      </c>
      <c r="S870" s="48" t="s">
        <v>4</v>
      </c>
      <c r="T870" s="47" t="s">
        <v>525</v>
      </c>
    </row>
    <row r="871" spans="1:20">
      <c r="A871" s="46">
        <v>138061721195</v>
      </c>
      <c r="B871" s="44" t="s">
        <v>517</v>
      </c>
      <c r="C871" s="45">
        <v>46010</v>
      </c>
      <c r="D871" s="46">
        <v>55136342028</v>
      </c>
      <c r="E871" s="46">
        <v>2153860731963</v>
      </c>
      <c r="F871" s="47" t="s">
        <v>529</v>
      </c>
      <c r="G871" s="47" t="s">
        <v>519</v>
      </c>
      <c r="H871" s="47" t="s">
        <v>4</v>
      </c>
      <c r="I871" s="46" t="s">
        <v>4</v>
      </c>
      <c r="J871" s="48">
        <v>2998.59</v>
      </c>
      <c r="K871" s="47" t="s">
        <v>520</v>
      </c>
      <c r="L871" s="47" t="s">
        <v>530</v>
      </c>
      <c r="M871" s="46" t="s">
        <v>807</v>
      </c>
      <c r="N871" s="47" t="s">
        <v>808</v>
      </c>
      <c r="O871" s="44" t="s">
        <v>263</v>
      </c>
      <c r="P871" s="47" t="s">
        <v>531</v>
      </c>
      <c r="Q871" s="48">
        <v>76300</v>
      </c>
      <c r="R871" s="49" t="s">
        <v>4</v>
      </c>
      <c r="S871" s="48" t="s">
        <v>4</v>
      </c>
      <c r="T871" s="47" t="s">
        <v>525</v>
      </c>
    </row>
    <row r="872" spans="1:20">
      <c r="A872" s="46">
        <v>138061896843</v>
      </c>
      <c r="B872" s="44" t="s">
        <v>517</v>
      </c>
      <c r="C872" s="45">
        <v>46010</v>
      </c>
      <c r="D872" s="46">
        <v>55136450698</v>
      </c>
      <c r="E872" s="46">
        <v>2153861680495</v>
      </c>
      <c r="F872" s="47" t="s">
        <v>529</v>
      </c>
      <c r="G872" s="47" t="s">
        <v>519</v>
      </c>
      <c r="H872" s="47" t="s">
        <v>4</v>
      </c>
      <c r="I872" s="46" t="s">
        <v>4</v>
      </c>
      <c r="J872" s="48">
        <v>1430.52</v>
      </c>
      <c r="K872" s="47" t="s">
        <v>520</v>
      </c>
      <c r="L872" s="47" t="s">
        <v>530</v>
      </c>
      <c r="M872" s="46" t="s">
        <v>807</v>
      </c>
      <c r="N872" s="47" t="s">
        <v>808</v>
      </c>
      <c r="O872" s="44" t="s">
        <v>263</v>
      </c>
      <c r="P872" s="47" t="s">
        <v>531</v>
      </c>
      <c r="Q872" s="48">
        <v>36400</v>
      </c>
      <c r="R872" s="49" t="s">
        <v>4</v>
      </c>
      <c r="S872" s="48" t="s">
        <v>4</v>
      </c>
      <c r="T872" s="47" t="s">
        <v>525</v>
      </c>
    </row>
    <row r="873" spans="1:20">
      <c r="A873" s="46">
        <v>138701890684</v>
      </c>
      <c r="B873" s="44" t="s">
        <v>517</v>
      </c>
      <c r="C873" s="45">
        <v>46010</v>
      </c>
      <c r="D873" s="46">
        <v>55136476858</v>
      </c>
      <c r="E873" s="46">
        <v>2154022522060</v>
      </c>
      <c r="F873" s="47" t="s">
        <v>529</v>
      </c>
      <c r="G873" s="47" t="s">
        <v>519</v>
      </c>
      <c r="H873" s="47" t="s">
        <v>4</v>
      </c>
      <c r="I873" s="46" t="s">
        <v>4</v>
      </c>
      <c r="J873" s="48">
        <v>4476.2700000000004</v>
      </c>
      <c r="K873" s="47" t="s">
        <v>520</v>
      </c>
      <c r="L873" s="47" t="s">
        <v>530</v>
      </c>
      <c r="M873" s="46" t="s">
        <v>807</v>
      </c>
      <c r="N873" s="47" t="s">
        <v>808</v>
      </c>
      <c r="O873" s="44" t="s">
        <v>263</v>
      </c>
      <c r="P873" s="47" t="s">
        <v>531</v>
      </c>
      <c r="Q873" s="48">
        <v>113900</v>
      </c>
      <c r="R873" s="49" t="s">
        <v>4</v>
      </c>
      <c r="S873" s="48" t="s">
        <v>4</v>
      </c>
      <c r="T873" s="47" t="s">
        <v>525</v>
      </c>
    </row>
    <row r="874" spans="1:20">
      <c r="A874" s="46">
        <v>138062703771</v>
      </c>
      <c r="B874" s="44" t="s">
        <v>517</v>
      </c>
      <c r="C874" s="45">
        <v>46010</v>
      </c>
      <c r="D874" s="46">
        <v>55136752911</v>
      </c>
      <c r="E874" s="46">
        <v>2154026983154</v>
      </c>
      <c r="F874" s="47" t="s">
        <v>529</v>
      </c>
      <c r="G874" s="47" t="s">
        <v>519</v>
      </c>
      <c r="H874" s="47" t="s">
        <v>4</v>
      </c>
      <c r="I874" s="46" t="s">
        <v>4</v>
      </c>
      <c r="J874" s="48">
        <v>2342.2800000000002</v>
      </c>
      <c r="K874" s="47" t="s">
        <v>520</v>
      </c>
      <c r="L874" s="47" t="s">
        <v>530</v>
      </c>
      <c r="M874" s="46" t="s">
        <v>807</v>
      </c>
      <c r="N874" s="47" t="s">
        <v>808</v>
      </c>
      <c r="O874" s="44" t="s">
        <v>263</v>
      </c>
      <c r="P874" s="47" t="s">
        <v>531</v>
      </c>
      <c r="Q874" s="48">
        <v>59600</v>
      </c>
      <c r="R874" s="49" t="s">
        <v>4</v>
      </c>
      <c r="S874" s="48" t="s">
        <v>4</v>
      </c>
      <c r="T874" s="47" t="s">
        <v>525</v>
      </c>
    </row>
    <row r="875" spans="1:20">
      <c r="A875" s="46">
        <v>138702659938</v>
      </c>
      <c r="B875" s="44" t="s">
        <v>517</v>
      </c>
      <c r="C875" s="45">
        <v>46010</v>
      </c>
      <c r="D875" s="46">
        <v>55136795765</v>
      </c>
      <c r="E875" s="46">
        <v>2154027297048</v>
      </c>
      <c r="F875" s="47" t="s">
        <v>518</v>
      </c>
      <c r="G875" s="47" t="s">
        <v>519</v>
      </c>
      <c r="H875" s="47" t="s">
        <v>4</v>
      </c>
      <c r="I875" s="46" t="s">
        <v>4</v>
      </c>
      <c r="J875" s="48">
        <v>1012.68</v>
      </c>
      <c r="K875" s="47" t="s">
        <v>520</v>
      </c>
      <c r="L875" s="47" t="s">
        <v>521</v>
      </c>
      <c r="M875" s="46" t="s">
        <v>807</v>
      </c>
      <c r="N875" s="47" t="s">
        <v>808</v>
      </c>
      <c r="O875" s="44" t="s">
        <v>4</v>
      </c>
      <c r="P875" s="47" t="s">
        <v>817</v>
      </c>
      <c r="Q875" s="48">
        <v>104400</v>
      </c>
      <c r="R875" s="49" t="s">
        <v>4</v>
      </c>
      <c r="S875" s="48" t="s">
        <v>4</v>
      </c>
      <c r="T875" s="47" t="s">
        <v>525</v>
      </c>
    </row>
    <row r="876" spans="1:20">
      <c r="A876" s="46">
        <v>138702853772</v>
      </c>
      <c r="B876" s="44" t="s">
        <v>517</v>
      </c>
      <c r="C876" s="45">
        <v>46010</v>
      </c>
      <c r="D876" s="46">
        <v>55136845454</v>
      </c>
      <c r="E876" s="46">
        <v>2154028249996</v>
      </c>
      <c r="F876" s="47" t="s">
        <v>529</v>
      </c>
      <c r="G876" s="47" t="s">
        <v>519</v>
      </c>
      <c r="H876" s="47" t="s">
        <v>4</v>
      </c>
      <c r="I876" s="46" t="s">
        <v>4</v>
      </c>
      <c r="J876" s="48">
        <v>217.92</v>
      </c>
      <c r="K876" s="47" t="s">
        <v>520</v>
      </c>
      <c r="L876" s="47" t="s">
        <v>530</v>
      </c>
      <c r="M876" s="46" t="s">
        <v>807</v>
      </c>
      <c r="N876" s="47" t="s">
        <v>808</v>
      </c>
      <c r="O876" s="44" t="s">
        <v>263</v>
      </c>
      <c r="P876" s="47" t="s">
        <v>531</v>
      </c>
      <c r="Q876" s="48">
        <v>4800</v>
      </c>
      <c r="R876" s="49" t="s">
        <v>4</v>
      </c>
      <c r="S876" s="48" t="s">
        <v>4</v>
      </c>
      <c r="T876" s="47" t="s">
        <v>525</v>
      </c>
    </row>
    <row r="877" spans="1:20">
      <c r="A877" s="46">
        <v>138703142834</v>
      </c>
      <c r="B877" s="44" t="s">
        <v>517</v>
      </c>
      <c r="C877" s="45">
        <v>46010</v>
      </c>
      <c r="D877" s="46">
        <v>55136918751</v>
      </c>
      <c r="E877" s="46">
        <v>2153869964061</v>
      </c>
      <c r="F877" s="47" t="s">
        <v>518</v>
      </c>
      <c r="G877" s="47" t="s">
        <v>519</v>
      </c>
      <c r="H877" s="47" t="s">
        <v>4</v>
      </c>
      <c r="I877" s="46" t="s">
        <v>4</v>
      </c>
      <c r="J877" s="48">
        <v>46.56</v>
      </c>
      <c r="K877" s="47" t="s">
        <v>520</v>
      </c>
      <c r="L877" s="47" t="s">
        <v>521</v>
      </c>
      <c r="M877" s="46" t="s">
        <v>807</v>
      </c>
      <c r="N877" s="47" t="s">
        <v>808</v>
      </c>
      <c r="O877" s="44" t="s">
        <v>4</v>
      </c>
      <c r="P877" s="47" t="s">
        <v>924</v>
      </c>
      <c r="Q877" s="48">
        <v>4800</v>
      </c>
      <c r="R877" s="49" t="s">
        <v>4</v>
      </c>
      <c r="S877" s="48" t="s">
        <v>4</v>
      </c>
      <c r="T877" s="47" t="s">
        <v>525</v>
      </c>
    </row>
    <row r="878" spans="1:20">
      <c r="A878" s="46">
        <v>138703994676</v>
      </c>
      <c r="B878" s="44" t="s">
        <v>517</v>
      </c>
      <c r="C878" s="45">
        <v>46011</v>
      </c>
      <c r="D878" s="46">
        <v>55137287460</v>
      </c>
      <c r="E878" s="46">
        <v>2153875363523</v>
      </c>
      <c r="F878" s="47" t="s">
        <v>518</v>
      </c>
      <c r="G878" s="47" t="s">
        <v>519</v>
      </c>
      <c r="H878" s="47" t="s">
        <v>4</v>
      </c>
      <c r="I878" s="46" t="s">
        <v>4</v>
      </c>
      <c r="J878" s="48">
        <v>491.79</v>
      </c>
      <c r="K878" s="47" t="s">
        <v>520</v>
      </c>
      <c r="L878" s="47" t="s">
        <v>521</v>
      </c>
      <c r="M878" s="46" t="s">
        <v>807</v>
      </c>
      <c r="N878" s="47" t="s">
        <v>808</v>
      </c>
      <c r="O878" s="44" t="s">
        <v>4</v>
      </c>
      <c r="P878" s="47" t="s">
        <v>603</v>
      </c>
      <c r="Q878" s="48">
        <v>50700</v>
      </c>
      <c r="R878" s="49" t="s">
        <v>4</v>
      </c>
      <c r="S878" s="48" t="s">
        <v>4</v>
      </c>
      <c r="T878" s="47" t="s">
        <v>525</v>
      </c>
    </row>
    <row r="879" spans="1:20">
      <c r="A879" s="46">
        <v>138704550514</v>
      </c>
      <c r="B879" s="44" t="s">
        <v>517</v>
      </c>
      <c r="C879" s="45">
        <v>46011</v>
      </c>
      <c r="D879" s="46">
        <v>55137556658</v>
      </c>
      <c r="E879" s="46">
        <v>2153878894959</v>
      </c>
      <c r="F879" s="47" t="s">
        <v>518</v>
      </c>
      <c r="G879" s="47" t="s">
        <v>519</v>
      </c>
      <c r="H879" s="47" t="s">
        <v>4</v>
      </c>
      <c r="I879" s="46" t="s">
        <v>4</v>
      </c>
      <c r="J879" s="48">
        <v>639.23</v>
      </c>
      <c r="K879" s="47" t="s">
        <v>520</v>
      </c>
      <c r="L879" s="47" t="s">
        <v>521</v>
      </c>
      <c r="M879" s="46" t="s">
        <v>807</v>
      </c>
      <c r="N879" s="47" t="s">
        <v>808</v>
      </c>
      <c r="O879" s="44" t="s">
        <v>4</v>
      </c>
      <c r="P879" s="47" t="s">
        <v>925</v>
      </c>
      <c r="Q879" s="48">
        <v>65900</v>
      </c>
      <c r="R879" s="49" t="s">
        <v>4</v>
      </c>
      <c r="S879" s="48" t="s">
        <v>4</v>
      </c>
      <c r="T879" s="47" t="s">
        <v>525</v>
      </c>
    </row>
    <row r="880" spans="1:20">
      <c r="A880" s="46">
        <v>138705039232</v>
      </c>
      <c r="B880" s="44" t="s">
        <v>517</v>
      </c>
      <c r="C880" s="45">
        <v>46011</v>
      </c>
      <c r="D880" s="46">
        <v>55137747525</v>
      </c>
      <c r="E880" s="46">
        <v>2153882001565</v>
      </c>
      <c r="F880" s="47" t="s">
        <v>518</v>
      </c>
      <c r="G880" s="47" t="s">
        <v>519</v>
      </c>
      <c r="H880" s="47" t="s">
        <v>4</v>
      </c>
      <c r="I880" s="46" t="s">
        <v>4</v>
      </c>
      <c r="J880" s="48">
        <v>48.5</v>
      </c>
      <c r="K880" s="47" t="s">
        <v>520</v>
      </c>
      <c r="L880" s="47" t="s">
        <v>521</v>
      </c>
      <c r="M880" s="46" t="s">
        <v>807</v>
      </c>
      <c r="N880" s="47" t="s">
        <v>808</v>
      </c>
      <c r="O880" s="44" t="s">
        <v>4</v>
      </c>
      <c r="P880" s="47" t="s">
        <v>736</v>
      </c>
      <c r="Q880" s="48">
        <v>5000</v>
      </c>
      <c r="R880" s="49" t="s">
        <v>4</v>
      </c>
      <c r="S880" s="48" t="s">
        <v>4</v>
      </c>
      <c r="T880" s="47" t="s">
        <v>525</v>
      </c>
    </row>
    <row r="881" spans="1:20">
      <c r="A881" s="46">
        <v>138706049188</v>
      </c>
      <c r="B881" s="44" t="s">
        <v>517</v>
      </c>
      <c r="C881" s="45">
        <v>46011</v>
      </c>
      <c r="D881" s="46">
        <v>55138092741</v>
      </c>
      <c r="E881" s="46">
        <v>2154047515880</v>
      </c>
      <c r="F881" s="47" t="s">
        <v>529</v>
      </c>
      <c r="G881" s="47" t="s">
        <v>519</v>
      </c>
      <c r="H881" s="47" t="s">
        <v>4</v>
      </c>
      <c r="I881" s="46" t="s">
        <v>4</v>
      </c>
      <c r="J881" s="48">
        <v>1768.5</v>
      </c>
      <c r="K881" s="47" t="s">
        <v>520</v>
      </c>
      <c r="L881" s="47" t="s">
        <v>530</v>
      </c>
      <c r="M881" s="46" t="s">
        <v>807</v>
      </c>
      <c r="N881" s="47" t="s">
        <v>808</v>
      </c>
      <c r="O881" s="44" t="s">
        <v>263</v>
      </c>
      <c r="P881" s="47" t="s">
        <v>531</v>
      </c>
      <c r="Q881" s="48">
        <v>45000</v>
      </c>
      <c r="R881" s="49" t="s">
        <v>4</v>
      </c>
      <c r="S881" s="48" t="s">
        <v>4</v>
      </c>
      <c r="T881" s="47" t="s">
        <v>525</v>
      </c>
    </row>
    <row r="882" spans="1:20">
      <c r="A882" s="46">
        <v>138066372851</v>
      </c>
      <c r="B882" s="44" t="s">
        <v>517</v>
      </c>
      <c r="C882" s="45">
        <v>46011</v>
      </c>
      <c r="D882" s="46">
        <v>55138191298</v>
      </c>
      <c r="E882" s="46">
        <v>2154049206024</v>
      </c>
      <c r="F882" s="47" t="s">
        <v>529</v>
      </c>
      <c r="G882" s="47" t="s">
        <v>519</v>
      </c>
      <c r="H882" s="47" t="s">
        <v>4</v>
      </c>
      <c r="I882" s="46" t="s">
        <v>4</v>
      </c>
      <c r="J882" s="48">
        <v>217.92</v>
      </c>
      <c r="K882" s="47" t="s">
        <v>520</v>
      </c>
      <c r="L882" s="47" t="s">
        <v>530</v>
      </c>
      <c r="M882" s="46" t="s">
        <v>807</v>
      </c>
      <c r="N882" s="47" t="s">
        <v>808</v>
      </c>
      <c r="O882" s="44" t="s">
        <v>263</v>
      </c>
      <c r="P882" s="47" t="s">
        <v>531</v>
      </c>
      <c r="Q882" s="48">
        <v>4800</v>
      </c>
      <c r="R882" s="49" t="s">
        <v>4</v>
      </c>
      <c r="S882" s="48" t="s">
        <v>4</v>
      </c>
      <c r="T882" s="47" t="s">
        <v>525</v>
      </c>
    </row>
    <row r="883" spans="1:20">
      <c r="A883" s="46">
        <v>138706937248</v>
      </c>
      <c r="B883" s="44" t="s">
        <v>517</v>
      </c>
      <c r="C883" s="45">
        <v>46011</v>
      </c>
      <c r="D883" s="46">
        <v>55138474613</v>
      </c>
      <c r="E883" s="46">
        <v>2154053078874</v>
      </c>
      <c r="F883" s="47" t="s">
        <v>529</v>
      </c>
      <c r="G883" s="47" t="s">
        <v>519</v>
      </c>
      <c r="H883" s="47" t="s">
        <v>4</v>
      </c>
      <c r="I883" s="46" t="s">
        <v>4</v>
      </c>
      <c r="J883" s="48">
        <v>2189.0100000000002</v>
      </c>
      <c r="K883" s="47" t="s">
        <v>520</v>
      </c>
      <c r="L883" s="47" t="s">
        <v>530</v>
      </c>
      <c r="M883" s="46" t="s">
        <v>807</v>
      </c>
      <c r="N883" s="47" t="s">
        <v>808</v>
      </c>
      <c r="O883" s="44" t="s">
        <v>263</v>
      </c>
      <c r="P883" s="47" t="s">
        <v>531</v>
      </c>
      <c r="Q883" s="48">
        <v>55700</v>
      </c>
      <c r="R883" s="49" t="s">
        <v>4</v>
      </c>
      <c r="S883" s="48" t="s">
        <v>4</v>
      </c>
      <c r="T883" s="47" t="s">
        <v>525</v>
      </c>
    </row>
    <row r="884" spans="1:20">
      <c r="A884" s="46">
        <v>138707444206</v>
      </c>
      <c r="B884" s="44" t="s">
        <v>517</v>
      </c>
      <c r="C884" s="45">
        <v>46011</v>
      </c>
      <c r="D884" s="46">
        <v>55138629394</v>
      </c>
      <c r="E884" s="46">
        <v>2154055605572</v>
      </c>
      <c r="F884" s="47" t="s">
        <v>529</v>
      </c>
      <c r="G884" s="47" t="s">
        <v>519</v>
      </c>
      <c r="H884" s="47" t="s">
        <v>4</v>
      </c>
      <c r="I884" s="46" t="s">
        <v>4</v>
      </c>
      <c r="J884" s="48">
        <v>3584.16</v>
      </c>
      <c r="K884" s="47" t="s">
        <v>520</v>
      </c>
      <c r="L884" s="47" t="s">
        <v>530</v>
      </c>
      <c r="M884" s="46" t="s">
        <v>807</v>
      </c>
      <c r="N884" s="47" t="s">
        <v>808</v>
      </c>
      <c r="O884" s="44" t="s">
        <v>263</v>
      </c>
      <c r="P884" s="47" t="s">
        <v>531</v>
      </c>
      <c r="Q884" s="48">
        <v>91200</v>
      </c>
      <c r="R884" s="49" t="s">
        <v>4</v>
      </c>
      <c r="S884" s="48" t="s">
        <v>4</v>
      </c>
      <c r="T884" s="47" t="s">
        <v>525</v>
      </c>
    </row>
    <row r="885" spans="1:20">
      <c r="A885" s="46">
        <v>138067716027</v>
      </c>
      <c r="B885" s="44" t="s">
        <v>517</v>
      </c>
      <c r="C885" s="45">
        <v>46011</v>
      </c>
      <c r="D885" s="46">
        <v>55138769690</v>
      </c>
      <c r="E885" s="46">
        <v>2154057942272</v>
      </c>
      <c r="F885" s="47" t="s">
        <v>562</v>
      </c>
      <c r="G885" s="47" t="s">
        <v>519</v>
      </c>
      <c r="H885" s="47" t="s">
        <v>4</v>
      </c>
      <c r="I885" s="46" t="s">
        <v>4</v>
      </c>
      <c r="J885" s="48">
        <v>722.09</v>
      </c>
      <c r="K885" s="47" t="s">
        <v>520</v>
      </c>
      <c r="L885" s="47" t="s">
        <v>521</v>
      </c>
      <c r="M885" s="46" t="s">
        <v>807</v>
      </c>
      <c r="N885" s="47" t="s">
        <v>808</v>
      </c>
      <c r="O885" s="44" t="s">
        <v>4</v>
      </c>
      <c r="P885" s="47" t="s">
        <v>563</v>
      </c>
      <c r="Q885" s="48">
        <v>44300</v>
      </c>
      <c r="R885" s="49" t="s">
        <v>4</v>
      </c>
      <c r="S885" s="48" t="s">
        <v>4</v>
      </c>
      <c r="T885" s="47" t="s">
        <v>525</v>
      </c>
    </row>
    <row r="886" spans="1:20">
      <c r="A886" s="46">
        <v>138708147740</v>
      </c>
      <c r="B886" s="44" t="s">
        <v>517</v>
      </c>
      <c r="C886" s="45">
        <v>46011</v>
      </c>
      <c r="D886" s="46">
        <v>55138949168</v>
      </c>
      <c r="E886" s="46">
        <v>2153900477079</v>
      </c>
      <c r="F886" s="47" t="s">
        <v>518</v>
      </c>
      <c r="G886" s="47" t="s">
        <v>519</v>
      </c>
      <c r="H886" s="47" t="s">
        <v>4</v>
      </c>
      <c r="I886" s="46" t="s">
        <v>4</v>
      </c>
      <c r="J886" s="48">
        <v>415.16</v>
      </c>
      <c r="K886" s="47" t="s">
        <v>520</v>
      </c>
      <c r="L886" s="47" t="s">
        <v>521</v>
      </c>
      <c r="M886" s="46" t="s">
        <v>807</v>
      </c>
      <c r="N886" s="47" t="s">
        <v>808</v>
      </c>
      <c r="O886" s="44" t="s">
        <v>4</v>
      </c>
      <c r="P886" s="47" t="s">
        <v>926</v>
      </c>
      <c r="Q886" s="48">
        <v>42800</v>
      </c>
      <c r="R886" s="49" t="s">
        <v>4</v>
      </c>
      <c r="S886" s="48" t="s">
        <v>4</v>
      </c>
      <c r="T886" s="47" t="s">
        <v>525</v>
      </c>
    </row>
    <row r="887" spans="1:20">
      <c r="A887" s="46">
        <v>138068490929</v>
      </c>
      <c r="B887" s="44" t="s">
        <v>517</v>
      </c>
      <c r="C887" s="45">
        <v>46011</v>
      </c>
      <c r="D887" s="46">
        <v>55139098954</v>
      </c>
      <c r="E887" s="46">
        <v>2154062224988</v>
      </c>
      <c r="F887" s="47" t="s">
        <v>518</v>
      </c>
      <c r="G887" s="47" t="s">
        <v>519</v>
      </c>
      <c r="H887" s="47" t="s">
        <v>4</v>
      </c>
      <c r="I887" s="46" t="s">
        <v>4</v>
      </c>
      <c r="J887" s="48">
        <v>334.65</v>
      </c>
      <c r="K887" s="47" t="s">
        <v>520</v>
      </c>
      <c r="L887" s="47" t="s">
        <v>521</v>
      </c>
      <c r="M887" s="46" t="s">
        <v>807</v>
      </c>
      <c r="N887" s="47" t="s">
        <v>808</v>
      </c>
      <c r="O887" s="44" t="s">
        <v>4</v>
      </c>
      <c r="P887" s="47" t="s">
        <v>927</v>
      </c>
      <c r="Q887" s="48">
        <v>34500</v>
      </c>
      <c r="R887" s="49" t="s">
        <v>4</v>
      </c>
      <c r="S887" s="48" t="s">
        <v>4</v>
      </c>
      <c r="T887" s="47" t="s">
        <v>525</v>
      </c>
    </row>
    <row r="888" spans="1:20">
      <c r="A888" s="46">
        <v>138068724249</v>
      </c>
      <c r="B888" s="44" t="s">
        <v>517</v>
      </c>
      <c r="C888" s="45">
        <v>46011</v>
      </c>
      <c r="D888" s="46">
        <v>55139161042</v>
      </c>
      <c r="E888" s="46">
        <v>2154063010582</v>
      </c>
      <c r="F888" s="47" t="s">
        <v>526</v>
      </c>
      <c r="G888" s="47" t="s">
        <v>519</v>
      </c>
      <c r="H888" s="47" t="s">
        <v>4</v>
      </c>
      <c r="I888" s="46" t="s">
        <v>4</v>
      </c>
      <c r="J888" s="48">
        <v>460.75</v>
      </c>
      <c r="K888" s="47" t="s">
        <v>520</v>
      </c>
      <c r="L888" s="47" t="s">
        <v>521</v>
      </c>
      <c r="M888" s="46" t="s">
        <v>807</v>
      </c>
      <c r="N888" s="47" t="s">
        <v>808</v>
      </c>
      <c r="O888" s="44" t="s">
        <v>4</v>
      </c>
      <c r="P888" s="47" t="s">
        <v>527</v>
      </c>
      <c r="Q888" s="48">
        <v>47500</v>
      </c>
      <c r="R888" s="49" t="s">
        <v>4</v>
      </c>
      <c r="S888" s="48" t="s">
        <v>4</v>
      </c>
      <c r="T888" s="47" t="s">
        <v>4</v>
      </c>
    </row>
    <row r="889" spans="1:20">
      <c r="A889" s="46">
        <v>138709041032</v>
      </c>
      <c r="B889" s="44" t="s">
        <v>517</v>
      </c>
      <c r="C889" s="45">
        <v>46011</v>
      </c>
      <c r="D889" s="46">
        <v>55139373107</v>
      </c>
      <c r="E889" s="46">
        <v>2153906040347</v>
      </c>
      <c r="F889" s="47" t="s">
        <v>518</v>
      </c>
      <c r="G889" s="47" t="s">
        <v>519</v>
      </c>
      <c r="H889" s="47" t="s">
        <v>4</v>
      </c>
      <c r="I889" s="46" t="s">
        <v>4</v>
      </c>
      <c r="J889" s="48">
        <v>654.75</v>
      </c>
      <c r="K889" s="47" t="s">
        <v>520</v>
      </c>
      <c r="L889" s="47" t="s">
        <v>521</v>
      </c>
      <c r="M889" s="46" t="s">
        <v>807</v>
      </c>
      <c r="N889" s="47" t="s">
        <v>808</v>
      </c>
      <c r="O889" s="44" t="s">
        <v>4</v>
      </c>
      <c r="P889" s="47" t="s">
        <v>928</v>
      </c>
      <c r="Q889" s="48">
        <v>67500</v>
      </c>
      <c r="R889" s="49" t="s">
        <v>4</v>
      </c>
      <c r="S889" s="48" t="s">
        <v>4</v>
      </c>
      <c r="T889" s="47" t="s">
        <v>525</v>
      </c>
    </row>
    <row r="890" spans="1:20">
      <c r="A890" s="46">
        <v>138709043828</v>
      </c>
      <c r="B890" s="44" t="s">
        <v>517</v>
      </c>
      <c r="C890" s="45">
        <v>46011</v>
      </c>
      <c r="D890" s="46">
        <v>55139410955</v>
      </c>
      <c r="E890" s="46">
        <v>2154066195800</v>
      </c>
      <c r="F890" s="47" t="s">
        <v>518</v>
      </c>
      <c r="G890" s="47" t="s">
        <v>519</v>
      </c>
      <c r="H890" s="47" t="s">
        <v>4</v>
      </c>
      <c r="I890" s="46" t="s">
        <v>4</v>
      </c>
      <c r="J890" s="48">
        <v>457.84</v>
      </c>
      <c r="K890" s="47" t="s">
        <v>520</v>
      </c>
      <c r="L890" s="47" t="s">
        <v>521</v>
      </c>
      <c r="M890" s="46" t="s">
        <v>807</v>
      </c>
      <c r="N890" s="47" t="s">
        <v>808</v>
      </c>
      <c r="O890" s="44" t="s">
        <v>4</v>
      </c>
      <c r="P890" s="47" t="s">
        <v>929</v>
      </c>
      <c r="Q890" s="48">
        <v>47200</v>
      </c>
      <c r="R890" s="49" t="s">
        <v>4</v>
      </c>
      <c r="S890" s="48" t="s">
        <v>4</v>
      </c>
      <c r="T890" s="47" t="s">
        <v>525</v>
      </c>
    </row>
    <row r="891" spans="1:20">
      <c r="A891" s="46">
        <v>138709514288</v>
      </c>
      <c r="B891" s="44" t="s">
        <v>517</v>
      </c>
      <c r="C891" s="45">
        <v>46011</v>
      </c>
      <c r="D891" s="46">
        <v>55139566094</v>
      </c>
      <c r="E891" s="46">
        <v>2154068143342</v>
      </c>
      <c r="F891" s="47" t="s">
        <v>526</v>
      </c>
      <c r="G891" s="47" t="s">
        <v>519</v>
      </c>
      <c r="H891" s="47" t="s">
        <v>4</v>
      </c>
      <c r="I891" s="46" t="s">
        <v>4</v>
      </c>
      <c r="J891" s="48">
        <v>200.79</v>
      </c>
      <c r="K891" s="47" t="s">
        <v>520</v>
      </c>
      <c r="L891" s="47" t="s">
        <v>521</v>
      </c>
      <c r="M891" s="46" t="s">
        <v>807</v>
      </c>
      <c r="N891" s="47" t="s">
        <v>808</v>
      </c>
      <c r="O891" s="44" t="s">
        <v>4</v>
      </c>
      <c r="P891" s="47" t="s">
        <v>527</v>
      </c>
      <c r="Q891" s="48">
        <v>20700</v>
      </c>
      <c r="R891" s="49" t="s">
        <v>4</v>
      </c>
      <c r="S891" s="48" t="s">
        <v>4</v>
      </c>
      <c r="T891" s="47" t="s">
        <v>4</v>
      </c>
    </row>
    <row r="892" spans="1:20">
      <c r="A892" s="46">
        <v>138710020218</v>
      </c>
      <c r="B892" s="44" t="s">
        <v>517</v>
      </c>
      <c r="C892" s="45">
        <v>46011</v>
      </c>
      <c r="D892" s="46">
        <v>55139785197</v>
      </c>
      <c r="E892" s="46">
        <v>2154070984954</v>
      </c>
      <c r="F892" s="47" t="s">
        <v>526</v>
      </c>
      <c r="G892" s="47" t="s">
        <v>519</v>
      </c>
      <c r="H892" s="47" t="s">
        <v>4</v>
      </c>
      <c r="I892" s="46" t="s">
        <v>4</v>
      </c>
      <c r="J892" s="48">
        <v>364.72</v>
      </c>
      <c r="K892" s="47" t="s">
        <v>520</v>
      </c>
      <c r="L892" s="47" t="s">
        <v>521</v>
      </c>
      <c r="M892" s="46" t="s">
        <v>807</v>
      </c>
      <c r="N892" s="47" t="s">
        <v>808</v>
      </c>
      <c r="O892" s="44" t="s">
        <v>4</v>
      </c>
      <c r="P892" s="47" t="s">
        <v>527</v>
      </c>
      <c r="Q892" s="48">
        <v>37600</v>
      </c>
      <c r="R892" s="49" t="s">
        <v>4</v>
      </c>
      <c r="S892" s="48" t="s">
        <v>4</v>
      </c>
      <c r="T892" s="47" t="s">
        <v>4</v>
      </c>
    </row>
    <row r="893" spans="1:20">
      <c r="A893" s="46">
        <v>138710023050</v>
      </c>
      <c r="B893" s="44" t="s">
        <v>517</v>
      </c>
      <c r="C893" s="45">
        <v>46011</v>
      </c>
      <c r="D893" s="46">
        <v>55139797271</v>
      </c>
      <c r="E893" s="46">
        <v>2153911589075</v>
      </c>
      <c r="F893" s="47" t="s">
        <v>529</v>
      </c>
      <c r="G893" s="47" t="s">
        <v>519</v>
      </c>
      <c r="H893" s="47" t="s">
        <v>4</v>
      </c>
      <c r="I893" s="46" t="s">
        <v>4</v>
      </c>
      <c r="J893" s="48">
        <v>196.5</v>
      </c>
      <c r="K893" s="47" t="s">
        <v>520</v>
      </c>
      <c r="L893" s="47" t="s">
        <v>530</v>
      </c>
      <c r="M893" s="46" t="s">
        <v>807</v>
      </c>
      <c r="N893" s="47" t="s">
        <v>808</v>
      </c>
      <c r="O893" s="44" t="s">
        <v>263</v>
      </c>
      <c r="P893" s="47" t="s">
        <v>531</v>
      </c>
      <c r="Q893" s="48">
        <v>5000</v>
      </c>
      <c r="R893" s="49" t="s">
        <v>4</v>
      </c>
      <c r="S893" s="48" t="s">
        <v>4</v>
      </c>
      <c r="T893" s="47" t="s">
        <v>525</v>
      </c>
    </row>
    <row r="894" spans="1:20">
      <c r="A894" s="46">
        <v>138069999425</v>
      </c>
      <c r="B894" s="44" t="s">
        <v>517</v>
      </c>
      <c r="C894" s="45">
        <v>46011</v>
      </c>
      <c r="D894" s="46">
        <v>55139816114</v>
      </c>
      <c r="E894" s="46">
        <v>2153911956689</v>
      </c>
      <c r="F894" s="47" t="s">
        <v>529</v>
      </c>
      <c r="G894" s="47" t="s">
        <v>519</v>
      </c>
      <c r="H894" s="47" t="s">
        <v>4</v>
      </c>
      <c r="I894" s="46" t="s">
        <v>4</v>
      </c>
      <c r="J894" s="48">
        <v>188.64</v>
      </c>
      <c r="K894" s="47" t="s">
        <v>520</v>
      </c>
      <c r="L894" s="47" t="s">
        <v>530</v>
      </c>
      <c r="M894" s="46" t="s">
        <v>807</v>
      </c>
      <c r="N894" s="47" t="s">
        <v>808</v>
      </c>
      <c r="O894" s="44" t="s">
        <v>263</v>
      </c>
      <c r="P894" s="47" t="s">
        <v>531</v>
      </c>
      <c r="Q894" s="48">
        <v>4800</v>
      </c>
      <c r="R894" s="49" t="s">
        <v>4</v>
      </c>
      <c r="S894" s="48" t="s">
        <v>4</v>
      </c>
      <c r="T894" s="47" t="s">
        <v>525</v>
      </c>
    </row>
    <row r="895" spans="1:20">
      <c r="A895" s="46">
        <v>138070771505</v>
      </c>
      <c r="B895" s="44" t="s">
        <v>517</v>
      </c>
      <c r="C895" s="45">
        <v>46011</v>
      </c>
      <c r="D895" s="46">
        <v>55140118377</v>
      </c>
      <c r="E895" s="46">
        <v>2154076088110</v>
      </c>
      <c r="F895" s="47" t="s">
        <v>518</v>
      </c>
      <c r="G895" s="47" t="s">
        <v>519</v>
      </c>
      <c r="H895" s="47" t="s">
        <v>4</v>
      </c>
      <c r="I895" s="46" t="s">
        <v>4</v>
      </c>
      <c r="J895" s="48">
        <v>53.35</v>
      </c>
      <c r="K895" s="47" t="s">
        <v>520</v>
      </c>
      <c r="L895" s="47" t="s">
        <v>521</v>
      </c>
      <c r="M895" s="46" t="s">
        <v>807</v>
      </c>
      <c r="N895" s="47" t="s">
        <v>808</v>
      </c>
      <c r="O895" s="44" t="s">
        <v>4</v>
      </c>
      <c r="P895" s="47" t="s">
        <v>930</v>
      </c>
      <c r="Q895" s="48">
        <v>5500</v>
      </c>
      <c r="R895" s="49" t="s">
        <v>4</v>
      </c>
      <c r="S895" s="48" t="s">
        <v>4</v>
      </c>
      <c r="T895" s="47" t="s">
        <v>525</v>
      </c>
    </row>
    <row r="896" spans="1:20">
      <c r="A896" s="46">
        <v>138710725930</v>
      </c>
      <c r="B896" s="44" t="s">
        <v>517</v>
      </c>
      <c r="C896" s="45">
        <v>46011</v>
      </c>
      <c r="D896" s="46">
        <v>55140158179</v>
      </c>
      <c r="E896" s="46">
        <v>2153916606983</v>
      </c>
      <c r="F896" s="47" t="s">
        <v>518</v>
      </c>
      <c r="G896" s="47" t="s">
        <v>519</v>
      </c>
      <c r="H896" s="47" t="s">
        <v>4</v>
      </c>
      <c r="I896" s="46" t="s">
        <v>4</v>
      </c>
      <c r="J896" s="48">
        <v>53.35</v>
      </c>
      <c r="K896" s="47" t="s">
        <v>520</v>
      </c>
      <c r="L896" s="47" t="s">
        <v>521</v>
      </c>
      <c r="M896" s="46" t="s">
        <v>807</v>
      </c>
      <c r="N896" s="47" t="s">
        <v>808</v>
      </c>
      <c r="O896" s="44" t="s">
        <v>4</v>
      </c>
      <c r="P896" s="47" t="s">
        <v>894</v>
      </c>
      <c r="Q896" s="48">
        <v>5500</v>
      </c>
      <c r="R896" s="49" t="s">
        <v>4</v>
      </c>
      <c r="S896" s="48" t="s">
        <v>4</v>
      </c>
      <c r="T896" s="47" t="s">
        <v>525</v>
      </c>
    </row>
    <row r="897" spans="1:20">
      <c r="A897" s="46">
        <v>138071304667</v>
      </c>
      <c r="B897" s="44" t="s">
        <v>517</v>
      </c>
      <c r="C897" s="45">
        <v>46011</v>
      </c>
      <c r="D897" s="46">
        <v>55140357169</v>
      </c>
      <c r="E897" s="46">
        <v>2154078940688</v>
      </c>
      <c r="F897" s="47" t="s">
        <v>518</v>
      </c>
      <c r="G897" s="47" t="s">
        <v>519</v>
      </c>
      <c r="H897" s="47" t="s">
        <v>4</v>
      </c>
      <c r="I897" s="46" t="s">
        <v>4</v>
      </c>
      <c r="J897" s="48">
        <v>257.05</v>
      </c>
      <c r="K897" s="47" t="s">
        <v>520</v>
      </c>
      <c r="L897" s="47" t="s">
        <v>521</v>
      </c>
      <c r="M897" s="46" t="s">
        <v>807</v>
      </c>
      <c r="N897" s="47" t="s">
        <v>808</v>
      </c>
      <c r="O897" s="44" t="s">
        <v>4</v>
      </c>
      <c r="P897" s="47" t="s">
        <v>931</v>
      </c>
      <c r="Q897" s="48">
        <v>26500</v>
      </c>
      <c r="R897" s="49" t="s">
        <v>4</v>
      </c>
      <c r="S897" s="48" t="s">
        <v>4</v>
      </c>
      <c r="T897" s="47" t="s">
        <v>525</v>
      </c>
    </row>
    <row r="898" spans="1:20">
      <c r="A898" s="46">
        <v>138711660284</v>
      </c>
      <c r="B898" s="44" t="s">
        <v>517</v>
      </c>
      <c r="C898" s="45">
        <v>46011</v>
      </c>
      <c r="D898" s="46">
        <v>55140556619</v>
      </c>
      <c r="E898" s="46">
        <v>2153921724721</v>
      </c>
      <c r="F898" s="47" t="s">
        <v>526</v>
      </c>
      <c r="G898" s="47" t="s">
        <v>519</v>
      </c>
      <c r="H898" s="47" t="s">
        <v>4</v>
      </c>
      <c r="I898" s="46" t="s">
        <v>4</v>
      </c>
      <c r="J898" s="48">
        <v>194</v>
      </c>
      <c r="K898" s="47" t="s">
        <v>520</v>
      </c>
      <c r="L898" s="47" t="s">
        <v>521</v>
      </c>
      <c r="M898" s="46" t="s">
        <v>807</v>
      </c>
      <c r="N898" s="47" t="s">
        <v>808</v>
      </c>
      <c r="O898" s="44" t="s">
        <v>4</v>
      </c>
      <c r="P898" s="47" t="s">
        <v>527</v>
      </c>
      <c r="Q898" s="48">
        <v>20000</v>
      </c>
      <c r="R898" s="49" t="s">
        <v>4</v>
      </c>
      <c r="S898" s="48" t="s">
        <v>4</v>
      </c>
      <c r="T898" s="47" t="s">
        <v>4</v>
      </c>
    </row>
    <row r="899" spans="1:20">
      <c r="A899" s="46">
        <v>138071717769</v>
      </c>
      <c r="B899" s="44" t="s">
        <v>517</v>
      </c>
      <c r="C899" s="45">
        <v>46011</v>
      </c>
      <c r="D899" s="46">
        <v>55140599522</v>
      </c>
      <c r="E899" s="46">
        <v>2153922368025</v>
      </c>
      <c r="F899" s="47" t="s">
        <v>518</v>
      </c>
      <c r="G899" s="47" t="s">
        <v>519</v>
      </c>
      <c r="H899" s="47" t="s">
        <v>4</v>
      </c>
      <c r="I899" s="46" t="s">
        <v>4</v>
      </c>
      <c r="J899" s="48">
        <v>428.69</v>
      </c>
      <c r="K899" s="47" t="s">
        <v>520</v>
      </c>
      <c r="L899" s="47" t="s">
        <v>521</v>
      </c>
      <c r="M899" s="46" t="s">
        <v>807</v>
      </c>
      <c r="N899" s="47" t="s">
        <v>808</v>
      </c>
      <c r="O899" s="44" t="s">
        <v>4</v>
      </c>
      <c r="P899" s="47" t="s">
        <v>932</v>
      </c>
      <c r="Q899" s="48">
        <v>26300</v>
      </c>
      <c r="R899" s="49" t="s">
        <v>4</v>
      </c>
      <c r="S899" s="48" t="s">
        <v>4</v>
      </c>
      <c r="T899" s="47" t="s">
        <v>525</v>
      </c>
    </row>
    <row r="900" spans="1:20">
      <c r="A900" s="46">
        <v>138712596668</v>
      </c>
      <c r="B900" s="44" t="s">
        <v>517</v>
      </c>
      <c r="C900" s="45">
        <v>46011</v>
      </c>
      <c r="D900" s="46">
        <v>55141035153</v>
      </c>
      <c r="E900" s="46">
        <v>2154087650926</v>
      </c>
      <c r="F900" s="47" t="s">
        <v>529</v>
      </c>
      <c r="G900" s="47" t="s">
        <v>519</v>
      </c>
      <c r="H900" s="47" t="s">
        <v>4</v>
      </c>
      <c r="I900" s="46" t="s">
        <v>4</v>
      </c>
      <c r="J900" s="48">
        <v>1266.6600000000001</v>
      </c>
      <c r="K900" s="47" t="s">
        <v>520</v>
      </c>
      <c r="L900" s="47" t="s">
        <v>530</v>
      </c>
      <c r="M900" s="46" t="s">
        <v>807</v>
      </c>
      <c r="N900" s="47" t="s">
        <v>808</v>
      </c>
      <c r="O900" s="44" t="s">
        <v>263</v>
      </c>
      <c r="P900" s="47" t="s">
        <v>531</v>
      </c>
      <c r="Q900" s="48">
        <v>27900</v>
      </c>
      <c r="R900" s="49" t="s">
        <v>4</v>
      </c>
      <c r="S900" s="48" t="s">
        <v>4</v>
      </c>
      <c r="T900" s="47" t="s">
        <v>525</v>
      </c>
    </row>
    <row r="901" spans="1:20">
      <c r="A901" s="46">
        <v>138072727715</v>
      </c>
      <c r="B901" s="44" t="s">
        <v>517</v>
      </c>
      <c r="C901" s="45">
        <v>46011</v>
      </c>
      <c r="D901" s="46">
        <v>55141041497</v>
      </c>
      <c r="E901" s="46">
        <v>2154088183340</v>
      </c>
      <c r="F901" s="47" t="s">
        <v>526</v>
      </c>
      <c r="G901" s="47" t="s">
        <v>519</v>
      </c>
      <c r="H901" s="47" t="s">
        <v>4</v>
      </c>
      <c r="I901" s="46" t="s">
        <v>4</v>
      </c>
      <c r="J901" s="48">
        <v>266.75</v>
      </c>
      <c r="K901" s="47" t="s">
        <v>520</v>
      </c>
      <c r="L901" s="47" t="s">
        <v>521</v>
      </c>
      <c r="M901" s="46" t="s">
        <v>807</v>
      </c>
      <c r="N901" s="47" t="s">
        <v>808</v>
      </c>
      <c r="O901" s="44" t="s">
        <v>4</v>
      </c>
      <c r="P901" s="47" t="s">
        <v>527</v>
      </c>
      <c r="Q901" s="48">
        <v>27500</v>
      </c>
      <c r="R901" s="49" t="s">
        <v>4</v>
      </c>
      <c r="S901" s="48" t="s">
        <v>4</v>
      </c>
      <c r="T901" s="47" t="s">
        <v>4</v>
      </c>
    </row>
    <row r="902" spans="1:20">
      <c r="A902" s="46">
        <v>138072709179</v>
      </c>
      <c r="B902" s="44" t="s">
        <v>517</v>
      </c>
      <c r="C902" s="45">
        <v>46011</v>
      </c>
      <c r="D902" s="46">
        <v>55141055150</v>
      </c>
      <c r="E902" s="46">
        <v>2153928022885</v>
      </c>
      <c r="F902" s="47" t="s">
        <v>529</v>
      </c>
      <c r="G902" s="47" t="s">
        <v>519</v>
      </c>
      <c r="H902" s="47" t="s">
        <v>4</v>
      </c>
      <c r="I902" s="46" t="s">
        <v>4</v>
      </c>
      <c r="J902" s="48">
        <v>3394.48</v>
      </c>
      <c r="K902" s="47" t="s">
        <v>520</v>
      </c>
      <c r="L902" s="47" t="s">
        <v>530</v>
      </c>
      <c r="M902" s="46" t="s">
        <v>807</v>
      </c>
      <c r="N902" s="47" t="s">
        <v>808</v>
      </c>
      <c r="O902" s="44" t="s">
        <v>263</v>
      </c>
      <c r="P902" s="47" t="s">
        <v>531</v>
      </c>
      <c r="Q902" s="48">
        <v>30200</v>
      </c>
      <c r="R902" s="49" t="s">
        <v>4</v>
      </c>
      <c r="S902" s="48" t="s">
        <v>4</v>
      </c>
      <c r="T902" s="47" t="s">
        <v>525</v>
      </c>
    </row>
    <row r="903" spans="1:20">
      <c r="A903" s="46">
        <v>138712746706</v>
      </c>
      <c r="B903" s="44" t="s">
        <v>517</v>
      </c>
      <c r="C903" s="45">
        <v>46011</v>
      </c>
      <c r="D903" s="46">
        <v>55141080743</v>
      </c>
      <c r="E903" s="46">
        <v>2154088352622</v>
      </c>
      <c r="F903" s="47" t="s">
        <v>518</v>
      </c>
      <c r="G903" s="47" t="s">
        <v>519</v>
      </c>
      <c r="H903" s="47" t="s">
        <v>4</v>
      </c>
      <c r="I903" s="46" t="s">
        <v>4</v>
      </c>
      <c r="J903" s="48">
        <v>101.85</v>
      </c>
      <c r="K903" s="47" t="s">
        <v>520</v>
      </c>
      <c r="L903" s="47" t="s">
        <v>521</v>
      </c>
      <c r="M903" s="46" t="s">
        <v>807</v>
      </c>
      <c r="N903" s="47" t="s">
        <v>808</v>
      </c>
      <c r="O903" s="44" t="s">
        <v>4</v>
      </c>
      <c r="P903" s="47" t="s">
        <v>933</v>
      </c>
      <c r="Q903" s="48">
        <v>10500</v>
      </c>
      <c r="R903" s="49" t="s">
        <v>4</v>
      </c>
      <c r="S903" s="48" t="s">
        <v>4</v>
      </c>
      <c r="T903" s="47" t="s">
        <v>525</v>
      </c>
    </row>
    <row r="904" spans="1:20">
      <c r="A904" s="46">
        <v>138072784035</v>
      </c>
      <c r="B904" s="44" t="s">
        <v>517</v>
      </c>
      <c r="C904" s="45">
        <v>46011</v>
      </c>
      <c r="D904" s="46">
        <v>55141083873</v>
      </c>
      <c r="E904" s="46">
        <v>2154088851604</v>
      </c>
      <c r="F904" s="47" t="s">
        <v>518</v>
      </c>
      <c r="G904" s="47" t="s">
        <v>519</v>
      </c>
      <c r="H904" s="47" t="s">
        <v>4</v>
      </c>
      <c r="I904" s="46" t="s">
        <v>4</v>
      </c>
      <c r="J904" s="48">
        <v>570.36</v>
      </c>
      <c r="K904" s="47" t="s">
        <v>520</v>
      </c>
      <c r="L904" s="47" t="s">
        <v>521</v>
      </c>
      <c r="M904" s="46" t="s">
        <v>807</v>
      </c>
      <c r="N904" s="47" t="s">
        <v>808</v>
      </c>
      <c r="O904" s="44" t="s">
        <v>4</v>
      </c>
      <c r="P904" s="47" t="s">
        <v>934</v>
      </c>
      <c r="Q904" s="48">
        <v>58800</v>
      </c>
      <c r="R904" s="49" t="s">
        <v>4</v>
      </c>
      <c r="S904" s="48" t="s">
        <v>4</v>
      </c>
      <c r="T904" s="47" t="s">
        <v>525</v>
      </c>
    </row>
    <row r="905" spans="1:20">
      <c r="A905" s="46">
        <v>138713132944</v>
      </c>
      <c r="B905" s="44" t="s">
        <v>517</v>
      </c>
      <c r="C905" s="45">
        <v>46011</v>
      </c>
      <c r="D905" s="46">
        <v>55141276942</v>
      </c>
      <c r="E905" s="46">
        <v>2153931197731</v>
      </c>
      <c r="F905" s="47" t="s">
        <v>518</v>
      </c>
      <c r="G905" s="47" t="s">
        <v>519</v>
      </c>
      <c r="H905" s="47" t="s">
        <v>4</v>
      </c>
      <c r="I905" s="46" t="s">
        <v>4</v>
      </c>
      <c r="J905" s="48">
        <v>344.35</v>
      </c>
      <c r="K905" s="47" t="s">
        <v>520</v>
      </c>
      <c r="L905" s="47" t="s">
        <v>521</v>
      </c>
      <c r="M905" s="46" t="s">
        <v>807</v>
      </c>
      <c r="N905" s="47" t="s">
        <v>808</v>
      </c>
      <c r="O905" s="44" t="s">
        <v>4</v>
      </c>
      <c r="P905" s="47" t="s">
        <v>935</v>
      </c>
      <c r="Q905" s="48">
        <v>35500</v>
      </c>
      <c r="R905" s="49" t="s">
        <v>4</v>
      </c>
      <c r="S905" s="48" t="s">
        <v>4</v>
      </c>
      <c r="T905" s="47" t="s">
        <v>525</v>
      </c>
    </row>
    <row r="906" spans="1:20">
      <c r="A906" s="46">
        <v>138713390948</v>
      </c>
      <c r="B906" s="44" t="s">
        <v>517</v>
      </c>
      <c r="C906" s="45">
        <v>46011</v>
      </c>
      <c r="D906" s="46">
        <v>55141377636</v>
      </c>
      <c r="E906" s="46">
        <v>2153932687701</v>
      </c>
      <c r="F906" s="47" t="s">
        <v>529</v>
      </c>
      <c r="G906" s="47" t="s">
        <v>519</v>
      </c>
      <c r="H906" s="47" t="s">
        <v>4</v>
      </c>
      <c r="I906" s="46" t="s">
        <v>4</v>
      </c>
      <c r="J906" s="48">
        <v>2854.96</v>
      </c>
      <c r="K906" s="47" t="s">
        <v>520</v>
      </c>
      <c r="L906" s="47" t="s">
        <v>530</v>
      </c>
      <c r="M906" s="46" t="s">
        <v>660</v>
      </c>
      <c r="N906" s="47" t="s">
        <v>661</v>
      </c>
      <c r="O906" s="44" t="s">
        <v>263</v>
      </c>
      <c r="P906" s="47" t="s">
        <v>531</v>
      </c>
      <c r="Q906" s="48">
        <v>25400</v>
      </c>
      <c r="R906" s="49" t="s">
        <v>4</v>
      </c>
      <c r="S906" s="48" t="s">
        <v>4</v>
      </c>
      <c r="T906" s="47" t="s">
        <v>525</v>
      </c>
    </row>
    <row r="907" spans="1:20">
      <c r="A907" s="46">
        <v>138073452173</v>
      </c>
      <c r="B907" s="44" t="s">
        <v>517</v>
      </c>
      <c r="C907" s="45">
        <v>46011</v>
      </c>
      <c r="D907" s="46">
        <v>55141415598</v>
      </c>
      <c r="E907" s="46">
        <v>2154092515470</v>
      </c>
      <c r="F907" s="47" t="s">
        <v>518</v>
      </c>
      <c r="G907" s="47" t="s">
        <v>519</v>
      </c>
      <c r="H907" s="47" t="s">
        <v>4</v>
      </c>
      <c r="I907" s="46" t="s">
        <v>4</v>
      </c>
      <c r="J907" s="48">
        <v>194</v>
      </c>
      <c r="K907" s="47" t="s">
        <v>520</v>
      </c>
      <c r="L907" s="47" t="s">
        <v>521</v>
      </c>
      <c r="M907" s="46" t="s">
        <v>807</v>
      </c>
      <c r="N907" s="47" t="s">
        <v>808</v>
      </c>
      <c r="O907" s="44" t="s">
        <v>4</v>
      </c>
      <c r="P907" s="47" t="s">
        <v>640</v>
      </c>
      <c r="Q907" s="48">
        <v>20000</v>
      </c>
      <c r="R907" s="49" t="s">
        <v>4</v>
      </c>
      <c r="S907" s="48" t="s">
        <v>4</v>
      </c>
      <c r="T907" s="47" t="s">
        <v>525</v>
      </c>
    </row>
    <row r="908" spans="1:20">
      <c r="A908" s="46">
        <v>138713517800</v>
      </c>
      <c r="B908" s="44" t="s">
        <v>517</v>
      </c>
      <c r="C908" s="45">
        <v>46011</v>
      </c>
      <c r="D908" s="46">
        <v>55141473072</v>
      </c>
      <c r="E908" s="46">
        <v>2153933899641</v>
      </c>
      <c r="F908" s="47" t="s">
        <v>529</v>
      </c>
      <c r="G908" s="47" t="s">
        <v>519</v>
      </c>
      <c r="H908" s="47" t="s">
        <v>4</v>
      </c>
      <c r="I908" s="46" t="s">
        <v>4</v>
      </c>
      <c r="J908" s="48">
        <v>2292.6999999999998</v>
      </c>
      <c r="K908" s="47" t="s">
        <v>520</v>
      </c>
      <c r="L908" s="47" t="s">
        <v>530</v>
      </c>
      <c r="M908" s="46" t="s">
        <v>807</v>
      </c>
      <c r="N908" s="47" t="s">
        <v>808</v>
      </c>
      <c r="O908" s="44" t="s">
        <v>263</v>
      </c>
      <c r="P908" s="47" t="s">
        <v>531</v>
      </c>
      <c r="Q908" s="48">
        <v>50500</v>
      </c>
      <c r="R908" s="49" t="s">
        <v>4</v>
      </c>
      <c r="S908" s="48" t="s">
        <v>4</v>
      </c>
      <c r="T908" s="47" t="s">
        <v>525</v>
      </c>
    </row>
    <row r="909" spans="1:20">
      <c r="A909" s="46">
        <v>138820146078</v>
      </c>
      <c r="B909" s="44" t="s">
        <v>517</v>
      </c>
      <c r="C909" s="45">
        <v>46011</v>
      </c>
      <c r="D909" s="46">
        <v>55183832521</v>
      </c>
      <c r="E909" s="46">
        <v>2154760238962</v>
      </c>
      <c r="F909" s="47" t="s">
        <v>518</v>
      </c>
      <c r="G909" s="47" t="s">
        <v>519</v>
      </c>
      <c r="H909" s="47" t="s">
        <v>4</v>
      </c>
      <c r="I909" s="46" t="s">
        <v>4</v>
      </c>
      <c r="J909" s="48">
        <v>97</v>
      </c>
      <c r="K909" s="47" t="s">
        <v>520</v>
      </c>
      <c r="L909" s="47" t="s">
        <v>521</v>
      </c>
      <c r="M909" s="46" t="s">
        <v>660</v>
      </c>
      <c r="N909" s="47" t="s">
        <v>661</v>
      </c>
      <c r="O909" s="44" t="s">
        <v>4</v>
      </c>
      <c r="P909" s="47" t="s">
        <v>605</v>
      </c>
      <c r="Q909" s="48">
        <v>10000</v>
      </c>
      <c r="R909" s="49" t="s">
        <v>4</v>
      </c>
      <c r="S909" s="48" t="s">
        <v>4</v>
      </c>
      <c r="T909" s="47" t="s">
        <v>525</v>
      </c>
    </row>
    <row r="910" spans="1:20">
      <c r="A910" s="46">
        <v>138180185879</v>
      </c>
      <c r="B910" s="44" t="s">
        <v>517</v>
      </c>
      <c r="C910" s="45">
        <v>46011</v>
      </c>
      <c r="D910" s="46">
        <v>55184019885</v>
      </c>
      <c r="E910" s="46">
        <v>2154603423057</v>
      </c>
      <c r="F910" s="47" t="s">
        <v>518</v>
      </c>
      <c r="G910" s="47" t="s">
        <v>519</v>
      </c>
      <c r="H910" s="47" t="s">
        <v>4</v>
      </c>
      <c r="I910" s="46" t="s">
        <v>4</v>
      </c>
      <c r="J910" s="48">
        <v>97</v>
      </c>
      <c r="K910" s="47" t="s">
        <v>520</v>
      </c>
      <c r="L910" s="47" t="s">
        <v>521</v>
      </c>
      <c r="M910" s="46" t="s">
        <v>807</v>
      </c>
      <c r="N910" s="47" t="s">
        <v>808</v>
      </c>
      <c r="O910" s="44" t="s">
        <v>4</v>
      </c>
      <c r="P910" s="47" t="s">
        <v>936</v>
      </c>
      <c r="Q910" s="48">
        <v>10000</v>
      </c>
      <c r="R910" s="49" t="s">
        <v>4</v>
      </c>
      <c r="S910" s="48" t="s">
        <v>4</v>
      </c>
      <c r="T910" s="47" t="s">
        <v>525</v>
      </c>
    </row>
    <row r="911" spans="1:20">
      <c r="A911" s="46">
        <v>138825658218</v>
      </c>
      <c r="B911" s="44" t="s">
        <v>517</v>
      </c>
      <c r="C911" s="45">
        <v>46011</v>
      </c>
      <c r="D911" s="46">
        <v>55185761537</v>
      </c>
      <c r="E911" s="46">
        <v>2154794118784</v>
      </c>
      <c r="F911" s="47" t="s">
        <v>529</v>
      </c>
      <c r="G911" s="47" t="s">
        <v>519</v>
      </c>
      <c r="H911" s="47" t="s">
        <v>4</v>
      </c>
      <c r="I911" s="46" t="s">
        <v>4</v>
      </c>
      <c r="J911" s="48">
        <v>393</v>
      </c>
      <c r="K911" s="47" t="s">
        <v>520</v>
      </c>
      <c r="L911" s="47" t="s">
        <v>530</v>
      </c>
      <c r="M911" s="46" t="s">
        <v>807</v>
      </c>
      <c r="N911" s="47" t="s">
        <v>808</v>
      </c>
      <c r="O911" s="44" t="s">
        <v>263</v>
      </c>
      <c r="P911" s="47" t="s">
        <v>531</v>
      </c>
      <c r="Q911" s="48">
        <v>10000</v>
      </c>
      <c r="R911" s="49" t="s">
        <v>4</v>
      </c>
      <c r="S911" s="48" t="s">
        <v>4</v>
      </c>
      <c r="T911" s="47" t="s">
        <v>525</v>
      </c>
    </row>
    <row r="912" spans="1:20">
      <c r="A912" s="46">
        <v>138830273878</v>
      </c>
      <c r="B912" s="44" t="s">
        <v>517</v>
      </c>
      <c r="C912" s="45">
        <v>46011</v>
      </c>
      <c r="D912" s="46">
        <v>55187417800</v>
      </c>
      <c r="E912" s="46">
        <v>2154663280837</v>
      </c>
      <c r="F912" s="47" t="s">
        <v>529</v>
      </c>
      <c r="G912" s="47" t="s">
        <v>519</v>
      </c>
      <c r="H912" s="47" t="s">
        <v>4</v>
      </c>
      <c r="I912" s="46" t="s">
        <v>4</v>
      </c>
      <c r="J912" s="48">
        <v>456.6</v>
      </c>
      <c r="K912" s="47" t="s">
        <v>520</v>
      </c>
      <c r="L912" s="47" t="s">
        <v>530</v>
      </c>
      <c r="M912" s="46" t="s">
        <v>807</v>
      </c>
      <c r="N912" s="47" t="s">
        <v>808</v>
      </c>
      <c r="O912" s="44" t="s">
        <v>263</v>
      </c>
      <c r="P912" s="47" t="s">
        <v>531</v>
      </c>
      <c r="Q912" s="48">
        <v>6000</v>
      </c>
      <c r="R912" s="49" t="s">
        <v>4</v>
      </c>
      <c r="S912" s="48" t="s">
        <v>4</v>
      </c>
      <c r="T912" s="47" t="s">
        <v>525</v>
      </c>
    </row>
    <row r="913" spans="1:20">
      <c r="A913" s="46">
        <v>138831169662</v>
      </c>
      <c r="B913" s="44" t="s">
        <v>517</v>
      </c>
      <c r="C913" s="45">
        <v>46011</v>
      </c>
      <c r="D913" s="46">
        <v>55187744238</v>
      </c>
      <c r="E913" s="46">
        <v>2154669151785</v>
      </c>
      <c r="F913" s="47" t="s">
        <v>518</v>
      </c>
      <c r="G913" s="47" t="s">
        <v>519</v>
      </c>
      <c r="H913" s="47" t="s">
        <v>4</v>
      </c>
      <c r="I913" s="46" t="s">
        <v>4</v>
      </c>
      <c r="J913" s="48">
        <v>53.35</v>
      </c>
      <c r="K913" s="47" t="s">
        <v>520</v>
      </c>
      <c r="L913" s="47" t="s">
        <v>521</v>
      </c>
      <c r="M913" s="46" t="s">
        <v>807</v>
      </c>
      <c r="N913" s="47" t="s">
        <v>808</v>
      </c>
      <c r="O913" s="44" t="s">
        <v>4</v>
      </c>
      <c r="P913" s="47" t="s">
        <v>937</v>
      </c>
      <c r="Q913" s="48">
        <v>5500</v>
      </c>
      <c r="R913" s="49" t="s">
        <v>4</v>
      </c>
      <c r="S913" s="48" t="s">
        <v>4</v>
      </c>
      <c r="T913" s="47" t="s">
        <v>525</v>
      </c>
    </row>
    <row r="914" spans="1:20">
      <c r="A914" s="46">
        <v>138834531356</v>
      </c>
      <c r="B914" s="44" t="s">
        <v>517</v>
      </c>
      <c r="C914" s="45">
        <v>46011</v>
      </c>
      <c r="D914" s="46">
        <v>55188911452</v>
      </c>
      <c r="E914" s="46">
        <v>2154689874407</v>
      </c>
      <c r="F914" s="47" t="s">
        <v>518</v>
      </c>
      <c r="G914" s="47" t="s">
        <v>519</v>
      </c>
      <c r="H914" s="47" t="s">
        <v>4</v>
      </c>
      <c r="I914" s="46" t="s">
        <v>4</v>
      </c>
      <c r="J914" s="48">
        <v>125.13</v>
      </c>
      <c r="K914" s="47" t="s">
        <v>520</v>
      </c>
      <c r="L914" s="47" t="s">
        <v>521</v>
      </c>
      <c r="M914" s="46" t="s">
        <v>807</v>
      </c>
      <c r="N914" s="47" t="s">
        <v>808</v>
      </c>
      <c r="O914" s="44" t="s">
        <v>4</v>
      </c>
      <c r="P914" s="47" t="s">
        <v>536</v>
      </c>
      <c r="Q914" s="48">
        <v>12900</v>
      </c>
      <c r="R914" s="49" t="s">
        <v>4</v>
      </c>
      <c r="S914" s="48" t="s">
        <v>4</v>
      </c>
      <c r="T914" s="47" t="s">
        <v>525</v>
      </c>
    </row>
    <row r="915" spans="1:20">
      <c r="A915" s="46">
        <v>138194400553</v>
      </c>
      <c r="B915" s="44" t="s">
        <v>517</v>
      </c>
      <c r="C915" s="45">
        <v>46011</v>
      </c>
      <c r="D915" s="46">
        <v>55189036950</v>
      </c>
      <c r="E915" s="46">
        <v>2154852115398</v>
      </c>
      <c r="F915" s="47" t="s">
        <v>529</v>
      </c>
      <c r="G915" s="47" t="s">
        <v>519</v>
      </c>
      <c r="H915" s="47" t="s">
        <v>4</v>
      </c>
      <c r="I915" s="46" t="s">
        <v>4</v>
      </c>
      <c r="J915" s="48">
        <v>488.05</v>
      </c>
      <c r="K915" s="47" t="s">
        <v>520</v>
      </c>
      <c r="L915" s="47" t="s">
        <v>530</v>
      </c>
      <c r="M915" s="46" t="s">
        <v>660</v>
      </c>
      <c r="N915" s="47" t="s">
        <v>661</v>
      </c>
      <c r="O915" s="44" t="s">
        <v>263</v>
      </c>
      <c r="P915" s="47" t="s">
        <v>531</v>
      </c>
      <c r="Q915" s="48">
        <v>11825</v>
      </c>
      <c r="R915" s="49" t="s">
        <v>4</v>
      </c>
      <c r="S915" s="48" t="s">
        <v>4</v>
      </c>
      <c r="T915" s="47" t="s">
        <v>525</v>
      </c>
    </row>
    <row r="916" spans="1:20">
      <c r="A916" s="46">
        <v>138837938928</v>
      </c>
      <c r="B916" s="44" t="s">
        <v>517</v>
      </c>
      <c r="C916" s="45">
        <v>46011</v>
      </c>
      <c r="D916" s="46">
        <v>55190135250</v>
      </c>
      <c r="E916" s="46">
        <v>2154871032036</v>
      </c>
      <c r="F916" s="47" t="s">
        <v>518</v>
      </c>
      <c r="G916" s="47" t="s">
        <v>519</v>
      </c>
      <c r="H916" s="47" t="s">
        <v>4</v>
      </c>
      <c r="I916" s="46" t="s">
        <v>4</v>
      </c>
      <c r="J916" s="48">
        <v>145.5</v>
      </c>
      <c r="K916" s="47" t="s">
        <v>520</v>
      </c>
      <c r="L916" s="47" t="s">
        <v>521</v>
      </c>
      <c r="M916" s="46" t="s">
        <v>807</v>
      </c>
      <c r="N916" s="47" t="s">
        <v>808</v>
      </c>
      <c r="O916" s="44" t="s">
        <v>4</v>
      </c>
      <c r="P916" s="47" t="s">
        <v>938</v>
      </c>
      <c r="Q916" s="48">
        <v>15000</v>
      </c>
      <c r="R916" s="49" t="s">
        <v>4</v>
      </c>
      <c r="S916" s="48" t="s">
        <v>4</v>
      </c>
      <c r="T916" s="47" t="s">
        <v>525</v>
      </c>
    </row>
    <row r="917" spans="1:20">
      <c r="A917" s="46">
        <v>138198187679</v>
      </c>
      <c r="B917" s="44" t="s">
        <v>517</v>
      </c>
      <c r="C917" s="45">
        <v>46011</v>
      </c>
      <c r="D917" s="46">
        <v>55190402425</v>
      </c>
      <c r="E917" s="46">
        <v>2154876115364</v>
      </c>
      <c r="F917" s="47" t="s">
        <v>518</v>
      </c>
      <c r="G917" s="47" t="s">
        <v>519</v>
      </c>
      <c r="H917" s="47" t="s">
        <v>4</v>
      </c>
      <c r="I917" s="46" t="s">
        <v>4</v>
      </c>
      <c r="J917" s="48">
        <v>194</v>
      </c>
      <c r="K917" s="47" t="s">
        <v>520</v>
      </c>
      <c r="L917" s="47" t="s">
        <v>521</v>
      </c>
      <c r="M917" s="46" t="s">
        <v>807</v>
      </c>
      <c r="N917" s="47" t="s">
        <v>808</v>
      </c>
      <c r="O917" s="44" t="s">
        <v>4</v>
      </c>
      <c r="P917" s="47" t="s">
        <v>939</v>
      </c>
      <c r="Q917" s="48">
        <v>20000</v>
      </c>
      <c r="R917" s="49" t="s">
        <v>4</v>
      </c>
      <c r="S917" s="48" t="s">
        <v>4</v>
      </c>
      <c r="T917" s="47" t="s">
        <v>525</v>
      </c>
    </row>
    <row r="918" spans="1:20">
      <c r="A918" s="46">
        <v>138198737449</v>
      </c>
      <c r="B918" s="44" t="s">
        <v>517</v>
      </c>
      <c r="C918" s="45">
        <v>46011</v>
      </c>
      <c r="D918" s="46">
        <v>55190563971</v>
      </c>
      <c r="E918" s="46">
        <v>2154879325118</v>
      </c>
      <c r="F918" s="47" t="s">
        <v>529</v>
      </c>
      <c r="G918" s="47" t="s">
        <v>519</v>
      </c>
      <c r="H918" s="47" t="s">
        <v>4</v>
      </c>
      <c r="I918" s="46" t="s">
        <v>4</v>
      </c>
      <c r="J918" s="48">
        <v>2015.76</v>
      </c>
      <c r="K918" s="47" t="s">
        <v>520</v>
      </c>
      <c r="L918" s="47" t="s">
        <v>530</v>
      </c>
      <c r="M918" s="46" t="s">
        <v>807</v>
      </c>
      <c r="N918" s="47" t="s">
        <v>808</v>
      </c>
      <c r="O918" s="44" t="s">
        <v>263</v>
      </c>
      <c r="P918" s="47" t="s">
        <v>531</v>
      </c>
      <c r="Q918" s="48">
        <v>44400</v>
      </c>
      <c r="R918" s="49" t="s">
        <v>4</v>
      </c>
      <c r="S918" s="48" t="s">
        <v>4</v>
      </c>
      <c r="T918" s="47" t="s">
        <v>525</v>
      </c>
    </row>
    <row r="919" spans="1:20">
      <c r="A919" s="46">
        <v>138840860684</v>
      </c>
      <c r="B919" s="44" t="s">
        <v>517</v>
      </c>
      <c r="C919" s="45">
        <v>46011</v>
      </c>
      <c r="D919" s="46">
        <v>55191155754</v>
      </c>
      <c r="E919" s="46">
        <v>2154889023720</v>
      </c>
      <c r="F919" s="47" t="s">
        <v>529</v>
      </c>
      <c r="G919" s="47" t="s">
        <v>519</v>
      </c>
      <c r="H919" s="47" t="s">
        <v>4</v>
      </c>
      <c r="I919" s="46" t="s">
        <v>4</v>
      </c>
      <c r="J919" s="48">
        <v>648.45000000000005</v>
      </c>
      <c r="K919" s="47" t="s">
        <v>520</v>
      </c>
      <c r="L919" s="47" t="s">
        <v>530</v>
      </c>
      <c r="M919" s="46" t="s">
        <v>807</v>
      </c>
      <c r="N919" s="47" t="s">
        <v>808</v>
      </c>
      <c r="O919" s="44" t="s">
        <v>263</v>
      </c>
      <c r="P919" s="47" t="s">
        <v>531</v>
      </c>
      <c r="Q919" s="48">
        <v>16500</v>
      </c>
      <c r="R919" s="49" t="s">
        <v>4</v>
      </c>
      <c r="S919" s="48" t="s">
        <v>4</v>
      </c>
      <c r="T919" s="47" t="s">
        <v>525</v>
      </c>
    </row>
    <row r="920" spans="1:20">
      <c r="A920" s="46">
        <v>138201157087</v>
      </c>
      <c r="B920" s="44" t="s">
        <v>517</v>
      </c>
      <c r="C920" s="45">
        <v>46011</v>
      </c>
      <c r="D920" s="46">
        <v>55191439018</v>
      </c>
      <c r="E920" s="46">
        <v>2154893958180</v>
      </c>
      <c r="F920" s="47" t="s">
        <v>529</v>
      </c>
      <c r="G920" s="47" t="s">
        <v>519</v>
      </c>
      <c r="H920" s="47" t="s">
        <v>4</v>
      </c>
      <c r="I920" s="46" t="s">
        <v>4</v>
      </c>
      <c r="J920" s="48">
        <v>2838.53</v>
      </c>
      <c r="K920" s="47" t="s">
        <v>520</v>
      </c>
      <c r="L920" s="47" t="s">
        <v>530</v>
      </c>
      <c r="M920" s="46" t="s">
        <v>807</v>
      </c>
      <c r="N920" s="47" t="s">
        <v>808</v>
      </c>
      <c r="O920" s="44" t="s">
        <v>263</v>
      </c>
      <c r="P920" s="47" t="s">
        <v>531</v>
      </c>
      <c r="Q920" s="48">
        <v>37300</v>
      </c>
      <c r="R920" s="49" t="s">
        <v>4</v>
      </c>
      <c r="S920" s="48" t="s">
        <v>4</v>
      </c>
      <c r="T920" s="47" t="s">
        <v>525</v>
      </c>
    </row>
    <row r="921" spans="1:20">
      <c r="A921" s="46">
        <v>138841653890</v>
      </c>
      <c r="B921" s="44" t="s">
        <v>517</v>
      </c>
      <c r="C921" s="45">
        <v>46011</v>
      </c>
      <c r="D921" s="46">
        <v>55191462561</v>
      </c>
      <c r="E921" s="46">
        <v>2154894951086</v>
      </c>
      <c r="F921" s="47" t="s">
        <v>529</v>
      </c>
      <c r="G921" s="47" t="s">
        <v>519</v>
      </c>
      <c r="H921" s="47" t="s">
        <v>4</v>
      </c>
      <c r="I921" s="46" t="s">
        <v>4</v>
      </c>
      <c r="J921" s="48">
        <v>1458.03</v>
      </c>
      <c r="K921" s="47" t="s">
        <v>520</v>
      </c>
      <c r="L921" s="47" t="s">
        <v>530</v>
      </c>
      <c r="M921" s="46" t="s">
        <v>660</v>
      </c>
      <c r="N921" s="47" t="s">
        <v>661</v>
      </c>
      <c r="O921" s="44" t="s">
        <v>263</v>
      </c>
      <c r="P921" s="47" t="s">
        <v>531</v>
      </c>
      <c r="Q921" s="48">
        <v>37100</v>
      </c>
      <c r="R921" s="49" t="s">
        <v>4</v>
      </c>
      <c r="S921" s="48" t="s">
        <v>4</v>
      </c>
      <c r="T921" s="47" t="s">
        <v>525</v>
      </c>
    </row>
    <row r="922" spans="1:20">
      <c r="A922" s="46">
        <v>138201252687</v>
      </c>
      <c r="B922" s="44" t="s">
        <v>517</v>
      </c>
      <c r="C922" s="45">
        <v>46011</v>
      </c>
      <c r="D922" s="46">
        <v>55191476783</v>
      </c>
      <c r="E922" s="46">
        <v>2154894600146</v>
      </c>
      <c r="F922" s="47" t="s">
        <v>526</v>
      </c>
      <c r="G922" s="47" t="s">
        <v>519</v>
      </c>
      <c r="H922" s="47" t="s">
        <v>4</v>
      </c>
      <c r="I922" s="46" t="s">
        <v>4</v>
      </c>
      <c r="J922" s="48">
        <v>329.8</v>
      </c>
      <c r="K922" s="47" t="s">
        <v>520</v>
      </c>
      <c r="L922" s="47" t="s">
        <v>521</v>
      </c>
      <c r="M922" s="46" t="s">
        <v>660</v>
      </c>
      <c r="N922" s="47" t="s">
        <v>661</v>
      </c>
      <c r="O922" s="44" t="s">
        <v>4</v>
      </c>
      <c r="P922" s="47" t="s">
        <v>527</v>
      </c>
      <c r="Q922" s="48">
        <v>34000</v>
      </c>
      <c r="R922" s="49" t="s">
        <v>4</v>
      </c>
      <c r="S922" s="48" t="s">
        <v>4</v>
      </c>
      <c r="T922" s="47" t="s">
        <v>4</v>
      </c>
    </row>
    <row r="923" spans="1:20">
      <c r="A923" s="46">
        <v>138201467989</v>
      </c>
      <c r="B923" s="44" t="s">
        <v>517</v>
      </c>
      <c r="C923" s="45">
        <v>46011</v>
      </c>
      <c r="D923" s="46">
        <v>55191569902</v>
      </c>
      <c r="E923" s="46">
        <v>2154736152175</v>
      </c>
      <c r="F923" s="47" t="s">
        <v>518</v>
      </c>
      <c r="G923" s="47" t="s">
        <v>519</v>
      </c>
      <c r="H923" s="47" t="s">
        <v>4</v>
      </c>
      <c r="I923" s="46" t="s">
        <v>4</v>
      </c>
      <c r="J923" s="48">
        <v>264.81</v>
      </c>
      <c r="K923" s="47" t="s">
        <v>520</v>
      </c>
      <c r="L923" s="47" t="s">
        <v>521</v>
      </c>
      <c r="M923" s="46" t="s">
        <v>807</v>
      </c>
      <c r="N923" s="47" t="s">
        <v>808</v>
      </c>
      <c r="O923" s="44" t="s">
        <v>4</v>
      </c>
      <c r="P923" s="47" t="s">
        <v>940</v>
      </c>
      <c r="Q923" s="48">
        <v>27300</v>
      </c>
      <c r="R923" s="49" t="s">
        <v>4</v>
      </c>
      <c r="S923" s="48" t="s">
        <v>4</v>
      </c>
      <c r="T923" s="47" t="s">
        <v>525</v>
      </c>
    </row>
    <row r="924" spans="1:20">
      <c r="A924" s="46">
        <v>138843315510</v>
      </c>
      <c r="B924" s="44" t="s">
        <v>517</v>
      </c>
      <c r="C924" s="45">
        <v>46011</v>
      </c>
      <c r="D924" s="46">
        <v>55192027499</v>
      </c>
      <c r="E924" s="46">
        <v>2154904288434</v>
      </c>
      <c r="F924" s="47" t="s">
        <v>529</v>
      </c>
      <c r="G924" s="47" t="s">
        <v>519</v>
      </c>
      <c r="H924" s="47" t="s">
        <v>4</v>
      </c>
      <c r="I924" s="46" t="s">
        <v>4</v>
      </c>
      <c r="J924" s="48">
        <v>864.6</v>
      </c>
      <c r="K924" s="47" t="s">
        <v>520</v>
      </c>
      <c r="L924" s="47" t="s">
        <v>530</v>
      </c>
      <c r="M924" s="46" t="s">
        <v>660</v>
      </c>
      <c r="N924" s="47" t="s">
        <v>661</v>
      </c>
      <c r="O924" s="44" t="s">
        <v>263</v>
      </c>
      <c r="P924" s="47" t="s">
        <v>531</v>
      </c>
      <c r="Q924" s="48">
        <v>22000</v>
      </c>
      <c r="R924" s="49" t="s">
        <v>4</v>
      </c>
      <c r="S924" s="48" t="s">
        <v>4</v>
      </c>
      <c r="T924" s="47" t="s">
        <v>525</v>
      </c>
    </row>
    <row r="925" spans="1:20">
      <c r="A925" s="46">
        <v>138204114191</v>
      </c>
      <c r="B925" s="44" t="s">
        <v>517</v>
      </c>
      <c r="C925" s="45">
        <v>46011</v>
      </c>
      <c r="D925" s="46">
        <v>55192459375</v>
      </c>
      <c r="E925" s="46">
        <v>2154912164062</v>
      </c>
      <c r="F925" s="47" t="s">
        <v>562</v>
      </c>
      <c r="G925" s="47" t="s">
        <v>519</v>
      </c>
      <c r="H925" s="47" t="s">
        <v>4</v>
      </c>
      <c r="I925" s="46" t="s">
        <v>4</v>
      </c>
      <c r="J925" s="48">
        <v>81.5</v>
      </c>
      <c r="K925" s="47" t="s">
        <v>520</v>
      </c>
      <c r="L925" s="47" t="s">
        <v>521</v>
      </c>
      <c r="M925" s="46" t="s">
        <v>807</v>
      </c>
      <c r="N925" s="47" t="s">
        <v>808</v>
      </c>
      <c r="O925" s="44" t="s">
        <v>4</v>
      </c>
      <c r="P925" s="47" t="s">
        <v>563</v>
      </c>
      <c r="Q925" s="48">
        <v>5000</v>
      </c>
      <c r="R925" s="49" t="s">
        <v>4</v>
      </c>
      <c r="S925" s="48" t="s">
        <v>4</v>
      </c>
      <c r="T925" s="47" t="s">
        <v>525</v>
      </c>
    </row>
    <row r="926" spans="1:20">
      <c r="A926" s="46">
        <v>138205303057</v>
      </c>
      <c r="B926" s="44" t="s">
        <v>517</v>
      </c>
      <c r="C926" s="45">
        <v>46011</v>
      </c>
      <c r="D926" s="46">
        <v>55192922889</v>
      </c>
      <c r="E926" s="46">
        <v>2154920201862</v>
      </c>
      <c r="F926" s="47" t="s">
        <v>518</v>
      </c>
      <c r="G926" s="47" t="s">
        <v>519</v>
      </c>
      <c r="H926" s="47" t="s">
        <v>4</v>
      </c>
      <c r="I926" s="46" t="s">
        <v>4</v>
      </c>
      <c r="J926" s="48">
        <v>239.59</v>
      </c>
      <c r="K926" s="47" t="s">
        <v>520</v>
      </c>
      <c r="L926" s="47" t="s">
        <v>521</v>
      </c>
      <c r="M926" s="46" t="s">
        <v>807</v>
      </c>
      <c r="N926" s="47" t="s">
        <v>808</v>
      </c>
      <c r="O926" s="44" t="s">
        <v>4</v>
      </c>
      <c r="P926" s="47" t="s">
        <v>941</v>
      </c>
      <c r="Q926" s="48">
        <v>24700</v>
      </c>
      <c r="R926" s="49" t="s">
        <v>4</v>
      </c>
      <c r="S926" s="48" t="s">
        <v>4</v>
      </c>
      <c r="T926" s="47" t="s">
        <v>525</v>
      </c>
    </row>
    <row r="927" spans="1:20">
      <c r="A927" s="46">
        <v>138846074058</v>
      </c>
      <c r="B927" s="44" t="s">
        <v>517</v>
      </c>
      <c r="C927" s="45">
        <v>46011</v>
      </c>
      <c r="D927" s="46">
        <v>55193046753</v>
      </c>
      <c r="E927" s="46">
        <v>2154921969204</v>
      </c>
      <c r="F927" s="47" t="s">
        <v>562</v>
      </c>
      <c r="G927" s="47" t="s">
        <v>519</v>
      </c>
      <c r="H927" s="47" t="s">
        <v>4</v>
      </c>
      <c r="I927" s="46" t="s">
        <v>4</v>
      </c>
      <c r="J927" s="48">
        <v>722.09</v>
      </c>
      <c r="K927" s="47" t="s">
        <v>520</v>
      </c>
      <c r="L927" s="47" t="s">
        <v>521</v>
      </c>
      <c r="M927" s="46" t="s">
        <v>660</v>
      </c>
      <c r="N927" s="47" t="s">
        <v>661</v>
      </c>
      <c r="O927" s="44" t="s">
        <v>4</v>
      </c>
      <c r="P927" s="47" t="s">
        <v>563</v>
      </c>
      <c r="Q927" s="48">
        <v>44300</v>
      </c>
      <c r="R927" s="49" t="s">
        <v>4</v>
      </c>
      <c r="S927" s="48" t="s">
        <v>4</v>
      </c>
      <c r="T927" s="47" t="s">
        <v>525</v>
      </c>
    </row>
    <row r="928" spans="1:20">
      <c r="A928" s="46">
        <v>138206888477</v>
      </c>
      <c r="B928" s="44" t="s">
        <v>517</v>
      </c>
      <c r="C928" s="45">
        <v>46011</v>
      </c>
      <c r="D928" s="46">
        <v>55193482559</v>
      </c>
      <c r="E928" s="46">
        <v>2154769616141</v>
      </c>
      <c r="F928" s="47" t="s">
        <v>529</v>
      </c>
      <c r="G928" s="47" t="s">
        <v>519</v>
      </c>
      <c r="H928" s="47" t="s">
        <v>4</v>
      </c>
      <c r="I928" s="46" t="s">
        <v>4</v>
      </c>
      <c r="J928" s="48">
        <v>2299.0500000000002</v>
      </c>
      <c r="K928" s="47" t="s">
        <v>520</v>
      </c>
      <c r="L928" s="47" t="s">
        <v>530</v>
      </c>
      <c r="M928" s="46" t="s">
        <v>807</v>
      </c>
      <c r="N928" s="47" t="s">
        <v>808</v>
      </c>
      <c r="O928" s="44" t="s">
        <v>263</v>
      </c>
      <c r="P928" s="47" t="s">
        <v>531</v>
      </c>
      <c r="Q928" s="48">
        <v>58500</v>
      </c>
      <c r="R928" s="49" t="s">
        <v>4</v>
      </c>
      <c r="S928" s="48" t="s">
        <v>4</v>
      </c>
      <c r="T928" s="47" t="s">
        <v>525</v>
      </c>
    </row>
    <row r="929" spans="1:20">
      <c r="A929" s="46">
        <v>138847468360</v>
      </c>
      <c r="B929" s="44" t="s">
        <v>517</v>
      </c>
      <c r="C929" s="45">
        <v>46011</v>
      </c>
      <c r="D929" s="46">
        <v>55193512579</v>
      </c>
      <c r="E929" s="46">
        <v>2154770306825</v>
      </c>
      <c r="F929" s="47" t="s">
        <v>529</v>
      </c>
      <c r="G929" s="47" t="s">
        <v>519</v>
      </c>
      <c r="H929" s="47" t="s">
        <v>4</v>
      </c>
      <c r="I929" s="46" t="s">
        <v>4</v>
      </c>
      <c r="J929" s="48">
        <v>749.1</v>
      </c>
      <c r="K929" s="47" t="s">
        <v>520</v>
      </c>
      <c r="L929" s="47" t="s">
        <v>530</v>
      </c>
      <c r="M929" s="46" t="s">
        <v>807</v>
      </c>
      <c r="N929" s="47" t="s">
        <v>808</v>
      </c>
      <c r="O929" s="44" t="s">
        <v>263</v>
      </c>
      <c r="P929" s="47" t="s">
        <v>531</v>
      </c>
      <c r="Q929" s="48">
        <v>16500</v>
      </c>
      <c r="R929" s="49" t="s">
        <v>4</v>
      </c>
      <c r="S929" s="48" t="s">
        <v>4</v>
      </c>
      <c r="T929" s="47" t="s">
        <v>525</v>
      </c>
    </row>
    <row r="930" spans="1:20">
      <c r="A930" s="46">
        <v>138207560423</v>
      </c>
      <c r="B930" s="44" t="s">
        <v>517</v>
      </c>
      <c r="C930" s="45">
        <v>46011</v>
      </c>
      <c r="D930" s="46">
        <v>55193747833</v>
      </c>
      <c r="E930" s="46">
        <v>2154773746743</v>
      </c>
      <c r="F930" s="47" t="s">
        <v>518</v>
      </c>
      <c r="G930" s="47" t="s">
        <v>519</v>
      </c>
      <c r="H930" s="47" t="s">
        <v>4</v>
      </c>
      <c r="I930" s="46" t="s">
        <v>4</v>
      </c>
      <c r="J930" s="48">
        <v>790.55</v>
      </c>
      <c r="K930" s="47" t="s">
        <v>520</v>
      </c>
      <c r="L930" s="47" t="s">
        <v>521</v>
      </c>
      <c r="M930" s="46" t="s">
        <v>807</v>
      </c>
      <c r="N930" s="47" t="s">
        <v>808</v>
      </c>
      <c r="O930" s="44" t="s">
        <v>4</v>
      </c>
      <c r="P930" s="47" t="s">
        <v>800</v>
      </c>
      <c r="Q930" s="48">
        <v>81500</v>
      </c>
      <c r="R930" s="49" t="s">
        <v>4</v>
      </c>
      <c r="S930" s="48" t="s">
        <v>4</v>
      </c>
      <c r="T930" s="47" t="s">
        <v>525</v>
      </c>
    </row>
    <row r="931" spans="1:20">
      <c r="A931" s="46">
        <v>138207547971</v>
      </c>
      <c r="B931" s="44" t="s">
        <v>517</v>
      </c>
      <c r="C931" s="45">
        <v>46011</v>
      </c>
      <c r="D931" s="46">
        <v>55193772754</v>
      </c>
      <c r="E931" s="46">
        <v>2154934899790</v>
      </c>
      <c r="F931" s="47" t="s">
        <v>526</v>
      </c>
      <c r="G931" s="47" t="s">
        <v>519</v>
      </c>
      <c r="H931" s="47" t="s">
        <v>4</v>
      </c>
      <c r="I931" s="46" t="s">
        <v>4</v>
      </c>
      <c r="J931" s="48">
        <v>48.5</v>
      </c>
      <c r="K931" s="47" t="s">
        <v>520</v>
      </c>
      <c r="L931" s="47" t="s">
        <v>521</v>
      </c>
      <c r="M931" s="46" t="s">
        <v>807</v>
      </c>
      <c r="N931" s="47" t="s">
        <v>808</v>
      </c>
      <c r="O931" s="44" t="s">
        <v>4</v>
      </c>
      <c r="P931" s="47" t="s">
        <v>527</v>
      </c>
      <c r="Q931" s="48">
        <v>5000</v>
      </c>
      <c r="R931" s="49" t="s">
        <v>4</v>
      </c>
      <c r="S931" s="48" t="s">
        <v>4</v>
      </c>
      <c r="T931" s="47" t="s">
        <v>4</v>
      </c>
    </row>
    <row r="932" spans="1:20">
      <c r="A932" s="46">
        <v>138848404496</v>
      </c>
      <c r="B932" s="44" t="s">
        <v>517</v>
      </c>
      <c r="C932" s="45">
        <v>46011</v>
      </c>
      <c r="D932" s="46">
        <v>55193859911</v>
      </c>
      <c r="E932" s="46">
        <v>2154936061732</v>
      </c>
      <c r="F932" s="47" t="s">
        <v>518</v>
      </c>
      <c r="G932" s="47" t="s">
        <v>519</v>
      </c>
      <c r="H932" s="47" t="s">
        <v>4</v>
      </c>
      <c r="I932" s="46" t="s">
        <v>4</v>
      </c>
      <c r="J932" s="48">
        <v>192.06</v>
      </c>
      <c r="K932" s="47" t="s">
        <v>520</v>
      </c>
      <c r="L932" s="47" t="s">
        <v>521</v>
      </c>
      <c r="M932" s="46" t="s">
        <v>807</v>
      </c>
      <c r="N932" s="47" t="s">
        <v>808</v>
      </c>
      <c r="O932" s="44" t="s">
        <v>4</v>
      </c>
      <c r="P932" s="47" t="s">
        <v>942</v>
      </c>
      <c r="Q932" s="48">
        <v>19800</v>
      </c>
      <c r="R932" s="49" t="s">
        <v>4</v>
      </c>
      <c r="S932" s="48" t="s">
        <v>4</v>
      </c>
      <c r="T932" s="47" t="s">
        <v>525</v>
      </c>
    </row>
    <row r="933" spans="1:20">
      <c r="A933" s="46">
        <v>138848967406</v>
      </c>
      <c r="B933" s="44" t="s">
        <v>517</v>
      </c>
      <c r="C933" s="45">
        <v>46012</v>
      </c>
      <c r="D933" s="46">
        <v>55194129903</v>
      </c>
      <c r="E933" s="46">
        <v>2154940405626</v>
      </c>
      <c r="F933" s="47" t="s">
        <v>518</v>
      </c>
      <c r="G933" s="47" t="s">
        <v>519</v>
      </c>
      <c r="H933" s="47" t="s">
        <v>4</v>
      </c>
      <c r="I933" s="46" t="s">
        <v>4</v>
      </c>
      <c r="J933" s="48">
        <v>140.65</v>
      </c>
      <c r="K933" s="47" t="s">
        <v>520</v>
      </c>
      <c r="L933" s="47" t="s">
        <v>521</v>
      </c>
      <c r="M933" s="46" t="s">
        <v>660</v>
      </c>
      <c r="N933" s="47" t="s">
        <v>661</v>
      </c>
      <c r="O933" s="44" t="s">
        <v>4</v>
      </c>
      <c r="P933" s="47" t="s">
        <v>943</v>
      </c>
      <c r="Q933" s="48">
        <v>14500</v>
      </c>
      <c r="R933" s="49" t="s">
        <v>4</v>
      </c>
      <c r="S933" s="48" t="s">
        <v>4</v>
      </c>
      <c r="T933" s="47" t="s">
        <v>525</v>
      </c>
    </row>
    <row r="934" spans="1:20">
      <c r="A934" s="46">
        <v>138849101350</v>
      </c>
      <c r="B934" s="44" t="s">
        <v>517</v>
      </c>
      <c r="C934" s="45">
        <v>46012</v>
      </c>
      <c r="D934" s="46">
        <v>55194152804</v>
      </c>
      <c r="E934" s="46">
        <v>2154940988812</v>
      </c>
      <c r="F934" s="47" t="s">
        <v>529</v>
      </c>
      <c r="G934" s="47" t="s">
        <v>519</v>
      </c>
      <c r="H934" s="47" t="s">
        <v>4</v>
      </c>
      <c r="I934" s="46" t="s">
        <v>4</v>
      </c>
      <c r="J934" s="48">
        <v>1666.32</v>
      </c>
      <c r="K934" s="47" t="s">
        <v>520</v>
      </c>
      <c r="L934" s="47" t="s">
        <v>530</v>
      </c>
      <c r="M934" s="46" t="s">
        <v>807</v>
      </c>
      <c r="N934" s="47" t="s">
        <v>808</v>
      </c>
      <c r="O934" s="44" t="s">
        <v>263</v>
      </c>
      <c r="P934" s="47" t="s">
        <v>531</v>
      </c>
      <c r="Q934" s="48">
        <v>42400</v>
      </c>
      <c r="R934" s="49" t="s">
        <v>4</v>
      </c>
      <c r="S934" s="48" t="s">
        <v>4</v>
      </c>
      <c r="T934" s="47" t="s">
        <v>525</v>
      </c>
    </row>
    <row r="935" spans="1:20">
      <c r="A935" s="46">
        <v>138849036742</v>
      </c>
      <c r="B935" s="44" t="s">
        <v>517</v>
      </c>
      <c r="C935" s="45">
        <v>46012</v>
      </c>
      <c r="D935" s="46">
        <v>55194155117</v>
      </c>
      <c r="E935" s="46">
        <v>2154780129079</v>
      </c>
      <c r="F935" s="47" t="s">
        <v>526</v>
      </c>
      <c r="G935" s="47" t="s">
        <v>519</v>
      </c>
      <c r="H935" s="47" t="s">
        <v>4</v>
      </c>
      <c r="I935" s="46" t="s">
        <v>4</v>
      </c>
      <c r="J935" s="48">
        <v>29.1</v>
      </c>
      <c r="K935" s="47" t="s">
        <v>520</v>
      </c>
      <c r="L935" s="47" t="s">
        <v>521</v>
      </c>
      <c r="M935" s="46" t="s">
        <v>807</v>
      </c>
      <c r="N935" s="47" t="s">
        <v>808</v>
      </c>
      <c r="O935" s="44" t="s">
        <v>4</v>
      </c>
      <c r="P935" s="47" t="s">
        <v>527</v>
      </c>
      <c r="Q935" s="48">
        <v>3000</v>
      </c>
      <c r="R935" s="49" t="s">
        <v>4</v>
      </c>
      <c r="S935" s="48" t="s">
        <v>4</v>
      </c>
      <c r="T935" s="47" t="s">
        <v>4</v>
      </c>
    </row>
    <row r="936" spans="1:20">
      <c r="A936" s="46">
        <v>138849267594</v>
      </c>
      <c r="B936" s="44" t="s">
        <v>517</v>
      </c>
      <c r="C936" s="45">
        <v>46012</v>
      </c>
      <c r="D936" s="46">
        <v>55194266123</v>
      </c>
      <c r="E936" s="46">
        <v>2154942231944</v>
      </c>
      <c r="F936" s="47" t="s">
        <v>529</v>
      </c>
      <c r="G936" s="47" t="s">
        <v>519</v>
      </c>
      <c r="H936" s="47" t="s">
        <v>4</v>
      </c>
      <c r="I936" s="46" t="s">
        <v>4</v>
      </c>
      <c r="J936" s="48">
        <v>1847.1</v>
      </c>
      <c r="K936" s="47" t="s">
        <v>520</v>
      </c>
      <c r="L936" s="47" t="s">
        <v>530</v>
      </c>
      <c r="M936" s="46" t="s">
        <v>807</v>
      </c>
      <c r="N936" s="47" t="s">
        <v>808</v>
      </c>
      <c r="O936" s="44" t="s">
        <v>263</v>
      </c>
      <c r="P936" s="47" t="s">
        <v>531</v>
      </c>
      <c r="Q936" s="48">
        <v>47000</v>
      </c>
      <c r="R936" s="49" t="s">
        <v>4</v>
      </c>
      <c r="S936" s="48" t="s">
        <v>4</v>
      </c>
      <c r="T936" s="47" t="s">
        <v>525</v>
      </c>
    </row>
    <row r="937" spans="1:20">
      <c r="A937" s="46">
        <v>138849484320</v>
      </c>
      <c r="B937" s="44" t="s">
        <v>517</v>
      </c>
      <c r="C937" s="45">
        <v>46012</v>
      </c>
      <c r="D937" s="46">
        <v>55194291565</v>
      </c>
      <c r="E937" s="46">
        <v>2154782739513</v>
      </c>
      <c r="F937" s="47" t="s">
        <v>529</v>
      </c>
      <c r="G937" s="47" t="s">
        <v>519</v>
      </c>
      <c r="H937" s="47" t="s">
        <v>4</v>
      </c>
      <c r="I937" s="46" t="s">
        <v>4</v>
      </c>
      <c r="J937" s="48">
        <v>454</v>
      </c>
      <c r="K937" s="47" t="s">
        <v>520</v>
      </c>
      <c r="L937" s="47" t="s">
        <v>530</v>
      </c>
      <c r="M937" s="46" t="s">
        <v>807</v>
      </c>
      <c r="N937" s="47" t="s">
        <v>808</v>
      </c>
      <c r="O937" s="44" t="s">
        <v>263</v>
      </c>
      <c r="P937" s="47" t="s">
        <v>531</v>
      </c>
      <c r="Q937" s="48">
        <v>10000</v>
      </c>
      <c r="R937" s="49" t="s">
        <v>4</v>
      </c>
      <c r="S937" s="48" t="s">
        <v>4</v>
      </c>
      <c r="T937" s="47" t="s">
        <v>525</v>
      </c>
    </row>
    <row r="938" spans="1:20">
      <c r="A938" s="46">
        <v>138849998288</v>
      </c>
      <c r="B938" s="44" t="s">
        <v>517</v>
      </c>
      <c r="C938" s="45">
        <v>46012</v>
      </c>
      <c r="D938" s="46">
        <v>55194477111</v>
      </c>
      <c r="E938" s="46">
        <v>2154945742754</v>
      </c>
      <c r="F938" s="47" t="s">
        <v>526</v>
      </c>
      <c r="G938" s="47" t="s">
        <v>519</v>
      </c>
      <c r="H938" s="47" t="s">
        <v>4</v>
      </c>
      <c r="I938" s="46" t="s">
        <v>4</v>
      </c>
      <c r="J938" s="48">
        <v>704.22</v>
      </c>
      <c r="K938" s="47" t="s">
        <v>520</v>
      </c>
      <c r="L938" s="47" t="s">
        <v>521</v>
      </c>
      <c r="M938" s="46" t="s">
        <v>660</v>
      </c>
      <c r="N938" s="47" t="s">
        <v>661</v>
      </c>
      <c r="O938" s="44" t="s">
        <v>4</v>
      </c>
      <c r="P938" s="47" t="s">
        <v>527</v>
      </c>
      <c r="Q938" s="48">
        <v>72600</v>
      </c>
      <c r="R938" s="49" t="s">
        <v>4</v>
      </c>
      <c r="S938" s="48" t="s">
        <v>4</v>
      </c>
      <c r="T938" s="47" t="s">
        <v>4</v>
      </c>
    </row>
    <row r="939" spans="1:20">
      <c r="A939" s="46">
        <v>138850633872</v>
      </c>
      <c r="B939" s="44" t="s">
        <v>517</v>
      </c>
      <c r="C939" s="45">
        <v>46012</v>
      </c>
      <c r="D939" s="46">
        <v>55194826043</v>
      </c>
      <c r="E939" s="46">
        <v>2154951336738</v>
      </c>
      <c r="F939" s="47" t="s">
        <v>526</v>
      </c>
      <c r="G939" s="47" t="s">
        <v>519</v>
      </c>
      <c r="H939" s="47" t="s">
        <v>4</v>
      </c>
      <c r="I939" s="46" t="s">
        <v>4</v>
      </c>
      <c r="J939" s="48">
        <v>101.85</v>
      </c>
      <c r="K939" s="47" t="s">
        <v>520</v>
      </c>
      <c r="L939" s="47" t="s">
        <v>521</v>
      </c>
      <c r="M939" s="46" t="s">
        <v>807</v>
      </c>
      <c r="N939" s="47" t="s">
        <v>808</v>
      </c>
      <c r="O939" s="44" t="s">
        <v>4</v>
      </c>
      <c r="P939" s="47" t="s">
        <v>527</v>
      </c>
      <c r="Q939" s="48">
        <v>10500</v>
      </c>
      <c r="R939" s="49" t="s">
        <v>4</v>
      </c>
      <c r="S939" s="48" t="s">
        <v>4</v>
      </c>
      <c r="T939" s="47" t="s">
        <v>4</v>
      </c>
    </row>
    <row r="940" spans="1:20">
      <c r="A940" s="46">
        <v>138210363935</v>
      </c>
      <c r="B940" s="44" t="s">
        <v>517</v>
      </c>
      <c r="C940" s="45">
        <v>46012</v>
      </c>
      <c r="D940" s="46">
        <v>55194839799</v>
      </c>
      <c r="E940" s="46">
        <v>2154951975622</v>
      </c>
      <c r="F940" s="47" t="s">
        <v>529</v>
      </c>
      <c r="G940" s="47" t="s">
        <v>519</v>
      </c>
      <c r="H940" s="47" t="s">
        <v>4</v>
      </c>
      <c r="I940" s="46" t="s">
        <v>4</v>
      </c>
      <c r="J940" s="48">
        <v>1410.87</v>
      </c>
      <c r="K940" s="47" t="s">
        <v>520</v>
      </c>
      <c r="L940" s="47" t="s">
        <v>530</v>
      </c>
      <c r="M940" s="46" t="s">
        <v>660</v>
      </c>
      <c r="N940" s="47" t="s">
        <v>661</v>
      </c>
      <c r="O940" s="44" t="s">
        <v>263</v>
      </c>
      <c r="P940" s="47" t="s">
        <v>531</v>
      </c>
      <c r="Q940" s="48">
        <v>35900</v>
      </c>
      <c r="R940" s="49" t="s">
        <v>4</v>
      </c>
      <c r="S940" s="48" t="s">
        <v>4</v>
      </c>
      <c r="T940" s="47" t="s">
        <v>525</v>
      </c>
    </row>
    <row r="941" spans="1:20">
      <c r="A941" s="46">
        <v>138210648291</v>
      </c>
      <c r="B941" s="44" t="s">
        <v>517</v>
      </c>
      <c r="C941" s="45">
        <v>46012</v>
      </c>
      <c r="D941" s="46">
        <v>55194890247</v>
      </c>
      <c r="E941" s="46">
        <v>2154792445643</v>
      </c>
      <c r="F941" s="47" t="s">
        <v>518</v>
      </c>
      <c r="G941" s="47" t="s">
        <v>519</v>
      </c>
      <c r="H941" s="47" t="s">
        <v>4</v>
      </c>
      <c r="I941" s="46" t="s">
        <v>4</v>
      </c>
      <c r="J941" s="48">
        <v>99.91</v>
      </c>
      <c r="K941" s="47" t="s">
        <v>520</v>
      </c>
      <c r="L941" s="47" t="s">
        <v>521</v>
      </c>
      <c r="M941" s="46" t="s">
        <v>807</v>
      </c>
      <c r="N941" s="47" t="s">
        <v>808</v>
      </c>
      <c r="O941" s="44" t="s">
        <v>4</v>
      </c>
      <c r="P941" s="47" t="s">
        <v>944</v>
      </c>
      <c r="Q941" s="48">
        <v>10300</v>
      </c>
      <c r="R941" s="49" t="s">
        <v>4</v>
      </c>
      <c r="S941" s="48" t="s">
        <v>4</v>
      </c>
      <c r="T941" s="47" t="s">
        <v>525</v>
      </c>
    </row>
    <row r="942" spans="1:20">
      <c r="A942" s="46">
        <v>138851061664</v>
      </c>
      <c r="B942" s="44" t="s">
        <v>517</v>
      </c>
      <c r="C942" s="45">
        <v>46012</v>
      </c>
      <c r="D942" s="46">
        <v>55194912192</v>
      </c>
      <c r="E942" s="46">
        <v>2154792713615</v>
      </c>
      <c r="F942" s="47" t="s">
        <v>529</v>
      </c>
      <c r="G942" s="47" t="s">
        <v>519</v>
      </c>
      <c r="H942" s="47" t="s">
        <v>4</v>
      </c>
      <c r="I942" s="46" t="s">
        <v>4</v>
      </c>
      <c r="J942" s="48">
        <v>1167.21</v>
      </c>
      <c r="K942" s="47" t="s">
        <v>520</v>
      </c>
      <c r="L942" s="47" t="s">
        <v>530</v>
      </c>
      <c r="M942" s="46" t="s">
        <v>807</v>
      </c>
      <c r="N942" s="47" t="s">
        <v>808</v>
      </c>
      <c r="O942" s="44" t="s">
        <v>263</v>
      </c>
      <c r="P942" s="47" t="s">
        <v>531</v>
      </c>
      <c r="Q942" s="48">
        <v>29700</v>
      </c>
      <c r="R942" s="49" t="s">
        <v>4</v>
      </c>
      <c r="S942" s="48" t="s">
        <v>4</v>
      </c>
      <c r="T942" s="47" t="s">
        <v>525</v>
      </c>
    </row>
    <row r="943" spans="1:20">
      <c r="A943" s="46">
        <v>138211297097</v>
      </c>
      <c r="B943" s="44" t="s">
        <v>517</v>
      </c>
      <c r="C943" s="45">
        <v>46012</v>
      </c>
      <c r="D943" s="46">
        <v>55195159365</v>
      </c>
      <c r="E943" s="46">
        <v>2154796871685</v>
      </c>
      <c r="F943" s="47" t="s">
        <v>518</v>
      </c>
      <c r="G943" s="47" t="s">
        <v>519</v>
      </c>
      <c r="H943" s="47" t="s">
        <v>4</v>
      </c>
      <c r="I943" s="46" t="s">
        <v>4</v>
      </c>
      <c r="J943" s="48">
        <v>140.65</v>
      </c>
      <c r="K943" s="47" t="s">
        <v>520</v>
      </c>
      <c r="L943" s="47" t="s">
        <v>521</v>
      </c>
      <c r="M943" s="46" t="s">
        <v>807</v>
      </c>
      <c r="N943" s="47" t="s">
        <v>808</v>
      </c>
      <c r="O943" s="44" t="s">
        <v>4</v>
      </c>
      <c r="P943" s="47" t="s">
        <v>945</v>
      </c>
      <c r="Q943" s="48">
        <v>14500</v>
      </c>
      <c r="R943" s="49" t="s">
        <v>4</v>
      </c>
      <c r="S943" s="48" t="s">
        <v>4</v>
      </c>
      <c r="T943" s="47" t="s">
        <v>525</v>
      </c>
    </row>
    <row r="944" spans="1:20">
      <c r="A944" s="46">
        <v>138211329819</v>
      </c>
      <c r="B944" s="44" t="s">
        <v>517</v>
      </c>
      <c r="C944" s="45">
        <v>46012</v>
      </c>
      <c r="D944" s="46">
        <v>55195214529</v>
      </c>
      <c r="E944" s="46">
        <v>2154957406716</v>
      </c>
      <c r="F944" s="47" t="s">
        <v>518</v>
      </c>
      <c r="G944" s="47" t="s">
        <v>519</v>
      </c>
      <c r="H944" s="47" t="s">
        <v>4</v>
      </c>
      <c r="I944" s="46" t="s">
        <v>4</v>
      </c>
      <c r="J944" s="48">
        <v>252.2</v>
      </c>
      <c r="K944" s="47" t="s">
        <v>520</v>
      </c>
      <c r="L944" s="47" t="s">
        <v>521</v>
      </c>
      <c r="M944" s="46" t="s">
        <v>807</v>
      </c>
      <c r="N944" s="47" t="s">
        <v>808</v>
      </c>
      <c r="O944" s="44" t="s">
        <v>4</v>
      </c>
      <c r="P944" s="47" t="s">
        <v>946</v>
      </c>
      <c r="Q944" s="48">
        <v>26000</v>
      </c>
      <c r="R944" s="49" t="s">
        <v>4</v>
      </c>
      <c r="S944" s="48" t="s">
        <v>4</v>
      </c>
      <c r="T944" s="47" t="s">
        <v>525</v>
      </c>
    </row>
    <row r="945" spans="1:20">
      <c r="A945" s="46">
        <v>138851977854</v>
      </c>
      <c r="B945" s="44" t="s">
        <v>517</v>
      </c>
      <c r="C945" s="45">
        <v>46012</v>
      </c>
      <c r="D945" s="46">
        <v>55195249542</v>
      </c>
      <c r="E945" s="46">
        <v>2154958829418</v>
      </c>
      <c r="F945" s="47" t="s">
        <v>518</v>
      </c>
      <c r="G945" s="47" t="s">
        <v>519</v>
      </c>
      <c r="H945" s="47" t="s">
        <v>4</v>
      </c>
      <c r="I945" s="46" t="s">
        <v>4</v>
      </c>
      <c r="J945" s="48">
        <v>423.89</v>
      </c>
      <c r="K945" s="47" t="s">
        <v>520</v>
      </c>
      <c r="L945" s="47" t="s">
        <v>521</v>
      </c>
      <c r="M945" s="46" t="s">
        <v>807</v>
      </c>
      <c r="N945" s="47" t="s">
        <v>808</v>
      </c>
      <c r="O945" s="44" t="s">
        <v>4</v>
      </c>
      <c r="P945" s="47" t="s">
        <v>947</v>
      </c>
      <c r="Q945" s="48">
        <v>43700</v>
      </c>
      <c r="R945" s="49" t="s">
        <v>4</v>
      </c>
      <c r="S945" s="48" t="s">
        <v>4</v>
      </c>
      <c r="T945" s="47" t="s">
        <v>525</v>
      </c>
    </row>
    <row r="946" spans="1:20">
      <c r="A946" s="46">
        <v>138211671171</v>
      </c>
      <c r="B946" s="44" t="s">
        <v>517</v>
      </c>
      <c r="C946" s="45">
        <v>46012</v>
      </c>
      <c r="D946" s="46">
        <v>55195303993</v>
      </c>
      <c r="E946" s="46">
        <v>2154799141933</v>
      </c>
      <c r="F946" s="47" t="s">
        <v>518</v>
      </c>
      <c r="G946" s="47" t="s">
        <v>519</v>
      </c>
      <c r="H946" s="47" t="s">
        <v>4</v>
      </c>
      <c r="I946" s="46" t="s">
        <v>4</v>
      </c>
      <c r="J946" s="48">
        <v>106.7</v>
      </c>
      <c r="K946" s="47" t="s">
        <v>520</v>
      </c>
      <c r="L946" s="47" t="s">
        <v>521</v>
      </c>
      <c r="M946" s="46" t="s">
        <v>807</v>
      </c>
      <c r="N946" s="47" t="s">
        <v>808</v>
      </c>
      <c r="O946" s="44" t="s">
        <v>4</v>
      </c>
      <c r="P946" s="47" t="s">
        <v>948</v>
      </c>
      <c r="Q946" s="48">
        <v>11000</v>
      </c>
      <c r="R946" s="49" t="s">
        <v>4</v>
      </c>
      <c r="S946" s="48" t="s">
        <v>4</v>
      </c>
      <c r="T946" s="47" t="s">
        <v>525</v>
      </c>
    </row>
    <row r="947" spans="1:20">
      <c r="A947" s="46">
        <v>138211779431</v>
      </c>
      <c r="B947" s="44" t="s">
        <v>517</v>
      </c>
      <c r="C947" s="45">
        <v>46012</v>
      </c>
      <c r="D947" s="46">
        <v>55195353311</v>
      </c>
      <c r="E947" s="46">
        <v>2154960382884</v>
      </c>
      <c r="F947" s="47" t="s">
        <v>518</v>
      </c>
      <c r="G947" s="47" t="s">
        <v>519</v>
      </c>
      <c r="H947" s="47" t="s">
        <v>4</v>
      </c>
      <c r="I947" s="46" t="s">
        <v>4</v>
      </c>
      <c r="J947" s="48">
        <v>631.47</v>
      </c>
      <c r="K947" s="47" t="s">
        <v>520</v>
      </c>
      <c r="L947" s="47" t="s">
        <v>521</v>
      </c>
      <c r="M947" s="46" t="s">
        <v>807</v>
      </c>
      <c r="N947" s="47" t="s">
        <v>808</v>
      </c>
      <c r="O947" s="44" t="s">
        <v>4</v>
      </c>
      <c r="P947" s="47" t="s">
        <v>949</v>
      </c>
      <c r="Q947" s="48">
        <v>65100</v>
      </c>
      <c r="R947" s="49" t="s">
        <v>4</v>
      </c>
      <c r="S947" s="48" t="s">
        <v>4</v>
      </c>
      <c r="T947" s="47" t="s">
        <v>525</v>
      </c>
    </row>
    <row r="948" spans="1:20">
      <c r="A948" s="46">
        <v>138852403078</v>
      </c>
      <c r="B948" s="44" t="s">
        <v>517</v>
      </c>
      <c r="C948" s="45">
        <v>46012</v>
      </c>
      <c r="D948" s="46">
        <v>55195393347</v>
      </c>
      <c r="E948" s="46">
        <v>2154800469921</v>
      </c>
      <c r="F948" s="47" t="s">
        <v>518</v>
      </c>
      <c r="G948" s="47" t="s">
        <v>519</v>
      </c>
      <c r="H948" s="47" t="s">
        <v>4</v>
      </c>
      <c r="I948" s="46" t="s">
        <v>4</v>
      </c>
      <c r="J948" s="48">
        <v>93.12</v>
      </c>
      <c r="K948" s="47" t="s">
        <v>520</v>
      </c>
      <c r="L948" s="47" t="s">
        <v>521</v>
      </c>
      <c r="M948" s="46" t="s">
        <v>807</v>
      </c>
      <c r="N948" s="47" t="s">
        <v>808</v>
      </c>
      <c r="O948" s="44" t="s">
        <v>4</v>
      </c>
      <c r="P948" s="47" t="s">
        <v>846</v>
      </c>
      <c r="Q948" s="48">
        <v>9600</v>
      </c>
      <c r="R948" s="49" t="s">
        <v>4</v>
      </c>
      <c r="S948" s="48" t="s">
        <v>4</v>
      </c>
      <c r="T948" s="47" t="s">
        <v>525</v>
      </c>
    </row>
    <row r="949" spans="1:20">
      <c r="A949" s="46">
        <v>138852498598</v>
      </c>
      <c r="B949" s="44" t="s">
        <v>517</v>
      </c>
      <c r="C949" s="45">
        <v>46012</v>
      </c>
      <c r="D949" s="46">
        <v>55195421149</v>
      </c>
      <c r="E949" s="46">
        <v>2154961147106</v>
      </c>
      <c r="F949" s="47" t="s">
        <v>526</v>
      </c>
      <c r="G949" s="47" t="s">
        <v>519</v>
      </c>
      <c r="H949" s="47" t="s">
        <v>4</v>
      </c>
      <c r="I949" s="46" t="s">
        <v>4</v>
      </c>
      <c r="J949" s="48">
        <v>95.06</v>
      </c>
      <c r="K949" s="47" t="s">
        <v>520</v>
      </c>
      <c r="L949" s="47" t="s">
        <v>521</v>
      </c>
      <c r="M949" s="46" t="s">
        <v>807</v>
      </c>
      <c r="N949" s="47" t="s">
        <v>808</v>
      </c>
      <c r="O949" s="44" t="s">
        <v>4</v>
      </c>
      <c r="P949" s="47" t="s">
        <v>527</v>
      </c>
      <c r="Q949" s="48">
        <v>9800</v>
      </c>
      <c r="R949" s="49" t="s">
        <v>4</v>
      </c>
      <c r="S949" s="48" t="s">
        <v>4</v>
      </c>
      <c r="T949" s="47" t="s">
        <v>4</v>
      </c>
    </row>
    <row r="950" spans="1:20">
      <c r="A950" s="46">
        <v>138852696652</v>
      </c>
      <c r="B950" s="44" t="s">
        <v>517</v>
      </c>
      <c r="C950" s="45">
        <v>46012</v>
      </c>
      <c r="D950" s="46">
        <v>55195502985</v>
      </c>
      <c r="E950" s="46">
        <v>2154962404490</v>
      </c>
      <c r="F950" s="47" t="s">
        <v>526</v>
      </c>
      <c r="G950" s="47" t="s">
        <v>519</v>
      </c>
      <c r="H950" s="47" t="s">
        <v>4</v>
      </c>
      <c r="I950" s="46" t="s">
        <v>4</v>
      </c>
      <c r="J950" s="48">
        <v>106.7</v>
      </c>
      <c r="K950" s="47" t="s">
        <v>520</v>
      </c>
      <c r="L950" s="47" t="s">
        <v>521</v>
      </c>
      <c r="M950" s="46" t="s">
        <v>807</v>
      </c>
      <c r="N950" s="47" t="s">
        <v>808</v>
      </c>
      <c r="O950" s="44" t="s">
        <v>4</v>
      </c>
      <c r="P950" s="47" t="s">
        <v>527</v>
      </c>
      <c r="Q950" s="48">
        <v>11000</v>
      </c>
      <c r="R950" s="49" t="s">
        <v>4</v>
      </c>
      <c r="S950" s="48" t="s">
        <v>4</v>
      </c>
      <c r="T950" s="47" t="s">
        <v>4</v>
      </c>
    </row>
    <row r="951" spans="1:20">
      <c r="A951" s="46">
        <v>138212356555</v>
      </c>
      <c r="B951" s="44" t="s">
        <v>517</v>
      </c>
      <c r="C951" s="45">
        <v>46012</v>
      </c>
      <c r="D951" s="46">
        <v>55195560168</v>
      </c>
      <c r="E951" s="46">
        <v>2154963254748</v>
      </c>
      <c r="F951" s="47" t="s">
        <v>518</v>
      </c>
      <c r="G951" s="47" t="s">
        <v>519</v>
      </c>
      <c r="H951" s="47" t="s">
        <v>4</v>
      </c>
      <c r="I951" s="46" t="s">
        <v>4</v>
      </c>
      <c r="J951" s="48">
        <v>97</v>
      </c>
      <c r="K951" s="47" t="s">
        <v>520</v>
      </c>
      <c r="L951" s="47" t="s">
        <v>521</v>
      </c>
      <c r="M951" s="46" t="s">
        <v>807</v>
      </c>
      <c r="N951" s="47" t="s">
        <v>808</v>
      </c>
      <c r="O951" s="44" t="s">
        <v>4</v>
      </c>
      <c r="P951" s="47" t="s">
        <v>950</v>
      </c>
      <c r="Q951" s="48">
        <v>10000</v>
      </c>
      <c r="R951" s="49" t="s">
        <v>4</v>
      </c>
      <c r="S951" s="48" t="s">
        <v>4</v>
      </c>
      <c r="T951" s="47" t="s">
        <v>525</v>
      </c>
    </row>
    <row r="952" spans="1:20">
      <c r="A952" s="46">
        <v>138853202756</v>
      </c>
      <c r="B952" s="44" t="s">
        <v>517</v>
      </c>
      <c r="C952" s="45">
        <v>46012</v>
      </c>
      <c r="D952" s="46">
        <v>55195722564</v>
      </c>
      <c r="E952" s="46">
        <v>2154965843968</v>
      </c>
      <c r="F952" s="47" t="s">
        <v>529</v>
      </c>
      <c r="G952" s="47" t="s">
        <v>519</v>
      </c>
      <c r="H952" s="47" t="s">
        <v>4</v>
      </c>
      <c r="I952" s="46" t="s">
        <v>4</v>
      </c>
      <c r="J952" s="48">
        <v>3812.1</v>
      </c>
      <c r="K952" s="47" t="s">
        <v>520</v>
      </c>
      <c r="L952" s="47" t="s">
        <v>530</v>
      </c>
      <c r="M952" s="46" t="s">
        <v>660</v>
      </c>
      <c r="N952" s="47" t="s">
        <v>661</v>
      </c>
      <c r="O952" s="44" t="s">
        <v>263</v>
      </c>
      <c r="P952" s="47" t="s">
        <v>531</v>
      </c>
      <c r="Q952" s="48">
        <v>97000</v>
      </c>
      <c r="R952" s="49" t="s">
        <v>4</v>
      </c>
      <c r="S952" s="48" t="s">
        <v>4</v>
      </c>
      <c r="T952" s="47" t="s">
        <v>525</v>
      </c>
    </row>
    <row r="953" spans="1:20">
      <c r="A953" s="46">
        <v>138853192420</v>
      </c>
      <c r="B953" s="44" t="s">
        <v>517</v>
      </c>
      <c r="C953" s="45">
        <v>46012</v>
      </c>
      <c r="D953" s="46">
        <v>55195724829</v>
      </c>
      <c r="E953" s="46">
        <v>2154805451803</v>
      </c>
      <c r="F953" s="47" t="s">
        <v>518</v>
      </c>
      <c r="G953" s="47" t="s">
        <v>569</v>
      </c>
      <c r="H953" s="47" t="s">
        <v>570</v>
      </c>
      <c r="I953" s="46" t="s">
        <v>4</v>
      </c>
      <c r="J953" s="48">
        <v>250.26</v>
      </c>
      <c r="K953" s="47" t="s">
        <v>520</v>
      </c>
      <c r="L953" s="47" t="s">
        <v>521</v>
      </c>
      <c r="M953" s="46" t="s">
        <v>807</v>
      </c>
      <c r="N953" s="47" t="s">
        <v>808</v>
      </c>
      <c r="O953" s="44" t="s">
        <v>4</v>
      </c>
      <c r="P953" s="47" t="s">
        <v>951</v>
      </c>
      <c r="Q953" s="48">
        <v>25800</v>
      </c>
      <c r="R953" s="49" t="s">
        <v>4</v>
      </c>
      <c r="S953" s="48" t="s">
        <v>4</v>
      </c>
      <c r="T953" s="47" t="s">
        <v>525</v>
      </c>
    </row>
    <row r="954" spans="1:20">
      <c r="A954" s="46">
        <v>138212818677</v>
      </c>
      <c r="B954" s="44" t="s">
        <v>517</v>
      </c>
      <c r="C954" s="45">
        <v>46012</v>
      </c>
      <c r="D954" s="46">
        <v>55195738209</v>
      </c>
      <c r="E954" s="46">
        <v>2154805633837</v>
      </c>
      <c r="F954" s="47" t="s">
        <v>526</v>
      </c>
      <c r="G954" s="47" t="s">
        <v>519</v>
      </c>
      <c r="H954" s="47" t="s">
        <v>4</v>
      </c>
      <c r="I954" s="46" t="s">
        <v>4</v>
      </c>
      <c r="J954" s="48">
        <v>749.81</v>
      </c>
      <c r="K954" s="47" t="s">
        <v>520</v>
      </c>
      <c r="L954" s="47" t="s">
        <v>521</v>
      </c>
      <c r="M954" s="46" t="s">
        <v>807</v>
      </c>
      <c r="N954" s="47" t="s">
        <v>808</v>
      </c>
      <c r="O954" s="44" t="s">
        <v>4</v>
      </c>
      <c r="P954" s="47" t="s">
        <v>527</v>
      </c>
      <c r="Q954" s="48">
        <v>77300</v>
      </c>
      <c r="R954" s="49" t="s">
        <v>4</v>
      </c>
      <c r="S954" s="48" t="s">
        <v>4</v>
      </c>
      <c r="T954" s="47" t="s">
        <v>4</v>
      </c>
    </row>
    <row r="955" spans="1:20">
      <c r="A955" s="46">
        <v>138853192420</v>
      </c>
      <c r="B955" s="44" t="s">
        <v>517</v>
      </c>
      <c r="C955" s="45">
        <v>46012</v>
      </c>
      <c r="D955" s="46">
        <v>55195774530</v>
      </c>
      <c r="E955" s="46">
        <v>2154806263391</v>
      </c>
      <c r="F955" s="47" t="s">
        <v>952</v>
      </c>
      <c r="G955" s="47" t="s">
        <v>569</v>
      </c>
      <c r="H955" s="47" t="s">
        <v>4</v>
      </c>
      <c r="I955" s="46">
        <v>55195724829</v>
      </c>
      <c r="J955" s="48">
        <v>-250.26</v>
      </c>
      <c r="K955" s="47" t="s">
        <v>520</v>
      </c>
      <c r="L955" s="47" t="s">
        <v>521</v>
      </c>
      <c r="M955" s="46" t="s">
        <v>807</v>
      </c>
      <c r="N955" s="47" t="s">
        <v>808</v>
      </c>
      <c r="O955" s="44" t="s">
        <v>4</v>
      </c>
      <c r="P955" s="47" t="s">
        <v>951</v>
      </c>
      <c r="Q955" s="48">
        <v>25800</v>
      </c>
      <c r="R955" s="49" t="s">
        <v>4</v>
      </c>
      <c r="S955" s="48" t="s">
        <v>4</v>
      </c>
      <c r="T955" s="47" t="s">
        <v>4</v>
      </c>
    </row>
    <row r="956" spans="1:20">
      <c r="A956" s="46">
        <v>138853313116</v>
      </c>
      <c r="B956" s="44" t="s">
        <v>517</v>
      </c>
      <c r="C956" s="45">
        <v>46012</v>
      </c>
      <c r="D956" s="46">
        <v>55195787708</v>
      </c>
      <c r="E956" s="46">
        <v>2154966721966</v>
      </c>
      <c r="F956" s="47" t="s">
        <v>518</v>
      </c>
      <c r="G956" s="47" t="s">
        <v>519</v>
      </c>
      <c r="H956" s="47" t="s">
        <v>4</v>
      </c>
      <c r="I956" s="46" t="s">
        <v>4</v>
      </c>
      <c r="J956" s="48">
        <v>203.7</v>
      </c>
      <c r="K956" s="47" t="s">
        <v>520</v>
      </c>
      <c r="L956" s="47" t="s">
        <v>521</v>
      </c>
      <c r="M956" s="46" t="s">
        <v>807</v>
      </c>
      <c r="N956" s="47" t="s">
        <v>808</v>
      </c>
      <c r="O956" s="44" t="s">
        <v>4</v>
      </c>
      <c r="P956" s="47" t="s">
        <v>951</v>
      </c>
      <c r="Q956" s="48">
        <v>21000</v>
      </c>
      <c r="R956" s="49" t="s">
        <v>4</v>
      </c>
      <c r="S956" s="48" t="s">
        <v>4</v>
      </c>
      <c r="T956" s="47" t="s">
        <v>525</v>
      </c>
    </row>
    <row r="957" spans="1:20">
      <c r="A957" s="46">
        <v>138853442612</v>
      </c>
      <c r="B957" s="44" t="s">
        <v>517</v>
      </c>
      <c r="C957" s="45">
        <v>46012</v>
      </c>
      <c r="D957" s="46">
        <v>55195803040</v>
      </c>
      <c r="E957" s="46">
        <v>2154967254536</v>
      </c>
      <c r="F957" s="47" t="s">
        <v>518</v>
      </c>
      <c r="G957" s="47" t="s">
        <v>519</v>
      </c>
      <c r="H957" s="47" t="s">
        <v>4</v>
      </c>
      <c r="I957" s="46" t="s">
        <v>4</v>
      </c>
      <c r="J957" s="48">
        <v>99.91</v>
      </c>
      <c r="K957" s="47" t="s">
        <v>520</v>
      </c>
      <c r="L957" s="47" t="s">
        <v>521</v>
      </c>
      <c r="M957" s="46" t="s">
        <v>807</v>
      </c>
      <c r="N957" s="47" t="s">
        <v>808</v>
      </c>
      <c r="O957" s="44" t="s">
        <v>4</v>
      </c>
      <c r="P957" s="47" t="s">
        <v>953</v>
      </c>
      <c r="Q957" s="48">
        <v>10300</v>
      </c>
      <c r="R957" s="49" t="s">
        <v>4</v>
      </c>
      <c r="S957" s="48" t="s">
        <v>4</v>
      </c>
      <c r="T957" s="47" t="s">
        <v>525</v>
      </c>
    </row>
    <row r="958" spans="1:20">
      <c r="A958" s="46">
        <v>138213130077</v>
      </c>
      <c r="B958" s="44" t="s">
        <v>517</v>
      </c>
      <c r="C958" s="45">
        <v>46012</v>
      </c>
      <c r="D958" s="46">
        <v>55195911594</v>
      </c>
      <c r="E958" s="46">
        <v>2154968793954</v>
      </c>
      <c r="F958" s="47" t="s">
        <v>518</v>
      </c>
      <c r="G958" s="47" t="s">
        <v>519</v>
      </c>
      <c r="H958" s="47" t="s">
        <v>4</v>
      </c>
      <c r="I958" s="46" t="s">
        <v>4</v>
      </c>
      <c r="J958" s="48">
        <v>194</v>
      </c>
      <c r="K958" s="47" t="s">
        <v>520</v>
      </c>
      <c r="L958" s="47" t="s">
        <v>521</v>
      </c>
      <c r="M958" s="46" t="s">
        <v>807</v>
      </c>
      <c r="N958" s="47" t="s">
        <v>808</v>
      </c>
      <c r="O958" s="44" t="s">
        <v>4</v>
      </c>
      <c r="P958" s="47" t="s">
        <v>954</v>
      </c>
      <c r="Q958" s="48">
        <v>20000</v>
      </c>
      <c r="R958" s="49" t="s">
        <v>4</v>
      </c>
      <c r="S958" s="48" t="s">
        <v>4</v>
      </c>
      <c r="T958" s="47" t="s">
        <v>525</v>
      </c>
    </row>
    <row r="959" spans="1:20">
      <c r="A959" s="46">
        <v>138853958868</v>
      </c>
      <c r="B959" s="44" t="s">
        <v>517</v>
      </c>
      <c r="C959" s="45">
        <v>46012</v>
      </c>
      <c r="D959" s="46">
        <v>55196018082</v>
      </c>
      <c r="E959" s="46">
        <v>2154970474224</v>
      </c>
      <c r="F959" s="47" t="s">
        <v>529</v>
      </c>
      <c r="G959" s="47" t="s">
        <v>519</v>
      </c>
      <c r="H959" s="47" t="s">
        <v>4</v>
      </c>
      <c r="I959" s="46" t="s">
        <v>4</v>
      </c>
      <c r="J959" s="48">
        <v>620.94000000000005</v>
      </c>
      <c r="K959" s="47" t="s">
        <v>520</v>
      </c>
      <c r="L959" s="47" t="s">
        <v>530</v>
      </c>
      <c r="M959" s="46" t="s">
        <v>807</v>
      </c>
      <c r="N959" s="47" t="s">
        <v>808</v>
      </c>
      <c r="O959" s="44" t="s">
        <v>263</v>
      </c>
      <c r="P959" s="47" t="s">
        <v>531</v>
      </c>
      <c r="Q959" s="48">
        <v>15800</v>
      </c>
      <c r="R959" s="49" t="s">
        <v>4</v>
      </c>
      <c r="S959" s="48" t="s">
        <v>4</v>
      </c>
      <c r="T959" s="47" t="s">
        <v>525</v>
      </c>
    </row>
    <row r="960" spans="1:20">
      <c r="A960" s="46">
        <v>138213612905</v>
      </c>
      <c r="B960" s="44" t="s">
        <v>517</v>
      </c>
      <c r="C960" s="45">
        <v>46012</v>
      </c>
      <c r="D960" s="46">
        <v>55196079037</v>
      </c>
      <c r="E960" s="46">
        <v>2154971297334</v>
      </c>
      <c r="F960" s="47" t="s">
        <v>518</v>
      </c>
      <c r="G960" s="47" t="s">
        <v>519</v>
      </c>
      <c r="H960" s="47" t="s">
        <v>4</v>
      </c>
      <c r="I960" s="46" t="s">
        <v>4</v>
      </c>
      <c r="J960" s="48">
        <v>101.85</v>
      </c>
      <c r="K960" s="47" t="s">
        <v>520</v>
      </c>
      <c r="L960" s="47" t="s">
        <v>521</v>
      </c>
      <c r="M960" s="46" t="s">
        <v>807</v>
      </c>
      <c r="N960" s="47" t="s">
        <v>808</v>
      </c>
      <c r="O960" s="44" t="s">
        <v>4</v>
      </c>
      <c r="P960" s="47" t="s">
        <v>955</v>
      </c>
      <c r="Q960" s="48">
        <v>10500</v>
      </c>
      <c r="R960" s="49" t="s">
        <v>4</v>
      </c>
      <c r="S960" s="48" t="s">
        <v>4</v>
      </c>
      <c r="T960" s="47" t="s">
        <v>525</v>
      </c>
    </row>
    <row r="961" spans="1:20">
      <c r="A961" s="46">
        <v>138213756749</v>
      </c>
      <c r="B961" s="44" t="s">
        <v>517</v>
      </c>
      <c r="C961" s="45">
        <v>46012</v>
      </c>
      <c r="D961" s="46">
        <v>55196134690</v>
      </c>
      <c r="E961" s="46">
        <v>2154812005417</v>
      </c>
      <c r="F961" s="47" t="s">
        <v>526</v>
      </c>
      <c r="G961" s="47" t="s">
        <v>519</v>
      </c>
      <c r="H961" s="47" t="s">
        <v>4</v>
      </c>
      <c r="I961" s="46" t="s">
        <v>4</v>
      </c>
      <c r="J961" s="48">
        <v>265.77999999999997</v>
      </c>
      <c r="K961" s="47" t="s">
        <v>520</v>
      </c>
      <c r="L961" s="47" t="s">
        <v>521</v>
      </c>
      <c r="M961" s="46" t="s">
        <v>807</v>
      </c>
      <c r="N961" s="47" t="s">
        <v>808</v>
      </c>
      <c r="O961" s="44" t="s">
        <v>4</v>
      </c>
      <c r="P961" s="47" t="s">
        <v>527</v>
      </c>
      <c r="Q961" s="48">
        <v>27400</v>
      </c>
      <c r="R961" s="49" t="s">
        <v>4</v>
      </c>
      <c r="S961" s="48" t="s">
        <v>4</v>
      </c>
      <c r="T961" s="47" t="s">
        <v>4</v>
      </c>
    </row>
    <row r="962" spans="1:20">
      <c r="A962" s="46">
        <v>138854466710</v>
      </c>
      <c r="B962" s="44" t="s">
        <v>517</v>
      </c>
      <c r="C962" s="45">
        <v>46012</v>
      </c>
      <c r="D962" s="46">
        <v>55196208364</v>
      </c>
      <c r="E962" s="46">
        <v>2154973461670</v>
      </c>
      <c r="F962" s="47" t="s">
        <v>529</v>
      </c>
      <c r="G962" s="47" t="s">
        <v>519</v>
      </c>
      <c r="H962" s="47" t="s">
        <v>4</v>
      </c>
      <c r="I962" s="46" t="s">
        <v>4</v>
      </c>
      <c r="J962" s="48">
        <v>1416.48</v>
      </c>
      <c r="K962" s="47" t="s">
        <v>520</v>
      </c>
      <c r="L962" s="47" t="s">
        <v>530</v>
      </c>
      <c r="M962" s="46" t="s">
        <v>807</v>
      </c>
      <c r="N962" s="47" t="s">
        <v>808</v>
      </c>
      <c r="O962" s="44" t="s">
        <v>263</v>
      </c>
      <c r="P962" s="47" t="s">
        <v>531</v>
      </c>
      <c r="Q962" s="48">
        <v>31200</v>
      </c>
      <c r="R962" s="49" t="s">
        <v>4</v>
      </c>
      <c r="S962" s="48" t="s">
        <v>4</v>
      </c>
      <c r="T962" s="47" t="s">
        <v>525</v>
      </c>
    </row>
    <row r="963" spans="1:20">
      <c r="A963" s="46">
        <v>138854698280</v>
      </c>
      <c r="B963" s="44" t="s">
        <v>517</v>
      </c>
      <c r="C963" s="45">
        <v>46012</v>
      </c>
      <c r="D963" s="46">
        <v>55196295792</v>
      </c>
      <c r="E963" s="46">
        <v>2154814492727</v>
      </c>
      <c r="F963" s="47" t="s">
        <v>518</v>
      </c>
      <c r="G963" s="47" t="s">
        <v>519</v>
      </c>
      <c r="H963" s="47" t="s">
        <v>4</v>
      </c>
      <c r="I963" s="46" t="s">
        <v>4</v>
      </c>
      <c r="J963" s="48">
        <v>160.05000000000001</v>
      </c>
      <c r="K963" s="47" t="s">
        <v>520</v>
      </c>
      <c r="L963" s="47" t="s">
        <v>521</v>
      </c>
      <c r="M963" s="46" t="s">
        <v>807</v>
      </c>
      <c r="N963" s="47" t="s">
        <v>808</v>
      </c>
      <c r="O963" s="44" t="s">
        <v>4</v>
      </c>
      <c r="P963" s="47" t="s">
        <v>956</v>
      </c>
      <c r="Q963" s="48">
        <v>16500</v>
      </c>
      <c r="R963" s="49" t="s">
        <v>4</v>
      </c>
      <c r="S963" s="48" t="s">
        <v>4</v>
      </c>
      <c r="T963" s="47" t="s">
        <v>525</v>
      </c>
    </row>
    <row r="964" spans="1:20">
      <c r="A964" s="46">
        <v>138854732718</v>
      </c>
      <c r="B964" s="44" t="s">
        <v>517</v>
      </c>
      <c r="C964" s="45">
        <v>46012</v>
      </c>
      <c r="D964" s="46">
        <v>55196336059</v>
      </c>
      <c r="E964" s="46">
        <v>2154975193590</v>
      </c>
      <c r="F964" s="47" t="s">
        <v>526</v>
      </c>
      <c r="G964" s="47" t="s">
        <v>519</v>
      </c>
      <c r="H964" s="47" t="s">
        <v>4</v>
      </c>
      <c r="I964" s="46" t="s">
        <v>4</v>
      </c>
      <c r="J964" s="48">
        <v>46.56</v>
      </c>
      <c r="K964" s="47" t="s">
        <v>520</v>
      </c>
      <c r="L964" s="47" t="s">
        <v>521</v>
      </c>
      <c r="M964" s="46" t="s">
        <v>807</v>
      </c>
      <c r="N964" s="47" t="s">
        <v>808</v>
      </c>
      <c r="O964" s="44" t="s">
        <v>4</v>
      </c>
      <c r="P964" s="47" t="s">
        <v>527</v>
      </c>
      <c r="Q964" s="48">
        <v>4800</v>
      </c>
      <c r="R964" s="49" t="s">
        <v>4</v>
      </c>
      <c r="S964" s="48" t="s">
        <v>4</v>
      </c>
      <c r="T964" s="47" t="s">
        <v>4</v>
      </c>
    </row>
    <row r="965" spans="1:20">
      <c r="A965" s="46">
        <v>138854924608</v>
      </c>
      <c r="B965" s="44" t="s">
        <v>517</v>
      </c>
      <c r="C965" s="45">
        <v>46012</v>
      </c>
      <c r="D965" s="46">
        <v>55196404315</v>
      </c>
      <c r="E965" s="46">
        <v>2154816465833</v>
      </c>
      <c r="F965" s="47" t="s">
        <v>518</v>
      </c>
      <c r="G965" s="47" t="s">
        <v>519</v>
      </c>
      <c r="H965" s="47" t="s">
        <v>4</v>
      </c>
      <c r="I965" s="46" t="s">
        <v>4</v>
      </c>
      <c r="J965" s="48">
        <v>48.5</v>
      </c>
      <c r="K965" s="47" t="s">
        <v>520</v>
      </c>
      <c r="L965" s="47" t="s">
        <v>521</v>
      </c>
      <c r="M965" s="46" t="s">
        <v>807</v>
      </c>
      <c r="N965" s="47" t="s">
        <v>808</v>
      </c>
      <c r="O965" s="44" t="s">
        <v>4</v>
      </c>
      <c r="P965" s="47" t="s">
        <v>749</v>
      </c>
      <c r="Q965" s="48">
        <v>5000</v>
      </c>
      <c r="R965" s="49" t="s">
        <v>4</v>
      </c>
      <c r="S965" s="48" t="s">
        <v>4</v>
      </c>
      <c r="T965" s="47" t="s">
        <v>525</v>
      </c>
    </row>
    <row r="966" spans="1:20">
      <c r="A966" s="46">
        <v>138214397525</v>
      </c>
      <c r="B966" s="44" t="s">
        <v>517</v>
      </c>
      <c r="C966" s="45">
        <v>46012</v>
      </c>
      <c r="D966" s="46">
        <v>55196405778</v>
      </c>
      <c r="E966" s="46">
        <v>2154815933171</v>
      </c>
      <c r="F966" s="47" t="s">
        <v>518</v>
      </c>
      <c r="G966" s="47" t="s">
        <v>519</v>
      </c>
      <c r="H966" s="47" t="s">
        <v>4</v>
      </c>
      <c r="I966" s="46" t="s">
        <v>4</v>
      </c>
      <c r="J966" s="48">
        <v>95.06</v>
      </c>
      <c r="K966" s="47" t="s">
        <v>520</v>
      </c>
      <c r="L966" s="47" t="s">
        <v>521</v>
      </c>
      <c r="M966" s="46" t="s">
        <v>660</v>
      </c>
      <c r="N966" s="47" t="s">
        <v>661</v>
      </c>
      <c r="O966" s="44" t="s">
        <v>4</v>
      </c>
      <c r="P966" s="47" t="s">
        <v>823</v>
      </c>
      <c r="Q966" s="48">
        <v>9800</v>
      </c>
      <c r="R966" s="49" t="s">
        <v>4</v>
      </c>
      <c r="S966" s="48" t="s">
        <v>4</v>
      </c>
      <c r="T966" s="47" t="s">
        <v>525</v>
      </c>
    </row>
    <row r="967" spans="1:20">
      <c r="A967" s="46">
        <v>138214651007</v>
      </c>
      <c r="B967" s="44" t="s">
        <v>517</v>
      </c>
      <c r="C967" s="45">
        <v>46012</v>
      </c>
      <c r="D967" s="46">
        <v>55196443443</v>
      </c>
      <c r="E967" s="46">
        <v>2154817151407</v>
      </c>
      <c r="F967" s="47" t="s">
        <v>518</v>
      </c>
      <c r="G967" s="47" t="s">
        <v>519</v>
      </c>
      <c r="H967" s="47" t="s">
        <v>4</v>
      </c>
      <c r="I967" s="46" t="s">
        <v>4</v>
      </c>
      <c r="J967" s="48">
        <v>1378.37</v>
      </c>
      <c r="K967" s="47" t="s">
        <v>520</v>
      </c>
      <c r="L967" s="47" t="s">
        <v>521</v>
      </c>
      <c r="M967" s="46" t="s">
        <v>807</v>
      </c>
      <c r="N967" s="47" t="s">
        <v>808</v>
      </c>
      <c r="O967" s="44" t="s">
        <v>4</v>
      </c>
      <c r="P967" s="47" t="s">
        <v>721</v>
      </c>
      <c r="Q967" s="48">
        <v>142100</v>
      </c>
      <c r="R967" s="49" t="s">
        <v>4</v>
      </c>
      <c r="S967" s="48" t="s">
        <v>4</v>
      </c>
      <c r="T967" s="47" t="s">
        <v>525</v>
      </c>
    </row>
    <row r="968" spans="1:20">
      <c r="A968" s="46">
        <v>138855188874</v>
      </c>
      <c r="B968" s="44" t="s">
        <v>517</v>
      </c>
      <c r="C968" s="45">
        <v>46012</v>
      </c>
      <c r="D968" s="46">
        <v>55196536612</v>
      </c>
      <c r="E968" s="46">
        <v>2154818276209</v>
      </c>
      <c r="F968" s="47" t="s">
        <v>526</v>
      </c>
      <c r="G968" s="47" t="s">
        <v>519</v>
      </c>
      <c r="H968" s="47" t="s">
        <v>4</v>
      </c>
      <c r="I968" s="46" t="s">
        <v>4</v>
      </c>
      <c r="J968" s="48">
        <v>95.06</v>
      </c>
      <c r="K968" s="47" t="s">
        <v>520</v>
      </c>
      <c r="L968" s="47" t="s">
        <v>521</v>
      </c>
      <c r="M968" s="46" t="s">
        <v>807</v>
      </c>
      <c r="N968" s="47" t="s">
        <v>808</v>
      </c>
      <c r="O968" s="44" t="s">
        <v>4</v>
      </c>
      <c r="P968" s="47" t="s">
        <v>527</v>
      </c>
      <c r="Q968" s="48">
        <v>9800</v>
      </c>
      <c r="R968" s="49" t="s">
        <v>4</v>
      </c>
      <c r="S968" s="48" t="s">
        <v>4</v>
      </c>
      <c r="T968" s="47" t="s">
        <v>4</v>
      </c>
    </row>
    <row r="969" spans="1:20">
      <c r="A969" s="46">
        <v>138855285094</v>
      </c>
      <c r="B969" s="44" t="s">
        <v>517</v>
      </c>
      <c r="C969" s="45">
        <v>46012</v>
      </c>
      <c r="D969" s="46">
        <v>55196562088</v>
      </c>
      <c r="E969" s="46">
        <v>2154979100488</v>
      </c>
      <c r="F969" s="47" t="s">
        <v>518</v>
      </c>
      <c r="G969" s="47" t="s">
        <v>519</v>
      </c>
      <c r="H969" s="47" t="s">
        <v>4</v>
      </c>
      <c r="I969" s="46" t="s">
        <v>4</v>
      </c>
      <c r="J969" s="48">
        <v>1246.45</v>
      </c>
      <c r="K969" s="47" t="s">
        <v>520</v>
      </c>
      <c r="L969" s="47" t="s">
        <v>521</v>
      </c>
      <c r="M969" s="46" t="s">
        <v>807</v>
      </c>
      <c r="N969" s="47" t="s">
        <v>808</v>
      </c>
      <c r="O969" s="44" t="s">
        <v>4</v>
      </c>
      <c r="P969" s="47" t="s">
        <v>957</v>
      </c>
      <c r="Q969" s="48">
        <v>128500</v>
      </c>
      <c r="R969" s="49" t="s">
        <v>4</v>
      </c>
      <c r="S969" s="48" t="s">
        <v>4</v>
      </c>
      <c r="T969" s="47" t="s">
        <v>525</v>
      </c>
    </row>
    <row r="970" spans="1:20">
      <c r="A970" s="46">
        <v>138214932755</v>
      </c>
      <c r="B970" s="44" t="s">
        <v>517</v>
      </c>
      <c r="C970" s="45">
        <v>46012</v>
      </c>
      <c r="D970" s="46">
        <v>55196577781</v>
      </c>
      <c r="E970" s="46">
        <v>2154818988297</v>
      </c>
      <c r="F970" s="47" t="s">
        <v>529</v>
      </c>
      <c r="G970" s="47" t="s">
        <v>519</v>
      </c>
      <c r="H970" s="47" t="s">
        <v>4</v>
      </c>
      <c r="I970" s="46" t="s">
        <v>4</v>
      </c>
      <c r="J970" s="48">
        <v>4540.96</v>
      </c>
      <c r="K970" s="47" t="s">
        <v>520</v>
      </c>
      <c r="L970" s="47" t="s">
        <v>530</v>
      </c>
      <c r="M970" s="46" t="s">
        <v>807</v>
      </c>
      <c r="N970" s="47" t="s">
        <v>808</v>
      </c>
      <c r="O970" s="44" t="s">
        <v>263</v>
      </c>
      <c r="P970" s="47" t="s">
        <v>531</v>
      </c>
      <c r="Q970" s="48">
        <v>40400</v>
      </c>
      <c r="R970" s="49" t="s">
        <v>4</v>
      </c>
      <c r="S970" s="48" t="s">
        <v>4</v>
      </c>
      <c r="T970" s="47" t="s">
        <v>525</v>
      </c>
    </row>
    <row r="971" spans="1:20">
      <c r="A971" s="46">
        <v>138215041405</v>
      </c>
      <c r="B971" s="44" t="s">
        <v>517</v>
      </c>
      <c r="C971" s="45">
        <v>46012</v>
      </c>
      <c r="D971" s="46">
        <v>55196648705</v>
      </c>
      <c r="E971" s="46">
        <v>2154820169653</v>
      </c>
      <c r="F971" s="47" t="s">
        <v>518</v>
      </c>
      <c r="G971" s="47" t="s">
        <v>519</v>
      </c>
      <c r="H971" s="47" t="s">
        <v>4</v>
      </c>
      <c r="I971" s="46" t="s">
        <v>4</v>
      </c>
      <c r="J971" s="48">
        <v>139.68</v>
      </c>
      <c r="K971" s="47" t="s">
        <v>520</v>
      </c>
      <c r="L971" s="47" t="s">
        <v>521</v>
      </c>
      <c r="M971" s="46" t="s">
        <v>807</v>
      </c>
      <c r="N971" s="47" t="s">
        <v>808</v>
      </c>
      <c r="O971" s="44" t="s">
        <v>4</v>
      </c>
      <c r="P971" s="47" t="s">
        <v>598</v>
      </c>
      <c r="Q971" s="48">
        <v>14400</v>
      </c>
      <c r="R971" s="49" t="s">
        <v>4</v>
      </c>
      <c r="S971" s="48" t="s">
        <v>4</v>
      </c>
      <c r="T971" s="47" t="s">
        <v>525</v>
      </c>
    </row>
    <row r="972" spans="1:20">
      <c r="A972" s="46">
        <v>138215082017</v>
      </c>
      <c r="B972" s="44" t="s">
        <v>517</v>
      </c>
      <c r="C972" s="45">
        <v>46012</v>
      </c>
      <c r="D972" s="46">
        <v>55196679076</v>
      </c>
      <c r="E972" s="46">
        <v>2154980920912</v>
      </c>
      <c r="F972" s="47" t="s">
        <v>518</v>
      </c>
      <c r="G972" s="47" t="s">
        <v>519</v>
      </c>
      <c r="H972" s="47" t="s">
        <v>4</v>
      </c>
      <c r="I972" s="46" t="s">
        <v>4</v>
      </c>
      <c r="J972" s="48">
        <v>106.7</v>
      </c>
      <c r="K972" s="47" t="s">
        <v>520</v>
      </c>
      <c r="L972" s="47" t="s">
        <v>521</v>
      </c>
      <c r="M972" s="46" t="s">
        <v>807</v>
      </c>
      <c r="N972" s="47" t="s">
        <v>808</v>
      </c>
      <c r="O972" s="44" t="s">
        <v>4</v>
      </c>
      <c r="P972" s="47" t="s">
        <v>958</v>
      </c>
      <c r="Q972" s="48">
        <v>11000</v>
      </c>
      <c r="R972" s="49" t="s">
        <v>4</v>
      </c>
      <c r="S972" s="48" t="s">
        <v>4</v>
      </c>
      <c r="T972" s="47" t="s">
        <v>525</v>
      </c>
    </row>
    <row r="973" spans="1:20">
      <c r="A973" s="46">
        <v>138215130073</v>
      </c>
      <c r="B973" s="44" t="s">
        <v>517</v>
      </c>
      <c r="C973" s="45">
        <v>46012</v>
      </c>
      <c r="D973" s="46">
        <v>55196708507</v>
      </c>
      <c r="E973" s="46">
        <v>2154981423790</v>
      </c>
      <c r="F973" s="47" t="s">
        <v>529</v>
      </c>
      <c r="G973" s="47" t="s">
        <v>519</v>
      </c>
      <c r="H973" s="47" t="s">
        <v>4</v>
      </c>
      <c r="I973" s="46" t="s">
        <v>4</v>
      </c>
      <c r="J973" s="48">
        <v>444.92</v>
      </c>
      <c r="K973" s="47" t="s">
        <v>520</v>
      </c>
      <c r="L973" s="47" t="s">
        <v>530</v>
      </c>
      <c r="M973" s="46" t="s">
        <v>807</v>
      </c>
      <c r="N973" s="47" t="s">
        <v>808</v>
      </c>
      <c r="O973" s="44" t="s">
        <v>263</v>
      </c>
      <c r="P973" s="47" t="s">
        <v>531</v>
      </c>
      <c r="Q973" s="48">
        <v>9800</v>
      </c>
      <c r="R973" s="49" t="s">
        <v>4</v>
      </c>
      <c r="S973" s="48" t="s">
        <v>4</v>
      </c>
      <c r="T973" s="47" t="s">
        <v>525</v>
      </c>
    </row>
    <row r="974" spans="1:20">
      <c r="A974" s="46">
        <v>138215334949</v>
      </c>
      <c r="B974" s="44" t="s">
        <v>517</v>
      </c>
      <c r="C974" s="45">
        <v>46012</v>
      </c>
      <c r="D974" s="46">
        <v>55196769203</v>
      </c>
      <c r="E974" s="46">
        <v>2154821860723</v>
      </c>
      <c r="F974" s="47" t="s">
        <v>518</v>
      </c>
      <c r="G974" s="47" t="s">
        <v>519</v>
      </c>
      <c r="H974" s="47" t="s">
        <v>4</v>
      </c>
      <c r="I974" s="46" t="s">
        <v>4</v>
      </c>
      <c r="J974" s="48">
        <v>183.33</v>
      </c>
      <c r="K974" s="47" t="s">
        <v>520</v>
      </c>
      <c r="L974" s="47" t="s">
        <v>521</v>
      </c>
      <c r="M974" s="46" t="s">
        <v>807</v>
      </c>
      <c r="N974" s="47" t="s">
        <v>808</v>
      </c>
      <c r="O974" s="44" t="s">
        <v>4</v>
      </c>
      <c r="P974" s="47" t="s">
        <v>959</v>
      </c>
      <c r="Q974" s="48">
        <v>18900</v>
      </c>
      <c r="R974" s="49" t="s">
        <v>4</v>
      </c>
      <c r="S974" s="48" t="s">
        <v>4</v>
      </c>
      <c r="T974" s="47" t="s">
        <v>525</v>
      </c>
    </row>
    <row r="975" spans="1:20">
      <c r="A975" s="46">
        <v>138855980124</v>
      </c>
      <c r="B975" s="44" t="s">
        <v>517</v>
      </c>
      <c r="C975" s="45">
        <v>46012</v>
      </c>
      <c r="D975" s="46">
        <v>55196773669</v>
      </c>
      <c r="E975" s="46">
        <v>2154982576596</v>
      </c>
      <c r="F975" s="47" t="s">
        <v>526</v>
      </c>
      <c r="G975" s="47" t="s">
        <v>519</v>
      </c>
      <c r="H975" s="47" t="s">
        <v>4</v>
      </c>
      <c r="I975" s="46" t="s">
        <v>4</v>
      </c>
      <c r="J975" s="48">
        <v>192.06</v>
      </c>
      <c r="K975" s="47" t="s">
        <v>520</v>
      </c>
      <c r="L975" s="47" t="s">
        <v>521</v>
      </c>
      <c r="M975" s="46" t="s">
        <v>807</v>
      </c>
      <c r="N975" s="47" t="s">
        <v>808</v>
      </c>
      <c r="O975" s="44" t="s">
        <v>4</v>
      </c>
      <c r="P975" s="47" t="s">
        <v>527</v>
      </c>
      <c r="Q975" s="48">
        <v>19800</v>
      </c>
      <c r="R975" s="49" t="s">
        <v>4</v>
      </c>
      <c r="S975" s="48" t="s">
        <v>4</v>
      </c>
      <c r="T975" s="47" t="s">
        <v>4</v>
      </c>
    </row>
    <row r="976" spans="1:20">
      <c r="A976" s="46">
        <v>138855967168</v>
      </c>
      <c r="B976" s="44" t="s">
        <v>517</v>
      </c>
      <c r="C976" s="45">
        <v>46012</v>
      </c>
      <c r="D976" s="46">
        <v>55196807223</v>
      </c>
      <c r="E976" s="46">
        <v>2154982664926</v>
      </c>
      <c r="F976" s="47" t="s">
        <v>518</v>
      </c>
      <c r="G976" s="47" t="s">
        <v>519</v>
      </c>
      <c r="H976" s="47" t="s">
        <v>4</v>
      </c>
      <c r="I976" s="46" t="s">
        <v>4</v>
      </c>
      <c r="J976" s="48">
        <v>101.85</v>
      </c>
      <c r="K976" s="47" t="s">
        <v>520</v>
      </c>
      <c r="L976" s="47" t="s">
        <v>521</v>
      </c>
      <c r="M976" s="46" t="s">
        <v>807</v>
      </c>
      <c r="N976" s="47" t="s">
        <v>808</v>
      </c>
      <c r="O976" s="44" t="s">
        <v>4</v>
      </c>
      <c r="P976" s="47" t="s">
        <v>960</v>
      </c>
      <c r="Q976" s="48">
        <v>10500</v>
      </c>
      <c r="R976" s="49" t="s">
        <v>4</v>
      </c>
      <c r="S976" s="48" t="s">
        <v>4</v>
      </c>
      <c r="T976" s="47" t="s">
        <v>525</v>
      </c>
    </row>
    <row r="977" spans="1:20">
      <c r="A977" s="46">
        <v>138856026646</v>
      </c>
      <c r="B977" s="44" t="s">
        <v>517</v>
      </c>
      <c r="C977" s="45">
        <v>46012</v>
      </c>
      <c r="D977" s="46">
        <v>55196820081</v>
      </c>
      <c r="E977" s="46">
        <v>2154822850693</v>
      </c>
      <c r="F977" s="47" t="s">
        <v>529</v>
      </c>
      <c r="G977" s="47" t="s">
        <v>519</v>
      </c>
      <c r="H977" s="47" t="s">
        <v>4</v>
      </c>
      <c r="I977" s="46" t="s">
        <v>4</v>
      </c>
      <c r="J977" s="48">
        <v>1862.82</v>
      </c>
      <c r="K977" s="47" t="s">
        <v>520</v>
      </c>
      <c r="L977" s="47" t="s">
        <v>530</v>
      </c>
      <c r="M977" s="46" t="s">
        <v>807</v>
      </c>
      <c r="N977" s="47" t="s">
        <v>808</v>
      </c>
      <c r="O977" s="44" t="s">
        <v>263</v>
      </c>
      <c r="P977" s="47" t="s">
        <v>531</v>
      </c>
      <c r="Q977" s="48">
        <v>47400</v>
      </c>
      <c r="R977" s="49" t="s">
        <v>4</v>
      </c>
      <c r="S977" s="48" t="s">
        <v>4</v>
      </c>
      <c r="T977" s="47" t="s">
        <v>525</v>
      </c>
    </row>
    <row r="978" spans="1:20">
      <c r="A978" s="46">
        <v>138856057240</v>
      </c>
      <c r="B978" s="44" t="s">
        <v>517</v>
      </c>
      <c r="C978" s="45">
        <v>46012</v>
      </c>
      <c r="D978" s="46">
        <v>55196843817</v>
      </c>
      <c r="E978" s="46">
        <v>2154983326654</v>
      </c>
      <c r="F978" s="47" t="s">
        <v>518</v>
      </c>
      <c r="G978" s="47" t="s">
        <v>519</v>
      </c>
      <c r="H978" s="47" t="s">
        <v>4</v>
      </c>
      <c r="I978" s="46" t="s">
        <v>4</v>
      </c>
      <c r="J978" s="48">
        <v>487.91</v>
      </c>
      <c r="K978" s="47" t="s">
        <v>520</v>
      </c>
      <c r="L978" s="47" t="s">
        <v>521</v>
      </c>
      <c r="M978" s="46" t="s">
        <v>807</v>
      </c>
      <c r="N978" s="47" t="s">
        <v>808</v>
      </c>
      <c r="O978" s="44" t="s">
        <v>4</v>
      </c>
      <c r="P978" s="47" t="s">
        <v>961</v>
      </c>
      <c r="Q978" s="48">
        <v>50300</v>
      </c>
      <c r="R978" s="49" t="s">
        <v>4</v>
      </c>
      <c r="S978" s="48" t="s">
        <v>4</v>
      </c>
      <c r="T978" s="47" t="s">
        <v>525</v>
      </c>
    </row>
    <row r="979" spans="1:20">
      <c r="A979" s="46">
        <v>138216488259</v>
      </c>
      <c r="B979" s="44" t="s">
        <v>517</v>
      </c>
      <c r="C979" s="45">
        <v>46012</v>
      </c>
      <c r="D979" s="46">
        <v>55197191156</v>
      </c>
      <c r="E979" s="46">
        <v>2154828595803</v>
      </c>
      <c r="F979" s="47" t="s">
        <v>518</v>
      </c>
      <c r="G979" s="47" t="s">
        <v>519</v>
      </c>
      <c r="H979" s="47" t="s">
        <v>4</v>
      </c>
      <c r="I979" s="46" t="s">
        <v>4</v>
      </c>
      <c r="J979" s="48">
        <v>159.08000000000001</v>
      </c>
      <c r="K979" s="47" t="s">
        <v>520</v>
      </c>
      <c r="L979" s="47" t="s">
        <v>521</v>
      </c>
      <c r="M979" s="46" t="s">
        <v>807</v>
      </c>
      <c r="N979" s="47" t="s">
        <v>808</v>
      </c>
      <c r="O979" s="44" t="s">
        <v>4</v>
      </c>
      <c r="P979" s="47" t="s">
        <v>962</v>
      </c>
      <c r="Q979" s="48">
        <v>16400</v>
      </c>
      <c r="R979" s="49" t="s">
        <v>4</v>
      </c>
      <c r="S979" s="48" t="s">
        <v>4</v>
      </c>
      <c r="T979" s="47" t="s">
        <v>525</v>
      </c>
    </row>
    <row r="980" spans="1:20">
      <c r="A980" s="46">
        <v>138216467745</v>
      </c>
      <c r="B980" s="44" t="s">
        <v>517</v>
      </c>
      <c r="C980" s="45">
        <v>46012</v>
      </c>
      <c r="D980" s="46">
        <v>55197227253</v>
      </c>
      <c r="E980" s="46">
        <v>2154989278812</v>
      </c>
      <c r="F980" s="47" t="s">
        <v>529</v>
      </c>
      <c r="G980" s="47" t="s">
        <v>519</v>
      </c>
      <c r="H980" s="47" t="s">
        <v>4</v>
      </c>
      <c r="I980" s="46" t="s">
        <v>4</v>
      </c>
      <c r="J980" s="48">
        <v>5284.56</v>
      </c>
      <c r="K980" s="47" t="s">
        <v>520</v>
      </c>
      <c r="L980" s="47" t="s">
        <v>530</v>
      </c>
      <c r="M980" s="46" t="s">
        <v>807</v>
      </c>
      <c r="N980" s="47" t="s">
        <v>808</v>
      </c>
      <c r="O980" s="44" t="s">
        <v>263</v>
      </c>
      <c r="P980" s="47" t="s">
        <v>531</v>
      </c>
      <c r="Q980" s="48">
        <v>116400</v>
      </c>
      <c r="R980" s="49" t="s">
        <v>4</v>
      </c>
      <c r="S980" s="48" t="s">
        <v>4</v>
      </c>
      <c r="T980" s="47" t="s">
        <v>525</v>
      </c>
    </row>
    <row r="981" spans="1:20">
      <c r="A981" s="46">
        <v>138856950028</v>
      </c>
      <c r="B981" s="44" t="s">
        <v>517</v>
      </c>
      <c r="C981" s="45">
        <v>46012</v>
      </c>
      <c r="D981" s="46">
        <v>55197256531</v>
      </c>
      <c r="E981" s="46">
        <v>2154829368553</v>
      </c>
      <c r="F981" s="47" t="s">
        <v>529</v>
      </c>
      <c r="G981" s="47" t="s">
        <v>519</v>
      </c>
      <c r="H981" s="47" t="s">
        <v>4</v>
      </c>
      <c r="I981" s="46" t="s">
        <v>4</v>
      </c>
      <c r="J981" s="48">
        <v>1277.25</v>
      </c>
      <c r="K981" s="47" t="s">
        <v>520</v>
      </c>
      <c r="L981" s="47" t="s">
        <v>530</v>
      </c>
      <c r="M981" s="46" t="s">
        <v>807</v>
      </c>
      <c r="N981" s="47" t="s">
        <v>808</v>
      </c>
      <c r="O981" s="44" t="s">
        <v>263</v>
      </c>
      <c r="P981" s="47" t="s">
        <v>531</v>
      </c>
      <c r="Q981" s="48">
        <v>32500</v>
      </c>
      <c r="R981" s="49" t="s">
        <v>4</v>
      </c>
      <c r="S981" s="48" t="s">
        <v>4</v>
      </c>
      <c r="T981" s="47" t="s">
        <v>525</v>
      </c>
    </row>
    <row r="982" spans="1:20">
      <c r="A982" s="46">
        <v>138857415050</v>
      </c>
      <c r="B982" s="44" t="s">
        <v>517</v>
      </c>
      <c r="C982" s="45">
        <v>46012</v>
      </c>
      <c r="D982" s="46">
        <v>55197371515</v>
      </c>
      <c r="E982" s="46">
        <v>2154831625815</v>
      </c>
      <c r="F982" s="47" t="s">
        <v>529</v>
      </c>
      <c r="G982" s="47" t="s">
        <v>519</v>
      </c>
      <c r="H982" s="47" t="s">
        <v>4</v>
      </c>
      <c r="I982" s="46" t="s">
        <v>4</v>
      </c>
      <c r="J982" s="48">
        <v>837.1</v>
      </c>
      <c r="K982" s="47" t="s">
        <v>520</v>
      </c>
      <c r="L982" s="47" t="s">
        <v>530</v>
      </c>
      <c r="M982" s="46" t="s">
        <v>807</v>
      </c>
      <c r="N982" s="47" t="s">
        <v>808</v>
      </c>
      <c r="O982" s="44" t="s">
        <v>263</v>
      </c>
      <c r="P982" s="47" t="s">
        <v>531</v>
      </c>
      <c r="Q982" s="48">
        <v>11000</v>
      </c>
      <c r="R982" s="49" t="s">
        <v>4</v>
      </c>
      <c r="S982" s="48" t="s">
        <v>4</v>
      </c>
      <c r="T982" s="47" t="s">
        <v>525</v>
      </c>
    </row>
    <row r="983" spans="1:20">
      <c r="A983" s="46">
        <v>138217368551</v>
      </c>
      <c r="B983" s="44" t="s">
        <v>517</v>
      </c>
      <c r="C983" s="45">
        <v>46012</v>
      </c>
      <c r="D983" s="46">
        <v>55197547731</v>
      </c>
      <c r="E983" s="46">
        <v>2154994515116</v>
      </c>
      <c r="F983" s="47" t="s">
        <v>518</v>
      </c>
      <c r="G983" s="47" t="s">
        <v>519</v>
      </c>
      <c r="H983" s="47" t="s">
        <v>4</v>
      </c>
      <c r="I983" s="46" t="s">
        <v>4</v>
      </c>
      <c r="J983" s="48">
        <v>487.91</v>
      </c>
      <c r="K983" s="47" t="s">
        <v>520</v>
      </c>
      <c r="L983" s="47" t="s">
        <v>521</v>
      </c>
      <c r="M983" s="46" t="s">
        <v>807</v>
      </c>
      <c r="N983" s="47" t="s">
        <v>808</v>
      </c>
      <c r="O983" s="44" t="s">
        <v>4</v>
      </c>
      <c r="P983" s="47" t="s">
        <v>963</v>
      </c>
      <c r="Q983" s="48">
        <v>50300</v>
      </c>
      <c r="R983" s="49" t="s">
        <v>4</v>
      </c>
      <c r="S983" s="48" t="s">
        <v>4</v>
      </c>
      <c r="T983" s="47" t="s">
        <v>525</v>
      </c>
    </row>
    <row r="984" spans="1:20">
      <c r="A984" s="46">
        <v>138857784600</v>
      </c>
      <c r="B984" s="44" t="s">
        <v>517</v>
      </c>
      <c r="C984" s="45">
        <v>46012</v>
      </c>
      <c r="D984" s="46">
        <v>55197550544</v>
      </c>
      <c r="E984" s="46">
        <v>2154834422715</v>
      </c>
      <c r="F984" s="47" t="s">
        <v>518</v>
      </c>
      <c r="G984" s="47" t="s">
        <v>519</v>
      </c>
      <c r="H984" s="47" t="s">
        <v>4</v>
      </c>
      <c r="I984" s="46" t="s">
        <v>4</v>
      </c>
      <c r="J984" s="48">
        <v>146.47</v>
      </c>
      <c r="K984" s="47" t="s">
        <v>520</v>
      </c>
      <c r="L984" s="47" t="s">
        <v>521</v>
      </c>
      <c r="M984" s="46" t="s">
        <v>807</v>
      </c>
      <c r="N984" s="47" t="s">
        <v>808</v>
      </c>
      <c r="O984" s="44" t="s">
        <v>4</v>
      </c>
      <c r="P984" s="47" t="s">
        <v>964</v>
      </c>
      <c r="Q984" s="48">
        <v>15100</v>
      </c>
      <c r="R984" s="49" t="s">
        <v>4</v>
      </c>
      <c r="S984" s="48" t="s">
        <v>4</v>
      </c>
      <c r="T984" s="47" t="s">
        <v>525</v>
      </c>
    </row>
    <row r="985" spans="1:20">
      <c r="A985" s="46">
        <v>138217572119</v>
      </c>
      <c r="B985" s="44" t="s">
        <v>517</v>
      </c>
      <c r="C985" s="45">
        <v>46012</v>
      </c>
      <c r="D985" s="46">
        <v>55197606246</v>
      </c>
      <c r="E985" s="46">
        <v>2154835151423</v>
      </c>
      <c r="F985" s="47" t="s">
        <v>526</v>
      </c>
      <c r="G985" s="47" t="s">
        <v>519</v>
      </c>
      <c r="H985" s="47" t="s">
        <v>4</v>
      </c>
      <c r="I985" s="46" t="s">
        <v>4</v>
      </c>
      <c r="J985" s="48">
        <v>99.91</v>
      </c>
      <c r="K985" s="47" t="s">
        <v>520</v>
      </c>
      <c r="L985" s="47" t="s">
        <v>521</v>
      </c>
      <c r="M985" s="46" t="s">
        <v>807</v>
      </c>
      <c r="N985" s="47" t="s">
        <v>808</v>
      </c>
      <c r="O985" s="44" t="s">
        <v>4</v>
      </c>
      <c r="P985" s="47" t="s">
        <v>527</v>
      </c>
      <c r="Q985" s="48">
        <v>10300</v>
      </c>
      <c r="R985" s="49" t="s">
        <v>4</v>
      </c>
      <c r="S985" s="48" t="s">
        <v>4</v>
      </c>
      <c r="T985" s="47" t="s">
        <v>4</v>
      </c>
    </row>
    <row r="986" spans="1:20">
      <c r="A986" s="46">
        <v>138217537137</v>
      </c>
      <c r="B986" s="44" t="s">
        <v>517</v>
      </c>
      <c r="C986" s="45">
        <v>46012</v>
      </c>
      <c r="D986" s="46">
        <v>55197610230</v>
      </c>
      <c r="E986" s="46">
        <v>2154995721402</v>
      </c>
      <c r="F986" s="47" t="s">
        <v>518</v>
      </c>
      <c r="G986" s="47" t="s">
        <v>519</v>
      </c>
      <c r="H986" s="47" t="s">
        <v>4</v>
      </c>
      <c r="I986" s="46" t="s">
        <v>4</v>
      </c>
      <c r="J986" s="48">
        <v>106.7</v>
      </c>
      <c r="K986" s="47" t="s">
        <v>520</v>
      </c>
      <c r="L986" s="47" t="s">
        <v>521</v>
      </c>
      <c r="M986" s="46" t="s">
        <v>807</v>
      </c>
      <c r="N986" s="47" t="s">
        <v>808</v>
      </c>
      <c r="O986" s="44" t="s">
        <v>4</v>
      </c>
      <c r="P986" s="47" t="s">
        <v>965</v>
      </c>
      <c r="Q986" s="48">
        <v>11000</v>
      </c>
      <c r="R986" s="49" t="s">
        <v>4</v>
      </c>
      <c r="S986" s="48" t="s">
        <v>4</v>
      </c>
      <c r="T986" s="47" t="s">
        <v>525</v>
      </c>
    </row>
    <row r="987" spans="1:20">
      <c r="A987" s="46">
        <v>138217640499</v>
      </c>
      <c r="B987" s="44" t="s">
        <v>517</v>
      </c>
      <c r="C987" s="45">
        <v>46012</v>
      </c>
      <c r="D987" s="46">
        <v>55197622386</v>
      </c>
      <c r="E987" s="46">
        <v>2154835686421</v>
      </c>
      <c r="F987" s="47" t="s">
        <v>526</v>
      </c>
      <c r="G987" s="47" t="s">
        <v>519</v>
      </c>
      <c r="H987" s="47" t="s">
        <v>4</v>
      </c>
      <c r="I987" s="46" t="s">
        <v>4</v>
      </c>
      <c r="J987" s="48">
        <v>190.12</v>
      </c>
      <c r="K987" s="47" t="s">
        <v>520</v>
      </c>
      <c r="L987" s="47" t="s">
        <v>521</v>
      </c>
      <c r="M987" s="46" t="s">
        <v>807</v>
      </c>
      <c r="N987" s="47" t="s">
        <v>808</v>
      </c>
      <c r="O987" s="44" t="s">
        <v>4</v>
      </c>
      <c r="P987" s="47" t="s">
        <v>527</v>
      </c>
      <c r="Q987" s="48">
        <v>19600</v>
      </c>
      <c r="R987" s="49" t="s">
        <v>4</v>
      </c>
      <c r="S987" s="48" t="s">
        <v>4</v>
      </c>
      <c r="T987" s="47" t="s">
        <v>4</v>
      </c>
    </row>
    <row r="988" spans="1:20">
      <c r="A988" s="46">
        <v>138857992860</v>
      </c>
      <c r="B988" s="44" t="s">
        <v>517</v>
      </c>
      <c r="C988" s="45">
        <v>46012</v>
      </c>
      <c r="D988" s="46">
        <v>55197667455</v>
      </c>
      <c r="E988" s="46">
        <v>2154835937751</v>
      </c>
      <c r="F988" s="47" t="s">
        <v>518</v>
      </c>
      <c r="G988" s="47" t="s">
        <v>519</v>
      </c>
      <c r="H988" s="47" t="s">
        <v>4</v>
      </c>
      <c r="I988" s="46" t="s">
        <v>4</v>
      </c>
      <c r="J988" s="48">
        <v>618.86</v>
      </c>
      <c r="K988" s="47" t="s">
        <v>520</v>
      </c>
      <c r="L988" s="47" t="s">
        <v>521</v>
      </c>
      <c r="M988" s="46" t="s">
        <v>807</v>
      </c>
      <c r="N988" s="47" t="s">
        <v>808</v>
      </c>
      <c r="O988" s="44" t="s">
        <v>4</v>
      </c>
      <c r="P988" s="47" t="s">
        <v>966</v>
      </c>
      <c r="Q988" s="48">
        <v>63800</v>
      </c>
      <c r="R988" s="49" t="s">
        <v>4</v>
      </c>
      <c r="S988" s="48" t="s">
        <v>4</v>
      </c>
      <c r="T988" s="47" t="s">
        <v>525</v>
      </c>
    </row>
    <row r="989" spans="1:20">
      <c r="A989" s="46">
        <v>138217702891</v>
      </c>
      <c r="B989" s="44" t="s">
        <v>517</v>
      </c>
      <c r="C989" s="45">
        <v>46012</v>
      </c>
      <c r="D989" s="46">
        <v>55197681553</v>
      </c>
      <c r="E989" s="46">
        <v>2154836473447</v>
      </c>
      <c r="F989" s="47" t="s">
        <v>526</v>
      </c>
      <c r="G989" s="47" t="s">
        <v>519</v>
      </c>
      <c r="H989" s="47" t="s">
        <v>4</v>
      </c>
      <c r="I989" s="46" t="s">
        <v>4</v>
      </c>
      <c r="J989" s="48">
        <v>983.58</v>
      </c>
      <c r="K989" s="47" t="s">
        <v>520</v>
      </c>
      <c r="L989" s="47" t="s">
        <v>521</v>
      </c>
      <c r="M989" s="46" t="s">
        <v>807</v>
      </c>
      <c r="N989" s="47" t="s">
        <v>808</v>
      </c>
      <c r="O989" s="44" t="s">
        <v>4</v>
      </c>
      <c r="P989" s="47" t="s">
        <v>527</v>
      </c>
      <c r="Q989" s="48">
        <v>101400</v>
      </c>
      <c r="R989" s="49" t="s">
        <v>4</v>
      </c>
      <c r="S989" s="48" t="s">
        <v>4</v>
      </c>
      <c r="T989" s="47" t="s">
        <v>4</v>
      </c>
    </row>
    <row r="990" spans="1:20">
      <c r="A990" s="46">
        <v>138217707315</v>
      </c>
      <c r="B990" s="44" t="s">
        <v>517</v>
      </c>
      <c r="C990" s="45">
        <v>46012</v>
      </c>
      <c r="D990" s="46">
        <v>55197694192</v>
      </c>
      <c r="E990" s="46">
        <v>2154996988498</v>
      </c>
      <c r="F990" s="47" t="s">
        <v>518</v>
      </c>
      <c r="G990" s="47" t="s">
        <v>519</v>
      </c>
      <c r="H990" s="47" t="s">
        <v>4</v>
      </c>
      <c r="I990" s="46" t="s">
        <v>4</v>
      </c>
      <c r="J990" s="48">
        <v>261.89999999999998</v>
      </c>
      <c r="K990" s="47" t="s">
        <v>520</v>
      </c>
      <c r="L990" s="47" t="s">
        <v>521</v>
      </c>
      <c r="M990" s="46" t="s">
        <v>807</v>
      </c>
      <c r="N990" s="47" t="s">
        <v>808</v>
      </c>
      <c r="O990" s="44" t="s">
        <v>4</v>
      </c>
      <c r="P990" s="47" t="s">
        <v>951</v>
      </c>
      <c r="Q990" s="48">
        <v>27000</v>
      </c>
      <c r="R990" s="49" t="s">
        <v>4</v>
      </c>
      <c r="S990" s="48" t="s">
        <v>4</v>
      </c>
      <c r="T990" s="47" t="s">
        <v>525</v>
      </c>
    </row>
    <row r="991" spans="1:20">
      <c r="A991" s="46">
        <v>138217710071</v>
      </c>
      <c r="B991" s="44" t="s">
        <v>517</v>
      </c>
      <c r="C991" s="45">
        <v>46012</v>
      </c>
      <c r="D991" s="46">
        <v>55197710677</v>
      </c>
      <c r="E991" s="46">
        <v>2154837112007</v>
      </c>
      <c r="F991" s="47" t="s">
        <v>518</v>
      </c>
      <c r="G991" s="47" t="s">
        <v>519</v>
      </c>
      <c r="H991" s="47" t="s">
        <v>4</v>
      </c>
      <c r="I991" s="46" t="s">
        <v>4</v>
      </c>
      <c r="J991" s="48">
        <v>146.47</v>
      </c>
      <c r="K991" s="47" t="s">
        <v>520</v>
      </c>
      <c r="L991" s="47" t="s">
        <v>521</v>
      </c>
      <c r="M991" s="46" t="s">
        <v>807</v>
      </c>
      <c r="N991" s="47" t="s">
        <v>808</v>
      </c>
      <c r="O991" s="44" t="s">
        <v>4</v>
      </c>
      <c r="P991" s="47" t="s">
        <v>967</v>
      </c>
      <c r="Q991" s="48">
        <v>15100</v>
      </c>
      <c r="R991" s="49" t="s">
        <v>4</v>
      </c>
      <c r="S991" s="48" t="s">
        <v>4</v>
      </c>
      <c r="T991" s="47" t="s">
        <v>525</v>
      </c>
    </row>
    <row r="992" spans="1:20">
      <c r="A992" s="46">
        <v>138931151502</v>
      </c>
      <c r="B992" s="44" t="s">
        <v>517</v>
      </c>
      <c r="C992" s="45">
        <v>46012</v>
      </c>
      <c r="D992" s="46">
        <v>55229280469</v>
      </c>
      <c r="E992" s="46">
        <v>2155294173181</v>
      </c>
      <c r="F992" s="47" t="s">
        <v>518</v>
      </c>
      <c r="G992" s="47" t="s">
        <v>519</v>
      </c>
      <c r="H992" s="47" t="s">
        <v>4</v>
      </c>
      <c r="I992" s="46" t="s">
        <v>4</v>
      </c>
      <c r="J992" s="48">
        <v>53.35</v>
      </c>
      <c r="K992" s="47" t="s">
        <v>520</v>
      </c>
      <c r="L992" s="47" t="s">
        <v>521</v>
      </c>
      <c r="M992" s="46" t="s">
        <v>807</v>
      </c>
      <c r="N992" s="47" t="s">
        <v>808</v>
      </c>
      <c r="O992" s="44" t="s">
        <v>4</v>
      </c>
      <c r="P992" s="47" t="s">
        <v>572</v>
      </c>
      <c r="Q992" s="48">
        <v>5500</v>
      </c>
      <c r="R992" s="49" t="s">
        <v>4</v>
      </c>
      <c r="S992" s="48" t="s">
        <v>4</v>
      </c>
      <c r="T992" s="47" t="s">
        <v>525</v>
      </c>
    </row>
    <row r="993" spans="1:20">
      <c r="A993" s="46">
        <v>138298749187</v>
      </c>
      <c r="B993" s="44" t="s">
        <v>517</v>
      </c>
      <c r="C993" s="45">
        <v>46012</v>
      </c>
      <c r="D993" s="46">
        <v>55232716943</v>
      </c>
      <c r="E993" s="46">
        <v>2155347808879</v>
      </c>
      <c r="F993" s="47" t="s">
        <v>529</v>
      </c>
      <c r="G993" s="47" t="s">
        <v>519</v>
      </c>
      <c r="H993" s="47" t="s">
        <v>4</v>
      </c>
      <c r="I993" s="46" t="s">
        <v>4</v>
      </c>
      <c r="J993" s="48">
        <v>534.48</v>
      </c>
      <c r="K993" s="47" t="s">
        <v>520</v>
      </c>
      <c r="L993" s="47" t="s">
        <v>530</v>
      </c>
      <c r="M993" s="46" t="s">
        <v>807</v>
      </c>
      <c r="N993" s="47" t="s">
        <v>808</v>
      </c>
      <c r="O993" s="44" t="s">
        <v>263</v>
      </c>
      <c r="P993" s="47" t="s">
        <v>531</v>
      </c>
      <c r="Q993" s="48">
        <v>13600</v>
      </c>
      <c r="R993" s="49" t="s">
        <v>4</v>
      </c>
      <c r="S993" s="48" t="s">
        <v>4</v>
      </c>
      <c r="T993" s="47" t="s">
        <v>525</v>
      </c>
    </row>
    <row r="994" spans="1:20">
      <c r="A994" s="46">
        <v>138305568797</v>
      </c>
      <c r="B994" s="44" t="s">
        <v>517</v>
      </c>
      <c r="C994" s="45">
        <v>46012</v>
      </c>
      <c r="D994" s="46">
        <v>55235388352</v>
      </c>
      <c r="E994" s="46">
        <v>2155551031812</v>
      </c>
      <c r="F994" s="47" t="s">
        <v>518</v>
      </c>
      <c r="G994" s="47" t="s">
        <v>519</v>
      </c>
      <c r="H994" s="47" t="s">
        <v>4</v>
      </c>
      <c r="I994" s="46" t="s">
        <v>4</v>
      </c>
      <c r="J994" s="48">
        <v>179.94</v>
      </c>
      <c r="K994" s="47" t="s">
        <v>520</v>
      </c>
      <c r="L994" s="47" t="s">
        <v>521</v>
      </c>
      <c r="M994" s="46" t="s">
        <v>660</v>
      </c>
      <c r="N994" s="47" t="s">
        <v>661</v>
      </c>
      <c r="O994" s="44" t="s">
        <v>4</v>
      </c>
      <c r="P994" s="47" t="s">
        <v>968</v>
      </c>
      <c r="Q994" s="48">
        <v>18550</v>
      </c>
      <c r="R994" s="49" t="s">
        <v>4</v>
      </c>
      <c r="S994" s="48" t="s">
        <v>4</v>
      </c>
      <c r="T994" s="47" t="s">
        <v>525</v>
      </c>
    </row>
    <row r="995" spans="1:20">
      <c r="A995" s="46">
        <v>138305709893</v>
      </c>
      <c r="B995" s="44" t="s">
        <v>517</v>
      </c>
      <c r="C995" s="45">
        <v>46012</v>
      </c>
      <c r="D995" s="46">
        <v>55235470758</v>
      </c>
      <c r="E995" s="46">
        <v>2155552700170</v>
      </c>
      <c r="F995" s="47" t="s">
        <v>526</v>
      </c>
      <c r="G995" s="47" t="s">
        <v>519</v>
      </c>
      <c r="H995" s="47" t="s">
        <v>4</v>
      </c>
      <c r="I995" s="46" t="s">
        <v>4</v>
      </c>
      <c r="J995" s="48">
        <v>485</v>
      </c>
      <c r="K995" s="47" t="s">
        <v>520</v>
      </c>
      <c r="L995" s="47" t="s">
        <v>521</v>
      </c>
      <c r="M995" s="46" t="s">
        <v>660</v>
      </c>
      <c r="N995" s="47" t="s">
        <v>661</v>
      </c>
      <c r="O995" s="44" t="s">
        <v>4</v>
      </c>
      <c r="P995" s="47" t="s">
        <v>527</v>
      </c>
      <c r="Q995" s="48">
        <v>50000</v>
      </c>
      <c r="R995" s="49" t="s">
        <v>4</v>
      </c>
      <c r="S995" s="48" t="s">
        <v>4</v>
      </c>
      <c r="T995" s="47" t="s">
        <v>4</v>
      </c>
    </row>
    <row r="996" spans="1:20">
      <c r="A996" s="46">
        <v>138946864896</v>
      </c>
      <c r="B996" s="44" t="s">
        <v>517</v>
      </c>
      <c r="C996" s="45">
        <v>46012</v>
      </c>
      <c r="D996" s="46">
        <v>55235515099</v>
      </c>
      <c r="E996" s="46">
        <v>2155553130784</v>
      </c>
      <c r="F996" s="47" t="s">
        <v>529</v>
      </c>
      <c r="G996" s="47" t="s">
        <v>519</v>
      </c>
      <c r="H996" s="47" t="s">
        <v>4</v>
      </c>
      <c r="I996" s="46" t="s">
        <v>4</v>
      </c>
      <c r="J996" s="48">
        <v>192.57</v>
      </c>
      <c r="K996" s="47" t="s">
        <v>520</v>
      </c>
      <c r="L996" s="47" t="s">
        <v>530</v>
      </c>
      <c r="M996" s="46" t="s">
        <v>660</v>
      </c>
      <c r="N996" s="47" t="s">
        <v>661</v>
      </c>
      <c r="O996" s="44" t="s">
        <v>263</v>
      </c>
      <c r="P996" s="47" t="s">
        <v>531</v>
      </c>
      <c r="Q996" s="48">
        <v>4900</v>
      </c>
      <c r="R996" s="49" t="s">
        <v>4</v>
      </c>
      <c r="S996" s="48" t="s">
        <v>4</v>
      </c>
      <c r="T996" s="47" t="s">
        <v>525</v>
      </c>
    </row>
    <row r="997" spans="1:20">
      <c r="A997" s="46">
        <v>138306469365</v>
      </c>
      <c r="B997" s="44" t="s">
        <v>517</v>
      </c>
      <c r="C997" s="45">
        <v>46012</v>
      </c>
      <c r="D997" s="46">
        <v>55235713335</v>
      </c>
      <c r="E997" s="46">
        <v>2155396138259</v>
      </c>
      <c r="F997" s="47" t="s">
        <v>518</v>
      </c>
      <c r="G997" s="47" t="s">
        <v>519</v>
      </c>
      <c r="H997" s="47" t="s">
        <v>4</v>
      </c>
      <c r="I997" s="46" t="s">
        <v>4</v>
      </c>
      <c r="J997" s="48">
        <v>239.59</v>
      </c>
      <c r="K997" s="47" t="s">
        <v>520</v>
      </c>
      <c r="L997" s="47" t="s">
        <v>521</v>
      </c>
      <c r="M997" s="46" t="s">
        <v>807</v>
      </c>
      <c r="N997" s="47" t="s">
        <v>808</v>
      </c>
      <c r="O997" s="44" t="s">
        <v>4</v>
      </c>
      <c r="P997" s="47" t="s">
        <v>969</v>
      </c>
      <c r="Q997" s="48">
        <v>24700</v>
      </c>
      <c r="R997" s="49" t="s">
        <v>4</v>
      </c>
      <c r="S997" s="48" t="s">
        <v>4</v>
      </c>
      <c r="T997" s="47" t="s">
        <v>525</v>
      </c>
    </row>
    <row r="998" spans="1:20">
      <c r="A998" s="46">
        <v>138307234725</v>
      </c>
      <c r="B998" s="44" t="s">
        <v>517</v>
      </c>
      <c r="C998" s="45">
        <v>46012</v>
      </c>
      <c r="D998" s="46">
        <v>55235943782</v>
      </c>
      <c r="E998" s="46">
        <v>2155561000240</v>
      </c>
      <c r="F998" s="47" t="s">
        <v>529</v>
      </c>
      <c r="G998" s="47" t="s">
        <v>519</v>
      </c>
      <c r="H998" s="47" t="s">
        <v>4</v>
      </c>
      <c r="I998" s="46" t="s">
        <v>4</v>
      </c>
      <c r="J998" s="48">
        <v>1171.1400000000001</v>
      </c>
      <c r="K998" s="47" t="s">
        <v>520</v>
      </c>
      <c r="L998" s="47" t="s">
        <v>530</v>
      </c>
      <c r="M998" s="46" t="s">
        <v>660</v>
      </c>
      <c r="N998" s="47" t="s">
        <v>661</v>
      </c>
      <c r="O998" s="44" t="s">
        <v>263</v>
      </c>
      <c r="P998" s="47" t="s">
        <v>531</v>
      </c>
      <c r="Q998" s="48">
        <v>29800</v>
      </c>
      <c r="R998" s="49" t="s">
        <v>4</v>
      </c>
      <c r="S998" s="48" t="s">
        <v>4</v>
      </c>
      <c r="T998" s="47" t="s">
        <v>525</v>
      </c>
    </row>
    <row r="999" spans="1:20">
      <c r="A999" s="46">
        <v>138307273445</v>
      </c>
      <c r="B999" s="44" t="s">
        <v>517</v>
      </c>
      <c r="C999" s="45">
        <v>46012</v>
      </c>
      <c r="D999" s="46">
        <v>55236017301</v>
      </c>
      <c r="E999" s="46">
        <v>2155400635823</v>
      </c>
      <c r="F999" s="47" t="s">
        <v>518</v>
      </c>
      <c r="G999" s="47" t="s">
        <v>519</v>
      </c>
      <c r="H999" s="47" t="s">
        <v>4</v>
      </c>
      <c r="I999" s="46" t="s">
        <v>4</v>
      </c>
      <c r="J999" s="48">
        <v>237.65</v>
      </c>
      <c r="K999" s="47" t="s">
        <v>520</v>
      </c>
      <c r="L999" s="47" t="s">
        <v>521</v>
      </c>
      <c r="M999" s="46" t="s">
        <v>807</v>
      </c>
      <c r="N999" s="47" t="s">
        <v>808</v>
      </c>
      <c r="O999" s="44" t="s">
        <v>4</v>
      </c>
      <c r="P999" s="47" t="s">
        <v>543</v>
      </c>
      <c r="Q999" s="48">
        <v>24500</v>
      </c>
      <c r="R999" s="49" t="s">
        <v>4</v>
      </c>
      <c r="S999" s="48" t="s">
        <v>4</v>
      </c>
      <c r="T999" s="47" t="s">
        <v>525</v>
      </c>
    </row>
    <row r="1000" spans="1:20">
      <c r="A1000" s="46">
        <v>138307429819</v>
      </c>
      <c r="B1000" s="44" t="s">
        <v>517</v>
      </c>
      <c r="C1000" s="45">
        <v>46012</v>
      </c>
      <c r="D1000" s="46">
        <v>55236091328</v>
      </c>
      <c r="E1000" s="46">
        <v>2155562770808</v>
      </c>
      <c r="F1000" s="47" t="s">
        <v>518</v>
      </c>
      <c r="G1000" s="47" t="s">
        <v>519</v>
      </c>
      <c r="H1000" s="47" t="s">
        <v>4</v>
      </c>
      <c r="I1000" s="46" t="s">
        <v>4</v>
      </c>
      <c r="J1000" s="48">
        <v>48.5</v>
      </c>
      <c r="K1000" s="47" t="s">
        <v>520</v>
      </c>
      <c r="L1000" s="47" t="s">
        <v>521</v>
      </c>
      <c r="M1000" s="46" t="s">
        <v>660</v>
      </c>
      <c r="N1000" s="47" t="s">
        <v>661</v>
      </c>
      <c r="O1000" s="44" t="s">
        <v>4</v>
      </c>
      <c r="P1000" s="47" t="s">
        <v>970</v>
      </c>
      <c r="Q1000" s="48">
        <v>5000</v>
      </c>
      <c r="R1000" s="49" t="s">
        <v>4</v>
      </c>
      <c r="S1000" s="48" t="s">
        <v>4</v>
      </c>
      <c r="T1000" s="47" t="s">
        <v>525</v>
      </c>
    </row>
    <row r="1001" spans="1:20">
      <c r="A1001" s="46">
        <v>138307491501</v>
      </c>
      <c r="B1001" s="44" t="s">
        <v>517</v>
      </c>
      <c r="C1001" s="45">
        <v>46012</v>
      </c>
      <c r="D1001" s="46">
        <v>55236116320</v>
      </c>
      <c r="E1001" s="46">
        <v>2155402007083</v>
      </c>
      <c r="F1001" s="47" t="s">
        <v>529</v>
      </c>
      <c r="G1001" s="47" t="s">
        <v>519</v>
      </c>
      <c r="H1001" s="47" t="s">
        <v>4</v>
      </c>
      <c r="I1001" s="46" t="s">
        <v>4</v>
      </c>
      <c r="J1001" s="48">
        <v>432.3</v>
      </c>
      <c r="K1001" s="47" t="s">
        <v>520</v>
      </c>
      <c r="L1001" s="47" t="s">
        <v>530</v>
      </c>
      <c r="M1001" s="46" t="s">
        <v>807</v>
      </c>
      <c r="N1001" s="47" t="s">
        <v>808</v>
      </c>
      <c r="O1001" s="44" t="s">
        <v>263</v>
      </c>
      <c r="P1001" s="47" t="s">
        <v>531</v>
      </c>
      <c r="Q1001" s="48">
        <v>11000</v>
      </c>
      <c r="R1001" s="49" t="s">
        <v>4</v>
      </c>
      <c r="S1001" s="48" t="s">
        <v>4</v>
      </c>
      <c r="T1001" s="47" t="s">
        <v>525</v>
      </c>
    </row>
    <row r="1002" spans="1:20">
      <c r="A1002" s="46">
        <v>138950747256</v>
      </c>
      <c r="B1002" s="44" t="s">
        <v>517</v>
      </c>
      <c r="C1002" s="45">
        <v>46012</v>
      </c>
      <c r="D1002" s="46">
        <v>55237053924</v>
      </c>
      <c r="E1002" s="46">
        <v>2155417228233</v>
      </c>
      <c r="F1002" s="47" t="s">
        <v>529</v>
      </c>
      <c r="G1002" s="47" t="s">
        <v>519</v>
      </c>
      <c r="H1002" s="47" t="s">
        <v>4</v>
      </c>
      <c r="I1002" s="46" t="s">
        <v>4</v>
      </c>
      <c r="J1002" s="48">
        <v>1025.73</v>
      </c>
      <c r="K1002" s="47" t="s">
        <v>520</v>
      </c>
      <c r="L1002" s="47" t="s">
        <v>530</v>
      </c>
      <c r="M1002" s="46" t="s">
        <v>807</v>
      </c>
      <c r="N1002" s="47" t="s">
        <v>808</v>
      </c>
      <c r="O1002" s="44" t="s">
        <v>263</v>
      </c>
      <c r="P1002" s="47" t="s">
        <v>531</v>
      </c>
      <c r="Q1002" s="48">
        <v>26100</v>
      </c>
      <c r="R1002" s="49" t="s">
        <v>4</v>
      </c>
      <c r="S1002" s="48" t="s">
        <v>4</v>
      </c>
      <c r="T1002" s="47" t="s">
        <v>525</v>
      </c>
    </row>
    <row r="1003" spans="1:20">
      <c r="A1003" s="46">
        <v>138310086197</v>
      </c>
      <c r="B1003" s="44" t="s">
        <v>517</v>
      </c>
      <c r="C1003" s="45">
        <v>46012</v>
      </c>
      <c r="D1003" s="46">
        <v>55237137779</v>
      </c>
      <c r="E1003" s="46">
        <v>2155417877377</v>
      </c>
      <c r="F1003" s="47" t="s">
        <v>518</v>
      </c>
      <c r="G1003" s="47" t="s">
        <v>519</v>
      </c>
      <c r="H1003" s="47" t="s">
        <v>4</v>
      </c>
      <c r="I1003" s="46" t="s">
        <v>4</v>
      </c>
      <c r="J1003" s="48">
        <v>303.61</v>
      </c>
      <c r="K1003" s="47" t="s">
        <v>520</v>
      </c>
      <c r="L1003" s="47" t="s">
        <v>521</v>
      </c>
      <c r="M1003" s="46" t="s">
        <v>807</v>
      </c>
      <c r="N1003" s="47" t="s">
        <v>808</v>
      </c>
      <c r="O1003" s="44" t="s">
        <v>4</v>
      </c>
      <c r="P1003" s="47" t="s">
        <v>801</v>
      </c>
      <c r="Q1003" s="48">
        <v>31300</v>
      </c>
      <c r="R1003" s="49" t="s">
        <v>4</v>
      </c>
      <c r="S1003" s="48" t="s">
        <v>4</v>
      </c>
      <c r="T1003" s="47" t="s">
        <v>525</v>
      </c>
    </row>
    <row r="1004" spans="1:20">
      <c r="A1004" s="46">
        <v>138951541508</v>
      </c>
      <c r="B1004" s="44" t="s">
        <v>517</v>
      </c>
      <c r="C1004" s="45">
        <v>46012</v>
      </c>
      <c r="D1004" s="46">
        <v>55237400403</v>
      </c>
      <c r="E1004" s="46">
        <v>2155583366228</v>
      </c>
      <c r="F1004" s="47" t="s">
        <v>529</v>
      </c>
      <c r="G1004" s="47" t="s">
        <v>519</v>
      </c>
      <c r="H1004" s="47" t="s">
        <v>4</v>
      </c>
      <c r="I1004" s="46" t="s">
        <v>4</v>
      </c>
      <c r="J1004" s="48">
        <v>2515.1999999999998</v>
      </c>
      <c r="K1004" s="47" t="s">
        <v>520</v>
      </c>
      <c r="L1004" s="47" t="s">
        <v>530</v>
      </c>
      <c r="M1004" s="46" t="s">
        <v>807</v>
      </c>
      <c r="N1004" s="47" t="s">
        <v>808</v>
      </c>
      <c r="O1004" s="44" t="s">
        <v>263</v>
      </c>
      <c r="P1004" s="47" t="s">
        <v>531</v>
      </c>
      <c r="Q1004" s="48">
        <v>64000</v>
      </c>
      <c r="R1004" s="49" t="s">
        <v>4</v>
      </c>
      <c r="S1004" s="48" t="s">
        <v>4</v>
      </c>
      <c r="T1004" s="47" t="s">
        <v>525</v>
      </c>
    </row>
    <row r="1005" spans="1:20">
      <c r="A1005" s="46">
        <v>138311072677</v>
      </c>
      <c r="B1005" s="44" t="s">
        <v>517</v>
      </c>
      <c r="C1005" s="45">
        <v>46012</v>
      </c>
      <c r="D1005" s="46">
        <v>55237483938</v>
      </c>
      <c r="E1005" s="46">
        <v>2155584836136</v>
      </c>
      <c r="F1005" s="47" t="s">
        <v>518</v>
      </c>
      <c r="G1005" s="47" t="s">
        <v>519</v>
      </c>
      <c r="H1005" s="47" t="s">
        <v>4</v>
      </c>
      <c r="I1005" s="46" t="s">
        <v>4</v>
      </c>
      <c r="J1005" s="48">
        <v>456.87</v>
      </c>
      <c r="K1005" s="47" t="s">
        <v>520</v>
      </c>
      <c r="L1005" s="47" t="s">
        <v>521</v>
      </c>
      <c r="M1005" s="46" t="s">
        <v>807</v>
      </c>
      <c r="N1005" s="47" t="s">
        <v>808</v>
      </c>
      <c r="O1005" s="44" t="s">
        <v>4</v>
      </c>
      <c r="P1005" s="47" t="s">
        <v>971</v>
      </c>
      <c r="Q1005" s="48">
        <v>47100</v>
      </c>
      <c r="R1005" s="49" t="s">
        <v>4</v>
      </c>
      <c r="S1005" s="48" t="s">
        <v>4</v>
      </c>
      <c r="T1005" s="47" t="s">
        <v>525</v>
      </c>
    </row>
    <row r="1006" spans="1:20">
      <c r="A1006" s="46">
        <v>138312353835</v>
      </c>
      <c r="B1006" s="44" t="s">
        <v>517</v>
      </c>
      <c r="C1006" s="45">
        <v>46012</v>
      </c>
      <c r="D1006" s="46">
        <v>55238042340</v>
      </c>
      <c r="E1006" s="46">
        <v>2155594013564</v>
      </c>
      <c r="F1006" s="47" t="s">
        <v>518</v>
      </c>
      <c r="G1006" s="47" t="s">
        <v>519</v>
      </c>
      <c r="H1006" s="47" t="s">
        <v>4</v>
      </c>
      <c r="I1006" s="46" t="s">
        <v>4</v>
      </c>
      <c r="J1006" s="48">
        <v>859.93</v>
      </c>
      <c r="K1006" s="47" t="s">
        <v>520</v>
      </c>
      <c r="L1006" s="47" t="s">
        <v>521</v>
      </c>
      <c r="M1006" s="46" t="s">
        <v>807</v>
      </c>
      <c r="N1006" s="47" t="s">
        <v>808</v>
      </c>
      <c r="O1006" s="44" t="s">
        <v>4</v>
      </c>
      <c r="P1006" s="47" t="s">
        <v>972</v>
      </c>
      <c r="Q1006" s="48">
        <v>11300</v>
      </c>
      <c r="R1006" s="49" t="s">
        <v>4</v>
      </c>
      <c r="S1006" s="48" t="s">
        <v>4</v>
      </c>
      <c r="T1006" s="47" t="s">
        <v>525</v>
      </c>
    </row>
    <row r="1007" spans="1:20">
      <c r="A1007" s="46">
        <v>138312563103</v>
      </c>
      <c r="B1007" s="44" t="s">
        <v>517</v>
      </c>
      <c r="C1007" s="45">
        <v>46012</v>
      </c>
      <c r="D1007" s="46">
        <v>55238098635</v>
      </c>
      <c r="E1007" s="46">
        <v>2155594702586</v>
      </c>
      <c r="F1007" s="47" t="s">
        <v>526</v>
      </c>
      <c r="G1007" s="47" t="s">
        <v>519</v>
      </c>
      <c r="H1007" s="47" t="s">
        <v>4</v>
      </c>
      <c r="I1007" s="46" t="s">
        <v>4</v>
      </c>
      <c r="J1007" s="48">
        <v>93.12</v>
      </c>
      <c r="K1007" s="47" t="s">
        <v>520</v>
      </c>
      <c r="L1007" s="47" t="s">
        <v>521</v>
      </c>
      <c r="M1007" s="46" t="s">
        <v>807</v>
      </c>
      <c r="N1007" s="47" t="s">
        <v>808</v>
      </c>
      <c r="O1007" s="44" t="s">
        <v>4</v>
      </c>
      <c r="P1007" s="47" t="s">
        <v>527</v>
      </c>
      <c r="Q1007" s="48">
        <v>9600</v>
      </c>
      <c r="R1007" s="49" t="s">
        <v>4</v>
      </c>
      <c r="S1007" s="48" t="s">
        <v>4</v>
      </c>
      <c r="T1007" s="47" t="s">
        <v>4</v>
      </c>
    </row>
    <row r="1008" spans="1:20">
      <c r="A1008" s="46">
        <v>138313163771</v>
      </c>
      <c r="B1008" s="44" t="s">
        <v>517</v>
      </c>
      <c r="C1008" s="45">
        <v>46012</v>
      </c>
      <c r="D1008" s="46">
        <v>55238322689</v>
      </c>
      <c r="E1008" s="46">
        <v>2155598370758</v>
      </c>
      <c r="F1008" s="47" t="s">
        <v>518</v>
      </c>
      <c r="G1008" s="47" t="s">
        <v>519</v>
      </c>
      <c r="H1008" s="47" t="s">
        <v>4</v>
      </c>
      <c r="I1008" s="46" t="s">
        <v>4</v>
      </c>
      <c r="J1008" s="48">
        <v>194.97</v>
      </c>
      <c r="K1008" s="47" t="s">
        <v>520</v>
      </c>
      <c r="L1008" s="47" t="s">
        <v>521</v>
      </c>
      <c r="M1008" s="46" t="s">
        <v>660</v>
      </c>
      <c r="N1008" s="47" t="s">
        <v>661</v>
      </c>
      <c r="O1008" s="44" t="s">
        <v>4</v>
      </c>
      <c r="P1008" s="47" t="s">
        <v>973</v>
      </c>
      <c r="Q1008" s="48">
        <v>20100</v>
      </c>
      <c r="R1008" s="49" t="s">
        <v>4</v>
      </c>
      <c r="S1008" s="48" t="s">
        <v>4</v>
      </c>
      <c r="T1008" s="47" t="s">
        <v>525</v>
      </c>
    </row>
    <row r="1009" spans="1:20">
      <c r="A1009" s="46">
        <v>138313756607</v>
      </c>
      <c r="B1009" s="44" t="s">
        <v>517</v>
      </c>
      <c r="C1009" s="45">
        <v>46012</v>
      </c>
      <c r="D1009" s="46">
        <v>55238492483</v>
      </c>
      <c r="E1009" s="46">
        <v>2155440781425</v>
      </c>
      <c r="F1009" s="47" t="s">
        <v>518</v>
      </c>
      <c r="G1009" s="47" t="s">
        <v>519</v>
      </c>
      <c r="H1009" s="47" t="s">
        <v>4</v>
      </c>
      <c r="I1009" s="46" t="s">
        <v>4</v>
      </c>
      <c r="J1009" s="48">
        <v>666.39</v>
      </c>
      <c r="K1009" s="47" t="s">
        <v>520</v>
      </c>
      <c r="L1009" s="47" t="s">
        <v>521</v>
      </c>
      <c r="M1009" s="46" t="s">
        <v>807</v>
      </c>
      <c r="N1009" s="47" t="s">
        <v>808</v>
      </c>
      <c r="O1009" s="44" t="s">
        <v>4</v>
      </c>
      <c r="P1009" s="47" t="s">
        <v>974</v>
      </c>
      <c r="Q1009" s="48">
        <v>68700</v>
      </c>
      <c r="R1009" s="49" t="s">
        <v>4</v>
      </c>
      <c r="S1009" s="48" t="s">
        <v>4</v>
      </c>
      <c r="T1009" s="47" t="s">
        <v>525</v>
      </c>
    </row>
    <row r="1010" spans="1:20">
      <c r="A1010" s="46">
        <v>138955332676</v>
      </c>
      <c r="B1010" s="44" t="s">
        <v>517</v>
      </c>
      <c r="C1010" s="45">
        <v>46012</v>
      </c>
      <c r="D1010" s="46">
        <v>55238810232</v>
      </c>
      <c r="E1010" s="46">
        <v>2155606073082</v>
      </c>
      <c r="F1010" s="47" t="s">
        <v>562</v>
      </c>
      <c r="G1010" s="47" t="s">
        <v>519</v>
      </c>
      <c r="H1010" s="47" t="s">
        <v>4</v>
      </c>
      <c r="I1010" s="46" t="s">
        <v>4</v>
      </c>
      <c r="J1010" s="48">
        <v>1799.77</v>
      </c>
      <c r="K1010" s="47" t="s">
        <v>520</v>
      </c>
      <c r="L1010" s="47" t="s">
        <v>521</v>
      </c>
      <c r="M1010" s="46" t="s">
        <v>660</v>
      </c>
      <c r="N1010" s="47" t="s">
        <v>661</v>
      </c>
      <c r="O1010" s="44" t="s">
        <v>4</v>
      </c>
      <c r="P1010" s="47" t="s">
        <v>574</v>
      </c>
      <c r="Q1010" s="48">
        <v>23650</v>
      </c>
      <c r="R1010" s="49" t="s">
        <v>4</v>
      </c>
      <c r="S1010" s="48" t="s">
        <v>4</v>
      </c>
      <c r="T1010" s="47" t="s">
        <v>525</v>
      </c>
    </row>
    <row r="1011" spans="1:20">
      <c r="A1011" s="46">
        <v>138955737872</v>
      </c>
      <c r="B1011" s="44" t="s">
        <v>517</v>
      </c>
      <c r="C1011" s="45">
        <v>46012</v>
      </c>
      <c r="D1011" s="46">
        <v>55238963412</v>
      </c>
      <c r="E1011" s="46">
        <v>2155608904286</v>
      </c>
      <c r="F1011" s="47" t="s">
        <v>518</v>
      </c>
      <c r="G1011" s="47" t="s">
        <v>519</v>
      </c>
      <c r="H1011" s="47" t="s">
        <v>4</v>
      </c>
      <c r="I1011" s="46" t="s">
        <v>4</v>
      </c>
      <c r="J1011" s="48">
        <v>199.82</v>
      </c>
      <c r="K1011" s="47" t="s">
        <v>520</v>
      </c>
      <c r="L1011" s="47" t="s">
        <v>521</v>
      </c>
      <c r="M1011" s="46" t="s">
        <v>807</v>
      </c>
      <c r="N1011" s="47" t="s">
        <v>808</v>
      </c>
      <c r="O1011" s="44" t="s">
        <v>4</v>
      </c>
      <c r="P1011" s="47" t="s">
        <v>975</v>
      </c>
      <c r="Q1011" s="48">
        <v>20600</v>
      </c>
      <c r="R1011" s="49" t="s">
        <v>4</v>
      </c>
      <c r="S1011" s="48" t="s">
        <v>4</v>
      </c>
      <c r="T1011" s="47" t="s">
        <v>525</v>
      </c>
    </row>
    <row r="1012" spans="1:20">
      <c r="A1012" s="46">
        <v>138956547972</v>
      </c>
      <c r="B1012" s="44" t="s">
        <v>517</v>
      </c>
      <c r="C1012" s="45">
        <v>46012</v>
      </c>
      <c r="D1012" s="46">
        <v>55239324464</v>
      </c>
      <c r="E1012" s="46">
        <v>2155613986582</v>
      </c>
      <c r="F1012" s="47" t="s">
        <v>518</v>
      </c>
      <c r="G1012" s="47" t="s">
        <v>519</v>
      </c>
      <c r="H1012" s="47" t="s">
        <v>4</v>
      </c>
      <c r="I1012" s="46" t="s">
        <v>4</v>
      </c>
      <c r="J1012" s="48">
        <v>859.42</v>
      </c>
      <c r="K1012" s="47" t="s">
        <v>520</v>
      </c>
      <c r="L1012" s="47" t="s">
        <v>521</v>
      </c>
      <c r="M1012" s="46" t="s">
        <v>807</v>
      </c>
      <c r="N1012" s="47" t="s">
        <v>808</v>
      </c>
      <c r="O1012" s="44" t="s">
        <v>4</v>
      </c>
      <c r="P1012" s="47" t="s">
        <v>976</v>
      </c>
      <c r="Q1012" s="48">
        <v>88600</v>
      </c>
      <c r="R1012" s="49" t="s">
        <v>4</v>
      </c>
      <c r="S1012" s="48" t="s">
        <v>4</v>
      </c>
      <c r="T1012" s="47" t="s">
        <v>525</v>
      </c>
    </row>
    <row r="1013" spans="1:20">
      <c r="A1013" s="46">
        <v>138316277365</v>
      </c>
      <c r="B1013" s="44" t="s">
        <v>517</v>
      </c>
      <c r="C1013" s="45">
        <v>46012</v>
      </c>
      <c r="D1013" s="46">
        <v>55239510159</v>
      </c>
      <c r="E1013" s="46">
        <v>2155617490660</v>
      </c>
      <c r="F1013" s="47" t="s">
        <v>529</v>
      </c>
      <c r="G1013" s="47" t="s">
        <v>519</v>
      </c>
      <c r="H1013" s="47" t="s">
        <v>4</v>
      </c>
      <c r="I1013" s="46" t="s">
        <v>4</v>
      </c>
      <c r="J1013" s="48">
        <v>5112.04</v>
      </c>
      <c r="K1013" s="47" t="s">
        <v>520</v>
      </c>
      <c r="L1013" s="47" t="s">
        <v>530</v>
      </c>
      <c r="M1013" s="46" t="s">
        <v>807</v>
      </c>
      <c r="N1013" s="47" t="s">
        <v>808</v>
      </c>
      <c r="O1013" s="44" t="s">
        <v>263</v>
      </c>
      <c r="P1013" s="47" t="s">
        <v>531</v>
      </c>
      <c r="Q1013" s="48">
        <v>112600</v>
      </c>
      <c r="R1013" s="49" t="s">
        <v>4</v>
      </c>
      <c r="S1013" s="48" t="s">
        <v>4</v>
      </c>
      <c r="T1013" s="47" t="s">
        <v>525</v>
      </c>
    </row>
    <row r="1014" spans="1:20">
      <c r="A1014" s="46">
        <v>138316534489</v>
      </c>
      <c r="B1014" s="44" t="s">
        <v>517</v>
      </c>
      <c r="C1014" s="45">
        <v>46012</v>
      </c>
      <c r="D1014" s="46">
        <v>55239571125</v>
      </c>
      <c r="E1014" s="46">
        <v>2155457681933</v>
      </c>
      <c r="F1014" s="47" t="s">
        <v>518</v>
      </c>
      <c r="G1014" s="47" t="s">
        <v>519</v>
      </c>
      <c r="H1014" s="47" t="s">
        <v>4</v>
      </c>
      <c r="I1014" s="46" t="s">
        <v>4</v>
      </c>
      <c r="J1014" s="48">
        <v>106.7</v>
      </c>
      <c r="K1014" s="47" t="s">
        <v>520</v>
      </c>
      <c r="L1014" s="47" t="s">
        <v>521</v>
      </c>
      <c r="M1014" s="46" t="s">
        <v>807</v>
      </c>
      <c r="N1014" s="47" t="s">
        <v>808</v>
      </c>
      <c r="O1014" s="44" t="s">
        <v>4</v>
      </c>
      <c r="P1014" s="47" t="s">
        <v>977</v>
      </c>
      <c r="Q1014" s="48">
        <v>11000</v>
      </c>
      <c r="R1014" s="49" t="s">
        <v>4</v>
      </c>
      <c r="S1014" s="48" t="s">
        <v>4</v>
      </c>
      <c r="T1014" s="47" t="s">
        <v>525</v>
      </c>
    </row>
    <row r="1015" spans="1:20">
      <c r="A1015" s="46">
        <v>138316537299</v>
      </c>
      <c r="B1015" s="44" t="s">
        <v>517</v>
      </c>
      <c r="C1015" s="45">
        <v>46012</v>
      </c>
      <c r="D1015" s="46">
        <v>55239625643</v>
      </c>
      <c r="E1015" s="46">
        <v>2155619274384</v>
      </c>
      <c r="F1015" s="47" t="s">
        <v>526</v>
      </c>
      <c r="G1015" s="47" t="s">
        <v>519</v>
      </c>
      <c r="H1015" s="47" t="s">
        <v>4</v>
      </c>
      <c r="I1015" s="46" t="s">
        <v>4</v>
      </c>
      <c r="J1015" s="48">
        <v>542.23</v>
      </c>
      <c r="K1015" s="47" t="s">
        <v>520</v>
      </c>
      <c r="L1015" s="47" t="s">
        <v>521</v>
      </c>
      <c r="M1015" s="46" t="s">
        <v>660</v>
      </c>
      <c r="N1015" s="47" t="s">
        <v>661</v>
      </c>
      <c r="O1015" s="44" t="s">
        <v>4</v>
      </c>
      <c r="P1015" s="47" t="s">
        <v>527</v>
      </c>
      <c r="Q1015" s="48">
        <v>55900</v>
      </c>
      <c r="R1015" s="49" t="s">
        <v>4</v>
      </c>
      <c r="S1015" s="48" t="s">
        <v>4</v>
      </c>
      <c r="T1015" s="47" t="s">
        <v>4</v>
      </c>
    </row>
    <row r="1016" spans="1:20">
      <c r="A1016" s="46">
        <v>138957550940</v>
      </c>
      <c r="B1016" s="44" t="s">
        <v>517</v>
      </c>
      <c r="C1016" s="45">
        <v>46012</v>
      </c>
      <c r="D1016" s="46">
        <v>55239710455</v>
      </c>
      <c r="E1016" s="46">
        <v>2155620599116</v>
      </c>
      <c r="F1016" s="47" t="s">
        <v>518</v>
      </c>
      <c r="G1016" s="47" t="s">
        <v>519</v>
      </c>
      <c r="H1016" s="47" t="s">
        <v>4</v>
      </c>
      <c r="I1016" s="46" t="s">
        <v>4</v>
      </c>
      <c r="J1016" s="48">
        <v>418.07</v>
      </c>
      <c r="K1016" s="47" t="s">
        <v>520</v>
      </c>
      <c r="L1016" s="47" t="s">
        <v>521</v>
      </c>
      <c r="M1016" s="46" t="s">
        <v>660</v>
      </c>
      <c r="N1016" s="47" t="s">
        <v>661</v>
      </c>
      <c r="O1016" s="44" t="s">
        <v>4</v>
      </c>
      <c r="P1016" s="47" t="s">
        <v>978</v>
      </c>
      <c r="Q1016" s="48">
        <v>43100</v>
      </c>
      <c r="R1016" s="49" t="s">
        <v>4</v>
      </c>
      <c r="S1016" s="48" t="s">
        <v>4</v>
      </c>
      <c r="T1016" s="47" t="s">
        <v>525</v>
      </c>
    </row>
    <row r="1017" spans="1:20">
      <c r="A1017" s="46">
        <v>138316909509</v>
      </c>
      <c r="B1017" s="44" t="s">
        <v>517</v>
      </c>
      <c r="C1017" s="45">
        <v>46012</v>
      </c>
      <c r="D1017" s="46">
        <v>55239792115</v>
      </c>
      <c r="E1017" s="46">
        <v>2155460731497</v>
      </c>
      <c r="F1017" s="47" t="s">
        <v>518</v>
      </c>
      <c r="G1017" s="47" t="s">
        <v>519</v>
      </c>
      <c r="H1017" s="47" t="s">
        <v>4</v>
      </c>
      <c r="I1017" s="46" t="s">
        <v>4</v>
      </c>
      <c r="J1017" s="48">
        <v>309.43</v>
      </c>
      <c r="K1017" s="47" t="s">
        <v>520</v>
      </c>
      <c r="L1017" s="47" t="s">
        <v>521</v>
      </c>
      <c r="M1017" s="46" t="s">
        <v>807</v>
      </c>
      <c r="N1017" s="47" t="s">
        <v>808</v>
      </c>
      <c r="O1017" s="44" t="s">
        <v>4</v>
      </c>
      <c r="P1017" s="47" t="s">
        <v>979</v>
      </c>
      <c r="Q1017" s="48">
        <v>31900</v>
      </c>
      <c r="R1017" s="49" t="s">
        <v>4</v>
      </c>
      <c r="S1017" s="48" t="s">
        <v>4</v>
      </c>
      <c r="T1017" s="47" t="s">
        <v>525</v>
      </c>
    </row>
    <row r="1018" spans="1:20">
      <c r="A1018" s="46">
        <v>138317483911</v>
      </c>
      <c r="B1018" s="44" t="s">
        <v>517</v>
      </c>
      <c r="C1018" s="45">
        <v>46012</v>
      </c>
      <c r="D1018" s="46">
        <v>55240058242</v>
      </c>
      <c r="E1018" s="46">
        <v>2155465246031</v>
      </c>
      <c r="F1018" s="47" t="s">
        <v>518</v>
      </c>
      <c r="G1018" s="47" t="s">
        <v>519</v>
      </c>
      <c r="H1018" s="47" t="s">
        <v>4</v>
      </c>
      <c r="I1018" s="46" t="s">
        <v>4</v>
      </c>
      <c r="J1018" s="48">
        <v>278.39</v>
      </c>
      <c r="K1018" s="47" t="s">
        <v>520</v>
      </c>
      <c r="L1018" s="47" t="s">
        <v>521</v>
      </c>
      <c r="M1018" s="46" t="s">
        <v>807</v>
      </c>
      <c r="N1018" s="47" t="s">
        <v>808</v>
      </c>
      <c r="O1018" s="44" t="s">
        <v>4</v>
      </c>
      <c r="P1018" s="47" t="s">
        <v>980</v>
      </c>
      <c r="Q1018" s="48">
        <v>28700</v>
      </c>
      <c r="R1018" s="49" t="s">
        <v>4</v>
      </c>
      <c r="S1018" s="48" t="s">
        <v>4</v>
      </c>
      <c r="T1018" s="47" t="s">
        <v>525</v>
      </c>
    </row>
    <row r="1019" spans="1:20">
      <c r="A1019" s="46">
        <v>138958608370</v>
      </c>
      <c r="B1019" s="44" t="s">
        <v>517</v>
      </c>
      <c r="C1019" s="45">
        <v>46012</v>
      </c>
      <c r="D1019" s="46">
        <v>55240069293</v>
      </c>
      <c r="E1019" s="46">
        <v>2155465258053</v>
      </c>
      <c r="F1019" s="47" t="s">
        <v>526</v>
      </c>
      <c r="G1019" s="47" t="s">
        <v>519</v>
      </c>
      <c r="H1019" s="47" t="s">
        <v>4</v>
      </c>
      <c r="I1019" s="46" t="s">
        <v>4</v>
      </c>
      <c r="J1019" s="48">
        <v>194</v>
      </c>
      <c r="K1019" s="47" t="s">
        <v>520</v>
      </c>
      <c r="L1019" s="47" t="s">
        <v>521</v>
      </c>
      <c r="M1019" s="46" t="s">
        <v>660</v>
      </c>
      <c r="N1019" s="47" t="s">
        <v>661</v>
      </c>
      <c r="O1019" s="44" t="s">
        <v>4</v>
      </c>
      <c r="P1019" s="47" t="s">
        <v>527</v>
      </c>
      <c r="Q1019" s="48">
        <v>20000</v>
      </c>
      <c r="R1019" s="49" t="s">
        <v>4</v>
      </c>
      <c r="S1019" s="48" t="s">
        <v>4</v>
      </c>
      <c r="T1019" s="47" t="s">
        <v>4</v>
      </c>
    </row>
    <row r="1020" spans="1:20">
      <c r="A1020" s="46">
        <v>138958597390</v>
      </c>
      <c r="B1020" s="44" t="s">
        <v>517</v>
      </c>
      <c r="C1020" s="45">
        <v>46012</v>
      </c>
      <c r="D1020" s="46">
        <v>55240082072</v>
      </c>
      <c r="E1020" s="46">
        <v>2155626470138</v>
      </c>
      <c r="F1020" s="47" t="s">
        <v>518</v>
      </c>
      <c r="G1020" s="47" t="s">
        <v>519</v>
      </c>
      <c r="H1020" s="47" t="s">
        <v>4</v>
      </c>
      <c r="I1020" s="46" t="s">
        <v>4</v>
      </c>
      <c r="J1020" s="48">
        <v>356.96</v>
      </c>
      <c r="K1020" s="47" t="s">
        <v>520</v>
      </c>
      <c r="L1020" s="47" t="s">
        <v>521</v>
      </c>
      <c r="M1020" s="46" t="s">
        <v>807</v>
      </c>
      <c r="N1020" s="47" t="s">
        <v>808</v>
      </c>
      <c r="O1020" s="44" t="s">
        <v>4</v>
      </c>
      <c r="P1020" s="47" t="s">
        <v>981</v>
      </c>
      <c r="Q1020" s="48">
        <v>36800</v>
      </c>
      <c r="R1020" s="49" t="s">
        <v>4</v>
      </c>
      <c r="S1020" s="48" t="s">
        <v>4</v>
      </c>
      <c r="T1020" s="47" t="s">
        <v>525</v>
      </c>
    </row>
    <row r="1021" spans="1:20">
      <c r="A1021" s="46">
        <v>138317694879</v>
      </c>
      <c r="B1021" s="44" t="s">
        <v>517</v>
      </c>
      <c r="C1021" s="45">
        <v>46012</v>
      </c>
      <c r="D1021" s="46">
        <v>55240112085</v>
      </c>
      <c r="E1021" s="46">
        <v>2155465834537</v>
      </c>
      <c r="F1021" s="47" t="s">
        <v>529</v>
      </c>
      <c r="G1021" s="47" t="s">
        <v>519</v>
      </c>
      <c r="H1021" s="47" t="s">
        <v>4</v>
      </c>
      <c r="I1021" s="46" t="s">
        <v>4</v>
      </c>
      <c r="J1021" s="48">
        <v>3135.32</v>
      </c>
      <c r="K1021" s="47" t="s">
        <v>520</v>
      </c>
      <c r="L1021" s="47" t="s">
        <v>530</v>
      </c>
      <c r="M1021" s="46" t="s">
        <v>807</v>
      </c>
      <c r="N1021" s="47" t="s">
        <v>808</v>
      </c>
      <c r="O1021" s="44" t="s">
        <v>263</v>
      </c>
      <c r="P1021" s="47" t="s">
        <v>531</v>
      </c>
      <c r="Q1021" s="48">
        <v>41200</v>
      </c>
      <c r="R1021" s="49" t="s">
        <v>4</v>
      </c>
      <c r="S1021" s="48" t="s">
        <v>4</v>
      </c>
      <c r="T1021" s="47" t="s">
        <v>525</v>
      </c>
    </row>
    <row r="1022" spans="1:20">
      <c r="A1022" s="46">
        <v>138317772859</v>
      </c>
      <c r="B1022" s="44" t="s">
        <v>517</v>
      </c>
      <c r="C1022" s="45">
        <v>46012</v>
      </c>
      <c r="D1022" s="46">
        <v>55240131635</v>
      </c>
      <c r="E1022" s="46">
        <v>2155627401588</v>
      </c>
      <c r="F1022" s="47" t="s">
        <v>529</v>
      </c>
      <c r="G1022" s="47" t="s">
        <v>519</v>
      </c>
      <c r="H1022" s="47" t="s">
        <v>4</v>
      </c>
      <c r="I1022" s="46" t="s">
        <v>4</v>
      </c>
      <c r="J1022" s="48">
        <v>1406.94</v>
      </c>
      <c r="K1022" s="47" t="s">
        <v>520</v>
      </c>
      <c r="L1022" s="47" t="s">
        <v>530</v>
      </c>
      <c r="M1022" s="46" t="s">
        <v>807</v>
      </c>
      <c r="N1022" s="47" t="s">
        <v>808</v>
      </c>
      <c r="O1022" s="44" t="s">
        <v>263</v>
      </c>
      <c r="P1022" s="47" t="s">
        <v>531</v>
      </c>
      <c r="Q1022" s="48">
        <v>35800</v>
      </c>
      <c r="R1022" s="49" t="s">
        <v>4</v>
      </c>
      <c r="S1022" s="48" t="s">
        <v>4</v>
      </c>
      <c r="T1022" s="47" t="s">
        <v>525</v>
      </c>
    </row>
    <row r="1023" spans="1:20">
      <c r="A1023" s="46">
        <v>138958894822</v>
      </c>
      <c r="B1023" s="44" t="s">
        <v>517</v>
      </c>
      <c r="C1023" s="45">
        <v>46012</v>
      </c>
      <c r="D1023" s="46">
        <v>55240208272</v>
      </c>
      <c r="E1023" s="46">
        <v>2155467437385</v>
      </c>
      <c r="F1023" s="47" t="s">
        <v>518</v>
      </c>
      <c r="G1023" s="47" t="s">
        <v>519</v>
      </c>
      <c r="H1023" s="47" t="s">
        <v>4</v>
      </c>
      <c r="I1023" s="46" t="s">
        <v>4</v>
      </c>
      <c r="J1023" s="48">
        <v>179.45</v>
      </c>
      <c r="K1023" s="47" t="s">
        <v>520</v>
      </c>
      <c r="L1023" s="47" t="s">
        <v>521</v>
      </c>
      <c r="M1023" s="46" t="s">
        <v>660</v>
      </c>
      <c r="N1023" s="47" t="s">
        <v>661</v>
      </c>
      <c r="O1023" s="44" t="s">
        <v>4</v>
      </c>
      <c r="P1023" s="47" t="s">
        <v>982</v>
      </c>
      <c r="Q1023" s="48">
        <v>18500</v>
      </c>
      <c r="R1023" s="49" t="s">
        <v>4</v>
      </c>
      <c r="S1023" s="48" t="s">
        <v>4</v>
      </c>
      <c r="T1023" s="47" t="s">
        <v>525</v>
      </c>
    </row>
    <row r="1024" spans="1:20">
      <c r="A1024" s="46">
        <v>138958895424</v>
      </c>
      <c r="B1024" s="44" t="s">
        <v>517</v>
      </c>
      <c r="C1024" s="45">
        <v>46012</v>
      </c>
      <c r="D1024" s="46">
        <v>55240217777</v>
      </c>
      <c r="E1024" s="46">
        <v>2155628555344</v>
      </c>
      <c r="F1024" s="47" t="s">
        <v>529</v>
      </c>
      <c r="G1024" s="47" t="s">
        <v>519</v>
      </c>
      <c r="H1024" s="47" t="s">
        <v>4</v>
      </c>
      <c r="I1024" s="46" t="s">
        <v>4</v>
      </c>
      <c r="J1024" s="48">
        <v>2978.94</v>
      </c>
      <c r="K1024" s="47" t="s">
        <v>520</v>
      </c>
      <c r="L1024" s="47" t="s">
        <v>530</v>
      </c>
      <c r="M1024" s="46" t="s">
        <v>807</v>
      </c>
      <c r="N1024" s="47" t="s">
        <v>808</v>
      </c>
      <c r="O1024" s="44" t="s">
        <v>263</v>
      </c>
      <c r="P1024" s="47" t="s">
        <v>531</v>
      </c>
      <c r="Q1024" s="48">
        <v>75800</v>
      </c>
      <c r="R1024" s="49" t="s">
        <v>4</v>
      </c>
      <c r="S1024" s="48" t="s">
        <v>4</v>
      </c>
      <c r="T1024" s="47" t="s">
        <v>525</v>
      </c>
    </row>
    <row r="1025" spans="1:20">
      <c r="A1025" s="46">
        <v>138318135687</v>
      </c>
      <c r="B1025" s="44" t="s">
        <v>517</v>
      </c>
      <c r="C1025" s="45">
        <v>46012</v>
      </c>
      <c r="D1025" s="46">
        <v>55240263315</v>
      </c>
      <c r="E1025" s="46">
        <v>2155468653511</v>
      </c>
      <c r="F1025" s="47" t="s">
        <v>529</v>
      </c>
      <c r="G1025" s="47" t="s">
        <v>519</v>
      </c>
      <c r="H1025" s="47" t="s">
        <v>4</v>
      </c>
      <c r="I1025" s="46" t="s">
        <v>4</v>
      </c>
      <c r="J1025" s="48">
        <v>786</v>
      </c>
      <c r="K1025" s="47" t="s">
        <v>520</v>
      </c>
      <c r="L1025" s="47" t="s">
        <v>530</v>
      </c>
      <c r="M1025" s="46" t="s">
        <v>660</v>
      </c>
      <c r="N1025" s="47" t="s">
        <v>661</v>
      </c>
      <c r="O1025" s="44" t="s">
        <v>263</v>
      </c>
      <c r="P1025" s="47" t="s">
        <v>531</v>
      </c>
      <c r="Q1025" s="48">
        <v>20000</v>
      </c>
      <c r="R1025" s="49" t="s">
        <v>4</v>
      </c>
      <c r="S1025" s="48" t="s">
        <v>4</v>
      </c>
      <c r="T1025" s="47" t="s">
        <v>525</v>
      </c>
    </row>
    <row r="1026" spans="1:20">
      <c r="A1026" s="46">
        <v>138318627905</v>
      </c>
      <c r="B1026" s="44" t="s">
        <v>517</v>
      </c>
      <c r="C1026" s="45">
        <v>46012</v>
      </c>
      <c r="D1026" s="46">
        <v>55240462740</v>
      </c>
      <c r="E1026" s="46">
        <v>2155632416788</v>
      </c>
      <c r="F1026" s="47" t="s">
        <v>529</v>
      </c>
      <c r="G1026" s="47" t="s">
        <v>519</v>
      </c>
      <c r="H1026" s="47" t="s">
        <v>4</v>
      </c>
      <c r="I1026" s="46" t="s">
        <v>4</v>
      </c>
      <c r="J1026" s="48">
        <v>1654.53</v>
      </c>
      <c r="K1026" s="47" t="s">
        <v>520</v>
      </c>
      <c r="L1026" s="47" t="s">
        <v>530</v>
      </c>
      <c r="M1026" s="46" t="s">
        <v>807</v>
      </c>
      <c r="N1026" s="47" t="s">
        <v>808</v>
      </c>
      <c r="O1026" s="44" t="s">
        <v>263</v>
      </c>
      <c r="P1026" s="47" t="s">
        <v>531</v>
      </c>
      <c r="Q1026" s="48">
        <v>42100</v>
      </c>
      <c r="R1026" s="49" t="s">
        <v>4</v>
      </c>
      <c r="S1026" s="48" t="s">
        <v>4</v>
      </c>
      <c r="T1026" s="47" t="s">
        <v>525</v>
      </c>
    </row>
    <row r="1027" spans="1:20">
      <c r="A1027" s="46">
        <v>138960552954</v>
      </c>
      <c r="B1027" s="44" t="s">
        <v>517</v>
      </c>
      <c r="C1027" s="45">
        <v>46012</v>
      </c>
      <c r="D1027" s="46">
        <v>55240853624</v>
      </c>
      <c r="E1027" s="46">
        <v>2155478288409</v>
      </c>
      <c r="F1027" s="47" t="s">
        <v>518</v>
      </c>
      <c r="G1027" s="47" t="s">
        <v>519</v>
      </c>
      <c r="H1027" s="47" t="s">
        <v>4</v>
      </c>
      <c r="I1027" s="46" t="s">
        <v>4</v>
      </c>
      <c r="J1027" s="48">
        <v>725.56</v>
      </c>
      <c r="K1027" s="47" t="s">
        <v>520</v>
      </c>
      <c r="L1027" s="47" t="s">
        <v>521</v>
      </c>
      <c r="M1027" s="46" t="s">
        <v>660</v>
      </c>
      <c r="N1027" s="47" t="s">
        <v>661</v>
      </c>
      <c r="O1027" s="44" t="s">
        <v>4</v>
      </c>
      <c r="P1027" s="47" t="s">
        <v>983</v>
      </c>
      <c r="Q1027" s="48">
        <v>74800</v>
      </c>
      <c r="R1027" s="49" t="s">
        <v>4</v>
      </c>
      <c r="S1027" s="48" t="s">
        <v>4</v>
      </c>
      <c r="T1027" s="47" t="s">
        <v>525</v>
      </c>
    </row>
    <row r="1028" spans="1:20">
      <c r="A1028" s="46">
        <v>138960529926</v>
      </c>
      <c r="B1028" s="44" t="s">
        <v>517</v>
      </c>
      <c r="C1028" s="45">
        <v>46012</v>
      </c>
      <c r="D1028" s="46">
        <v>55240897368</v>
      </c>
      <c r="E1028" s="46">
        <v>2155478220699</v>
      </c>
      <c r="F1028" s="47" t="s">
        <v>518</v>
      </c>
      <c r="G1028" s="47" t="s">
        <v>519</v>
      </c>
      <c r="H1028" s="47" t="s">
        <v>4</v>
      </c>
      <c r="I1028" s="46" t="s">
        <v>4</v>
      </c>
      <c r="J1028" s="48">
        <v>666.39</v>
      </c>
      <c r="K1028" s="47" t="s">
        <v>520</v>
      </c>
      <c r="L1028" s="47" t="s">
        <v>521</v>
      </c>
      <c r="M1028" s="46" t="s">
        <v>807</v>
      </c>
      <c r="N1028" s="47" t="s">
        <v>808</v>
      </c>
      <c r="O1028" s="44" t="s">
        <v>4</v>
      </c>
      <c r="P1028" s="47" t="s">
        <v>984</v>
      </c>
      <c r="Q1028" s="48">
        <v>68700</v>
      </c>
      <c r="R1028" s="49" t="s">
        <v>4</v>
      </c>
      <c r="S1028" s="48" t="s">
        <v>4</v>
      </c>
      <c r="T1028" s="47" t="s">
        <v>525</v>
      </c>
    </row>
    <row r="1029" spans="1:20">
      <c r="A1029" s="46">
        <v>138320030417</v>
      </c>
      <c r="B1029" s="44" t="s">
        <v>517</v>
      </c>
      <c r="C1029" s="45">
        <v>46012</v>
      </c>
      <c r="D1029" s="46">
        <v>55241054937</v>
      </c>
      <c r="E1029" s="46">
        <v>2155641344370</v>
      </c>
      <c r="F1029" s="47" t="s">
        <v>518</v>
      </c>
      <c r="G1029" s="47" t="s">
        <v>519</v>
      </c>
      <c r="H1029" s="47" t="s">
        <v>4</v>
      </c>
      <c r="I1029" s="46" t="s">
        <v>4</v>
      </c>
      <c r="J1029" s="48">
        <v>93.12</v>
      </c>
      <c r="K1029" s="47" t="s">
        <v>520</v>
      </c>
      <c r="L1029" s="47" t="s">
        <v>521</v>
      </c>
      <c r="M1029" s="46" t="s">
        <v>807</v>
      </c>
      <c r="N1029" s="47" t="s">
        <v>808</v>
      </c>
      <c r="O1029" s="44" t="s">
        <v>4</v>
      </c>
      <c r="P1029" s="47" t="s">
        <v>985</v>
      </c>
      <c r="Q1029" s="48">
        <v>9600</v>
      </c>
      <c r="R1029" s="49" t="s">
        <v>4</v>
      </c>
      <c r="S1029" s="48" t="s">
        <v>4</v>
      </c>
      <c r="T1029" s="47" t="s">
        <v>525</v>
      </c>
    </row>
    <row r="1030" spans="1:20">
      <c r="A1030" s="46">
        <v>138961200208</v>
      </c>
      <c r="B1030" s="44" t="s">
        <v>517</v>
      </c>
      <c r="C1030" s="45">
        <v>46012</v>
      </c>
      <c r="D1030" s="46">
        <v>55241135120</v>
      </c>
      <c r="E1030" s="46">
        <v>2155482090323</v>
      </c>
      <c r="F1030" s="47" t="s">
        <v>529</v>
      </c>
      <c r="G1030" s="47" t="s">
        <v>519</v>
      </c>
      <c r="H1030" s="47" t="s">
        <v>4</v>
      </c>
      <c r="I1030" s="46" t="s">
        <v>4</v>
      </c>
      <c r="J1030" s="48">
        <v>2078.9699999999998</v>
      </c>
      <c r="K1030" s="47" t="s">
        <v>520</v>
      </c>
      <c r="L1030" s="47" t="s">
        <v>530</v>
      </c>
      <c r="M1030" s="46" t="s">
        <v>807</v>
      </c>
      <c r="N1030" s="47" t="s">
        <v>808</v>
      </c>
      <c r="O1030" s="44" t="s">
        <v>263</v>
      </c>
      <c r="P1030" s="47" t="s">
        <v>531</v>
      </c>
      <c r="Q1030" s="48">
        <v>52900</v>
      </c>
      <c r="R1030" s="49" t="s">
        <v>4</v>
      </c>
      <c r="S1030" s="48" t="s">
        <v>4</v>
      </c>
      <c r="T1030" s="47" t="s">
        <v>525</v>
      </c>
    </row>
    <row r="1031" spans="1:20">
      <c r="A1031" s="46">
        <v>138961724050</v>
      </c>
      <c r="B1031" s="44" t="s">
        <v>517</v>
      </c>
      <c r="C1031" s="45">
        <v>46013</v>
      </c>
      <c r="D1031" s="46">
        <v>55241448158</v>
      </c>
      <c r="E1031" s="46">
        <v>2155486563235</v>
      </c>
      <c r="F1031" s="47" t="s">
        <v>518</v>
      </c>
      <c r="G1031" s="47" t="s">
        <v>519</v>
      </c>
      <c r="H1031" s="47" t="s">
        <v>4</v>
      </c>
      <c r="I1031" s="46" t="s">
        <v>4</v>
      </c>
      <c r="J1031" s="48">
        <v>106.7</v>
      </c>
      <c r="K1031" s="47" t="s">
        <v>520</v>
      </c>
      <c r="L1031" s="47" t="s">
        <v>521</v>
      </c>
      <c r="M1031" s="46" t="s">
        <v>807</v>
      </c>
      <c r="N1031" s="47" t="s">
        <v>808</v>
      </c>
      <c r="O1031" s="44" t="s">
        <v>4</v>
      </c>
      <c r="P1031" s="47" t="s">
        <v>986</v>
      </c>
      <c r="Q1031" s="48">
        <v>11000</v>
      </c>
      <c r="R1031" s="49" t="s">
        <v>4</v>
      </c>
      <c r="S1031" s="48" t="s">
        <v>4</v>
      </c>
      <c r="T1031" s="47" t="s">
        <v>525</v>
      </c>
    </row>
    <row r="1032" spans="1:20">
      <c r="A1032" s="46">
        <v>138321453321</v>
      </c>
      <c r="B1032" s="44" t="s">
        <v>517</v>
      </c>
      <c r="C1032" s="45">
        <v>46013</v>
      </c>
      <c r="D1032" s="46">
        <v>55241676901</v>
      </c>
      <c r="E1032" s="46">
        <v>2155489487259</v>
      </c>
      <c r="F1032" s="47" t="s">
        <v>518</v>
      </c>
      <c r="G1032" s="47" t="s">
        <v>519</v>
      </c>
      <c r="H1032" s="47" t="s">
        <v>4</v>
      </c>
      <c r="I1032" s="46" t="s">
        <v>4</v>
      </c>
      <c r="J1032" s="48">
        <v>1190.19</v>
      </c>
      <c r="K1032" s="47" t="s">
        <v>520</v>
      </c>
      <c r="L1032" s="47" t="s">
        <v>521</v>
      </c>
      <c r="M1032" s="46" t="s">
        <v>807</v>
      </c>
      <c r="N1032" s="47" t="s">
        <v>808</v>
      </c>
      <c r="O1032" s="44" t="s">
        <v>4</v>
      </c>
      <c r="P1032" s="47" t="s">
        <v>987</v>
      </c>
      <c r="Q1032" s="48">
        <v>122700</v>
      </c>
      <c r="R1032" s="49" t="s">
        <v>4</v>
      </c>
      <c r="S1032" s="48" t="s">
        <v>4</v>
      </c>
      <c r="T1032" s="47" t="s">
        <v>525</v>
      </c>
    </row>
    <row r="1033" spans="1:20">
      <c r="A1033" s="46">
        <v>138962445080</v>
      </c>
      <c r="B1033" s="44" t="s">
        <v>517</v>
      </c>
      <c r="C1033" s="45">
        <v>46013</v>
      </c>
      <c r="D1033" s="46">
        <v>55241701524</v>
      </c>
      <c r="E1033" s="46">
        <v>2155650836338</v>
      </c>
      <c r="F1033" s="47" t="s">
        <v>518</v>
      </c>
      <c r="G1033" s="47" t="s">
        <v>519</v>
      </c>
      <c r="H1033" s="47" t="s">
        <v>4</v>
      </c>
      <c r="I1033" s="46" t="s">
        <v>4</v>
      </c>
      <c r="J1033" s="48">
        <v>1488.95</v>
      </c>
      <c r="K1033" s="47" t="s">
        <v>520</v>
      </c>
      <c r="L1033" s="47" t="s">
        <v>521</v>
      </c>
      <c r="M1033" s="46" t="s">
        <v>807</v>
      </c>
      <c r="N1033" s="47" t="s">
        <v>808</v>
      </c>
      <c r="O1033" s="44" t="s">
        <v>4</v>
      </c>
      <c r="P1033" s="47" t="s">
        <v>700</v>
      </c>
      <c r="Q1033" s="48">
        <v>153500</v>
      </c>
      <c r="R1033" s="49" t="s">
        <v>4</v>
      </c>
      <c r="S1033" s="48" t="s">
        <v>4</v>
      </c>
      <c r="T1033" s="47" t="s">
        <v>525</v>
      </c>
    </row>
    <row r="1034" spans="1:20">
      <c r="A1034" s="46">
        <v>138962720678</v>
      </c>
      <c r="B1034" s="44" t="s">
        <v>517</v>
      </c>
      <c r="C1034" s="45">
        <v>46013</v>
      </c>
      <c r="D1034" s="46">
        <v>55241790435</v>
      </c>
      <c r="E1034" s="46">
        <v>2155491339781</v>
      </c>
      <c r="F1034" s="47" t="s">
        <v>518</v>
      </c>
      <c r="G1034" s="47" t="s">
        <v>519</v>
      </c>
      <c r="H1034" s="47" t="s">
        <v>4</v>
      </c>
      <c r="I1034" s="46" t="s">
        <v>4</v>
      </c>
      <c r="J1034" s="48">
        <v>421.95</v>
      </c>
      <c r="K1034" s="47" t="s">
        <v>520</v>
      </c>
      <c r="L1034" s="47" t="s">
        <v>521</v>
      </c>
      <c r="M1034" s="46" t="s">
        <v>807</v>
      </c>
      <c r="N1034" s="47" t="s">
        <v>808</v>
      </c>
      <c r="O1034" s="44" t="s">
        <v>4</v>
      </c>
      <c r="P1034" s="47" t="s">
        <v>670</v>
      </c>
      <c r="Q1034" s="48">
        <v>43500</v>
      </c>
      <c r="R1034" s="49" t="s">
        <v>4</v>
      </c>
      <c r="S1034" s="48" t="s">
        <v>4</v>
      </c>
      <c r="T1034" s="47" t="s">
        <v>525</v>
      </c>
    </row>
    <row r="1035" spans="1:20">
      <c r="A1035" s="46">
        <v>138962805222</v>
      </c>
      <c r="B1035" s="44" t="s">
        <v>517</v>
      </c>
      <c r="C1035" s="45">
        <v>46013</v>
      </c>
      <c r="D1035" s="46">
        <v>55241850142</v>
      </c>
      <c r="E1035" s="46">
        <v>2155652866628</v>
      </c>
      <c r="F1035" s="47" t="s">
        <v>526</v>
      </c>
      <c r="G1035" s="47" t="s">
        <v>519</v>
      </c>
      <c r="H1035" s="47" t="s">
        <v>4</v>
      </c>
      <c r="I1035" s="46" t="s">
        <v>4</v>
      </c>
      <c r="J1035" s="48">
        <v>48.5</v>
      </c>
      <c r="K1035" s="47" t="s">
        <v>520</v>
      </c>
      <c r="L1035" s="47" t="s">
        <v>521</v>
      </c>
      <c r="M1035" s="46" t="s">
        <v>807</v>
      </c>
      <c r="N1035" s="47" t="s">
        <v>808</v>
      </c>
      <c r="O1035" s="44" t="s">
        <v>4</v>
      </c>
      <c r="P1035" s="47" t="s">
        <v>527</v>
      </c>
      <c r="Q1035" s="48">
        <v>5000</v>
      </c>
      <c r="R1035" s="49" t="s">
        <v>4</v>
      </c>
      <c r="S1035" s="48" t="s">
        <v>4</v>
      </c>
      <c r="T1035" s="47" t="s">
        <v>4</v>
      </c>
    </row>
    <row r="1036" spans="1:20">
      <c r="A1036" s="46">
        <v>138321908051</v>
      </c>
      <c r="B1036" s="44" t="s">
        <v>517</v>
      </c>
      <c r="C1036" s="45">
        <v>46013</v>
      </c>
      <c r="D1036" s="46">
        <v>55241917990</v>
      </c>
      <c r="E1036" s="46">
        <v>2155492855673</v>
      </c>
      <c r="F1036" s="47" t="s">
        <v>529</v>
      </c>
      <c r="G1036" s="47" t="s">
        <v>519</v>
      </c>
      <c r="H1036" s="47" t="s">
        <v>4</v>
      </c>
      <c r="I1036" s="46" t="s">
        <v>4</v>
      </c>
      <c r="J1036" s="48">
        <v>5943.41</v>
      </c>
      <c r="K1036" s="47" t="s">
        <v>520</v>
      </c>
      <c r="L1036" s="47" t="s">
        <v>530</v>
      </c>
      <c r="M1036" s="46" t="s">
        <v>807</v>
      </c>
      <c r="N1036" s="47" t="s">
        <v>808</v>
      </c>
      <c r="O1036" s="44" t="s">
        <v>263</v>
      </c>
      <c r="P1036" s="47" t="s">
        <v>531</v>
      </c>
      <c r="Q1036" s="48">
        <v>78100</v>
      </c>
      <c r="R1036" s="49" t="s">
        <v>4</v>
      </c>
      <c r="S1036" s="48" t="s">
        <v>4</v>
      </c>
      <c r="T1036" s="47" t="s">
        <v>525</v>
      </c>
    </row>
    <row r="1037" spans="1:20">
      <c r="A1037" s="46">
        <v>138962996942</v>
      </c>
      <c r="B1037" s="44" t="s">
        <v>517</v>
      </c>
      <c r="C1037" s="45">
        <v>46013</v>
      </c>
      <c r="D1037" s="46">
        <v>55241931833</v>
      </c>
      <c r="E1037" s="46">
        <v>2155654311954</v>
      </c>
      <c r="F1037" s="47" t="s">
        <v>518</v>
      </c>
      <c r="G1037" s="47" t="s">
        <v>519</v>
      </c>
      <c r="H1037" s="47" t="s">
        <v>4</v>
      </c>
      <c r="I1037" s="46" t="s">
        <v>4</v>
      </c>
      <c r="J1037" s="48">
        <v>690.64</v>
      </c>
      <c r="K1037" s="47" t="s">
        <v>520</v>
      </c>
      <c r="L1037" s="47" t="s">
        <v>521</v>
      </c>
      <c r="M1037" s="46" t="s">
        <v>660</v>
      </c>
      <c r="N1037" s="47" t="s">
        <v>661</v>
      </c>
      <c r="O1037" s="44" t="s">
        <v>4</v>
      </c>
      <c r="P1037" s="47" t="s">
        <v>988</v>
      </c>
      <c r="Q1037" s="48">
        <v>71200</v>
      </c>
      <c r="R1037" s="49" t="s">
        <v>4</v>
      </c>
      <c r="S1037" s="48" t="s">
        <v>4</v>
      </c>
      <c r="T1037" s="47" t="s">
        <v>525</v>
      </c>
    </row>
    <row r="1038" spans="1:20">
      <c r="A1038" s="46">
        <v>138963015400</v>
      </c>
      <c r="B1038" s="44" t="s">
        <v>517</v>
      </c>
      <c r="C1038" s="45">
        <v>46013</v>
      </c>
      <c r="D1038" s="46">
        <v>55241959860</v>
      </c>
      <c r="E1038" s="46">
        <v>2155654437044</v>
      </c>
      <c r="F1038" s="47" t="s">
        <v>529</v>
      </c>
      <c r="G1038" s="47" t="s">
        <v>519</v>
      </c>
      <c r="H1038" s="47" t="s">
        <v>4</v>
      </c>
      <c r="I1038" s="46" t="s">
        <v>4</v>
      </c>
      <c r="J1038" s="48">
        <v>6541.68</v>
      </c>
      <c r="K1038" s="47" t="s">
        <v>520</v>
      </c>
      <c r="L1038" s="47" t="s">
        <v>530</v>
      </c>
      <c r="M1038" s="46" t="s">
        <v>807</v>
      </c>
      <c r="N1038" s="47" t="s">
        <v>808</v>
      </c>
      <c r="O1038" s="44" t="s">
        <v>263</v>
      </c>
      <c r="P1038" s="47" t="s">
        <v>531</v>
      </c>
      <c r="Q1038" s="48">
        <v>61110</v>
      </c>
      <c r="R1038" s="49" t="s">
        <v>4</v>
      </c>
      <c r="S1038" s="48" t="s">
        <v>4</v>
      </c>
      <c r="T1038" s="47" t="s">
        <v>525</v>
      </c>
    </row>
    <row r="1039" spans="1:20">
      <c r="A1039" s="46">
        <v>138322192323</v>
      </c>
      <c r="B1039" s="44" t="s">
        <v>517</v>
      </c>
      <c r="C1039" s="45">
        <v>46013</v>
      </c>
      <c r="D1039" s="46">
        <v>55241996183</v>
      </c>
      <c r="E1039" s="46">
        <v>2155654770286</v>
      </c>
      <c r="F1039" s="47" t="s">
        <v>529</v>
      </c>
      <c r="G1039" s="47" t="s">
        <v>519</v>
      </c>
      <c r="H1039" s="47" t="s">
        <v>4</v>
      </c>
      <c r="I1039" s="46" t="s">
        <v>4</v>
      </c>
      <c r="J1039" s="48">
        <v>821.37</v>
      </c>
      <c r="K1039" s="47" t="s">
        <v>520</v>
      </c>
      <c r="L1039" s="47" t="s">
        <v>530</v>
      </c>
      <c r="M1039" s="46" t="s">
        <v>807</v>
      </c>
      <c r="N1039" s="47" t="s">
        <v>808</v>
      </c>
      <c r="O1039" s="44" t="s">
        <v>263</v>
      </c>
      <c r="P1039" s="47" t="s">
        <v>531</v>
      </c>
      <c r="Q1039" s="48">
        <v>20900</v>
      </c>
      <c r="R1039" s="49" t="s">
        <v>4</v>
      </c>
      <c r="S1039" s="48" t="s">
        <v>4</v>
      </c>
      <c r="T1039" s="47" t="s">
        <v>525</v>
      </c>
    </row>
    <row r="1040" spans="1:20">
      <c r="A1040" s="46">
        <v>138963097522</v>
      </c>
      <c r="B1040" s="44" t="s">
        <v>517</v>
      </c>
      <c r="C1040" s="45">
        <v>46013</v>
      </c>
      <c r="D1040" s="46">
        <v>55242034909</v>
      </c>
      <c r="E1040" s="46">
        <v>2155494370145</v>
      </c>
      <c r="F1040" s="47" t="s">
        <v>529</v>
      </c>
      <c r="G1040" s="47" t="s">
        <v>519</v>
      </c>
      <c r="H1040" s="47" t="s">
        <v>4</v>
      </c>
      <c r="I1040" s="46" t="s">
        <v>4</v>
      </c>
      <c r="J1040" s="48">
        <v>3257.08</v>
      </c>
      <c r="K1040" s="47" t="s">
        <v>520</v>
      </c>
      <c r="L1040" s="47" t="s">
        <v>530</v>
      </c>
      <c r="M1040" s="46" t="s">
        <v>807</v>
      </c>
      <c r="N1040" s="47" t="s">
        <v>808</v>
      </c>
      <c r="O1040" s="44" t="s">
        <v>263</v>
      </c>
      <c r="P1040" s="47" t="s">
        <v>531</v>
      </c>
      <c r="Q1040" s="48">
        <v>42800</v>
      </c>
      <c r="R1040" s="49" t="s">
        <v>4</v>
      </c>
      <c r="S1040" s="48" t="s">
        <v>4</v>
      </c>
      <c r="T1040" s="47" t="s">
        <v>525</v>
      </c>
    </row>
    <row r="1041" spans="1:20">
      <c r="A1041" s="46">
        <v>138963123706</v>
      </c>
      <c r="B1041" s="44" t="s">
        <v>517</v>
      </c>
      <c r="C1041" s="45">
        <v>46013</v>
      </c>
      <c r="D1041" s="46">
        <v>55242039554</v>
      </c>
      <c r="E1041" s="46">
        <v>2155494754463</v>
      </c>
      <c r="F1041" s="47" t="s">
        <v>529</v>
      </c>
      <c r="G1041" s="47" t="s">
        <v>519</v>
      </c>
      <c r="H1041" s="47" t="s">
        <v>4</v>
      </c>
      <c r="I1041" s="46" t="s">
        <v>4</v>
      </c>
      <c r="J1041" s="48">
        <v>1543.6</v>
      </c>
      <c r="K1041" s="47" t="s">
        <v>520</v>
      </c>
      <c r="L1041" s="47" t="s">
        <v>530</v>
      </c>
      <c r="M1041" s="46" t="s">
        <v>660</v>
      </c>
      <c r="N1041" s="47" t="s">
        <v>661</v>
      </c>
      <c r="O1041" s="44" t="s">
        <v>263</v>
      </c>
      <c r="P1041" s="47" t="s">
        <v>531</v>
      </c>
      <c r="Q1041" s="48">
        <v>34000</v>
      </c>
      <c r="R1041" s="49" t="s">
        <v>4</v>
      </c>
      <c r="S1041" s="48" t="s">
        <v>4</v>
      </c>
      <c r="T1041" s="47" t="s">
        <v>525</v>
      </c>
    </row>
    <row r="1042" spans="1:20">
      <c r="A1042" s="46">
        <v>138963448102</v>
      </c>
      <c r="B1042" s="44" t="s">
        <v>517</v>
      </c>
      <c r="C1042" s="45">
        <v>46013</v>
      </c>
      <c r="D1042" s="46">
        <v>55242145038</v>
      </c>
      <c r="E1042" s="46">
        <v>2155657268754</v>
      </c>
      <c r="F1042" s="47" t="s">
        <v>518</v>
      </c>
      <c r="G1042" s="47" t="s">
        <v>519</v>
      </c>
      <c r="H1042" s="47" t="s">
        <v>4</v>
      </c>
      <c r="I1042" s="46" t="s">
        <v>4</v>
      </c>
      <c r="J1042" s="48">
        <v>349.2</v>
      </c>
      <c r="K1042" s="47" t="s">
        <v>520</v>
      </c>
      <c r="L1042" s="47" t="s">
        <v>521</v>
      </c>
      <c r="M1042" s="46" t="s">
        <v>807</v>
      </c>
      <c r="N1042" s="47" t="s">
        <v>808</v>
      </c>
      <c r="O1042" s="44" t="s">
        <v>4</v>
      </c>
      <c r="P1042" s="47" t="s">
        <v>590</v>
      </c>
      <c r="Q1042" s="48">
        <v>36000</v>
      </c>
      <c r="R1042" s="49" t="s">
        <v>4</v>
      </c>
      <c r="S1042" s="48" t="s">
        <v>4</v>
      </c>
      <c r="T1042" s="47" t="s">
        <v>525</v>
      </c>
    </row>
    <row r="1043" spans="1:20">
      <c r="A1043" s="46">
        <v>138964643346</v>
      </c>
      <c r="B1043" s="44" t="s">
        <v>517</v>
      </c>
      <c r="C1043" s="45">
        <v>46013</v>
      </c>
      <c r="D1043" s="46">
        <v>55242684937</v>
      </c>
      <c r="E1043" s="46">
        <v>2155664822412</v>
      </c>
      <c r="F1043" s="47" t="s">
        <v>518</v>
      </c>
      <c r="G1043" s="47" t="s">
        <v>519</v>
      </c>
      <c r="H1043" s="47" t="s">
        <v>4</v>
      </c>
      <c r="I1043" s="46" t="s">
        <v>4</v>
      </c>
      <c r="J1043" s="48">
        <v>1325.99</v>
      </c>
      <c r="K1043" s="47" t="s">
        <v>520</v>
      </c>
      <c r="L1043" s="47" t="s">
        <v>521</v>
      </c>
      <c r="M1043" s="46" t="s">
        <v>807</v>
      </c>
      <c r="N1043" s="47" t="s">
        <v>808</v>
      </c>
      <c r="O1043" s="44" t="s">
        <v>4</v>
      </c>
      <c r="P1043" s="47" t="s">
        <v>989</v>
      </c>
      <c r="Q1043" s="48">
        <v>136700</v>
      </c>
      <c r="R1043" s="49" t="s">
        <v>4</v>
      </c>
      <c r="S1043" s="48" t="s">
        <v>4</v>
      </c>
      <c r="T1043" s="47" t="s">
        <v>525</v>
      </c>
    </row>
    <row r="1044" spans="1:20">
      <c r="A1044" s="46">
        <v>138964725768</v>
      </c>
      <c r="B1044" s="44" t="s">
        <v>517</v>
      </c>
      <c r="C1044" s="45">
        <v>46013</v>
      </c>
      <c r="D1044" s="46">
        <v>55242721736</v>
      </c>
      <c r="E1044" s="46">
        <v>2155665639556</v>
      </c>
      <c r="F1044" s="47" t="s">
        <v>518</v>
      </c>
      <c r="G1044" s="47" t="s">
        <v>519</v>
      </c>
      <c r="H1044" s="47" t="s">
        <v>4</v>
      </c>
      <c r="I1044" s="46" t="s">
        <v>4</v>
      </c>
      <c r="J1044" s="48">
        <v>160.05000000000001</v>
      </c>
      <c r="K1044" s="47" t="s">
        <v>520</v>
      </c>
      <c r="L1044" s="47" t="s">
        <v>521</v>
      </c>
      <c r="M1044" s="46" t="s">
        <v>807</v>
      </c>
      <c r="N1044" s="47" t="s">
        <v>808</v>
      </c>
      <c r="O1044" s="44" t="s">
        <v>4</v>
      </c>
      <c r="P1044" s="47" t="s">
        <v>990</v>
      </c>
      <c r="Q1044" s="48">
        <v>16500</v>
      </c>
      <c r="R1044" s="49" t="s">
        <v>4</v>
      </c>
      <c r="S1044" s="48" t="s">
        <v>4</v>
      </c>
      <c r="T1044" s="47" t="s">
        <v>525</v>
      </c>
    </row>
    <row r="1045" spans="1:20">
      <c r="A1045" s="46">
        <v>138964781728</v>
      </c>
      <c r="B1045" s="44" t="s">
        <v>517</v>
      </c>
      <c r="C1045" s="45">
        <v>46013</v>
      </c>
      <c r="D1045" s="46">
        <v>55242742300</v>
      </c>
      <c r="E1045" s="46">
        <v>2155665780406</v>
      </c>
      <c r="F1045" s="47" t="s">
        <v>518</v>
      </c>
      <c r="G1045" s="47" t="s">
        <v>519</v>
      </c>
      <c r="H1045" s="47" t="s">
        <v>4</v>
      </c>
      <c r="I1045" s="46" t="s">
        <v>4</v>
      </c>
      <c r="J1045" s="48">
        <v>194</v>
      </c>
      <c r="K1045" s="47" t="s">
        <v>520</v>
      </c>
      <c r="L1045" s="47" t="s">
        <v>521</v>
      </c>
      <c r="M1045" s="46" t="s">
        <v>807</v>
      </c>
      <c r="N1045" s="47" t="s">
        <v>808</v>
      </c>
      <c r="O1045" s="44" t="s">
        <v>4</v>
      </c>
      <c r="P1045" s="47" t="s">
        <v>700</v>
      </c>
      <c r="Q1045" s="48">
        <v>20000</v>
      </c>
      <c r="R1045" s="49" t="s">
        <v>4</v>
      </c>
      <c r="S1045" s="48" t="s">
        <v>4</v>
      </c>
      <c r="T1045" s="47" t="s">
        <v>525</v>
      </c>
    </row>
    <row r="1046" spans="1:20">
      <c r="A1046" s="46">
        <v>138964996976</v>
      </c>
      <c r="B1046" s="44" t="s">
        <v>517</v>
      </c>
      <c r="C1046" s="45">
        <v>46013</v>
      </c>
      <c r="D1046" s="46">
        <v>55242829580</v>
      </c>
      <c r="E1046" s="46">
        <v>2155506087733</v>
      </c>
      <c r="F1046" s="47" t="s">
        <v>518</v>
      </c>
      <c r="G1046" s="47" t="s">
        <v>519</v>
      </c>
      <c r="H1046" s="47" t="s">
        <v>4</v>
      </c>
      <c r="I1046" s="46" t="s">
        <v>4</v>
      </c>
      <c r="J1046" s="48">
        <v>723.62</v>
      </c>
      <c r="K1046" s="47" t="s">
        <v>520</v>
      </c>
      <c r="L1046" s="47" t="s">
        <v>521</v>
      </c>
      <c r="M1046" s="46" t="s">
        <v>807</v>
      </c>
      <c r="N1046" s="47" t="s">
        <v>808</v>
      </c>
      <c r="O1046" s="44" t="s">
        <v>4</v>
      </c>
      <c r="P1046" s="47" t="s">
        <v>991</v>
      </c>
      <c r="Q1046" s="48">
        <v>74600</v>
      </c>
      <c r="R1046" s="49" t="s">
        <v>4</v>
      </c>
      <c r="S1046" s="48" t="s">
        <v>4</v>
      </c>
      <c r="T1046" s="47" t="s">
        <v>525</v>
      </c>
    </row>
    <row r="1047" spans="1:20">
      <c r="A1047" s="46">
        <v>138966323446</v>
      </c>
      <c r="B1047" s="44" t="s">
        <v>517</v>
      </c>
      <c r="C1047" s="45">
        <v>46013</v>
      </c>
      <c r="D1047" s="46">
        <v>55243427402</v>
      </c>
      <c r="E1047" s="46">
        <v>2155676383146</v>
      </c>
      <c r="F1047" s="47" t="s">
        <v>562</v>
      </c>
      <c r="G1047" s="47" t="s">
        <v>519</v>
      </c>
      <c r="H1047" s="47" t="s">
        <v>4</v>
      </c>
      <c r="I1047" s="46" t="s">
        <v>4</v>
      </c>
      <c r="J1047" s="48">
        <v>163</v>
      </c>
      <c r="K1047" s="47" t="s">
        <v>520</v>
      </c>
      <c r="L1047" s="47" t="s">
        <v>521</v>
      </c>
      <c r="M1047" s="46" t="s">
        <v>660</v>
      </c>
      <c r="N1047" s="47" t="s">
        <v>661</v>
      </c>
      <c r="O1047" s="44" t="s">
        <v>4</v>
      </c>
      <c r="P1047" s="47" t="s">
        <v>563</v>
      </c>
      <c r="Q1047" s="48">
        <v>10000</v>
      </c>
      <c r="R1047" s="49" t="s">
        <v>4</v>
      </c>
      <c r="S1047" s="48" t="s">
        <v>4</v>
      </c>
      <c r="T1047" s="47" t="s">
        <v>525</v>
      </c>
    </row>
    <row r="1048" spans="1:20">
      <c r="A1048" s="46">
        <v>138966619264</v>
      </c>
      <c r="B1048" s="44" t="s">
        <v>517</v>
      </c>
      <c r="C1048" s="45">
        <v>46013</v>
      </c>
      <c r="D1048" s="46">
        <v>55243533491</v>
      </c>
      <c r="E1048" s="46">
        <v>2155679228626</v>
      </c>
      <c r="F1048" s="47" t="s">
        <v>518</v>
      </c>
      <c r="G1048" s="47" t="s">
        <v>519</v>
      </c>
      <c r="H1048" s="47" t="s">
        <v>4</v>
      </c>
      <c r="I1048" s="46" t="s">
        <v>4</v>
      </c>
      <c r="J1048" s="48">
        <v>606.25</v>
      </c>
      <c r="K1048" s="47" t="s">
        <v>520</v>
      </c>
      <c r="L1048" s="47" t="s">
        <v>521</v>
      </c>
      <c r="M1048" s="46" t="s">
        <v>807</v>
      </c>
      <c r="N1048" s="47" t="s">
        <v>808</v>
      </c>
      <c r="O1048" s="44" t="s">
        <v>4</v>
      </c>
      <c r="P1048" s="47" t="s">
        <v>935</v>
      </c>
      <c r="Q1048" s="48">
        <v>62500</v>
      </c>
      <c r="R1048" s="49" t="s">
        <v>4</v>
      </c>
      <c r="S1048" s="48" t="s">
        <v>4</v>
      </c>
      <c r="T1048" s="47" t="s">
        <v>525</v>
      </c>
    </row>
    <row r="1049" spans="1:20">
      <c r="A1049" s="46">
        <v>139256588728</v>
      </c>
      <c r="B1049" s="44" t="s">
        <v>517</v>
      </c>
      <c r="C1049" s="45">
        <v>46014</v>
      </c>
      <c r="D1049" s="46">
        <v>55340737727</v>
      </c>
      <c r="E1049" s="46">
        <v>2157643989902</v>
      </c>
      <c r="F1049" s="47" t="s">
        <v>518</v>
      </c>
      <c r="G1049" s="47" t="s">
        <v>519</v>
      </c>
      <c r="H1049" s="47" t="s">
        <v>4</v>
      </c>
      <c r="I1049" s="46" t="s">
        <v>4</v>
      </c>
      <c r="J1049" s="48">
        <v>93.12</v>
      </c>
      <c r="K1049" s="47" t="s">
        <v>520</v>
      </c>
      <c r="L1049" s="47" t="s">
        <v>521</v>
      </c>
      <c r="M1049" s="46" t="s">
        <v>522</v>
      </c>
      <c r="N1049" s="47" t="s">
        <v>523</v>
      </c>
      <c r="O1049" s="44" t="s">
        <v>4</v>
      </c>
      <c r="P1049" s="47" t="s">
        <v>992</v>
      </c>
      <c r="Q1049" s="48">
        <v>9600</v>
      </c>
      <c r="R1049" s="49" t="s">
        <v>4</v>
      </c>
      <c r="S1049" s="48" t="s">
        <v>4</v>
      </c>
      <c r="T1049" s="47" t="s">
        <v>525</v>
      </c>
    </row>
    <row r="1050" spans="1:20">
      <c r="A1050" s="46">
        <v>138615245287</v>
      </c>
      <c r="B1050" s="44" t="s">
        <v>517</v>
      </c>
      <c r="C1050" s="45">
        <v>46014</v>
      </c>
      <c r="D1050" s="46">
        <v>55342018159</v>
      </c>
      <c r="E1050" s="46">
        <v>2157507393537</v>
      </c>
      <c r="F1050" s="47" t="s">
        <v>562</v>
      </c>
      <c r="G1050" s="47" t="s">
        <v>519</v>
      </c>
      <c r="H1050" s="47" t="s">
        <v>4</v>
      </c>
      <c r="I1050" s="46" t="s">
        <v>4</v>
      </c>
      <c r="J1050" s="48">
        <v>163</v>
      </c>
      <c r="K1050" s="47" t="s">
        <v>520</v>
      </c>
      <c r="L1050" s="47" t="s">
        <v>521</v>
      </c>
      <c r="M1050" s="46" t="s">
        <v>522</v>
      </c>
      <c r="N1050" s="47" t="s">
        <v>523</v>
      </c>
      <c r="O1050" s="44" t="s">
        <v>4</v>
      </c>
      <c r="P1050" s="47" t="s">
        <v>563</v>
      </c>
      <c r="Q1050" s="48">
        <v>10000</v>
      </c>
      <c r="R1050" s="49" t="s">
        <v>4</v>
      </c>
      <c r="S1050" s="48" t="s">
        <v>4</v>
      </c>
      <c r="T1050" s="47" t="s">
        <v>525</v>
      </c>
    </row>
    <row r="1051" spans="1:20">
      <c r="A1051" s="46">
        <v>139263142212</v>
      </c>
      <c r="B1051" s="44" t="s">
        <v>517</v>
      </c>
      <c r="C1051" s="45">
        <v>46014</v>
      </c>
      <c r="D1051" s="46">
        <v>55342815366</v>
      </c>
      <c r="E1051" s="46">
        <v>2157524322141</v>
      </c>
      <c r="F1051" s="47" t="s">
        <v>518</v>
      </c>
      <c r="G1051" s="47" t="s">
        <v>519</v>
      </c>
      <c r="H1051" s="47" t="s">
        <v>4</v>
      </c>
      <c r="I1051" s="46" t="s">
        <v>4</v>
      </c>
      <c r="J1051" s="48">
        <v>116.4</v>
      </c>
      <c r="K1051" s="47" t="s">
        <v>520</v>
      </c>
      <c r="L1051" s="47" t="s">
        <v>521</v>
      </c>
      <c r="M1051" s="46" t="s">
        <v>522</v>
      </c>
      <c r="N1051" s="47" t="s">
        <v>523</v>
      </c>
      <c r="O1051" s="44" t="s">
        <v>4</v>
      </c>
      <c r="P1051" s="47" t="s">
        <v>993</v>
      </c>
      <c r="Q1051" s="48">
        <v>12000</v>
      </c>
      <c r="R1051" s="49" t="s">
        <v>4</v>
      </c>
      <c r="S1051" s="48" t="s">
        <v>4</v>
      </c>
      <c r="T1051" s="47" t="s">
        <v>525</v>
      </c>
    </row>
    <row r="1052" spans="1:20">
      <c r="A1052" s="46">
        <v>139263155880</v>
      </c>
      <c r="B1052" s="44" t="s">
        <v>517</v>
      </c>
      <c r="C1052" s="45">
        <v>46014</v>
      </c>
      <c r="D1052" s="46">
        <v>55342869591</v>
      </c>
      <c r="E1052" s="46">
        <v>2157525521265</v>
      </c>
      <c r="F1052" s="47" t="s">
        <v>529</v>
      </c>
      <c r="G1052" s="47" t="s">
        <v>519</v>
      </c>
      <c r="H1052" s="47" t="s">
        <v>4</v>
      </c>
      <c r="I1052" s="46" t="s">
        <v>4</v>
      </c>
      <c r="J1052" s="48">
        <v>393</v>
      </c>
      <c r="K1052" s="47" t="s">
        <v>520</v>
      </c>
      <c r="L1052" s="47" t="s">
        <v>530</v>
      </c>
      <c r="M1052" s="46" t="s">
        <v>522</v>
      </c>
      <c r="N1052" s="47" t="s">
        <v>523</v>
      </c>
      <c r="O1052" s="44" t="s">
        <v>263</v>
      </c>
      <c r="P1052" s="47" t="s">
        <v>531</v>
      </c>
      <c r="Q1052" s="48">
        <v>10000</v>
      </c>
      <c r="R1052" s="49" t="s">
        <v>4</v>
      </c>
      <c r="S1052" s="48" t="s">
        <v>4</v>
      </c>
      <c r="T1052" s="47" t="s">
        <v>525</v>
      </c>
    </row>
    <row r="1053" spans="1:20">
      <c r="A1053" s="46">
        <v>138620385257</v>
      </c>
      <c r="B1053" s="44" t="s">
        <v>517</v>
      </c>
      <c r="C1053" s="45">
        <v>46014</v>
      </c>
      <c r="D1053" s="46">
        <v>55343630496</v>
      </c>
      <c r="E1053" s="46">
        <v>2157542362563</v>
      </c>
      <c r="F1053" s="47" t="s">
        <v>529</v>
      </c>
      <c r="G1053" s="47" t="s">
        <v>519</v>
      </c>
      <c r="H1053" s="47" t="s">
        <v>4</v>
      </c>
      <c r="I1053" s="46" t="s">
        <v>4</v>
      </c>
      <c r="J1053" s="48">
        <v>947.13</v>
      </c>
      <c r="K1053" s="47" t="s">
        <v>520</v>
      </c>
      <c r="L1053" s="47" t="s">
        <v>530</v>
      </c>
      <c r="M1053" s="46" t="s">
        <v>522</v>
      </c>
      <c r="N1053" s="47" t="s">
        <v>523</v>
      </c>
      <c r="O1053" s="44" t="s">
        <v>263</v>
      </c>
      <c r="P1053" s="47" t="s">
        <v>531</v>
      </c>
      <c r="Q1053" s="48">
        <v>24100</v>
      </c>
      <c r="R1053" s="49" t="s">
        <v>4</v>
      </c>
      <c r="S1053" s="48" t="s">
        <v>4</v>
      </c>
      <c r="T1053" s="47" t="s">
        <v>525</v>
      </c>
    </row>
    <row r="1054" spans="1:20">
      <c r="A1054" s="46">
        <v>138620961365</v>
      </c>
      <c r="B1054" s="44" t="s">
        <v>517</v>
      </c>
      <c r="C1054" s="45">
        <v>46014</v>
      </c>
      <c r="D1054" s="46">
        <v>55343829531</v>
      </c>
      <c r="E1054" s="46">
        <v>2157710403760</v>
      </c>
      <c r="F1054" s="47" t="s">
        <v>518</v>
      </c>
      <c r="G1054" s="47" t="s">
        <v>519</v>
      </c>
      <c r="H1054" s="47" t="s">
        <v>4</v>
      </c>
      <c r="I1054" s="46" t="s">
        <v>4</v>
      </c>
      <c r="J1054" s="48">
        <v>58.2</v>
      </c>
      <c r="K1054" s="47" t="s">
        <v>520</v>
      </c>
      <c r="L1054" s="47" t="s">
        <v>521</v>
      </c>
      <c r="M1054" s="46" t="s">
        <v>522</v>
      </c>
      <c r="N1054" s="47" t="s">
        <v>523</v>
      </c>
      <c r="O1054" s="44" t="s">
        <v>4</v>
      </c>
      <c r="P1054" s="47" t="s">
        <v>994</v>
      </c>
      <c r="Q1054" s="48">
        <v>6000</v>
      </c>
      <c r="R1054" s="49" t="s">
        <v>4</v>
      </c>
      <c r="S1054" s="48" t="s">
        <v>4</v>
      </c>
      <c r="T1054" s="47" t="s">
        <v>525</v>
      </c>
    </row>
    <row r="1055" spans="1:20">
      <c r="A1055" s="46">
        <v>139268810486</v>
      </c>
      <c r="B1055" s="44" t="s">
        <v>517</v>
      </c>
      <c r="C1055" s="45">
        <v>46014</v>
      </c>
      <c r="D1055" s="46">
        <v>55344630079</v>
      </c>
      <c r="E1055" s="46">
        <v>2157730291824</v>
      </c>
      <c r="F1055" s="47" t="s">
        <v>529</v>
      </c>
      <c r="G1055" s="47" t="s">
        <v>519</v>
      </c>
      <c r="H1055" s="47" t="s">
        <v>4</v>
      </c>
      <c r="I1055" s="46" t="s">
        <v>4</v>
      </c>
      <c r="J1055" s="48">
        <v>864.6</v>
      </c>
      <c r="K1055" s="47" t="s">
        <v>520</v>
      </c>
      <c r="L1055" s="47" t="s">
        <v>530</v>
      </c>
      <c r="M1055" s="46" t="s">
        <v>522</v>
      </c>
      <c r="N1055" s="47" t="s">
        <v>523</v>
      </c>
      <c r="O1055" s="44" t="s">
        <v>263</v>
      </c>
      <c r="P1055" s="47" t="s">
        <v>531</v>
      </c>
      <c r="Q1055" s="48">
        <v>22000</v>
      </c>
      <c r="R1055" s="49" t="s">
        <v>4</v>
      </c>
      <c r="S1055" s="48" t="s">
        <v>4</v>
      </c>
      <c r="T1055" s="47" t="s">
        <v>525</v>
      </c>
    </row>
    <row r="1056" spans="1:20">
      <c r="A1056" s="46">
        <v>138624066329</v>
      </c>
      <c r="B1056" s="44" t="s">
        <v>517</v>
      </c>
      <c r="C1056" s="45">
        <v>46014</v>
      </c>
      <c r="D1056" s="46">
        <v>55344762888</v>
      </c>
      <c r="E1056" s="46">
        <v>2157733799922</v>
      </c>
      <c r="F1056" s="47" t="s">
        <v>518</v>
      </c>
      <c r="G1056" s="47" t="s">
        <v>519</v>
      </c>
      <c r="H1056" s="47" t="s">
        <v>4</v>
      </c>
      <c r="I1056" s="46" t="s">
        <v>4</v>
      </c>
      <c r="J1056" s="48">
        <v>217.28</v>
      </c>
      <c r="K1056" s="47" t="s">
        <v>520</v>
      </c>
      <c r="L1056" s="47" t="s">
        <v>521</v>
      </c>
      <c r="M1056" s="46" t="s">
        <v>522</v>
      </c>
      <c r="N1056" s="47" t="s">
        <v>523</v>
      </c>
      <c r="O1056" s="44" t="s">
        <v>4</v>
      </c>
      <c r="P1056" s="47" t="s">
        <v>995</v>
      </c>
      <c r="Q1056" s="48">
        <v>22400</v>
      </c>
      <c r="R1056" s="49" t="s">
        <v>4</v>
      </c>
      <c r="S1056" s="48" t="s">
        <v>4</v>
      </c>
      <c r="T1056" s="47" t="s">
        <v>525</v>
      </c>
    </row>
    <row r="1057" spans="1:20">
      <c r="A1057" s="46">
        <v>139270327646</v>
      </c>
      <c r="B1057" s="44" t="s">
        <v>517</v>
      </c>
      <c r="C1057" s="45">
        <v>46014</v>
      </c>
      <c r="D1057" s="46">
        <v>55345132125</v>
      </c>
      <c r="E1057" s="46">
        <v>2157578863915</v>
      </c>
      <c r="F1057" s="47" t="s">
        <v>518</v>
      </c>
      <c r="G1057" s="47" t="s">
        <v>519</v>
      </c>
      <c r="H1057" s="47" t="s">
        <v>4</v>
      </c>
      <c r="I1057" s="46" t="s">
        <v>4</v>
      </c>
      <c r="J1057" s="48">
        <v>97</v>
      </c>
      <c r="K1057" s="47" t="s">
        <v>520</v>
      </c>
      <c r="L1057" s="47" t="s">
        <v>521</v>
      </c>
      <c r="M1057" s="46" t="s">
        <v>522</v>
      </c>
      <c r="N1057" s="47" t="s">
        <v>523</v>
      </c>
      <c r="O1057" s="44" t="s">
        <v>4</v>
      </c>
      <c r="P1057" s="47" t="s">
        <v>996</v>
      </c>
      <c r="Q1057" s="48">
        <v>10000</v>
      </c>
      <c r="R1057" s="49" t="s">
        <v>4</v>
      </c>
      <c r="S1057" s="48" t="s">
        <v>4</v>
      </c>
      <c r="T1057" s="47" t="s">
        <v>525</v>
      </c>
    </row>
    <row r="1058" spans="1:20">
      <c r="A1058" s="46">
        <v>139271087224</v>
      </c>
      <c r="B1058" s="44" t="s">
        <v>517</v>
      </c>
      <c r="C1058" s="45">
        <v>46014</v>
      </c>
      <c r="D1058" s="46">
        <v>55345396258</v>
      </c>
      <c r="E1058" s="46">
        <v>2157584169303</v>
      </c>
      <c r="F1058" s="47" t="s">
        <v>526</v>
      </c>
      <c r="G1058" s="47" t="s">
        <v>519</v>
      </c>
      <c r="H1058" s="47" t="s">
        <v>4</v>
      </c>
      <c r="I1058" s="46" t="s">
        <v>4</v>
      </c>
      <c r="J1058" s="48">
        <v>284.20999999999998</v>
      </c>
      <c r="K1058" s="47" t="s">
        <v>520</v>
      </c>
      <c r="L1058" s="47" t="s">
        <v>521</v>
      </c>
      <c r="M1058" s="46" t="s">
        <v>522</v>
      </c>
      <c r="N1058" s="47" t="s">
        <v>523</v>
      </c>
      <c r="O1058" s="44" t="s">
        <v>4</v>
      </c>
      <c r="P1058" s="47" t="s">
        <v>527</v>
      </c>
      <c r="Q1058" s="48">
        <v>29300</v>
      </c>
      <c r="R1058" s="49" t="s">
        <v>4</v>
      </c>
      <c r="S1058" s="48" t="s">
        <v>4</v>
      </c>
      <c r="T1058" s="47" t="s">
        <v>4</v>
      </c>
    </row>
    <row r="1059" spans="1:20">
      <c r="A1059" s="46">
        <v>138626144163</v>
      </c>
      <c r="B1059" s="44" t="s">
        <v>517</v>
      </c>
      <c r="C1059" s="45">
        <v>46014</v>
      </c>
      <c r="D1059" s="46">
        <v>55345471252</v>
      </c>
      <c r="E1059" s="46">
        <v>2157750154032</v>
      </c>
      <c r="F1059" s="47" t="s">
        <v>518</v>
      </c>
      <c r="G1059" s="47" t="s">
        <v>519</v>
      </c>
      <c r="H1059" s="47" t="s">
        <v>4</v>
      </c>
      <c r="I1059" s="46" t="s">
        <v>4</v>
      </c>
      <c r="J1059" s="48">
        <v>46.56</v>
      </c>
      <c r="K1059" s="47" t="s">
        <v>520</v>
      </c>
      <c r="L1059" s="47" t="s">
        <v>521</v>
      </c>
      <c r="M1059" s="46" t="s">
        <v>522</v>
      </c>
      <c r="N1059" s="47" t="s">
        <v>523</v>
      </c>
      <c r="O1059" s="44" t="s">
        <v>4</v>
      </c>
      <c r="P1059" s="47" t="s">
        <v>736</v>
      </c>
      <c r="Q1059" s="48">
        <v>4800</v>
      </c>
      <c r="R1059" s="49" t="s">
        <v>4</v>
      </c>
      <c r="S1059" s="48" t="s">
        <v>4</v>
      </c>
      <c r="T1059" s="47" t="s">
        <v>525</v>
      </c>
    </row>
    <row r="1060" spans="1:20">
      <c r="A1060" s="46">
        <v>139271724608</v>
      </c>
      <c r="B1060" s="44" t="s">
        <v>517</v>
      </c>
      <c r="C1060" s="45">
        <v>46014</v>
      </c>
      <c r="D1060" s="46">
        <v>55345592502</v>
      </c>
      <c r="E1060" s="46">
        <v>2157752757958</v>
      </c>
      <c r="F1060" s="47" t="s">
        <v>518</v>
      </c>
      <c r="G1060" s="47" t="s">
        <v>519</v>
      </c>
      <c r="H1060" s="47" t="s">
        <v>4</v>
      </c>
      <c r="I1060" s="46" t="s">
        <v>4</v>
      </c>
      <c r="J1060" s="48">
        <v>46.56</v>
      </c>
      <c r="K1060" s="47" t="s">
        <v>520</v>
      </c>
      <c r="L1060" s="47" t="s">
        <v>521</v>
      </c>
      <c r="M1060" s="46" t="s">
        <v>522</v>
      </c>
      <c r="N1060" s="47" t="s">
        <v>523</v>
      </c>
      <c r="O1060" s="44" t="s">
        <v>4</v>
      </c>
      <c r="P1060" s="47" t="s">
        <v>997</v>
      </c>
      <c r="Q1060" s="48">
        <v>4800</v>
      </c>
      <c r="R1060" s="49" t="s">
        <v>4</v>
      </c>
      <c r="S1060" s="48" t="s">
        <v>4</v>
      </c>
      <c r="T1060" s="47" t="s">
        <v>525</v>
      </c>
    </row>
    <row r="1061" spans="1:20">
      <c r="A1061" s="46">
        <v>139272015484</v>
      </c>
      <c r="B1061" s="44" t="s">
        <v>517</v>
      </c>
      <c r="C1061" s="45">
        <v>46014</v>
      </c>
      <c r="D1061" s="46">
        <v>55345720613</v>
      </c>
      <c r="E1061" s="46">
        <v>2157591751039</v>
      </c>
      <c r="F1061" s="47" t="s">
        <v>526</v>
      </c>
      <c r="G1061" s="47" t="s">
        <v>519</v>
      </c>
      <c r="H1061" s="47" t="s">
        <v>4</v>
      </c>
      <c r="I1061" s="46" t="s">
        <v>4</v>
      </c>
      <c r="J1061" s="48">
        <v>184.3</v>
      </c>
      <c r="K1061" s="47" t="s">
        <v>520</v>
      </c>
      <c r="L1061" s="47" t="s">
        <v>521</v>
      </c>
      <c r="M1061" s="46" t="s">
        <v>522</v>
      </c>
      <c r="N1061" s="47" t="s">
        <v>523</v>
      </c>
      <c r="O1061" s="44" t="s">
        <v>4</v>
      </c>
      <c r="P1061" s="47" t="s">
        <v>527</v>
      </c>
      <c r="Q1061" s="48">
        <v>19000</v>
      </c>
      <c r="R1061" s="49" t="s">
        <v>4</v>
      </c>
      <c r="S1061" s="48" t="s">
        <v>4</v>
      </c>
      <c r="T1061" s="47" t="s">
        <v>4</v>
      </c>
    </row>
    <row r="1062" spans="1:20">
      <c r="A1062" s="46">
        <v>139272408922</v>
      </c>
      <c r="B1062" s="44" t="s">
        <v>517</v>
      </c>
      <c r="C1062" s="45">
        <v>46014</v>
      </c>
      <c r="D1062" s="46">
        <v>55345823626</v>
      </c>
      <c r="E1062" s="46">
        <v>2157758638636</v>
      </c>
      <c r="F1062" s="47" t="s">
        <v>526</v>
      </c>
      <c r="G1062" s="47" t="s">
        <v>519</v>
      </c>
      <c r="H1062" s="47" t="s">
        <v>4</v>
      </c>
      <c r="I1062" s="46" t="s">
        <v>4</v>
      </c>
      <c r="J1062" s="48">
        <v>373.45</v>
      </c>
      <c r="K1062" s="47" t="s">
        <v>520</v>
      </c>
      <c r="L1062" s="47" t="s">
        <v>521</v>
      </c>
      <c r="M1062" s="46" t="s">
        <v>522</v>
      </c>
      <c r="N1062" s="47" t="s">
        <v>523</v>
      </c>
      <c r="O1062" s="44" t="s">
        <v>4</v>
      </c>
      <c r="P1062" s="47" t="s">
        <v>527</v>
      </c>
      <c r="Q1062" s="48">
        <v>38500</v>
      </c>
      <c r="R1062" s="49" t="s">
        <v>4</v>
      </c>
      <c r="S1062" s="48" t="s">
        <v>4</v>
      </c>
      <c r="T1062" s="47" t="s">
        <v>4</v>
      </c>
    </row>
    <row r="1063" spans="1:20">
      <c r="A1063" s="46">
        <v>139273670082</v>
      </c>
      <c r="B1063" s="44" t="s">
        <v>517</v>
      </c>
      <c r="C1063" s="45">
        <v>46014</v>
      </c>
      <c r="D1063" s="46">
        <v>55346288216</v>
      </c>
      <c r="E1063" s="46">
        <v>2157604985895</v>
      </c>
      <c r="F1063" s="47" t="s">
        <v>529</v>
      </c>
      <c r="G1063" s="47" t="s">
        <v>569</v>
      </c>
      <c r="H1063" s="47" t="s">
        <v>570</v>
      </c>
      <c r="I1063" s="46" t="s">
        <v>4</v>
      </c>
      <c r="J1063" s="48">
        <v>1540.56</v>
      </c>
      <c r="K1063" s="47" t="s">
        <v>520</v>
      </c>
      <c r="L1063" s="47" t="s">
        <v>530</v>
      </c>
      <c r="M1063" s="46" t="s">
        <v>522</v>
      </c>
      <c r="N1063" s="47" t="s">
        <v>523</v>
      </c>
      <c r="O1063" s="44" t="s">
        <v>263</v>
      </c>
      <c r="P1063" s="47" t="s">
        <v>531</v>
      </c>
      <c r="Q1063" s="48">
        <v>39200</v>
      </c>
      <c r="R1063" s="49" t="s">
        <v>4</v>
      </c>
      <c r="S1063" s="48" t="s">
        <v>4</v>
      </c>
      <c r="T1063" s="47" t="s">
        <v>525</v>
      </c>
    </row>
    <row r="1064" spans="1:20">
      <c r="A1064" s="46">
        <v>139273670082</v>
      </c>
      <c r="B1064" s="44" t="s">
        <v>517</v>
      </c>
      <c r="C1064" s="45">
        <v>46014</v>
      </c>
      <c r="D1064" s="46">
        <v>55346345816</v>
      </c>
      <c r="E1064" s="46">
        <v>2157605881879</v>
      </c>
      <c r="F1064" s="47" t="s">
        <v>571</v>
      </c>
      <c r="G1064" s="47" t="s">
        <v>569</v>
      </c>
      <c r="H1064" s="47" t="s">
        <v>4</v>
      </c>
      <c r="I1064" s="46">
        <v>55346288216</v>
      </c>
      <c r="J1064" s="48">
        <v>-1540.56</v>
      </c>
      <c r="K1064" s="47" t="s">
        <v>520</v>
      </c>
      <c r="L1064" s="47" t="s">
        <v>530</v>
      </c>
      <c r="M1064" s="46" t="s">
        <v>522</v>
      </c>
      <c r="N1064" s="47" t="s">
        <v>523</v>
      </c>
      <c r="O1064" s="44" t="s">
        <v>263</v>
      </c>
      <c r="P1064" s="47" t="s">
        <v>531</v>
      </c>
      <c r="Q1064" s="48">
        <v>39200</v>
      </c>
      <c r="R1064" s="49" t="s">
        <v>4</v>
      </c>
      <c r="S1064" s="48" t="s">
        <v>4</v>
      </c>
      <c r="T1064" s="47" t="s">
        <v>4</v>
      </c>
    </row>
    <row r="1065" spans="1:20">
      <c r="A1065" s="46">
        <v>138628677131</v>
      </c>
      <c r="B1065" s="44" t="s">
        <v>517</v>
      </c>
      <c r="C1065" s="45">
        <v>46014</v>
      </c>
      <c r="D1065" s="46">
        <v>55346351596</v>
      </c>
      <c r="E1065" s="46">
        <v>2157770423366</v>
      </c>
      <c r="F1065" s="47" t="s">
        <v>529</v>
      </c>
      <c r="G1065" s="47" t="s">
        <v>519</v>
      </c>
      <c r="H1065" s="47" t="s">
        <v>4</v>
      </c>
      <c r="I1065" s="46" t="s">
        <v>4</v>
      </c>
      <c r="J1065" s="48">
        <v>1324.41</v>
      </c>
      <c r="K1065" s="47" t="s">
        <v>520</v>
      </c>
      <c r="L1065" s="47" t="s">
        <v>530</v>
      </c>
      <c r="M1065" s="46" t="s">
        <v>522</v>
      </c>
      <c r="N1065" s="47" t="s">
        <v>523</v>
      </c>
      <c r="O1065" s="44" t="s">
        <v>263</v>
      </c>
      <c r="P1065" s="47" t="s">
        <v>531</v>
      </c>
      <c r="Q1065" s="48">
        <v>33700</v>
      </c>
      <c r="R1065" s="49" t="s">
        <v>4</v>
      </c>
      <c r="S1065" s="48" t="s">
        <v>4</v>
      </c>
      <c r="T1065" s="47" t="s">
        <v>525</v>
      </c>
    </row>
    <row r="1066" spans="1:20">
      <c r="A1066" s="46">
        <v>139274280902</v>
      </c>
      <c r="B1066" s="44" t="s">
        <v>517</v>
      </c>
      <c r="C1066" s="45">
        <v>46014</v>
      </c>
      <c r="D1066" s="46">
        <v>55346451543</v>
      </c>
      <c r="E1066" s="46">
        <v>2157608811401</v>
      </c>
      <c r="F1066" s="47" t="s">
        <v>518</v>
      </c>
      <c r="G1066" s="47" t="s">
        <v>519</v>
      </c>
      <c r="H1066" s="47" t="s">
        <v>4</v>
      </c>
      <c r="I1066" s="46" t="s">
        <v>4</v>
      </c>
      <c r="J1066" s="48">
        <v>48.5</v>
      </c>
      <c r="K1066" s="47" t="s">
        <v>520</v>
      </c>
      <c r="L1066" s="47" t="s">
        <v>521</v>
      </c>
      <c r="M1066" s="46" t="s">
        <v>522</v>
      </c>
      <c r="N1066" s="47" t="s">
        <v>523</v>
      </c>
      <c r="O1066" s="44" t="s">
        <v>4</v>
      </c>
      <c r="P1066" s="47" t="s">
        <v>998</v>
      </c>
      <c r="Q1066" s="48">
        <v>5000</v>
      </c>
      <c r="R1066" s="49" t="s">
        <v>4</v>
      </c>
      <c r="S1066" s="48" t="s">
        <v>4</v>
      </c>
      <c r="T1066" s="47" t="s">
        <v>525</v>
      </c>
    </row>
    <row r="1067" spans="1:20">
      <c r="A1067" s="46">
        <v>139275103290</v>
      </c>
      <c r="B1067" s="44" t="s">
        <v>517</v>
      </c>
      <c r="C1067" s="45">
        <v>46014</v>
      </c>
      <c r="D1067" s="46">
        <v>55346712850</v>
      </c>
      <c r="E1067" s="46">
        <v>2157779472370</v>
      </c>
      <c r="F1067" s="47" t="s">
        <v>526</v>
      </c>
      <c r="G1067" s="47" t="s">
        <v>519</v>
      </c>
      <c r="H1067" s="47" t="s">
        <v>4</v>
      </c>
      <c r="I1067" s="46" t="s">
        <v>4</v>
      </c>
      <c r="J1067" s="48">
        <v>48.5</v>
      </c>
      <c r="K1067" s="47" t="s">
        <v>520</v>
      </c>
      <c r="L1067" s="47" t="s">
        <v>521</v>
      </c>
      <c r="M1067" s="46" t="s">
        <v>522</v>
      </c>
      <c r="N1067" s="47" t="s">
        <v>523</v>
      </c>
      <c r="O1067" s="44" t="s">
        <v>4</v>
      </c>
      <c r="P1067" s="47" t="s">
        <v>527</v>
      </c>
      <c r="Q1067" s="48">
        <v>5000</v>
      </c>
      <c r="R1067" s="49" t="s">
        <v>4</v>
      </c>
      <c r="S1067" s="48" t="s">
        <v>4</v>
      </c>
      <c r="T1067" s="47" t="s">
        <v>4</v>
      </c>
    </row>
    <row r="1068" spans="1:20">
      <c r="A1068" s="46">
        <v>139275323288</v>
      </c>
      <c r="B1068" s="44" t="s">
        <v>517</v>
      </c>
      <c r="C1068" s="45">
        <v>46014</v>
      </c>
      <c r="D1068" s="46">
        <v>55346810378</v>
      </c>
      <c r="E1068" s="46">
        <v>2157617326765</v>
      </c>
      <c r="F1068" s="47" t="s">
        <v>526</v>
      </c>
      <c r="G1068" s="47" t="s">
        <v>519</v>
      </c>
      <c r="H1068" s="47" t="s">
        <v>4</v>
      </c>
      <c r="I1068" s="46" t="s">
        <v>4</v>
      </c>
      <c r="J1068" s="48">
        <v>169.75</v>
      </c>
      <c r="K1068" s="47" t="s">
        <v>520</v>
      </c>
      <c r="L1068" s="47" t="s">
        <v>521</v>
      </c>
      <c r="M1068" s="46" t="s">
        <v>522</v>
      </c>
      <c r="N1068" s="47" t="s">
        <v>523</v>
      </c>
      <c r="O1068" s="44" t="s">
        <v>4</v>
      </c>
      <c r="P1068" s="47" t="s">
        <v>527</v>
      </c>
      <c r="Q1068" s="48">
        <v>17500</v>
      </c>
      <c r="R1068" s="49" t="s">
        <v>4</v>
      </c>
      <c r="S1068" s="48" t="s">
        <v>4</v>
      </c>
      <c r="T1068" s="47" t="s">
        <v>4</v>
      </c>
    </row>
    <row r="1069" spans="1:20">
      <c r="A1069" s="46">
        <v>139276302934</v>
      </c>
      <c r="B1069" s="44" t="s">
        <v>517</v>
      </c>
      <c r="C1069" s="45">
        <v>46014</v>
      </c>
      <c r="D1069" s="46">
        <v>55347100545</v>
      </c>
      <c r="E1069" s="46">
        <v>2157788288202</v>
      </c>
      <c r="F1069" s="47" t="s">
        <v>518</v>
      </c>
      <c r="G1069" s="47" t="s">
        <v>519</v>
      </c>
      <c r="H1069" s="47" t="s">
        <v>4</v>
      </c>
      <c r="I1069" s="46" t="s">
        <v>4</v>
      </c>
      <c r="J1069" s="48">
        <v>217.28</v>
      </c>
      <c r="K1069" s="47" t="s">
        <v>520</v>
      </c>
      <c r="L1069" s="47" t="s">
        <v>521</v>
      </c>
      <c r="M1069" s="46" t="s">
        <v>522</v>
      </c>
      <c r="N1069" s="47" t="s">
        <v>523</v>
      </c>
      <c r="O1069" s="44" t="s">
        <v>4</v>
      </c>
      <c r="P1069" s="47" t="s">
        <v>999</v>
      </c>
      <c r="Q1069" s="48">
        <v>22400</v>
      </c>
      <c r="R1069" s="49" t="s">
        <v>4</v>
      </c>
      <c r="S1069" s="48" t="s">
        <v>4</v>
      </c>
      <c r="T1069" s="47" t="s">
        <v>525</v>
      </c>
    </row>
    <row r="1070" spans="1:20">
      <c r="A1070" s="46">
        <v>138631353807</v>
      </c>
      <c r="B1070" s="44" t="s">
        <v>517</v>
      </c>
      <c r="C1070" s="45">
        <v>46014</v>
      </c>
      <c r="D1070" s="46">
        <v>55347249976</v>
      </c>
      <c r="E1070" s="46">
        <v>2157791848166</v>
      </c>
      <c r="F1070" s="47" t="s">
        <v>529</v>
      </c>
      <c r="G1070" s="47" t="s">
        <v>519</v>
      </c>
      <c r="H1070" s="47" t="s">
        <v>4</v>
      </c>
      <c r="I1070" s="46" t="s">
        <v>4</v>
      </c>
      <c r="J1070" s="48">
        <v>222.46</v>
      </c>
      <c r="K1070" s="47" t="s">
        <v>520</v>
      </c>
      <c r="L1070" s="47" t="s">
        <v>530</v>
      </c>
      <c r="M1070" s="46" t="s">
        <v>522</v>
      </c>
      <c r="N1070" s="47" t="s">
        <v>523</v>
      </c>
      <c r="O1070" s="44" t="s">
        <v>263</v>
      </c>
      <c r="P1070" s="47" t="s">
        <v>531</v>
      </c>
      <c r="Q1070" s="48">
        <v>4900</v>
      </c>
      <c r="R1070" s="49" t="s">
        <v>4</v>
      </c>
      <c r="S1070" s="48" t="s">
        <v>4</v>
      </c>
      <c r="T1070" s="47" t="s">
        <v>525</v>
      </c>
    </row>
    <row r="1071" spans="1:20">
      <c r="A1071" s="46">
        <v>138633140959</v>
      </c>
      <c r="B1071" s="44" t="s">
        <v>517</v>
      </c>
      <c r="C1071" s="45">
        <v>46014</v>
      </c>
      <c r="D1071" s="46">
        <v>55347802375</v>
      </c>
      <c r="E1071" s="46">
        <v>2157641061501</v>
      </c>
      <c r="F1071" s="47" t="s">
        <v>529</v>
      </c>
      <c r="G1071" s="47" t="s">
        <v>519</v>
      </c>
      <c r="H1071" s="47" t="s">
        <v>4</v>
      </c>
      <c r="I1071" s="46" t="s">
        <v>4</v>
      </c>
      <c r="J1071" s="48">
        <v>989.3</v>
      </c>
      <c r="K1071" s="47" t="s">
        <v>520</v>
      </c>
      <c r="L1071" s="47" t="s">
        <v>530</v>
      </c>
      <c r="M1071" s="46" t="s">
        <v>522</v>
      </c>
      <c r="N1071" s="47" t="s">
        <v>523</v>
      </c>
      <c r="O1071" s="44" t="s">
        <v>263</v>
      </c>
      <c r="P1071" s="47" t="s">
        <v>531</v>
      </c>
      <c r="Q1071" s="48">
        <v>13000</v>
      </c>
      <c r="R1071" s="49" t="s">
        <v>4</v>
      </c>
      <c r="S1071" s="48" t="s">
        <v>4</v>
      </c>
      <c r="T1071" s="47" t="s">
        <v>525</v>
      </c>
    </row>
    <row r="1072" spans="1:20">
      <c r="A1072" s="46">
        <v>138633302091</v>
      </c>
      <c r="B1072" s="44" t="s">
        <v>517</v>
      </c>
      <c r="C1072" s="45">
        <v>46014</v>
      </c>
      <c r="D1072" s="46">
        <v>55347908082</v>
      </c>
      <c r="E1072" s="46">
        <v>2157806946878</v>
      </c>
      <c r="F1072" s="47" t="s">
        <v>518</v>
      </c>
      <c r="G1072" s="47" t="s">
        <v>519</v>
      </c>
      <c r="H1072" s="47" t="s">
        <v>4</v>
      </c>
      <c r="I1072" s="46" t="s">
        <v>4</v>
      </c>
      <c r="J1072" s="48">
        <v>46.56</v>
      </c>
      <c r="K1072" s="47" t="s">
        <v>520</v>
      </c>
      <c r="L1072" s="47" t="s">
        <v>521</v>
      </c>
      <c r="M1072" s="46" t="s">
        <v>522</v>
      </c>
      <c r="N1072" s="47" t="s">
        <v>523</v>
      </c>
      <c r="O1072" s="44" t="s">
        <v>4</v>
      </c>
      <c r="P1072" s="47" t="s">
        <v>1000</v>
      </c>
      <c r="Q1072" s="48">
        <v>4800</v>
      </c>
      <c r="R1072" s="49" t="s">
        <v>4</v>
      </c>
      <c r="S1072" s="48" t="s">
        <v>4</v>
      </c>
      <c r="T1072" s="47" t="s">
        <v>525</v>
      </c>
    </row>
    <row r="1073" spans="1:20">
      <c r="A1073" s="46">
        <v>138633435065</v>
      </c>
      <c r="B1073" s="44" t="s">
        <v>517</v>
      </c>
      <c r="C1073" s="45">
        <v>46014</v>
      </c>
      <c r="D1073" s="46">
        <v>55347920272</v>
      </c>
      <c r="E1073" s="46">
        <v>2157807748508</v>
      </c>
      <c r="F1073" s="47" t="s">
        <v>518</v>
      </c>
      <c r="G1073" s="47" t="s">
        <v>519</v>
      </c>
      <c r="H1073" s="47" t="s">
        <v>4</v>
      </c>
      <c r="I1073" s="46" t="s">
        <v>4</v>
      </c>
      <c r="J1073" s="48">
        <v>95.06</v>
      </c>
      <c r="K1073" s="47" t="s">
        <v>520</v>
      </c>
      <c r="L1073" s="47" t="s">
        <v>521</v>
      </c>
      <c r="M1073" s="46" t="s">
        <v>522</v>
      </c>
      <c r="N1073" s="47" t="s">
        <v>523</v>
      </c>
      <c r="O1073" s="44" t="s">
        <v>4</v>
      </c>
      <c r="P1073" s="47" t="s">
        <v>1001</v>
      </c>
      <c r="Q1073" s="48">
        <v>9800</v>
      </c>
      <c r="R1073" s="49" t="s">
        <v>4</v>
      </c>
      <c r="S1073" s="48" t="s">
        <v>4</v>
      </c>
      <c r="T1073" s="47" t="s">
        <v>525</v>
      </c>
    </row>
    <row r="1074" spans="1:20">
      <c r="A1074" s="46">
        <v>138633489427</v>
      </c>
      <c r="B1074" s="44" t="s">
        <v>517</v>
      </c>
      <c r="C1074" s="45">
        <v>46014</v>
      </c>
      <c r="D1074" s="46">
        <v>55347968071</v>
      </c>
      <c r="E1074" s="46">
        <v>2157644414793</v>
      </c>
      <c r="F1074" s="47" t="s">
        <v>518</v>
      </c>
      <c r="G1074" s="47" t="s">
        <v>519</v>
      </c>
      <c r="H1074" s="47" t="s">
        <v>4</v>
      </c>
      <c r="I1074" s="46" t="s">
        <v>4</v>
      </c>
      <c r="J1074" s="48">
        <v>48.5</v>
      </c>
      <c r="K1074" s="47" t="s">
        <v>520</v>
      </c>
      <c r="L1074" s="47" t="s">
        <v>521</v>
      </c>
      <c r="M1074" s="46" t="s">
        <v>522</v>
      </c>
      <c r="N1074" s="47" t="s">
        <v>523</v>
      </c>
      <c r="O1074" s="44" t="s">
        <v>4</v>
      </c>
      <c r="P1074" s="47" t="s">
        <v>670</v>
      </c>
      <c r="Q1074" s="48">
        <v>5000</v>
      </c>
      <c r="R1074" s="49" t="s">
        <v>4</v>
      </c>
      <c r="S1074" s="48" t="s">
        <v>4</v>
      </c>
      <c r="T1074" s="47" t="s">
        <v>525</v>
      </c>
    </row>
    <row r="1075" spans="1:20">
      <c r="A1075" s="46">
        <v>138633605923</v>
      </c>
      <c r="B1075" s="44" t="s">
        <v>517</v>
      </c>
      <c r="C1075" s="45">
        <v>46014</v>
      </c>
      <c r="D1075" s="46">
        <v>55348016135</v>
      </c>
      <c r="E1075" s="46">
        <v>2157645640609</v>
      </c>
      <c r="F1075" s="47" t="s">
        <v>529</v>
      </c>
      <c r="G1075" s="47" t="s">
        <v>519</v>
      </c>
      <c r="H1075" s="47" t="s">
        <v>4</v>
      </c>
      <c r="I1075" s="46" t="s">
        <v>4</v>
      </c>
      <c r="J1075" s="48">
        <v>3430.89</v>
      </c>
      <c r="K1075" s="47" t="s">
        <v>520</v>
      </c>
      <c r="L1075" s="47" t="s">
        <v>530</v>
      </c>
      <c r="M1075" s="46" t="s">
        <v>522</v>
      </c>
      <c r="N1075" s="47" t="s">
        <v>523</v>
      </c>
      <c r="O1075" s="44" t="s">
        <v>263</v>
      </c>
      <c r="P1075" s="47" t="s">
        <v>531</v>
      </c>
      <c r="Q1075" s="48">
        <v>87300</v>
      </c>
      <c r="R1075" s="49" t="s">
        <v>4</v>
      </c>
      <c r="S1075" s="48" t="s">
        <v>4</v>
      </c>
      <c r="T1075" s="47" t="s">
        <v>525</v>
      </c>
    </row>
    <row r="1076" spans="1:20">
      <c r="A1076" s="46">
        <v>139279213150</v>
      </c>
      <c r="B1076" s="44" t="s">
        <v>517</v>
      </c>
      <c r="C1076" s="45">
        <v>46014</v>
      </c>
      <c r="D1076" s="46">
        <v>55348070926</v>
      </c>
      <c r="E1076" s="46">
        <v>2157811469998</v>
      </c>
      <c r="F1076" s="47" t="s">
        <v>518</v>
      </c>
      <c r="G1076" s="47" t="s">
        <v>519</v>
      </c>
      <c r="H1076" s="47" t="s">
        <v>4</v>
      </c>
      <c r="I1076" s="46" t="s">
        <v>4</v>
      </c>
      <c r="J1076" s="48">
        <v>97</v>
      </c>
      <c r="K1076" s="47" t="s">
        <v>520</v>
      </c>
      <c r="L1076" s="47" t="s">
        <v>521</v>
      </c>
      <c r="M1076" s="46" t="s">
        <v>522</v>
      </c>
      <c r="N1076" s="47" t="s">
        <v>523</v>
      </c>
      <c r="O1076" s="44" t="s">
        <v>4</v>
      </c>
      <c r="P1076" s="47" t="s">
        <v>673</v>
      </c>
      <c r="Q1076" s="48">
        <v>10000</v>
      </c>
      <c r="R1076" s="49" t="s">
        <v>4</v>
      </c>
      <c r="S1076" s="48" t="s">
        <v>4</v>
      </c>
      <c r="T1076" s="47" t="s">
        <v>525</v>
      </c>
    </row>
    <row r="1077" spans="1:20">
      <c r="A1077" s="46">
        <v>138634295411</v>
      </c>
      <c r="B1077" s="44" t="s">
        <v>517</v>
      </c>
      <c r="C1077" s="45">
        <v>46014</v>
      </c>
      <c r="D1077" s="46">
        <v>55348192831</v>
      </c>
      <c r="E1077" s="46">
        <v>2157814355174</v>
      </c>
      <c r="F1077" s="47" t="s">
        <v>518</v>
      </c>
      <c r="G1077" s="47" t="s">
        <v>519</v>
      </c>
      <c r="H1077" s="47" t="s">
        <v>4</v>
      </c>
      <c r="I1077" s="46" t="s">
        <v>4</v>
      </c>
      <c r="J1077" s="48">
        <v>24.25</v>
      </c>
      <c r="K1077" s="47" t="s">
        <v>520</v>
      </c>
      <c r="L1077" s="47" t="s">
        <v>521</v>
      </c>
      <c r="M1077" s="46" t="s">
        <v>522</v>
      </c>
      <c r="N1077" s="47" t="s">
        <v>523</v>
      </c>
      <c r="O1077" s="44" t="s">
        <v>4</v>
      </c>
      <c r="P1077" s="47" t="s">
        <v>999</v>
      </c>
      <c r="Q1077" s="48">
        <v>2500</v>
      </c>
      <c r="R1077" s="49" t="s">
        <v>4</v>
      </c>
      <c r="S1077" s="48" t="s">
        <v>4</v>
      </c>
      <c r="T1077" s="47" t="s">
        <v>525</v>
      </c>
    </row>
    <row r="1078" spans="1:20">
      <c r="A1078" s="46">
        <v>138635021889</v>
      </c>
      <c r="B1078" s="44" t="s">
        <v>517</v>
      </c>
      <c r="C1078" s="45">
        <v>46014</v>
      </c>
      <c r="D1078" s="46">
        <v>55348452527</v>
      </c>
      <c r="E1078" s="46">
        <v>2157655371807</v>
      </c>
      <c r="F1078" s="47" t="s">
        <v>518</v>
      </c>
      <c r="G1078" s="47" t="s">
        <v>519</v>
      </c>
      <c r="H1078" s="47" t="s">
        <v>4</v>
      </c>
      <c r="I1078" s="46" t="s">
        <v>4</v>
      </c>
      <c r="J1078" s="48">
        <v>347.26</v>
      </c>
      <c r="K1078" s="47" t="s">
        <v>520</v>
      </c>
      <c r="L1078" s="47" t="s">
        <v>521</v>
      </c>
      <c r="M1078" s="46" t="s">
        <v>522</v>
      </c>
      <c r="N1078" s="47" t="s">
        <v>523</v>
      </c>
      <c r="O1078" s="44" t="s">
        <v>4</v>
      </c>
      <c r="P1078" s="47" t="s">
        <v>1002</v>
      </c>
      <c r="Q1078" s="48">
        <v>35800</v>
      </c>
      <c r="R1078" s="49" t="s">
        <v>4</v>
      </c>
      <c r="S1078" s="48" t="s">
        <v>4</v>
      </c>
      <c r="T1078" s="47" t="s">
        <v>525</v>
      </c>
    </row>
    <row r="1079" spans="1:20">
      <c r="A1079" s="46">
        <v>139280438028</v>
      </c>
      <c r="B1079" s="44" t="s">
        <v>517</v>
      </c>
      <c r="C1079" s="45">
        <v>46014</v>
      </c>
      <c r="D1079" s="46">
        <v>55348535119</v>
      </c>
      <c r="E1079" s="46">
        <v>2157656664847</v>
      </c>
      <c r="F1079" s="47" t="s">
        <v>518</v>
      </c>
      <c r="G1079" s="47" t="s">
        <v>519</v>
      </c>
      <c r="H1079" s="47" t="s">
        <v>4</v>
      </c>
      <c r="I1079" s="46" t="s">
        <v>4</v>
      </c>
      <c r="J1079" s="48">
        <v>439.41</v>
      </c>
      <c r="K1079" s="47" t="s">
        <v>520</v>
      </c>
      <c r="L1079" s="47" t="s">
        <v>521</v>
      </c>
      <c r="M1079" s="46" t="s">
        <v>522</v>
      </c>
      <c r="N1079" s="47" t="s">
        <v>523</v>
      </c>
      <c r="O1079" s="44" t="s">
        <v>4</v>
      </c>
      <c r="P1079" s="47" t="s">
        <v>528</v>
      </c>
      <c r="Q1079" s="48">
        <v>45300</v>
      </c>
      <c r="R1079" s="49" t="s">
        <v>4</v>
      </c>
      <c r="S1079" s="48" t="s">
        <v>4</v>
      </c>
      <c r="T1079" s="47" t="s">
        <v>525</v>
      </c>
    </row>
    <row r="1080" spans="1:20">
      <c r="A1080" s="46">
        <v>139280754312</v>
      </c>
      <c r="B1080" s="44" t="s">
        <v>517</v>
      </c>
      <c r="C1080" s="45">
        <v>46014</v>
      </c>
      <c r="D1080" s="46">
        <v>55348562780</v>
      </c>
      <c r="E1080" s="46">
        <v>2157657818479</v>
      </c>
      <c r="F1080" s="47" t="s">
        <v>518</v>
      </c>
      <c r="G1080" s="47" t="s">
        <v>519</v>
      </c>
      <c r="H1080" s="47" t="s">
        <v>4</v>
      </c>
      <c r="I1080" s="46" t="s">
        <v>4</v>
      </c>
      <c r="J1080" s="48">
        <v>132.88999999999999</v>
      </c>
      <c r="K1080" s="47" t="s">
        <v>520</v>
      </c>
      <c r="L1080" s="47" t="s">
        <v>521</v>
      </c>
      <c r="M1080" s="46" t="s">
        <v>522</v>
      </c>
      <c r="N1080" s="47" t="s">
        <v>523</v>
      </c>
      <c r="O1080" s="44" t="s">
        <v>4</v>
      </c>
      <c r="P1080" s="47" t="s">
        <v>801</v>
      </c>
      <c r="Q1080" s="48">
        <v>13700</v>
      </c>
      <c r="R1080" s="49" t="s">
        <v>4</v>
      </c>
      <c r="S1080" s="48" t="s">
        <v>4</v>
      </c>
      <c r="T1080" s="47" t="s">
        <v>525</v>
      </c>
    </row>
    <row r="1081" spans="1:20">
      <c r="A1081" s="46">
        <v>139281632816</v>
      </c>
      <c r="B1081" s="44" t="s">
        <v>517</v>
      </c>
      <c r="C1081" s="45">
        <v>46014</v>
      </c>
      <c r="D1081" s="46">
        <v>55348886995</v>
      </c>
      <c r="E1081" s="46">
        <v>2157664149983</v>
      </c>
      <c r="F1081" s="47" t="s">
        <v>529</v>
      </c>
      <c r="G1081" s="47" t="s">
        <v>519</v>
      </c>
      <c r="H1081" s="47" t="s">
        <v>4</v>
      </c>
      <c r="I1081" s="46" t="s">
        <v>4</v>
      </c>
      <c r="J1081" s="48">
        <v>108.96</v>
      </c>
      <c r="K1081" s="47" t="s">
        <v>520</v>
      </c>
      <c r="L1081" s="47" t="s">
        <v>530</v>
      </c>
      <c r="M1081" s="46" t="s">
        <v>522</v>
      </c>
      <c r="N1081" s="47" t="s">
        <v>523</v>
      </c>
      <c r="O1081" s="44" t="s">
        <v>263</v>
      </c>
      <c r="P1081" s="47" t="s">
        <v>531</v>
      </c>
      <c r="Q1081" s="48">
        <v>2400</v>
      </c>
      <c r="R1081" s="49" t="s">
        <v>4</v>
      </c>
      <c r="S1081" s="48" t="s">
        <v>4</v>
      </c>
      <c r="T1081" s="47" t="s">
        <v>525</v>
      </c>
    </row>
    <row r="1082" spans="1:20">
      <c r="A1082" s="46">
        <v>138636328031</v>
      </c>
      <c r="B1082" s="44" t="s">
        <v>517</v>
      </c>
      <c r="C1082" s="45">
        <v>46014</v>
      </c>
      <c r="D1082" s="46">
        <v>55348911182</v>
      </c>
      <c r="E1082" s="46">
        <v>2157828768556</v>
      </c>
      <c r="F1082" s="47" t="s">
        <v>529</v>
      </c>
      <c r="G1082" s="47" t="s">
        <v>519</v>
      </c>
      <c r="H1082" s="47" t="s">
        <v>4</v>
      </c>
      <c r="I1082" s="46" t="s">
        <v>4</v>
      </c>
      <c r="J1082" s="48">
        <v>476.7</v>
      </c>
      <c r="K1082" s="47" t="s">
        <v>520</v>
      </c>
      <c r="L1082" s="47" t="s">
        <v>530</v>
      </c>
      <c r="M1082" s="46" t="s">
        <v>522</v>
      </c>
      <c r="N1082" s="47" t="s">
        <v>523</v>
      </c>
      <c r="O1082" s="44" t="s">
        <v>263</v>
      </c>
      <c r="P1082" s="47" t="s">
        <v>531</v>
      </c>
      <c r="Q1082" s="48">
        <v>10500</v>
      </c>
      <c r="R1082" s="49" t="s">
        <v>4</v>
      </c>
      <c r="S1082" s="48" t="s">
        <v>4</v>
      </c>
      <c r="T1082" s="47" t="s">
        <v>525</v>
      </c>
    </row>
    <row r="1083" spans="1:20">
      <c r="A1083" s="46">
        <v>139281926234</v>
      </c>
      <c r="B1083" s="44" t="s">
        <v>517</v>
      </c>
      <c r="C1083" s="45">
        <v>46014</v>
      </c>
      <c r="D1083" s="46">
        <v>55348961780</v>
      </c>
      <c r="E1083" s="46">
        <v>2157665735467</v>
      </c>
      <c r="F1083" s="47" t="s">
        <v>526</v>
      </c>
      <c r="G1083" s="47" t="s">
        <v>519</v>
      </c>
      <c r="H1083" s="47" t="s">
        <v>4</v>
      </c>
      <c r="I1083" s="46" t="s">
        <v>4</v>
      </c>
      <c r="J1083" s="48">
        <v>24.25</v>
      </c>
      <c r="K1083" s="47" t="s">
        <v>520</v>
      </c>
      <c r="L1083" s="47" t="s">
        <v>521</v>
      </c>
      <c r="M1083" s="46" t="s">
        <v>522</v>
      </c>
      <c r="N1083" s="47" t="s">
        <v>523</v>
      </c>
      <c r="O1083" s="44" t="s">
        <v>4</v>
      </c>
      <c r="P1083" s="47" t="s">
        <v>527</v>
      </c>
      <c r="Q1083" s="48">
        <v>2500</v>
      </c>
      <c r="R1083" s="49" t="s">
        <v>4</v>
      </c>
      <c r="S1083" s="48" t="s">
        <v>4</v>
      </c>
      <c r="T1083" s="47" t="s">
        <v>4</v>
      </c>
    </row>
    <row r="1084" spans="1:20">
      <c r="A1084" s="46">
        <v>139281911322</v>
      </c>
      <c r="B1084" s="44" t="s">
        <v>517</v>
      </c>
      <c r="C1084" s="45">
        <v>46014</v>
      </c>
      <c r="D1084" s="46">
        <v>55348981790</v>
      </c>
      <c r="E1084" s="46">
        <v>2157666213721</v>
      </c>
      <c r="F1084" s="47" t="s">
        <v>518</v>
      </c>
      <c r="G1084" s="47" t="s">
        <v>519</v>
      </c>
      <c r="H1084" s="47" t="s">
        <v>4</v>
      </c>
      <c r="I1084" s="46" t="s">
        <v>4</v>
      </c>
      <c r="J1084" s="48">
        <v>308.45999999999998</v>
      </c>
      <c r="K1084" s="47" t="s">
        <v>520</v>
      </c>
      <c r="L1084" s="47" t="s">
        <v>521</v>
      </c>
      <c r="M1084" s="46" t="s">
        <v>522</v>
      </c>
      <c r="N1084" s="47" t="s">
        <v>523</v>
      </c>
      <c r="O1084" s="44" t="s">
        <v>4</v>
      </c>
      <c r="P1084" s="47" t="s">
        <v>1003</v>
      </c>
      <c r="Q1084" s="48">
        <v>31800</v>
      </c>
      <c r="R1084" s="49" t="s">
        <v>4</v>
      </c>
      <c r="S1084" s="48" t="s">
        <v>4</v>
      </c>
      <c r="T1084" s="47" t="s">
        <v>525</v>
      </c>
    </row>
    <row r="1085" spans="1:20">
      <c r="A1085" s="46">
        <v>138636840479</v>
      </c>
      <c r="B1085" s="44" t="s">
        <v>517</v>
      </c>
      <c r="C1085" s="45">
        <v>46014</v>
      </c>
      <c r="D1085" s="46">
        <v>55349004203</v>
      </c>
      <c r="E1085" s="46">
        <v>2157830899354</v>
      </c>
      <c r="F1085" s="47" t="s">
        <v>529</v>
      </c>
      <c r="G1085" s="47" t="s">
        <v>519</v>
      </c>
      <c r="H1085" s="47" t="s">
        <v>4</v>
      </c>
      <c r="I1085" s="46" t="s">
        <v>4</v>
      </c>
      <c r="J1085" s="48">
        <v>3859.26</v>
      </c>
      <c r="K1085" s="47" t="s">
        <v>520</v>
      </c>
      <c r="L1085" s="47" t="s">
        <v>530</v>
      </c>
      <c r="M1085" s="46" t="s">
        <v>522</v>
      </c>
      <c r="N1085" s="47" t="s">
        <v>523</v>
      </c>
      <c r="O1085" s="44" t="s">
        <v>263</v>
      </c>
      <c r="P1085" s="47" t="s">
        <v>531</v>
      </c>
      <c r="Q1085" s="48">
        <v>98200</v>
      </c>
      <c r="R1085" s="49" t="s">
        <v>4</v>
      </c>
      <c r="S1085" s="48" t="s">
        <v>4</v>
      </c>
      <c r="T1085" s="47" t="s">
        <v>525</v>
      </c>
    </row>
    <row r="1086" spans="1:20">
      <c r="A1086" s="46">
        <v>138637623891</v>
      </c>
      <c r="B1086" s="44" t="s">
        <v>517</v>
      </c>
      <c r="C1086" s="45">
        <v>46014</v>
      </c>
      <c r="D1086" s="46">
        <v>55349314047</v>
      </c>
      <c r="E1086" s="46">
        <v>2157672715843</v>
      </c>
      <c r="F1086" s="47" t="s">
        <v>529</v>
      </c>
      <c r="G1086" s="47" t="s">
        <v>519</v>
      </c>
      <c r="H1086" s="47" t="s">
        <v>4</v>
      </c>
      <c r="I1086" s="46" t="s">
        <v>4</v>
      </c>
      <c r="J1086" s="48">
        <v>196.5</v>
      </c>
      <c r="K1086" s="47" t="s">
        <v>520</v>
      </c>
      <c r="L1086" s="47" t="s">
        <v>530</v>
      </c>
      <c r="M1086" s="46" t="s">
        <v>522</v>
      </c>
      <c r="N1086" s="47" t="s">
        <v>523</v>
      </c>
      <c r="O1086" s="44" t="s">
        <v>263</v>
      </c>
      <c r="P1086" s="47" t="s">
        <v>531</v>
      </c>
      <c r="Q1086" s="48">
        <v>5000</v>
      </c>
      <c r="R1086" s="49" t="s">
        <v>4</v>
      </c>
      <c r="S1086" s="48" t="s">
        <v>4</v>
      </c>
      <c r="T1086" s="47" t="s">
        <v>525</v>
      </c>
    </row>
    <row r="1087" spans="1:20">
      <c r="A1087" s="46">
        <v>138637654465</v>
      </c>
      <c r="B1087" s="44" t="s">
        <v>517</v>
      </c>
      <c r="C1087" s="45">
        <v>46014</v>
      </c>
      <c r="D1087" s="46">
        <v>55349325196</v>
      </c>
      <c r="E1087" s="46">
        <v>2157672110909</v>
      </c>
      <c r="F1087" s="47" t="s">
        <v>518</v>
      </c>
      <c r="G1087" s="47" t="s">
        <v>519</v>
      </c>
      <c r="H1087" s="47" t="s">
        <v>4</v>
      </c>
      <c r="I1087" s="46" t="s">
        <v>4</v>
      </c>
      <c r="J1087" s="48">
        <v>292.94</v>
      </c>
      <c r="K1087" s="47" t="s">
        <v>520</v>
      </c>
      <c r="L1087" s="47" t="s">
        <v>521</v>
      </c>
      <c r="M1087" s="46" t="s">
        <v>522</v>
      </c>
      <c r="N1087" s="47" t="s">
        <v>523</v>
      </c>
      <c r="O1087" s="44" t="s">
        <v>4</v>
      </c>
      <c r="P1087" s="47" t="s">
        <v>1004</v>
      </c>
      <c r="Q1087" s="48">
        <v>30200</v>
      </c>
      <c r="R1087" s="49" t="s">
        <v>4</v>
      </c>
      <c r="S1087" s="48" t="s">
        <v>4</v>
      </c>
      <c r="T1087" s="47" t="s">
        <v>525</v>
      </c>
    </row>
    <row r="1088" spans="1:20">
      <c r="A1088" s="46">
        <v>139283314144</v>
      </c>
      <c r="B1088" s="44" t="s">
        <v>517</v>
      </c>
      <c r="C1088" s="45">
        <v>46015</v>
      </c>
      <c r="D1088" s="46">
        <v>55349442438</v>
      </c>
      <c r="E1088" s="46">
        <v>2157838519394</v>
      </c>
      <c r="F1088" s="47" t="s">
        <v>518</v>
      </c>
      <c r="G1088" s="47" t="s">
        <v>519</v>
      </c>
      <c r="H1088" s="47" t="s">
        <v>4</v>
      </c>
      <c r="I1088" s="46" t="s">
        <v>4</v>
      </c>
      <c r="J1088" s="48">
        <v>823.53</v>
      </c>
      <c r="K1088" s="47" t="s">
        <v>520</v>
      </c>
      <c r="L1088" s="47" t="s">
        <v>521</v>
      </c>
      <c r="M1088" s="46" t="s">
        <v>522</v>
      </c>
      <c r="N1088" s="47" t="s">
        <v>523</v>
      </c>
      <c r="O1088" s="44" t="s">
        <v>4</v>
      </c>
      <c r="P1088" s="47" t="s">
        <v>1005</v>
      </c>
      <c r="Q1088" s="48">
        <v>84900</v>
      </c>
      <c r="R1088" s="49" t="s">
        <v>4</v>
      </c>
      <c r="S1088" s="48" t="s">
        <v>4</v>
      </c>
      <c r="T1088" s="47" t="s">
        <v>525</v>
      </c>
    </row>
    <row r="1089" spans="1:20">
      <c r="A1089" s="46">
        <v>138638180357</v>
      </c>
      <c r="B1089" s="44" t="s">
        <v>517</v>
      </c>
      <c r="C1089" s="45">
        <v>46015</v>
      </c>
      <c r="D1089" s="46">
        <v>55349525657</v>
      </c>
      <c r="E1089" s="46">
        <v>2157839969250</v>
      </c>
      <c r="F1089" s="47" t="s">
        <v>518</v>
      </c>
      <c r="G1089" s="47" t="s">
        <v>519</v>
      </c>
      <c r="H1089" s="47" t="s">
        <v>4</v>
      </c>
      <c r="I1089" s="46" t="s">
        <v>4</v>
      </c>
      <c r="J1089" s="48">
        <v>176.06</v>
      </c>
      <c r="K1089" s="47" t="s">
        <v>520</v>
      </c>
      <c r="L1089" s="47" t="s">
        <v>521</v>
      </c>
      <c r="M1089" s="46" t="s">
        <v>522</v>
      </c>
      <c r="N1089" s="47" t="s">
        <v>523</v>
      </c>
      <c r="O1089" s="44" t="s">
        <v>4</v>
      </c>
      <c r="P1089" s="47" t="s">
        <v>543</v>
      </c>
      <c r="Q1089" s="48">
        <v>18150</v>
      </c>
      <c r="R1089" s="49" t="s">
        <v>4</v>
      </c>
      <c r="S1089" s="48" t="s">
        <v>4</v>
      </c>
      <c r="T1089" s="47" t="s">
        <v>525</v>
      </c>
    </row>
    <row r="1090" spans="1:20">
      <c r="A1090" s="46">
        <v>139283485552</v>
      </c>
      <c r="B1090" s="44" t="s">
        <v>517</v>
      </c>
      <c r="C1090" s="45">
        <v>46015</v>
      </c>
      <c r="D1090" s="46">
        <v>55349546061</v>
      </c>
      <c r="E1090" s="46">
        <v>2157840146322</v>
      </c>
      <c r="F1090" s="47" t="s">
        <v>529</v>
      </c>
      <c r="G1090" s="47" t="s">
        <v>519</v>
      </c>
      <c r="H1090" s="47" t="s">
        <v>4</v>
      </c>
      <c r="I1090" s="46" t="s">
        <v>4</v>
      </c>
      <c r="J1090" s="48">
        <v>380.5</v>
      </c>
      <c r="K1090" s="47" t="s">
        <v>520</v>
      </c>
      <c r="L1090" s="47" t="s">
        <v>530</v>
      </c>
      <c r="M1090" s="46" t="s">
        <v>522</v>
      </c>
      <c r="N1090" s="47" t="s">
        <v>523</v>
      </c>
      <c r="O1090" s="44" t="s">
        <v>263</v>
      </c>
      <c r="P1090" s="47" t="s">
        <v>531</v>
      </c>
      <c r="Q1090" s="48">
        <v>5000</v>
      </c>
      <c r="R1090" s="49" t="s">
        <v>4</v>
      </c>
      <c r="S1090" s="48" t="s">
        <v>4</v>
      </c>
      <c r="T1090" s="47" t="s">
        <v>525</v>
      </c>
    </row>
    <row r="1091" spans="1:20">
      <c r="A1091" s="46">
        <v>139283523776</v>
      </c>
      <c r="B1091" s="44" t="s">
        <v>517</v>
      </c>
      <c r="C1091" s="45">
        <v>46015</v>
      </c>
      <c r="D1091" s="46">
        <v>55349552885</v>
      </c>
      <c r="E1091" s="46">
        <v>2157840632112</v>
      </c>
      <c r="F1091" s="47" t="s">
        <v>518</v>
      </c>
      <c r="G1091" s="47" t="s">
        <v>519</v>
      </c>
      <c r="H1091" s="47" t="s">
        <v>4</v>
      </c>
      <c r="I1091" s="46" t="s">
        <v>4</v>
      </c>
      <c r="J1091" s="48">
        <v>255.11</v>
      </c>
      <c r="K1091" s="47" t="s">
        <v>520</v>
      </c>
      <c r="L1091" s="47" t="s">
        <v>521</v>
      </c>
      <c r="M1091" s="46" t="s">
        <v>522</v>
      </c>
      <c r="N1091" s="47" t="s">
        <v>523</v>
      </c>
      <c r="O1091" s="44" t="s">
        <v>4</v>
      </c>
      <c r="P1091" s="47" t="s">
        <v>1006</v>
      </c>
      <c r="Q1091" s="48">
        <v>26300</v>
      </c>
      <c r="R1091" s="49" t="s">
        <v>4</v>
      </c>
      <c r="S1091" s="48" t="s">
        <v>4</v>
      </c>
      <c r="T1091" s="47" t="s">
        <v>525</v>
      </c>
    </row>
    <row r="1092" spans="1:20">
      <c r="A1092" s="46">
        <v>138638356415</v>
      </c>
      <c r="B1092" s="44" t="s">
        <v>517</v>
      </c>
      <c r="C1092" s="45">
        <v>46015</v>
      </c>
      <c r="D1092" s="46">
        <v>55349578712</v>
      </c>
      <c r="E1092" s="46">
        <v>2157676702759</v>
      </c>
      <c r="F1092" s="47" t="s">
        <v>529</v>
      </c>
      <c r="G1092" s="47" t="s">
        <v>519</v>
      </c>
      <c r="H1092" s="47" t="s">
        <v>4</v>
      </c>
      <c r="I1092" s="46" t="s">
        <v>4</v>
      </c>
      <c r="J1092" s="48">
        <v>3941.98</v>
      </c>
      <c r="K1092" s="47" t="s">
        <v>520</v>
      </c>
      <c r="L1092" s="47" t="s">
        <v>530</v>
      </c>
      <c r="M1092" s="46" t="s">
        <v>522</v>
      </c>
      <c r="N1092" s="47" t="s">
        <v>523</v>
      </c>
      <c r="O1092" s="44" t="s">
        <v>263</v>
      </c>
      <c r="P1092" s="47" t="s">
        <v>531</v>
      </c>
      <c r="Q1092" s="48">
        <v>51800</v>
      </c>
      <c r="R1092" s="49" t="s">
        <v>4</v>
      </c>
      <c r="S1092" s="48" t="s">
        <v>4</v>
      </c>
      <c r="T1092" s="47" t="s">
        <v>525</v>
      </c>
    </row>
    <row r="1093" spans="1:20">
      <c r="A1093" s="46">
        <v>139283726956</v>
      </c>
      <c r="B1093" s="44" t="s">
        <v>517</v>
      </c>
      <c r="C1093" s="45">
        <v>46015</v>
      </c>
      <c r="D1093" s="46">
        <v>55349627260</v>
      </c>
      <c r="E1093" s="46">
        <v>2157841697232</v>
      </c>
      <c r="F1093" s="47" t="s">
        <v>518</v>
      </c>
      <c r="G1093" s="47" t="s">
        <v>519</v>
      </c>
      <c r="H1093" s="47" t="s">
        <v>4</v>
      </c>
      <c r="I1093" s="46" t="s">
        <v>4</v>
      </c>
      <c r="J1093" s="48">
        <v>47.53</v>
      </c>
      <c r="K1093" s="47" t="s">
        <v>520</v>
      </c>
      <c r="L1093" s="47" t="s">
        <v>521</v>
      </c>
      <c r="M1093" s="46" t="s">
        <v>522</v>
      </c>
      <c r="N1093" s="47" t="s">
        <v>523</v>
      </c>
      <c r="O1093" s="44" t="s">
        <v>4</v>
      </c>
      <c r="P1093" s="47" t="s">
        <v>647</v>
      </c>
      <c r="Q1093" s="48">
        <v>4900</v>
      </c>
      <c r="R1093" s="49" t="s">
        <v>4</v>
      </c>
      <c r="S1093" s="48" t="s">
        <v>4</v>
      </c>
      <c r="T1093" s="47" t="s">
        <v>525</v>
      </c>
    </row>
    <row r="1094" spans="1:20">
      <c r="A1094" s="46">
        <v>138638643557</v>
      </c>
      <c r="B1094" s="44" t="s">
        <v>517</v>
      </c>
      <c r="C1094" s="45">
        <v>46015</v>
      </c>
      <c r="D1094" s="46">
        <v>55349699881</v>
      </c>
      <c r="E1094" s="46">
        <v>2157843006976</v>
      </c>
      <c r="F1094" s="47" t="s">
        <v>526</v>
      </c>
      <c r="G1094" s="47" t="s">
        <v>519</v>
      </c>
      <c r="H1094" s="47" t="s">
        <v>4</v>
      </c>
      <c r="I1094" s="46" t="s">
        <v>4</v>
      </c>
      <c r="J1094" s="48">
        <v>48.5</v>
      </c>
      <c r="K1094" s="47" t="s">
        <v>520</v>
      </c>
      <c r="L1094" s="47" t="s">
        <v>521</v>
      </c>
      <c r="M1094" s="46" t="s">
        <v>522</v>
      </c>
      <c r="N1094" s="47" t="s">
        <v>523</v>
      </c>
      <c r="O1094" s="44" t="s">
        <v>4</v>
      </c>
      <c r="P1094" s="47" t="s">
        <v>527</v>
      </c>
      <c r="Q1094" s="48">
        <v>5000</v>
      </c>
      <c r="R1094" s="49" t="s">
        <v>4</v>
      </c>
      <c r="S1094" s="48" t="s">
        <v>4</v>
      </c>
      <c r="T1094" s="47" t="s">
        <v>4</v>
      </c>
    </row>
    <row r="1095" spans="1:20">
      <c r="A1095" s="46">
        <v>139284640396</v>
      </c>
      <c r="B1095" s="44" t="s">
        <v>517</v>
      </c>
      <c r="C1095" s="45">
        <v>46015</v>
      </c>
      <c r="D1095" s="46">
        <v>55349939691</v>
      </c>
      <c r="E1095" s="46">
        <v>2157847524130</v>
      </c>
      <c r="F1095" s="47" t="s">
        <v>518</v>
      </c>
      <c r="G1095" s="47" t="s">
        <v>519</v>
      </c>
      <c r="H1095" s="47" t="s">
        <v>4</v>
      </c>
      <c r="I1095" s="46" t="s">
        <v>4</v>
      </c>
      <c r="J1095" s="48">
        <v>3683.24</v>
      </c>
      <c r="K1095" s="47" t="s">
        <v>520</v>
      </c>
      <c r="L1095" s="47" t="s">
        <v>521</v>
      </c>
      <c r="M1095" s="46" t="s">
        <v>522</v>
      </c>
      <c r="N1095" s="47" t="s">
        <v>523</v>
      </c>
      <c r="O1095" s="44" t="s">
        <v>4</v>
      </c>
      <c r="P1095" s="47" t="s">
        <v>1007</v>
      </c>
      <c r="Q1095" s="48">
        <v>48400</v>
      </c>
      <c r="R1095" s="49" t="s">
        <v>4</v>
      </c>
      <c r="S1095" s="48" t="s">
        <v>4</v>
      </c>
      <c r="T1095" s="47" t="s">
        <v>525</v>
      </c>
    </row>
    <row r="1096" spans="1:20">
      <c r="A1096" s="46">
        <v>138639507879</v>
      </c>
      <c r="B1096" s="44" t="s">
        <v>517</v>
      </c>
      <c r="C1096" s="45">
        <v>46015</v>
      </c>
      <c r="D1096" s="46">
        <v>55349993452</v>
      </c>
      <c r="E1096" s="46">
        <v>2157848866916</v>
      </c>
      <c r="F1096" s="47" t="s">
        <v>526</v>
      </c>
      <c r="G1096" s="47" t="s">
        <v>519</v>
      </c>
      <c r="H1096" s="47" t="s">
        <v>4</v>
      </c>
      <c r="I1096" s="46" t="s">
        <v>4</v>
      </c>
      <c r="J1096" s="48">
        <v>46.56</v>
      </c>
      <c r="K1096" s="47" t="s">
        <v>520</v>
      </c>
      <c r="L1096" s="47" t="s">
        <v>521</v>
      </c>
      <c r="M1096" s="46" t="s">
        <v>522</v>
      </c>
      <c r="N1096" s="47" t="s">
        <v>523</v>
      </c>
      <c r="O1096" s="44" t="s">
        <v>4</v>
      </c>
      <c r="P1096" s="47" t="s">
        <v>527</v>
      </c>
      <c r="Q1096" s="48">
        <v>4800</v>
      </c>
      <c r="R1096" s="49" t="s">
        <v>4</v>
      </c>
      <c r="S1096" s="48" t="s">
        <v>4</v>
      </c>
      <c r="T1096" s="47" t="s">
        <v>4</v>
      </c>
    </row>
    <row r="1097" spans="1:20">
      <c r="A1097" s="46">
        <v>138639685509</v>
      </c>
      <c r="B1097" s="44" t="s">
        <v>517</v>
      </c>
      <c r="C1097" s="45">
        <v>46015</v>
      </c>
      <c r="D1097" s="46">
        <v>55350068879</v>
      </c>
      <c r="E1097" s="46">
        <v>2157849849676</v>
      </c>
      <c r="F1097" s="47" t="s">
        <v>518</v>
      </c>
      <c r="G1097" s="47" t="s">
        <v>519</v>
      </c>
      <c r="H1097" s="47" t="s">
        <v>4</v>
      </c>
      <c r="I1097" s="46" t="s">
        <v>4</v>
      </c>
      <c r="J1097" s="48">
        <v>48.5</v>
      </c>
      <c r="K1097" s="47" t="s">
        <v>520</v>
      </c>
      <c r="L1097" s="47" t="s">
        <v>521</v>
      </c>
      <c r="M1097" s="46" t="s">
        <v>522</v>
      </c>
      <c r="N1097" s="47" t="s">
        <v>523</v>
      </c>
      <c r="O1097" s="44" t="s">
        <v>4</v>
      </c>
      <c r="P1097" s="47" t="s">
        <v>1008</v>
      </c>
      <c r="Q1097" s="48">
        <v>5000</v>
      </c>
      <c r="R1097" s="49" t="s">
        <v>4</v>
      </c>
      <c r="S1097" s="48" t="s">
        <v>4</v>
      </c>
      <c r="T1097" s="47" t="s">
        <v>525</v>
      </c>
    </row>
    <row r="1098" spans="1:20">
      <c r="A1098" s="46">
        <v>138639735813</v>
      </c>
      <c r="B1098" s="44" t="s">
        <v>517</v>
      </c>
      <c r="C1098" s="45">
        <v>46015</v>
      </c>
      <c r="D1098" s="46">
        <v>55350105059</v>
      </c>
      <c r="E1098" s="46">
        <v>2157686415769</v>
      </c>
      <c r="F1098" s="47" t="s">
        <v>529</v>
      </c>
      <c r="G1098" s="47" t="s">
        <v>519</v>
      </c>
      <c r="H1098" s="47" t="s">
        <v>4</v>
      </c>
      <c r="I1098" s="46" t="s">
        <v>4</v>
      </c>
      <c r="J1098" s="48">
        <v>3227.94</v>
      </c>
      <c r="K1098" s="47" t="s">
        <v>520</v>
      </c>
      <c r="L1098" s="47" t="s">
        <v>530</v>
      </c>
      <c r="M1098" s="46" t="s">
        <v>522</v>
      </c>
      <c r="N1098" s="47" t="s">
        <v>523</v>
      </c>
      <c r="O1098" s="44" t="s">
        <v>263</v>
      </c>
      <c r="P1098" s="47" t="s">
        <v>531</v>
      </c>
      <c r="Q1098" s="48">
        <v>71100</v>
      </c>
      <c r="R1098" s="49" t="s">
        <v>4</v>
      </c>
      <c r="S1098" s="48" t="s">
        <v>4</v>
      </c>
      <c r="T1098" s="47" t="s">
        <v>525</v>
      </c>
    </row>
    <row r="1099" spans="1:20">
      <c r="A1099" s="46">
        <v>138640068139</v>
      </c>
      <c r="B1099" s="44" t="s">
        <v>517</v>
      </c>
      <c r="C1099" s="45">
        <v>46015</v>
      </c>
      <c r="D1099" s="46">
        <v>55350170032</v>
      </c>
      <c r="E1099" s="46">
        <v>2157851910386</v>
      </c>
      <c r="F1099" s="47" t="s">
        <v>518</v>
      </c>
      <c r="G1099" s="47" t="s">
        <v>519</v>
      </c>
      <c r="H1099" s="47" t="s">
        <v>4</v>
      </c>
      <c r="I1099" s="46" t="s">
        <v>4</v>
      </c>
      <c r="J1099" s="48">
        <v>97</v>
      </c>
      <c r="K1099" s="47" t="s">
        <v>520</v>
      </c>
      <c r="L1099" s="47" t="s">
        <v>521</v>
      </c>
      <c r="M1099" s="46" t="s">
        <v>522</v>
      </c>
      <c r="N1099" s="47" t="s">
        <v>523</v>
      </c>
      <c r="O1099" s="44" t="s">
        <v>4</v>
      </c>
      <c r="P1099" s="47" t="s">
        <v>1009</v>
      </c>
      <c r="Q1099" s="48">
        <v>10000</v>
      </c>
      <c r="R1099" s="49" t="s">
        <v>4</v>
      </c>
      <c r="S1099" s="48" t="s">
        <v>4</v>
      </c>
      <c r="T1099" s="47" t="s">
        <v>525</v>
      </c>
    </row>
    <row r="1100" spans="1:20">
      <c r="A1100" s="46">
        <v>139285356220</v>
      </c>
      <c r="B1100" s="44" t="s">
        <v>517</v>
      </c>
      <c r="C1100" s="45">
        <v>46015</v>
      </c>
      <c r="D1100" s="46">
        <v>55350195311</v>
      </c>
      <c r="E1100" s="46">
        <v>2157687726745</v>
      </c>
      <c r="F1100" s="47" t="s">
        <v>526</v>
      </c>
      <c r="G1100" s="47" t="s">
        <v>519</v>
      </c>
      <c r="H1100" s="47" t="s">
        <v>4</v>
      </c>
      <c r="I1100" s="46" t="s">
        <v>4</v>
      </c>
      <c r="J1100" s="48">
        <v>48.5</v>
      </c>
      <c r="K1100" s="47" t="s">
        <v>520</v>
      </c>
      <c r="L1100" s="47" t="s">
        <v>521</v>
      </c>
      <c r="M1100" s="46" t="s">
        <v>522</v>
      </c>
      <c r="N1100" s="47" t="s">
        <v>523</v>
      </c>
      <c r="O1100" s="44" t="s">
        <v>4</v>
      </c>
      <c r="P1100" s="47" t="s">
        <v>527</v>
      </c>
      <c r="Q1100" s="48">
        <v>5000</v>
      </c>
      <c r="R1100" s="49" t="s">
        <v>4</v>
      </c>
      <c r="S1100" s="48" t="s">
        <v>4</v>
      </c>
      <c r="T1100" s="47" t="s">
        <v>4</v>
      </c>
    </row>
    <row r="1101" spans="1:20">
      <c r="A1101" s="46">
        <v>138640123705</v>
      </c>
      <c r="B1101" s="44" t="s">
        <v>517</v>
      </c>
      <c r="C1101" s="45">
        <v>46015</v>
      </c>
      <c r="D1101" s="46">
        <v>55350254822</v>
      </c>
      <c r="E1101" s="46">
        <v>2157688917293</v>
      </c>
      <c r="F1101" s="47" t="s">
        <v>518</v>
      </c>
      <c r="G1101" s="47" t="s">
        <v>519</v>
      </c>
      <c r="H1101" s="47" t="s">
        <v>4</v>
      </c>
      <c r="I1101" s="46" t="s">
        <v>4</v>
      </c>
      <c r="J1101" s="48">
        <v>48.5</v>
      </c>
      <c r="K1101" s="47" t="s">
        <v>520</v>
      </c>
      <c r="L1101" s="47" t="s">
        <v>521</v>
      </c>
      <c r="M1101" s="46" t="s">
        <v>522</v>
      </c>
      <c r="N1101" s="47" t="s">
        <v>523</v>
      </c>
      <c r="O1101" s="44" t="s">
        <v>4</v>
      </c>
      <c r="P1101" s="47" t="s">
        <v>1010</v>
      </c>
      <c r="Q1101" s="48">
        <v>5000</v>
      </c>
      <c r="R1101" s="49" t="s">
        <v>4</v>
      </c>
      <c r="S1101" s="48" t="s">
        <v>4</v>
      </c>
      <c r="T1101" s="47" t="s">
        <v>525</v>
      </c>
    </row>
    <row r="1102" spans="1:20">
      <c r="A1102" s="46">
        <v>138640349487</v>
      </c>
      <c r="B1102" s="44" t="s">
        <v>517</v>
      </c>
      <c r="C1102" s="45">
        <v>46015</v>
      </c>
      <c r="D1102" s="46">
        <v>55350320350</v>
      </c>
      <c r="E1102" s="46">
        <v>2157854401624</v>
      </c>
      <c r="F1102" s="47" t="s">
        <v>518</v>
      </c>
      <c r="G1102" s="47" t="s">
        <v>519</v>
      </c>
      <c r="H1102" s="47" t="s">
        <v>4</v>
      </c>
      <c r="I1102" s="46" t="s">
        <v>4</v>
      </c>
      <c r="J1102" s="48">
        <v>48.5</v>
      </c>
      <c r="K1102" s="47" t="s">
        <v>520</v>
      </c>
      <c r="L1102" s="47" t="s">
        <v>521</v>
      </c>
      <c r="M1102" s="46" t="s">
        <v>522</v>
      </c>
      <c r="N1102" s="47" t="s">
        <v>523</v>
      </c>
      <c r="O1102" s="44" t="s">
        <v>4</v>
      </c>
      <c r="P1102" s="47" t="s">
        <v>1011</v>
      </c>
      <c r="Q1102" s="48">
        <v>5000</v>
      </c>
      <c r="R1102" s="49" t="s">
        <v>4</v>
      </c>
      <c r="S1102" s="48" t="s">
        <v>4</v>
      </c>
      <c r="T1102" s="47" t="s">
        <v>525</v>
      </c>
    </row>
    <row r="1103" spans="1:20">
      <c r="A1103" s="46">
        <v>139285806502</v>
      </c>
      <c r="B1103" s="44" t="s">
        <v>517</v>
      </c>
      <c r="C1103" s="45">
        <v>46015</v>
      </c>
      <c r="D1103" s="46">
        <v>55350365392</v>
      </c>
      <c r="E1103" s="46">
        <v>2157690886599</v>
      </c>
      <c r="F1103" s="47" t="s">
        <v>518</v>
      </c>
      <c r="G1103" s="47" t="s">
        <v>519</v>
      </c>
      <c r="H1103" s="47" t="s">
        <v>4</v>
      </c>
      <c r="I1103" s="46" t="s">
        <v>4</v>
      </c>
      <c r="J1103" s="48">
        <v>534.47</v>
      </c>
      <c r="K1103" s="47" t="s">
        <v>520</v>
      </c>
      <c r="L1103" s="47" t="s">
        <v>521</v>
      </c>
      <c r="M1103" s="46" t="s">
        <v>522</v>
      </c>
      <c r="N1103" s="47" t="s">
        <v>523</v>
      </c>
      <c r="O1103" s="44" t="s">
        <v>4</v>
      </c>
      <c r="P1103" s="47" t="s">
        <v>1012</v>
      </c>
      <c r="Q1103" s="48">
        <v>55100</v>
      </c>
      <c r="R1103" s="49" t="s">
        <v>4</v>
      </c>
      <c r="S1103" s="48" t="s">
        <v>4</v>
      </c>
      <c r="T1103" s="47" t="s">
        <v>525</v>
      </c>
    </row>
    <row r="1104" spans="1:20">
      <c r="A1104" s="46">
        <v>138640656927</v>
      </c>
      <c r="B1104" s="44" t="s">
        <v>517</v>
      </c>
      <c r="C1104" s="45">
        <v>46015</v>
      </c>
      <c r="D1104" s="46">
        <v>55350415117</v>
      </c>
      <c r="E1104" s="46">
        <v>2157691628245</v>
      </c>
      <c r="F1104" s="47" t="s">
        <v>529</v>
      </c>
      <c r="G1104" s="47" t="s">
        <v>519</v>
      </c>
      <c r="H1104" s="47" t="s">
        <v>4</v>
      </c>
      <c r="I1104" s="46" t="s">
        <v>4</v>
      </c>
      <c r="J1104" s="48">
        <v>2161.5</v>
      </c>
      <c r="K1104" s="47" t="s">
        <v>520</v>
      </c>
      <c r="L1104" s="47" t="s">
        <v>530</v>
      </c>
      <c r="M1104" s="46" t="s">
        <v>522</v>
      </c>
      <c r="N1104" s="47" t="s">
        <v>523</v>
      </c>
      <c r="O1104" s="44" t="s">
        <v>263</v>
      </c>
      <c r="P1104" s="47" t="s">
        <v>531</v>
      </c>
      <c r="Q1104" s="48">
        <v>55000</v>
      </c>
      <c r="R1104" s="49" t="s">
        <v>4</v>
      </c>
      <c r="S1104" s="48" t="s">
        <v>4</v>
      </c>
      <c r="T1104" s="47" t="s">
        <v>525</v>
      </c>
    </row>
    <row r="1105" spans="1:20">
      <c r="A1105" s="46">
        <v>139286070746</v>
      </c>
      <c r="B1105" s="44" t="s">
        <v>517</v>
      </c>
      <c r="C1105" s="45">
        <v>46015</v>
      </c>
      <c r="D1105" s="46">
        <v>55350465902</v>
      </c>
      <c r="E1105" s="46">
        <v>2157857043134</v>
      </c>
      <c r="F1105" s="47" t="s">
        <v>518</v>
      </c>
      <c r="G1105" s="47" t="s">
        <v>519</v>
      </c>
      <c r="H1105" s="47" t="s">
        <v>4</v>
      </c>
      <c r="I1105" s="46" t="s">
        <v>4</v>
      </c>
      <c r="J1105" s="48">
        <v>97</v>
      </c>
      <c r="K1105" s="47" t="s">
        <v>520</v>
      </c>
      <c r="L1105" s="47" t="s">
        <v>521</v>
      </c>
      <c r="M1105" s="46" t="s">
        <v>522</v>
      </c>
      <c r="N1105" s="47" t="s">
        <v>523</v>
      </c>
      <c r="O1105" s="44" t="s">
        <v>4</v>
      </c>
      <c r="P1105" s="47" t="s">
        <v>835</v>
      </c>
      <c r="Q1105" s="48">
        <v>10000</v>
      </c>
      <c r="R1105" s="49" t="s">
        <v>4</v>
      </c>
      <c r="S1105" s="48" t="s">
        <v>4</v>
      </c>
      <c r="T1105" s="47" t="s">
        <v>525</v>
      </c>
    </row>
    <row r="1106" spans="1:20">
      <c r="A1106" s="46">
        <v>139286071896</v>
      </c>
      <c r="B1106" s="44" t="s">
        <v>517</v>
      </c>
      <c r="C1106" s="45">
        <v>46015</v>
      </c>
      <c r="D1106" s="46">
        <v>55350504814</v>
      </c>
      <c r="E1106" s="46">
        <v>2157693495225</v>
      </c>
      <c r="F1106" s="47" t="s">
        <v>518</v>
      </c>
      <c r="G1106" s="47" t="s">
        <v>519</v>
      </c>
      <c r="H1106" s="47" t="s">
        <v>4</v>
      </c>
      <c r="I1106" s="46" t="s">
        <v>4</v>
      </c>
      <c r="J1106" s="48">
        <v>46.56</v>
      </c>
      <c r="K1106" s="47" t="s">
        <v>520</v>
      </c>
      <c r="L1106" s="47" t="s">
        <v>521</v>
      </c>
      <c r="M1106" s="46" t="s">
        <v>522</v>
      </c>
      <c r="N1106" s="47" t="s">
        <v>523</v>
      </c>
      <c r="O1106" s="44" t="s">
        <v>4</v>
      </c>
      <c r="P1106" s="47" t="s">
        <v>1013</v>
      </c>
      <c r="Q1106" s="48">
        <v>4800</v>
      </c>
      <c r="R1106" s="49" t="s">
        <v>4</v>
      </c>
      <c r="S1106" s="48" t="s">
        <v>4</v>
      </c>
      <c r="T1106" s="47" t="s">
        <v>525</v>
      </c>
    </row>
    <row r="1107" spans="1:20">
      <c r="A1107" s="46">
        <v>138640943505</v>
      </c>
      <c r="B1107" s="44" t="s">
        <v>517</v>
      </c>
      <c r="C1107" s="45">
        <v>46015</v>
      </c>
      <c r="D1107" s="46">
        <v>55350526174</v>
      </c>
      <c r="E1107" s="46">
        <v>2157857878076</v>
      </c>
      <c r="F1107" s="47" t="s">
        <v>526</v>
      </c>
      <c r="G1107" s="47" t="s">
        <v>519</v>
      </c>
      <c r="H1107" s="47" t="s">
        <v>4</v>
      </c>
      <c r="I1107" s="46" t="s">
        <v>4</v>
      </c>
      <c r="J1107" s="48">
        <v>48.5</v>
      </c>
      <c r="K1107" s="47" t="s">
        <v>520</v>
      </c>
      <c r="L1107" s="47" t="s">
        <v>521</v>
      </c>
      <c r="M1107" s="46" t="s">
        <v>522</v>
      </c>
      <c r="N1107" s="47" t="s">
        <v>523</v>
      </c>
      <c r="O1107" s="44" t="s">
        <v>4</v>
      </c>
      <c r="P1107" s="47" t="s">
        <v>527</v>
      </c>
      <c r="Q1107" s="48">
        <v>5000</v>
      </c>
      <c r="R1107" s="49" t="s">
        <v>4</v>
      </c>
      <c r="S1107" s="48" t="s">
        <v>4</v>
      </c>
      <c r="T1107" s="47" t="s">
        <v>4</v>
      </c>
    </row>
    <row r="1108" spans="1:20">
      <c r="A1108" s="46">
        <v>139286339902</v>
      </c>
      <c r="B1108" s="44" t="s">
        <v>517</v>
      </c>
      <c r="C1108" s="45">
        <v>46015</v>
      </c>
      <c r="D1108" s="46">
        <v>55350612002</v>
      </c>
      <c r="E1108" s="46">
        <v>2157859362008</v>
      </c>
      <c r="F1108" s="47" t="s">
        <v>518</v>
      </c>
      <c r="G1108" s="47" t="s">
        <v>519</v>
      </c>
      <c r="H1108" s="47" t="s">
        <v>4</v>
      </c>
      <c r="I1108" s="46" t="s">
        <v>4</v>
      </c>
      <c r="J1108" s="48">
        <v>319.13</v>
      </c>
      <c r="K1108" s="47" t="s">
        <v>520</v>
      </c>
      <c r="L1108" s="47" t="s">
        <v>521</v>
      </c>
      <c r="M1108" s="46" t="s">
        <v>522</v>
      </c>
      <c r="N1108" s="47" t="s">
        <v>523</v>
      </c>
      <c r="O1108" s="44" t="s">
        <v>4</v>
      </c>
      <c r="P1108" s="47" t="s">
        <v>1014</v>
      </c>
      <c r="Q1108" s="48">
        <v>32900</v>
      </c>
      <c r="R1108" s="49" t="s">
        <v>4</v>
      </c>
      <c r="S1108" s="48" t="s">
        <v>4</v>
      </c>
      <c r="T1108" s="47" t="s">
        <v>525</v>
      </c>
    </row>
    <row r="1109" spans="1:20">
      <c r="A1109" s="46">
        <v>138641600673</v>
      </c>
      <c r="B1109" s="44" t="s">
        <v>517</v>
      </c>
      <c r="C1109" s="45">
        <v>46015</v>
      </c>
      <c r="D1109" s="46">
        <v>55350763256</v>
      </c>
      <c r="E1109" s="46">
        <v>2157862455870</v>
      </c>
      <c r="F1109" s="47" t="s">
        <v>529</v>
      </c>
      <c r="G1109" s="47" t="s">
        <v>519</v>
      </c>
      <c r="H1109" s="47" t="s">
        <v>4</v>
      </c>
      <c r="I1109" s="46" t="s">
        <v>4</v>
      </c>
      <c r="J1109" s="48">
        <v>1461.88</v>
      </c>
      <c r="K1109" s="47" t="s">
        <v>520</v>
      </c>
      <c r="L1109" s="47" t="s">
        <v>530</v>
      </c>
      <c r="M1109" s="46" t="s">
        <v>522</v>
      </c>
      <c r="N1109" s="47" t="s">
        <v>523</v>
      </c>
      <c r="O1109" s="44" t="s">
        <v>263</v>
      </c>
      <c r="P1109" s="47" t="s">
        <v>531</v>
      </c>
      <c r="Q1109" s="48">
        <v>32200</v>
      </c>
      <c r="R1109" s="49" t="s">
        <v>4</v>
      </c>
      <c r="S1109" s="48" t="s">
        <v>4</v>
      </c>
      <c r="T1109" s="47" t="s">
        <v>525</v>
      </c>
    </row>
    <row r="1110" spans="1:20">
      <c r="A1110" s="46">
        <v>139286935926</v>
      </c>
      <c r="B1110" s="44" t="s">
        <v>517</v>
      </c>
      <c r="C1110" s="45">
        <v>46015</v>
      </c>
      <c r="D1110" s="46">
        <v>55350825416</v>
      </c>
      <c r="E1110" s="46">
        <v>2157698879481</v>
      </c>
      <c r="F1110" s="47" t="s">
        <v>518</v>
      </c>
      <c r="G1110" s="47" t="s">
        <v>519</v>
      </c>
      <c r="H1110" s="47" t="s">
        <v>4</v>
      </c>
      <c r="I1110" s="46" t="s">
        <v>4</v>
      </c>
      <c r="J1110" s="48">
        <v>101.85</v>
      </c>
      <c r="K1110" s="47" t="s">
        <v>520</v>
      </c>
      <c r="L1110" s="47" t="s">
        <v>521</v>
      </c>
      <c r="M1110" s="46" t="s">
        <v>522</v>
      </c>
      <c r="N1110" s="47" t="s">
        <v>523</v>
      </c>
      <c r="O1110" s="44" t="s">
        <v>4</v>
      </c>
      <c r="P1110" s="47" t="s">
        <v>1015</v>
      </c>
      <c r="Q1110" s="48">
        <v>10500</v>
      </c>
      <c r="R1110" s="49" t="s">
        <v>4</v>
      </c>
      <c r="S1110" s="48" t="s">
        <v>4</v>
      </c>
      <c r="T1110" s="47" t="s">
        <v>525</v>
      </c>
    </row>
    <row r="1111" spans="1:20">
      <c r="A1111" s="46">
        <v>139287660210</v>
      </c>
      <c r="B1111" s="44" t="s">
        <v>517</v>
      </c>
      <c r="C1111" s="45">
        <v>46015</v>
      </c>
      <c r="D1111" s="46">
        <v>55351055580</v>
      </c>
      <c r="E1111" s="46">
        <v>2157703699409</v>
      </c>
      <c r="F1111" s="47" t="s">
        <v>529</v>
      </c>
      <c r="G1111" s="47" t="s">
        <v>519</v>
      </c>
      <c r="H1111" s="47" t="s">
        <v>4</v>
      </c>
      <c r="I1111" s="46" t="s">
        <v>4</v>
      </c>
      <c r="J1111" s="48">
        <v>227</v>
      </c>
      <c r="K1111" s="47" t="s">
        <v>520</v>
      </c>
      <c r="L1111" s="47" t="s">
        <v>530</v>
      </c>
      <c r="M1111" s="46" t="s">
        <v>522</v>
      </c>
      <c r="N1111" s="47" t="s">
        <v>523</v>
      </c>
      <c r="O1111" s="44" t="s">
        <v>263</v>
      </c>
      <c r="P1111" s="47" t="s">
        <v>531</v>
      </c>
      <c r="Q1111" s="48">
        <v>5000</v>
      </c>
      <c r="R1111" s="49" t="s">
        <v>4</v>
      </c>
      <c r="S1111" s="48" t="s">
        <v>4</v>
      </c>
      <c r="T1111" s="47" t="s">
        <v>525</v>
      </c>
    </row>
    <row r="1112" spans="1:20">
      <c r="A1112" s="46">
        <v>139287633758</v>
      </c>
      <c r="B1112" s="44" t="s">
        <v>517</v>
      </c>
      <c r="C1112" s="45">
        <v>46015</v>
      </c>
      <c r="D1112" s="46">
        <v>55351069688</v>
      </c>
      <c r="E1112" s="46">
        <v>2157704299175</v>
      </c>
      <c r="F1112" s="47" t="s">
        <v>529</v>
      </c>
      <c r="G1112" s="47" t="s">
        <v>519</v>
      </c>
      <c r="H1112" s="47" t="s">
        <v>4</v>
      </c>
      <c r="I1112" s="46" t="s">
        <v>4</v>
      </c>
      <c r="J1112" s="48">
        <v>3177.18</v>
      </c>
      <c r="K1112" s="47" t="s">
        <v>520</v>
      </c>
      <c r="L1112" s="47" t="s">
        <v>530</v>
      </c>
      <c r="M1112" s="46" t="s">
        <v>522</v>
      </c>
      <c r="N1112" s="47" t="s">
        <v>523</v>
      </c>
      <c r="O1112" s="44" t="s">
        <v>263</v>
      </c>
      <c r="P1112" s="47" t="s">
        <v>531</v>
      </c>
      <c r="Q1112" s="48">
        <v>41750</v>
      </c>
      <c r="R1112" s="49" t="s">
        <v>4</v>
      </c>
      <c r="S1112" s="48" t="s">
        <v>4</v>
      </c>
      <c r="T1112" s="47" t="s">
        <v>525</v>
      </c>
    </row>
    <row r="1113" spans="1:20">
      <c r="A1113" s="46">
        <v>138642549705</v>
      </c>
      <c r="B1113" s="44" t="s">
        <v>517</v>
      </c>
      <c r="C1113" s="45">
        <v>46015</v>
      </c>
      <c r="D1113" s="46">
        <v>55351136525</v>
      </c>
      <c r="E1113" s="46">
        <v>2157869577584</v>
      </c>
      <c r="F1113" s="47" t="s">
        <v>529</v>
      </c>
      <c r="G1113" s="47" t="s">
        <v>519</v>
      </c>
      <c r="H1113" s="47" t="s">
        <v>4</v>
      </c>
      <c r="I1113" s="46" t="s">
        <v>4</v>
      </c>
      <c r="J1113" s="48">
        <v>1955.18</v>
      </c>
      <c r="K1113" s="47" t="s">
        <v>520</v>
      </c>
      <c r="L1113" s="47" t="s">
        <v>530</v>
      </c>
      <c r="M1113" s="46" t="s">
        <v>522</v>
      </c>
      <c r="N1113" s="47" t="s">
        <v>523</v>
      </c>
      <c r="O1113" s="44" t="s">
        <v>263</v>
      </c>
      <c r="P1113" s="47" t="s">
        <v>531</v>
      </c>
      <c r="Q1113" s="48">
        <v>49750</v>
      </c>
      <c r="R1113" s="49" t="s">
        <v>4</v>
      </c>
      <c r="S1113" s="48" t="s">
        <v>4</v>
      </c>
      <c r="T1113" s="47" t="s">
        <v>525</v>
      </c>
    </row>
    <row r="1114" spans="1:20">
      <c r="A1114" s="46">
        <v>138642802769</v>
      </c>
      <c r="B1114" s="44" t="s">
        <v>517</v>
      </c>
      <c r="C1114" s="45">
        <v>46015</v>
      </c>
      <c r="D1114" s="46">
        <v>55351209180</v>
      </c>
      <c r="E1114" s="46">
        <v>2157871240628</v>
      </c>
      <c r="F1114" s="47" t="s">
        <v>526</v>
      </c>
      <c r="G1114" s="47" t="s">
        <v>519</v>
      </c>
      <c r="H1114" s="47" t="s">
        <v>4</v>
      </c>
      <c r="I1114" s="46" t="s">
        <v>4</v>
      </c>
      <c r="J1114" s="48">
        <v>48.5</v>
      </c>
      <c r="K1114" s="47" t="s">
        <v>520</v>
      </c>
      <c r="L1114" s="47" t="s">
        <v>521</v>
      </c>
      <c r="M1114" s="46" t="s">
        <v>522</v>
      </c>
      <c r="N1114" s="47" t="s">
        <v>523</v>
      </c>
      <c r="O1114" s="44" t="s">
        <v>4</v>
      </c>
      <c r="P1114" s="47" t="s">
        <v>527</v>
      </c>
      <c r="Q1114" s="48">
        <v>5000</v>
      </c>
      <c r="R1114" s="49" t="s">
        <v>4</v>
      </c>
      <c r="S1114" s="48" t="s">
        <v>4</v>
      </c>
      <c r="T1114" s="47" t="s">
        <v>4</v>
      </c>
    </row>
    <row r="1115" spans="1:20">
      <c r="A1115" s="46">
        <v>139288035188</v>
      </c>
      <c r="B1115" s="44" t="s">
        <v>517</v>
      </c>
      <c r="C1115" s="45">
        <v>46015</v>
      </c>
      <c r="D1115" s="46">
        <v>55351223443</v>
      </c>
      <c r="E1115" s="46">
        <v>2157707537481</v>
      </c>
      <c r="F1115" s="47" t="s">
        <v>518</v>
      </c>
      <c r="G1115" s="47" t="s">
        <v>519</v>
      </c>
      <c r="H1115" s="47" t="s">
        <v>4</v>
      </c>
      <c r="I1115" s="46" t="s">
        <v>4</v>
      </c>
      <c r="J1115" s="48">
        <v>49.96</v>
      </c>
      <c r="K1115" s="47" t="s">
        <v>520</v>
      </c>
      <c r="L1115" s="47" t="s">
        <v>521</v>
      </c>
      <c r="M1115" s="46" t="s">
        <v>522</v>
      </c>
      <c r="N1115" s="47" t="s">
        <v>523</v>
      </c>
      <c r="O1115" s="44" t="s">
        <v>4</v>
      </c>
      <c r="P1115" s="47" t="s">
        <v>1016</v>
      </c>
      <c r="Q1115" s="48">
        <v>5150</v>
      </c>
      <c r="R1115" s="49" t="s">
        <v>4</v>
      </c>
      <c r="S1115" s="48" t="s">
        <v>4</v>
      </c>
      <c r="T1115" s="47" t="s">
        <v>525</v>
      </c>
    </row>
    <row r="1116" spans="1:20">
      <c r="A1116" s="46">
        <v>138643137433</v>
      </c>
      <c r="B1116" s="44" t="s">
        <v>517</v>
      </c>
      <c r="C1116" s="45">
        <v>46015</v>
      </c>
      <c r="D1116" s="46">
        <v>55351402592</v>
      </c>
      <c r="E1116" s="46">
        <v>2157710739931</v>
      </c>
      <c r="F1116" s="47" t="s">
        <v>518</v>
      </c>
      <c r="G1116" s="47" t="s">
        <v>519</v>
      </c>
      <c r="H1116" s="47" t="s">
        <v>4</v>
      </c>
      <c r="I1116" s="46" t="s">
        <v>4</v>
      </c>
      <c r="J1116" s="48">
        <v>48.5</v>
      </c>
      <c r="K1116" s="47" t="s">
        <v>520</v>
      </c>
      <c r="L1116" s="47" t="s">
        <v>521</v>
      </c>
      <c r="M1116" s="46" t="s">
        <v>522</v>
      </c>
      <c r="N1116" s="47" t="s">
        <v>523</v>
      </c>
      <c r="O1116" s="44" t="s">
        <v>4</v>
      </c>
      <c r="P1116" s="47" t="s">
        <v>1017</v>
      </c>
      <c r="Q1116" s="48">
        <v>5000</v>
      </c>
      <c r="R1116" s="49" t="s">
        <v>4</v>
      </c>
      <c r="S1116" s="48" t="s">
        <v>4</v>
      </c>
      <c r="T1116" s="47" t="s">
        <v>525</v>
      </c>
    </row>
    <row r="1117" spans="1:20">
      <c r="A1117" s="46">
        <v>138643246265</v>
      </c>
      <c r="B1117" s="44" t="s">
        <v>517</v>
      </c>
      <c r="C1117" s="45">
        <v>46015</v>
      </c>
      <c r="D1117" s="46">
        <v>55351426011</v>
      </c>
      <c r="E1117" s="46">
        <v>2157875079946</v>
      </c>
      <c r="F1117" s="47" t="s">
        <v>518</v>
      </c>
      <c r="G1117" s="47" t="s">
        <v>519</v>
      </c>
      <c r="H1117" s="47" t="s">
        <v>4</v>
      </c>
      <c r="I1117" s="46" t="s">
        <v>4</v>
      </c>
      <c r="J1117" s="48">
        <v>48.5</v>
      </c>
      <c r="K1117" s="47" t="s">
        <v>520</v>
      </c>
      <c r="L1117" s="47" t="s">
        <v>521</v>
      </c>
      <c r="M1117" s="46" t="s">
        <v>522</v>
      </c>
      <c r="N1117" s="47" t="s">
        <v>523</v>
      </c>
      <c r="O1117" s="44" t="s">
        <v>4</v>
      </c>
      <c r="P1117" s="47" t="s">
        <v>1017</v>
      </c>
      <c r="Q1117" s="48">
        <v>5000</v>
      </c>
      <c r="R1117" s="49" t="s">
        <v>4</v>
      </c>
      <c r="S1117" s="48" t="s">
        <v>4</v>
      </c>
      <c r="T1117" s="47" t="s">
        <v>525</v>
      </c>
    </row>
    <row r="1118" spans="1:20">
      <c r="A1118" s="46">
        <v>139288624988</v>
      </c>
      <c r="B1118" s="44" t="s">
        <v>517</v>
      </c>
      <c r="C1118" s="45">
        <v>46015</v>
      </c>
      <c r="D1118" s="46">
        <v>55351473970</v>
      </c>
      <c r="E1118" s="46">
        <v>2157876219000</v>
      </c>
      <c r="F1118" s="47" t="s">
        <v>518</v>
      </c>
      <c r="G1118" s="47" t="s">
        <v>519</v>
      </c>
      <c r="H1118" s="47" t="s">
        <v>4</v>
      </c>
      <c r="I1118" s="46" t="s">
        <v>4</v>
      </c>
      <c r="J1118" s="48">
        <v>29.1</v>
      </c>
      <c r="K1118" s="47" t="s">
        <v>520</v>
      </c>
      <c r="L1118" s="47" t="s">
        <v>521</v>
      </c>
      <c r="M1118" s="46" t="s">
        <v>522</v>
      </c>
      <c r="N1118" s="47" t="s">
        <v>523</v>
      </c>
      <c r="O1118" s="44" t="s">
        <v>4</v>
      </c>
      <c r="P1118" s="47" t="s">
        <v>1003</v>
      </c>
      <c r="Q1118" s="48">
        <v>3000</v>
      </c>
      <c r="R1118" s="49" t="s">
        <v>4</v>
      </c>
      <c r="S1118" s="48" t="s">
        <v>4</v>
      </c>
      <c r="T1118" s="47" t="s">
        <v>525</v>
      </c>
    </row>
    <row r="1119" spans="1:20">
      <c r="A1119" s="46">
        <v>138643534943</v>
      </c>
      <c r="B1119" s="44" t="s">
        <v>517</v>
      </c>
      <c r="C1119" s="45">
        <v>46015</v>
      </c>
      <c r="D1119" s="46">
        <v>55351553256</v>
      </c>
      <c r="E1119" s="46">
        <v>2157713827729</v>
      </c>
      <c r="F1119" s="47" t="s">
        <v>529</v>
      </c>
      <c r="G1119" s="47" t="s">
        <v>519</v>
      </c>
      <c r="H1119" s="47" t="s">
        <v>4</v>
      </c>
      <c r="I1119" s="46" t="s">
        <v>4</v>
      </c>
      <c r="J1119" s="48">
        <v>3180.98</v>
      </c>
      <c r="K1119" s="47" t="s">
        <v>520</v>
      </c>
      <c r="L1119" s="47" t="s">
        <v>530</v>
      </c>
      <c r="M1119" s="46" t="s">
        <v>522</v>
      </c>
      <c r="N1119" s="47" t="s">
        <v>523</v>
      </c>
      <c r="O1119" s="44" t="s">
        <v>263</v>
      </c>
      <c r="P1119" s="47" t="s">
        <v>531</v>
      </c>
      <c r="Q1119" s="48">
        <v>41800</v>
      </c>
      <c r="R1119" s="49" t="s">
        <v>4</v>
      </c>
      <c r="S1119" s="48" t="s">
        <v>4</v>
      </c>
      <c r="T1119" s="47" t="s">
        <v>525</v>
      </c>
    </row>
    <row r="1120" spans="1:20">
      <c r="A1120" s="46">
        <v>138643607209</v>
      </c>
      <c r="B1120" s="44" t="s">
        <v>517</v>
      </c>
      <c r="C1120" s="45">
        <v>46015</v>
      </c>
      <c r="D1120" s="46">
        <v>55351601235</v>
      </c>
      <c r="E1120" s="46">
        <v>2157879127572</v>
      </c>
      <c r="F1120" s="47" t="s">
        <v>526</v>
      </c>
      <c r="G1120" s="47" t="s">
        <v>519</v>
      </c>
      <c r="H1120" s="47" t="s">
        <v>4</v>
      </c>
      <c r="I1120" s="46" t="s">
        <v>4</v>
      </c>
      <c r="J1120" s="48">
        <v>185.27</v>
      </c>
      <c r="K1120" s="47" t="s">
        <v>520</v>
      </c>
      <c r="L1120" s="47" t="s">
        <v>521</v>
      </c>
      <c r="M1120" s="46" t="s">
        <v>522</v>
      </c>
      <c r="N1120" s="47" t="s">
        <v>523</v>
      </c>
      <c r="O1120" s="44" t="s">
        <v>4</v>
      </c>
      <c r="P1120" s="47" t="s">
        <v>527</v>
      </c>
      <c r="Q1120" s="48">
        <v>19100</v>
      </c>
      <c r="R1120" s="49" t="s">
        <v>4</v>
      </c>
      <c r="S1120" s="48" t="s">
        <v>4</v>
      </c>
      <c r="T1120" s="47" t="s">
        <v>4</v>
      </c>
    </row>
    <row r="1121" spans="1:20">
      <c r="A1121" s="46">
        <v>138643629879</v>
      </c>
      <c r="B1121" s="44" t="s">
        <v>517</v>
      </c>
      <c r="C1121" s="45">
        <v>46015</v>
      </c>
      <c r="D1121" s="46">
        <v>55351644847</v>
      </c>
      <c r="E1121" s="46">
        <v>2157879490240</v>
      </c>
      <c r="F1121" s="47" t="s">
        <v>518</v>
      </c>
      <c r="G1121" s="47" t="s">
        <v>519</v>
      </c>
      <c r="H1121" s="47" t="s">
        <v>4</v>
      </c>
      <c r="I1121" s="46" t="s">
        <v>4</v>
      </c>
      <c r="J1121" s="48">
        <v>48.5</v>
      </c>
      <c r="K1121" s="47" t="s">
        <v>520</v>
      </c>
      <c r="L1121" s="47" t="s">
        <v>521</v>
      </c>
      <c r="M1121" s="46" t="s">
        <v>522</v>
      </c>
      <c r="N1121" s="47" t="s">
        <v>523</v>
      </c>
      <c r="O1121" s="44" t="s">
        <v>4</v>
      </c>
      <c r="P1121" s="47" t="s">
        <v>1018</v>
      </c>
      <c r="Q1121" s="48">
        <v>5000</v>
      </c>
      <c r="R1121" s="49" t="s">
        <v>4</v>
      </c>
      <c r="S1121" s="48" t="s">
        <v>4</v>
      </c>
      <c r="T1121" s="47" t="s">
        <v>525</v>
      </c>
    </row>
    <row r="1122" spans="1:20">
      <c r="A1122" s="46">
        <v>138643753585</v>
      </c>
      <c r="B1122" s="44" t="s">
        <v>517</v>
      </c>
      <c r="C1122" s="45">
        <v>46015</v>
      </c>
      <c r="D1122" s="46">
        <v>55351687980</v>
      </c>
      <c r="E1122" s="46">
        <v>2157880315400</v>
      </c>
      <c r="F1122" s="47" t="s">
        <v>529</v>
      </c>
      <c r="G1122" s="47" t="s">
        <v>519</v>
      </c>
      <c r="H1122" s="47" t="s">
        <v>4</v>
      </c>
      <c r="I1122" s="46" t="s">
        <v>4</v>
      </c>
      <c r="J1122" s="48">
        <v>667.38</v>
      </c>
      <c r="K1122" s="47" t="s">
        <v>520</v>
      </c>
      <c r="L1122" s="47" t="s">
        <v>530</v>
      </c>
      <c r="M1122" s="46" t="s">
        <v>522</v>
      </c>
      <c r="N1122" s="47" t="s">
        <v>523</v>
      </c>
      <c r="O1122" s="44" t="s">
        <v>263</v>
      </c>
      <c r="P1122" s="47" t="s">
        <v>531</v>
      </c>
      <c r="Q1122" s="48">
        <v>14700</v>
      </c>
      <c r="R1122" s="49" t="s">
        <v>4</v>
      </c>
      <c r="S1122" s="48" t="s">
        <v>4</v>
      </c>
      <c r="T1122" s="47" t="s">
        <v>525</v>
      </c>
    </row>
    <row r="1123" spans="1:20">
      <c r="A1123" s="46">
        <v>139289109558</v>
      </c>
      <c r="B1123" s="44" t="s">
        <v>517</v>
      </c>
      <c r="C1123" s="45">
        <v>46015</v>
      </c>
      <c r="D1123" s="46">
        <v>55351734023</v>
      </c>
      <c r="E1123" s="46">
        <v>2157881601320</v>
      </c>
      <c r="F1123" s="47" t="s">
        <v>518</v>
      </c>
      <c r="G1123" s="47" t="s">
        <v>519</v>
      </c>
      <c r="H1123" s="47" t="s">
        <v>4</v>
      </c>
      <c r="I1123" s="46" t="s">
        <v>4</v>
      </c>
      <c r="J1123" s="48">
        <v>234.26</v>
      </c>
      <c r="K1123" s="47" t="s">
        <v>520</v>
      </c>
      <c r="L1123" s="47" t="s">
        <v>521</v>
      </c>
      <c r="M1123" s="46" t="s">
        <v>522</v>
      </c>
      <c r="N1123" s="47" t="s">
        <v>523</v>
      </c>
      <c r="O1123" s="44" t="s">
        <v>4</v>
      </c>
      <c r="P1123" s="47" t="s">
        <v>1019</v>
      </c>
      <c r="Q1123" s="48">
        <v>24150</v>
      </c>
      <c r="R1123" s="49" t="s">
        <v>4</v>
      </c>
      <c r="S1123" s="48" t="s">
        <v>4</v>
      </c>
      <c r="T1123" s="47" t="s">
        <v>525</v>
      </c>
    </row>
    <row r="1124" spans="1:20">
      <c r="A1124" s="46">
        <v>138644107181</v>
      </c>
      <c r="B1124" s="44" t="s">
        <v>517</v>
      </c>
      <c r="C1124" s="45">
        <v>46015</v>
      </c>
      <c r="D1124" s="46">
        <v>55351814211</v>
      </c>
      <c r="E1124" s="46">
        <v>2157718835887</v>
      </c>
      <c r="F1124" s="47" t="s">
        <v>526</v>
      </c>
      <c r="G1124" s="47" t="s">
        <v>519</v>
      </c>
      <c r="H1124" s="47" t="s">
        <v>4</v>
      </c>
      <c r="I1124" s="46" t="s">
        <v>4</v>
      </c>
      <c r="J1124" s="48">
        <v>46.56</v>
      </c>
      <c r="K1124" s="47" t="s">
        <v>520</v>
      </c>
      <c r="L1124" s="47" t="s">
        <v>521</v>
      </c>
      <c r="M1124" s="46" t="s">
        <v>522</v>
      </c>
      <c r="N1124" s="47" t="s">
        <v>523</v>
      </c>
      <c r="O1124" s="44" t="s">
        <v>4</v>
      </c>
      <c r="P1124" s="47" t="s">
        <v>527</v>
      </c>
      <c r="Q1124" s="48">
        <v>4800</v>
      </c>
      <c r="R1124" s="49" t="s">
        <v>4</v>
      </c>
      <c r="S1124" s="48" t="s">
        <v>4</v>
      </c>
      <c r="T1124" s="47" t="s">
        <v>4</v>
      </c>
    </row>
    <row r="1125" spans="1:20">
      <c r="A1125" s="46">
        <v>139289529016</v>
      </c>
      <c r="B1125" s="44" t="s">
        <v>517</v>
      </c>
      <c r="C1125" s="45">
        <v>46015</v>
      </c>
      <c r="D1125" s="46">
        <v>55351926332</v>
      </c>
      <c r="E1125" s="46">
        <v>2157884836980</v>
      </c>
      <c r="F1125" s="47" t="s">
        <v>562</v>
      </c>
      <c r="G1125" s="47" t="s">
        <v>519</v>
      </c>
      <c r="H1125" s="47" t="s">
        <v>4</v>
      </c>
      <c r="I1125" s="46" t="s">
        <v>4</v>
      </c>
      <c r="J1125" s="48">
        <v>40.75</v>
      </c>
      <c r="K1125" s="47" t="s">
        <v>520</v>
      </c>
      <c r="L1125" s="47" t="s">
        <v>521</v>
      </c>
      <c r="M1125" s="46" t="s">
        <v>522</v>
      </c>
      <c r="N1125" s="47" t="s">
        <v>523</v>
      </c>
      <c r="O1125" s="44" t="s">
        <v>4</v>
      </c>
      <c r="P1125" s="47" t="s">
        <v>739</v>
      </c>
      <c r="Q1125" s="48">
        <v>2500</v>
      </c>
      <c r="R1125" s="49" t="s">
        <v>4</v>
      </c>
      <c r="S1125" s="48" t="s">
        <v>4</v>
      </c>
      <c r="T1125" s="47" t="s">
        <v>525</v>
      </c>
    </row>
    <row r="1126" spans="1:20">
      <c r="A1126" s="46">
        <v>138644468175</v>
      </c>
      <c r="B1126" s="44" t="s">
        <v>517</v>
      </c>
      <c r="C1126" s="45">
        <v>46015</v>
      </c>
      <c r="D1126" s="46">
        <v>55351962419</v>
      </c>
      <c r="E1126" s="46">
        <v>2157886023866</v>
      </c>
      <c r="F1126" s="47" t="s">
        <v>518</v>
      </c>
      <c r="G1126" s="47" t="s">
        <v>519</v>
      </c>
      <c r="H1126" s="47" t="s">
        <v>4</v>
      </c>
      <c r="I1126" s="46" t="s">
        <v>4</v>
      </c>
      <c r="J1126" s="48">
        <v>633.41</v>
      </c>
      <c r="K1126" s="47" t="s">
        <v>520</v>
      </c>
      <c r="L1126" s="47" t="s">
        <v>521</v>
      </c>
      <c r="M1126" s="46" t="s">
        <v>522</v>
      </c>
      <c r="N1126" s="47" t="s">
        <v>523</v>
      </c>
      <c r="O1126" s="44" t="s">
        <v>4</v>
      </c>
      <c r="P1126" s="47" t="s">
        <v>1020</v>
      </c>
      <c r="Q1126" s="48">
        <v>65300</v>
      </c>
      <c r="R1126" s="49" t="s">
        <v>4</v>
      </c>
      <c r="S1126" s="48" t="s">
        <v>4</v>
      </c>
      <c r="T1126" s="47" t="s">
        <v>525</v>
      </c>
    </row>
    <row r="1127" spans="1:20">
      <c r="A1127" s="46">
        <v>138834348251</v>
      </c>
      <c r="B1127" s="44" t="s">
        <v>517</v>
      </c>
      <c r="C1127" s="45">
        <v>46016</v>
      </c>
      <c r="D1127" s="46">
        <v>55418398326</v>
      </c>
      <c r="E1127" s="46">
        <v>2159115207234</v>
      </c>
      <c r="F1127" s="47" t="s">
        <v>518</v>
      </c>
      <c r="G1127" s="47" t="s">
        <v>519</v>
      </c>
      <c r="H1127" s="47" t="s">
        <v>4</v>
      </c>
      <c r="I1127" s="46" t="s">
        <v>4</v>
      </c>
      <c r="J1127" s="48">
        <v>420.98</v>
      </c>
      <c r="K1127" s="47" t="s">
        <v>520</v>
      </c>
      <c r="L1127" s="47" t="s">
        <v>521</v>
      </c>
      <c r="M1127" s="46" t="s">
        <v>660</v>
      </c>
      <c r="N1127" s="47" t="s">
        <v>661</v>
      </c>
      <c r="O1127" s="44" t="s">
        <v>4</v>
      </c>
      <c r="P1127" s="47" t="s">
        <v>1021</v>
      </c>
      <c r="Q1127" s="48">
        <v>43400</v>
      </c>
      <c r="R1127" s="49" t="s">
        <v>4</v>
      </c>
      <c r="S1127" s="48" t="s">
        <v>4</v>
      </c>
      <c r="T1127" s="47" t="s">
        <v>525</v>
      </c>
    </row>
    <row r="1128" spans="1:20">
      <c r="A1128" s="46">
        <v>138835077283</v>
      </c>
      <c r="B1128" s="44" t="s">
        <v>517</v>
      </c>
      <c r="C1128" s="45">
        <v>46016</v>
      </c>
      <c r="D1128" s="46">
        <v>55418705675</v>
      </c>
      <c r="E1128" s="46">
        <v>2159120324994</v>
      </c>
      <c r="F1128" s="47" t="s">
        <v>529</v>
      </c>
      <c r="G1128" s="47" t="s">
        <v>519</v>
      </c>
      <c r="H1128" s="47" t="s">
        <v>4</v>
      </c>
      <c r="I1128" s="46" t="s">
        <v>4</v>
      </c>
      <c r="J1128" s="48">
        <v>1619.16</v>
      </c>
      <c r="K1128" s="47" t="s">
        <v>520</v>
      </c>
      <c r="L1128" s="47" t="s">
        <v>530</v>
      </c>
      <c r="M1128" s="46" t="s">
        <v>660</v>
      </c>
      <c r="N1128" s="47" t="s">
        <v>661</v>
      </c>
      <c r="O1128" s="44" t="s">
        <v>263</v>
      </c>
      <c r="P1128" s="47" t="s">
        <v>531</v>
      </c>
      <c r="Q1128" s="48">
        <v>41200</v>
      </c>
      <c r="R1128" s="49" t="s">
        <v>4</v>
      </c>
      <c r="S1128" s="48" t="s">
        <v>4</v>
      </c>
      <c r="T1128" s="47" t="s">
        <v>525</v>
      </c>
    </row>
    <row r="1129" spans="1:20">
      <c r="A1129" s="46">
        <v>139482937318</v>
      </c>
      <c r="B1129" s="44" t="s">
        <v>517</v>
      </c>
      <c r="C1129" s="45">
        <v>46016</v>
      </c>
      <c r="D1129" s="46">
        <v>55419348137</v>
      </c>
      <c r="E1129" s="46">
        <v>2158965595997</v>
      </c>
      <c r="F1129" s="47" t="s">
        <v>529</v>
      </c>
      <c r="G1129" s="47" t="s">
        <v>519</v>
      </c>
      <c r="H1129" s="47" t="s">
        <v>4</v>
      </c>
      <c r="I1129" s="46" t="s">
        <v>4</v>
      </c>
      <c r="J1129" s="48">
        <v>1595.58</v>
      </c>
      <c r="K1129" s="47" t="s">
        <v>520</v>
      </c>
      <c r="L1129" s="47" t="s">
        <v>530</v>
      </c>
      <c r="M1129" s="46" t="s">
        <v>660</v>
      </c>
      <c r="N1129" s="47" t="s">
        <v>661</v>
      </c>
      <c r="O1129" s="44" t="s">
        <v>263</v>
      </c>
      <c r="P1129" s="47" t="s">
        <v>531</v>
      </c>
      <c r="Q1129" s="48">
        <v>40600</v>
      </c>
      <c r="R1129" s="49" t="s">
        <v>4</v>
      </c>
      <c r="S1129" s="48" t="s">
        <v>4</v>
      </c>
      <c r="T1129" s="47" t="s">
        <v>525</v>
      </c>
    </row>
    <row r="1130" spans="1:20">
      <c r="A1130" s="46">
        <v>138837039887</v>
      </c>
      <c r="B1130" s="44" t="s">
        <v>517</v>
      </c>
      <c r="C1130" s="45">
        <v>46016</v>
      </c>
      <c r="D1130" s="46">
        <v>55419484521</v>
      </c>
      <c r="E1130" s="46">
        <v>2158967862517</v>
      </c>
      <c r="F1130" s="47" t="s">
        <v>529</v>
      </c>
      <c r="G1130" s="47" t="s">
        <v>519</v>
      </c>
      <c r="H1130" s="47" t="s">
        <v>4</v>
      </c>
      <c r="I1130" s="46" t="s">
        <v>4</v>
      </c>
      <c r="J1130" s="48">
        <v>1237.95</v>
      </c>
      <c r="K1130" s="47" t="s">
        <v>520</v>
      </c>
      <c r="L1130" s="47" t="s">
        <v>530</v>
      </c>
      <c r="M1130" s="46" t="s">
        <v>660</v>
      </c>
      <c r="N1130" s="47" t="s">
        <v>661</v>
      </c>
      <c r="O1130" s="44" t="s">
        <v>263</v>
      </c>
      <c r="P1130" s="47" t="s">
        <v>531</v>
      </c>
      <c r="Q1130" s="48">
        <v>31500</v>
      </c>
      <c r="R1130" s="49" t="s">
        <v>4</v>
      </c>
      <c r="S1130" s="48" t="s">
        <v>4</v>
      </c>
      <c r="T1130" s="47" t="s">
        <v>525</v>
      </c>
    </row>
    <row r="1131" spans="1:20">
      <c r="A1131" s="46">
        <v>139483867620</v>
      </c>
      <c r="B1131" s="44" t="s">
        <v>517</v>
      </c>
      <c r="C1131" s="45">
        <v>46016</v>
      </c>
      <c r="D1131" s="46">
        <v>55419659029</v>
      </c>
      <c r="E1131" s="46">
        <v>2159136713350</v>
      </c>
      <c r="F1131" s="47" t="s">
        <v>529</v>
      </c>
      <c r="G1131" s="47" t="s">
        <v>519</v>
      </c>
      <c r="H1131" s="47" t="s">
        <v>4</v>
      </c>
      <c r="I1131" s="46" t="s">
        <v>4</v>
      </c>
      <c r="J1131" s="48">
        <v>1116.1199999999999</v>
      </c>
      <c r="K1131" s="47" t="s">
        <v>520</v>
      </c>
      <c r="L1131" s="47" t="s">
        <v>530</v>
      </c>
      <c r="M1131" s="46" t="s">
        <v>660</v>
      </c>
      <c r="N1131" s="47" t="s">
        <v>661</v>
      </c>
      <c r="O1131" s="44" t="s">
        <v>263</v>
      </c>
      <c r="P1131" s="47" t="s">
        <v>531</v>
      </c>
      <c r="Q1131" s="48">
        <v>28400</v>
      </c>
      <c r="R1131" s="49" t="s">
        <v>4</v>
      </c>
      <c r="S1131" s="48" t="s">
        <v>4</v>
      </c>
      <c r="T1131" s="47" t="s">
        <v>525</v>
      </c>
    </row>
    <row r="1132" spans="1:20">
      <c r="A1132" s="46">
        <v>138838194005</v>
      </c>
      <c r="B1132" s="44" t="s">
        <v>517</v>
      </c>
      <c r="C1132" s="45">
        <v>46016</v>
      </c>
      <c r="D1132" s="46">
        <v>55419892577</v>
      </c>
      <c r="E1132" s="46">
        <v>2158975290941</v>
      </c>
      <c r="F1132" s="47" t="s">
        <v>529</v>
      </c>
      <c r="G1132" s="47" t="s">
        <v>519</v>
      </c>
      <c r="H1132" s="47" t="s">
        <v>4</v>
      </c>
      <c r="I1132" s="46" t="s">
        <v>4</v>
      </c>
      <c r="J1132" s="48">
        <v>1328.34</v>
      </c>
      <c r="K1132" s="47" t="s">
        <v>520</v>
      </c>
      <c r="L1132" s="47" t="s">
        <v>530</v>
      </c>
      <c r="M1132" s="46" t="s">
        <v>660</v>
      </c>
      <c r="N1132" s="47" t="s">
        <v>661</v>
      </c>
      <c r="O1132" s="44" t="s">
        <v>263</v>
      </c>
      <c r="P1132" s="47" t="s">
        <v>531</v>
      </c>
      <c r="Q1132" s="48">
        <v>33800</v>
      </c>
      <c r="R1132" s="49" t="s">
        <v>4</v>
      </c>
      <c r="S1132" s="48" t="s">
        <v>4</v>
      </c>
      <c r="T1132" s="47" t="s">
        <v>525</v>
      </c>
    </row>
    <row r="1133" spans="1:20">
      <c r="A1133" s="46">
        <v>139485985744</v>
      </c>
      <c r="B1133" s="44" t="s">
        <v>517</v>
      </c>
      <c r="C1133" s="45">
        <v>46016</v>
      </c>
      <c r="D1133" s="46">
        <v>55420471452</v>
      </c>
      <c r="E1133" s="46">
        <v>2159150434104</v>
      </c>
      <c r="F1133" s="47" t="s">
        <v>518</v>
      </c>
      <c r="G1133" s="47" t="s">
        <v>519</v>
      </c>
      <c r="H1133" s="47" t="s">
        <v>4</v>
      </c>
      <c r="I1133" s="46" t="s">
        <v>4</v>
      </c>
      <c r="J1133" s="48">
        <v>258.02</v>
      </c>
      <c r="K1133" s="47" t="s">
        <v>520</v>
      </c>
      <c r="L1133" s="47" t="s">
        <v>521</v>
      </c>
      <c r="M1133" s="46" t="s">
        <v>660</v>
      </c>
      <c r="N1133" s="47" t="s">
        <v>661</v>
      </c>
      <c r="O1133" s="44" t="s">
        <v>4</v>
      </c>
      <c r="P1133" s="47" t="s">
        <v>1022</v>
      </c>
      <c r="Q1133" s="48">
        <v>26600</v>
      </c>
      <c r="R1133" s="49" t="s">
        <v>4</v>
      </c>
      <c r="S1133" s="48" t="s">
        <v>4</v>
      </c>
      <c r="T1133" s="47" t="s">
        <v>525</v>
      </c>
    </row>
    <row r="1134" spans="1:20">
      <c r="A1134" s="46">
        <v>138839833769</v>
      </c>
      <c r="B1134" s="44" t="s">
        <v>517</v>
      </c>
      <c r="C1134" s="45">
        <v>46016</v>
      </c>
      <c r="D1134" s="46">
        <v>55420532918</v>
      </c>
      <c r="E1134" s="46">
        <v>2158985344483</v>
      </c>
      <c r="F1134" s="47" t="s">
        <v>518</v>
      </c>
      <c r="G1134" s="47" t="s">
        <v>519</v>
      </c>
      <c r="H1134" s="47" t="s">
        <v>4</v>
      </c>
      <c r="I1134" s="46" t="s">
        <v>4</v>
      </c>
      <c r="J1134" s="48">
        <v>406.43</v>
      </c>
      <c r="K1134" s="47" t="s">
        <v>520</v>
      </c>
      <c r="L1134" s="47" t="s">
        <v>521</v>
      </c>
      <c r="M1134" s="46" t="s">
        <v>660</v>
      </c>
      <c r="N1134" s="47" t="s">
        <v>661</v>
      </c>
      <c r="O1134" s="44" t="s">
        <v>4</v>
      </c>
      <c r="P1134" s="47" t="s">
        <v>1023</v>
      </c>
      <c r="Q1134" s="48">
        <v>41900</v>
      </c>
      <c r="R1134" s="49" t="s">
        <v>4</v>
      </c>
      <c r="S1134" s="48" t="s">
        <v>4</v>
      </c>
      <c r="T1134" s="47" t="s">
        <v>525</v>
      </c>
    </row>
    <row r="1135" spans="1:20">
      <c r="A1135" s="46">
        <v>138841317619</v>
      </c>
      <c r="B1135" s="44" t="s">
        <v>517</v>
      </c>
      <c r="C1135" s="45">
        <v>46016</v>
      </c>
      <c r="D1135" s="46">
        <v>55421099261</v>
      </c>
      <c r="E1135" s="46">
        <v>2158994958787</v>
      </c>
      <c r="F1135" s="47" t="s">
        <v>529</v>
      </c>
      <c r="G1135" s="47" t="s">
        <v>519</v>
      </c>
      <c r="H1135" s="47" t="s">
        <v>4</v>
      </c>
      <c r="I1135" s="46" t="s">
        <v>4</v>
      </c>
      <c r="J1135" s="48">
        <v>3360.15</v>
      </c>
      <c r="K1135" s="47" t="s">
        <v>520</v>
      </c>
      <c r="L1135" s="47" t="s">
        <v>530</v>
      </c>
      <c r="M1135" s="46" t="s">
        <v>660</v>
      </c>
      <c r="N1135" s="47" t="s">
        <v>661</v>
      </c>
      <c r="O1135" s="44" t="s">
        <v>263</v>
      </c>
      <c r="P1135" s="47" t="s">
        <v>531</v>
      </c>
      <c r="Q1135" s="48">
        <v>85500</v>
      </c>
      <c r="R1135" s="49" t="s">
        <v>4</v>
      </c>
      <c r="S1135" s="48" t="s">
        <v>4</v>
      </c>
      <c r="T1135" s="47" t="s">
        <v>525</v>
      </c>
    </row>
    <row r="1136" spans="1:20">
      <c r="A1136" s="46">
        <v>139488051760</v>
      </c>
      <c r="B1136" s="44" t="s">
        <v>517</v>
      </c>
      <c r="C1136" s="45">
        <v>46016</v>
      </c>
      <c r="D1136" s="46">
        <v>55421259986</v>
      </c>
      <c r="E1136" s="46">
        <v>2159163785766</v>
      </c>
      <c r="F1136" s="47" t="s">
        <v>518</v>
      </c>
      <c r="G1136" s="47" t="s">
        <v>519</v>
      </c>
      <c r="H1136" s="47" t="s">
        <v>4</v>
      </c>
      <c r="I1136" s="46" t="s">
        <v>4</v>
      </c>
      <c r="J1136" s="48">
        <v>489.85</v>
      </c>
      <c r="K1136" s="47" t="s">
        <v>520</v>
      </c>
      <c r="L1136" s="47" t="s">
        <v>521</v>
      </c>
      <c r="M1136" s="46" t="s">
        <v>660</v>
      </c>
      <c r="N1136" s="47" t="s">
        <v>661</v>
      </c>
      <c r="O1136" s="44" t="s">
        <v>4</v>
      </c>
      <c r="P1136" s="47" t="s">
        <v>1024</v>
      </c>
      <c r="Q1136" s="48">
        <v>50500</v>
      </c>
      <c r="R1136" s="49" t="s">
        <v>4</v>
      </c>
      <c r="S1136" s="48" t="s">
        <v>4</v>
      </c>
      <c r="T1136" s="47" t="s">
        <v>525</v>
      </c>
    </row>
    <row r="1137" spans="1:20">
      <c r="A1137" s="46">
        <v>139489872526</v>
      </c>
      <c r="B1137" s="44" t="s">
        <v>517</v>
      </c>
      <c r="C1137" s="45">
        <v>46016</v>
      </c>
      <c r="D1137" s="46">
        <v>55421975682</v>
      </c>
      <c r="E1137" s="46">
        <v>2159174827586</v>
      </c>
      <c r="F1137" s="47" t="s">
        <v>518</v>
      </c>
      <c r="G1137" s="47" t="s">
        <v>519</v>
      </c>
      <c r="H1137" s="47" t="s">
        <v>4</v>
      </c>
      <c r="I1137" s="46" t="s">
        <v>4</v>
      </c>
      <c r="J1137" s="48">
        <v>463.66</v>
      </c>
      <c r="K1137" s="47" t="s">
        <v>520</v>
      </c>
      <c r="L1137" s="47" t="s">
        <v>521</v>
      </c>
      <c r="M1137" s="46" t="s">
        <v>660</v>
      </c>
      <c r="N1137" s="47" t="s">
        <v>661</v>
      </c>
      <c r="O1137" s="44" t="s">
        <v>4</v>
      </c>
      <c r="P1137" s="47" t="s">
        <v>1025</v>
      </c>
      <c r="Q1137" s="48">
        <v>47800</v>
      </c>
      <c r="R1137" s="49" t="s">
        <v>4</v>
      </c>
      <c r="S1137" s="48" t="s">
        <v>4</v>
      </c>
      <c r="T1137" s="47" t="s">
        <v>525</v>
      </c>
    </row>
    <row r="1138" spans="1:20">
      <c r="A1138" s="46">
        <v>139489922698</v>
      </c>
      <c r="B1138" s="44" t="s">
        <v>517</v>
      </c>
      <c r="C1138" s="45">
        <v>46016</v>
      </c>
      <c r="D1138" s="46">
        <v>55421994882</v>
      </c>
      <c r="E1138" s="46">
        <v>2159009940349</v>
      </c>
      <c r="F1138" s="47" t="s">
        <v>526</v>
      </c>
      <c r="G1138" s="47" t="s">
        <v>519</v>
      </c>
      <c r="H1138" s="47" t="s">
        <v>4</v>
      </c>
      <c r="I1138" s="46" t="s">
        <v>4</v>
      </c>
      <c r="J1138" s="48">
        <v>95.06</v>
      </c>
      <c r="K1138" s="47" t="s">
        <v>520</v>
      </c>
      <c r="L1138" s="47" t="s">
        <v>521</v>
      </c>
      <c r="M1138" s="46" t="s">
        <v>660</v>
      </c>
      <c r="N1138" s="47" t="s">
        <v>661</v>
      </c>
      <c r="O1138" s="44" t="s">
        <v>4</v>
      </c>
      <c r="P1138" s="47" t="s">
        <v>527</v>
      </c>
      <c r="Q1138" s="48">
        <v>9800</v>
      </c>
      <c r="R1138" s="49" t="s">
        <v>4</v>
      </c>
      <c r="S1138" s="48" t="s">
        <v>4</v>
      </c>
      <c r="T1138" s="47" t="s">
        <v>4</v>
      </c>
    </row>
    <row r="1139" spans="1:20">
      <c r="A1139" s="46">
        <v>139489925702</v>
      </c>
      <c r="B1139" s="44" t="s">
        <v>517</v>
      </c>
      <c r="C1139" s="45">
        <v>46016</v>
      </c>
      <c r="D1139" s="46">
        <v>55422014836</v>
      </c>
      <c r="E1139" s="46">
        <v>2159175578468</v>
      </c>
      <c r="F1139" s="47" t="s">
        <v>529</v>
      </c>
      <c r="G1139" s="47" t="s">
        <v>519</v>
      </c>
      <c r="H1139" s="47" t="s">
        <v>4</v>
      </c>
      <c r="I1139" s="46" t="s">
        <v>4</v>
      </c>
      <c r="J1139" s="48">
        <v>530.54999999999995</v>
      </c>
      <c r="K1139" s="47" t="s">
        <v>520</v>
      </c>
      <c r="L1139" s="47" t="s">
        <v>530</v>
      </c>
      <c r="M1139" s="46" t="s">
        <v>660</v>
      </c>
      <c r="N1139" s="47" t="s">
        <v>661</v>
      </c>
      <c r="O1139" s="44" t="s">
        <v>263</v>
      </c>
      <c r="P1139" s="47" t="s">
        <v>531</v>
      </c>
      <c r="Q1139" s="48">
        <v>13500</v>
      </c>
      <c r="R1139" s="49" t="s">
        <v>4</v>
      </c>
      <c r="S1139" s="48" t="s">
        <v>4</v>
      </c>
      <c r="T1139" s="47" t="s">
        <v>525</v>
      </c>
    </row>
    <row r="1140" spans="1:20">
      <c r="A1140" s="46">
        <v>139490512936</v>
      </c>
      <c r="B1140" s="44" t="s">
        <v>517</v>
      </c>
      <c r="C1140" s="45">
        <v>46017</v>
      </c>
      <c r="D1140" s="46">
        <v>55422219906</v>
      </c>
      <c r="E1140" s="46">
        <v>2159179375484</v>
      </c>
      <c r="F1140" s="47" t="s">
        <v>518</v>
      </c>
      <c r="G1140" s="47" t="s">
        <v>519</v>
      </c>
      <c r="H1140" s="47" t="s">
        <v>4</v>
      </c>
      <c r="I1140" s="46" t="s">
        <v>4</v>
      </c>
      <c r="J1140" s="48">
        <v>279.36</v>
      </c>
      <c r="K1140" s="47" t="s">
        <v>520</v>
      </c>
      <c r="L1140" s="47" t="s">
        <v>521</v>
      </c>
      <c r="M1140" s="46" t="s">
        <v>660</v>
      </c>
      <c r="N1140" s="47" t="s">
        <v>661</v>
      </c>
      <c r="O1140" s="44" t="s">
        <v>4</v>
      </c>
      <c r="P1140" s="47" t="s">
        <v>1026</v>
      </c>
      <c r="Q1140" s="48">
        <v>28800</v>
      </c>
      <c r="R1140" s="49" t="s">
        <v>4</v>
      </c>
      <c r="S1140" s="48" t="s">
        <v>4</v>
      </c>
      <c r="T1140" s="47" t="s">
        <v>525</v>
      </c>
    </row>
    <row r="1141" spans="1:20">
      <c r="A1141" s="46">
        <v>138845223977</v>
      </c>
      <c r="B1141" s="44" t="s">
        <v>517</v>
      </c>
      <c r="C1141" s="45">
        <v>46017</v>
      </c>
      <c r="D1141" s="46">
        <v>55422626829</v>
      </c>
      <c r="E1141" s="46">
        <v>2159186590210</v>
      </c>
      <c r="F1141" s="47" t="s">
        <v>518</v>
      </c>
      <c r="G1141" s="47" t="s">
        <v>519</v>
      </c>
      <c r="H1141" s="47" t="s">
        <v>4</v>
      </c>
      <c r="I1141" s="46" t="s">
        <v>4</v>
      </c>
      <c r="J1141" s="48">
        <v>227.47</v>
      </c>
      <c r="K1141" s="47" t="s">
        <v>520</v>
      </c>
      <c r="L1141" s="47" t="s">
        <v>521</v>
      </c>
      <c r="M1141" s="46" t="s">
        <v>660</v>
      </c>
      <c r="N1141" s="47" t="s">
        <v>661</v>
      </c>
      <c r="O1141" s="44" t="s">
        <v>4</v>
      </c>
      <c r="P1141" s="47" t="s">
        <v>1027</v>
      </c>
      <c r="Q1141" s="48">
        <v>23450</v>
      </c>
      <c r="R1141" s="49" t="s">
        <v>4</v>
      </c>
      <c r="S1141" s="48" t="s">
        <v>4</v>
      </c>
      <c r="T1141" s="47" t="s">
        <v>525</v>
      </c>
    </row>
    <row r="1142" spans="1:20">
      <c r="A1142" s="46">
        <v>138845587111</v>
      </c>
      <c r="B1142" s="44" t="s">
        <v>517</v>
      </c>
      <c r="C1142" s="45">
        <v>46017</v>
      </c>
      <c r="D1142" s="46">
        <v>55422710091</v>
      </c>
      <c r="E1142" s="46">
        <v>2159188730344</v>
      </c>
      <c r="F1142" s="47" t="s">
        <v>518</v>
      </c>
      <c r="G1142" s="47" t="s">
        <v>519</v>
      </c>
      <c r="H1142" s="47" t="s">
        <v>4</v>
      </c>
      <c r="I1142" s="46" t="s">
        <v>4</v>
      </c>
      <c r="J1142" s="48">
        <v>449.11</v>
      </c>
      <c r="K1142" s="47" t="s">
        <v>520</v>
      </c>
      <c r="L1142" s="47" t="s">
        <v>521</v>
      </c>
      <c r="M1142" s="46" t="s">
        <v>660</v>
      </c>
      <c r="N1142" s="47" t="s">
        <v>661</v>
      </c>
      <c r="O1142" s="44" t="s">
        <v>4</v>
      </c>
      <c r="P1142" s="47" t="s">
        <v>1028</v>
      </c>
      <c r="Q1142" s="48">
        <v>46300</v>
      </c>
      <c r="R1142" s="49" t="s">
        <v>4</v>
      </c>
      <c r="S1142" s="48" t="s">
        <v>4</v>
      </c>
      <c r="T1142" s="47" t="s">
        <v>525</v>
      </c>
    </row>
    <row r="1143" spans="1:20">
      <c r="A1143" s="46">
        <v>138846734249</v>
      </c>
      <c r="B1143" s="44" t="s">
        <v>517</v>
      </c>
      <c r="C1143" s="45">
        <v>46017</v>
      </c>
      <c r="D1143" s="46">
        <v>55423026516</v>
      </c>
      <c r="E1143" s="46">
        <v>2159197651558</v>
      </c>
      <c r="F1143" s="47" t="s">
        <v>518</v>
      </c>
      <c r="G1143" s="47" t="s">
        <v>519</v>
      </c>
      <c r="H1143" s="47" t="s">
        <v>4</v>
      </c>
      <c r="I1143" s="46" t="s">
        <v>4</v>
      </c>
      <c r="J1143" s="48">
        <v>161.99</v>
      </c>
      <c r="K1143" s="47" t="s">
        <v>520</v>
      </c>
      <c r="L1143" s="47" t="s">
        <v>521</v>
      </c>
      <c r="M1143" s="46" t="s">
        <v>660</v>
      </c>
      <c r="N1143" s="47" t="s">
        <v>661</v>
      </c>
      <c r="O1143" s="44" t="s">
        <v>4</v>
      </c>
      <c r="P1143" s="47" t="s">
        <v>1029</v>
      </c>
      <c r="Q1143" s="48">
        <v>16700</v>
      </c>
      <c r="R1143" s="49" t="s">
        <v>4</v>
      </c>
      <c r="S1143" s="48" t="s">
        <v>4</v>
      </c>
      <c r="T1143" s="47" t="s">
        <v>525</v>
      </c>
    </row>
    <row r="1144" spans="1:20">
      <c r="A1144" s="46">
        <v>139493377384</v>
      </c>
      <c r="B1144" s="44" t="s">
        <v>517</v>
      </c>
      <c r="C1144" s="45">
        <v>46017</v>
      </c>
      <c r="D1144" s="46">
        <v>55423194525</v>
      </c>
      <c r="E1144" s="46">
        <v>2159037701247</v>
      </c>
      <c r="F1144" s="47" t="s">
        <v>518</v>
      </c>
      <c r="G1144" s="47" t="s">
        <v>519</v>
      </c>
      <c r="H1144" s="47" t="s">
        <v>4</v>
      </c>
      <c r="I1144" s="46" t="s">
        <v>4</v>
      </c>
      <c r="J1144" s="48">
        <v>48.5</v>
      </c>
      <c r="K1144" s="47" t="s">
        <v>520</v>
      </c>
      <c r="L1144" s="47" t="s">
        <v>521</v>
      </c>
      <c r="M1144" s="46" t="s">
        <v>660</v>
      </c>
      <c r="N1144" s="47" t="s">
        <v>661</v>
      </c>
      <c r="O1144" s="44" t="s">
        <v>4</v>
      </c>
      <c r="P1144" s="47" t="s">
        <v>1030</v>
      </c>
      <c r="Q1144" s="48">
        <v>5000</v>
      </c>
      <c r="R1144" s="49" t="s">
        <v>4</v>
      </c>
      <c r="S1144" s="48" t="s">
        <v>4</v>
      </c>
      <c r="T1144" s="47" t="s">
        <v>525</v>
      </c>
    </row>
    <row r="1145" spans="1:20">
      <c r="A1145" s="46">
        <v>138847199637</v>
      </c>
      <c r="B1145" s="44" t="s">
        <v>517</v>
      </c>
      <c r="C1145" s="45">
        <v>46017</v>
      </c>
      <c r="D1145" s="46">
        <v>55423197207</v>
      </c>
      <c r="E1145" s="46">
        <v>2159203790332</v>
      </c>
      <c r="F1145" s="47" t="s">
        <v>518</v>
      </c>
      <c r="G1145" s="47" t="s">
        <v>519</v>
      </c>
      <c r="H1145" s="47" t="s">
        <v>4</v>
      </c>
      <c r="I1145" s="46" t="s">
        <v>4</v>
      </c>
      <c r="J1145" s="48">
        <v>46.56</v>
      </c>
      <c r="K1145" s="47" t="s">
        <v>520</v>
      </c>
      <c r="L1145" s="47" t="s">
        <v>521</v>
      </c>
      <c r="M1145" s="46" t="s">
        <v>660</v>
      </c>
      <c r="N1145" s="47" t="s">
        <v>661</v>
      </c>
      <c r="O1145" s="44" t="s">
        <v>4</v>
      </c>
      <c r="P1145" s="47" t="s">
        <v>1031</v>
      </c>
      <c r="Q1145" s="48">
        <v>4800</v>
      </c>
      <c r="R1145" s="49" t="s">
        <v>4</v>
      </c>
      <c r="S1145" s="48" t="s">
        <v>4</v>
      </c>
      <c r="T1145" s="47" t="s">
        <v>525</v>
      </c>
    </row>
    <row r="1146" spans="1:20">
      <c r="A1146" s="46">
        <v>138847521569</v>
      </c>
      <c r="B1146" s="44" t="s">
        <v>517</v>
      </c>
      <c r="C1146" s="45">
        <v>46017</v>
      </c>
      <c r="D1146" s="46">
        <v>55423282890</v>
      </c>
      <c r="E1146" s="46">
        <v>2159040967627</v>
      </c>
      <c r="F1146" s="47" t="s">
        <v>518</v>
      </c>
      <c r="G1146" s="47" t="s">
        <v>519</v>
      </c>
      <c r="H1146" s="47" t="s">
        <v>4</v>
      </c>
      <c r="I1146" s="46" t="s">
        <v>4</v>
      </c>
      <c r="J1146" s="48">
        <v>3044</v>
      </c>
      <c r="K1146" s="47" t="s">
        <v>520</v>
      </c>
      <c r="L1146" s="47" t="s">
        <v>521</v>
      </c>
      <c r="M1146" s="46" t="s">
        <v>660</v>
      </c>
      <c r="N1146" s="47" t="s">
        <v>661</v>
      </c>
      <c r="O1146" s="44" t="s">
        <v>4</v>
      </c>
      <c r="P1146" s="47" t="s">
        <v>1032</v>
      </c>
      <c r="Q1146" s="48">
        <v>40000</v>
      </c>
      <c r="R1146" s="49" t="s">
        <v>4</v>
      </c>
      <c r="S1146" s="48" t="s">
        <v>4</v>
      </c>
      <c r="T1146" s="47" t="s">
        <v>525</v>
      </c>
    </row>
    <row r="1147" spans="1:20">
      <c r="A1147" s="46">
        <v>138848287941</v>
      </c>
      <c r="B1147" s="44" t="s">
        <v>517</v>
      </c>
      <c r="C1147" s="45">
        <v>46017</v>
      </c>
      <c r="D1147" s="46">
        <v>55423450539</v>
      </c>
      <c r="E1147" s="46">
        <v>2159049409489</v>
      </c>
      <c r="F1147" s="47" t="s">
        <v>518</v>
      </c>
      <c r="G1147" s="47" t="s">
        <v>519</v>
      </c>
      <c r="H1147" s="47" t="s">
        <v>4</v>
      </c>
      <c r="I1147" s="46" t="s">
        <v>4</v>
      </c>
      <c r="J1147" s="48">
        <v>445.23</v>
      </c>
      <c r="K1147" s="47" t="s">
        <v>520</v>
      </c>
      <c r="L1147" s="47" t="s">
        <v>521</v>
      </c>
      <c r="M1147" s="46" t="s">
        <v>660</v>
      </c>
      <c r="N1147" s="47" t="s">
        <v>661</v>
      </c>
      <c r="O1147" s="44" t="s">
        <v>4</v>
      </c>
      <c r="P1147" s="47" t="s">
        <v>1033</v>
      </c>
      <c r="Q1147" s="48">
        <v>45900</v>
      </c>
      <c r="R1147" s="49" t="s">
        <v>4</v>
      </c>
      <c r="S1147" s="48" t="s">
        <v>4</v>
      </c>
      <c r="T1147" s="47" t="s">
        <v>525</v>
      </c>
    </row>
    <row r="1148" spans="1:20">
      <c r="A1148" s="46">
        <v>138946899375</v>
      </c>
      <c r="B1148" s="44" t="s">
        <v>517</v>
      </c>
      <c r="C1148" s="45">
        <v>46017</v>
      </c>
      <c r="D1148" s="46">
        <v>55457201720</v>
      </c>
      <c r="E1148" s="46">
        <v>2159728351171</v>
      </c>
      <c r="F1148" s="47" t="s">
        <v>518</v>
      </c>
      <c r="G1148" s="47" t="s">
        <v>519</v>
      </c>
      <c r="H1148" s="47" t="s">
        <v>4</v>
      </c>
      <c r="I1148" s="46" t="s">
        <v>4</v>
      </c>
      <c r="J1148" s="48">
        <v>53.35</v>
      </c>
      <c r="K1148" s="47" t="s">
        <v>520</v>
      </c>
      <c r="L1148" s="47" t="s">
        <v>521</v>
      </c>
      <c r="M1148" s="46" t="s">
        <v>660</v>
      </c>
      <c r="N1148" s="47" t="s">
        <v>661</v>
      </c>
      <c r="O1148" s="44" t="s">
        <v>4</v>
      </c>
      <c r="P1148" s="47" t="s">
        <v>1034</v>
      </c>
      <c r="Q1148" s="48">
        <v>5500</v>
      </c>
      <c r="R1148" s="49" t="s">
        <v>4</v>
      </c>
      <c r="S1148" s="48" t="s">
        <v>4</v>
      </c>
      <c r="T1148" s="47" t="s">
        <v>525</v>
      </c>
    </row>
    <row r="1149" spans="1:20">
      <c r="A1149" s="46">
        <v>139599090974</v>
      </c>
      <c r="B1149" s="44" t="s">
        <v>517</v>
      </c>
      <c r="C1149" s="45">
        <v>46017</v>
      </c>
      <c r="D1149" s="46">
        <v>55459252786</v>
      </c>
      <c r="E1149" s="46">
        <v>2159927882360</v>
      </c>
      <c r="F1149" s="47" t="s">
        <v>518</v>
      </c>
      <c r="G1149" s="47" t="s">
        <v>519</v>
      </c>
      <c r="H1149" s="47" t="s">
        <v>4</v>
      </c>
      <c r="I1149" s="46" t="s">
        <v>4</v>
      </c>
      <c r="J1149" s="48">
        <v>4185.5</v>
      </c>
      <c r="K1149" s="47" t="s">
        <v>520</v>
      </c>
      <c r="L1149" s="47" t="s">
        <v>521</v>
      </c>
      <c r="M1149" s="46" t="s">
        <v>660</v>
      </c>
      <c r="N1149" s="47" t="s">
        <v>661</v>
      </c>
      <c r="O1149" s="44" t="s">
        <v>4</v>
      </c>
      <c r="P1149" s="47" t="s">
        <v>726</v>
      </c>
      <c r="Q1149" s="48">
        <v>55000</v>
      </c>
      <c r="R1149" s="49" t="s">
        <v>4</v>
      </c>
      <c r="S1149" s="48" t="s">
        <v>4</v>
      </c>
      <c r="T1149" s="47" t="s">
        <v>525</v>
      </c>
    </row>
    <row r="1150" spans="1:20">
      <c r="A1150" s="46">
        <v>138959611901</v>
      </c>
      <c r="B1150" s="44" t="s">
        <v>517</v>
      </c>
      <c r="C1150" s="45">
        <v>46017</v>
      </c>
      <c r="D1150" s="46">
        <v>55461944971</v>
      </c>
      <c r="E1150" s="46">
        <v>2159809902301</v>
      </c>
      <c r="F1150" s="47" t="s">
        <v>529</v>
      </c>
      <c r="G1150" s="47" t="s">
        <v>519</v>
      </c>
      <c r="H1150" s="47" t="s">
        <v>4</v>
      </c>
      <c r="I1150" s="46" t="s">
        <v>4</v>
      </c>
      <c r="J1150" s="48">
        <v>1095.8399999999999</v>
      </c>
      <c r="K1150" s="47" t="s">
        <v>520</v>
      </c>
      <c r="L1150" s="47" t="s">
        <v>530</v>
      </c>
      <c r="M1150" s="46" t="s">
        <v>807</v>
      </c>
      <c r="N1150" s="47" t="s">
        <v>808</v>
      </c>
      <c r="O1150" s="44" t="s">
        <v>263</v>
      </c>
      <c r="P1150" s="47" t="s">
        <v>531</v>
      </c>
      <c r="Q1150" s="48">
        <v>14400</v>
      </c>
      <c r="R1150" s="49" t="s">
        <v>4</v>
      </c>
      <c r="S1150" s="48" t="s">
        <v>4</v>
      </c>
      <c r="T1150" s="47" t="s">
        <v>525</v>
      </c>
    </row>
    <row r="1151" spans="1:20">
      <c r="A1151" s="46">
        <v>138960532407</v>
      </c>
      <c r="B1151" s="44" t="s">
        <v>517</v>
      </c>
      <c r="C1151" s="45">
        <v>46017</v>
      </c>
      <c r="D1151" s="46">
        <v>55462257316</v>
      </c>
      <c r="E1151" s="46">
        <v>2159981816476</v>
      </c>
      <c r="F1151" s="47" t="s">
        <v>529</v>
      </c>
      <c r="G1151" s="47" t="s">
        <v>519</v>
      </c>
      <c r="H1151" s="47" t="s">
        <v>4</v>
      </c>
      <c r="I1151" s="46" t="s">
        <v>4</v>
      </c>
      <c r="J1151" s="48">
        <v>778.14</v>
      </c>
      <c r="K1151" s="47" t="s">
        <v>520</v>
      </c>
      <c r="L1151" s="47" t="s">
        <v>530</v>
      </c>
      <c r="M1151" s="46" t="s">
        <v>660</v>
      </c>
      <c r="N1151" s="47" t="s">
        <v>661</v>
      </c>
      <c r="O1151" s="44" t="s">
        <v>263</v>
      </c>
      <c r="P1151" s="47" t="s">
        <v>531</v>
      </c>
      <c r="Q1151" s="48">
        <v>19800</v>
      </c>
      <c r="R1151" s="49" t="s">
        <v>4</v>
      </c>
      <c r="S1151" s="48" t="s">
        <v>4</v>
      </c>
      <c r="T1151" s="47" t="s">
        <v>525</v>
      </c>
    </row>
    <row r="1152" spans="1:20">
      <c r="A1152" s="46">
        <v>138963343339</v>
      </c>
      <c r="B1152" s="44" t="s">
        <v>517</v>
      </c>
      <c r="C1152" s="45">
        <v>46017</v>
      </c>
      <c r="D1152" s="46">
        <v>55463284665</v>
      </c>
      <c r="E1152" s="46">
        <v>2160002656394</v>
      </c>
      <c r="F1152" s="47" t="s">
        <v>562</v>
      </c>
      <c r="G1152" s="47" t="s">
        <v>519</v>
      </c>
      <c r="H1152" s="47" t="s">
        <v>4</v>
      </c>
      <c r="I1152" s="46" t="s">
        <v>4</v>
      </c>
      <c r="J1152" s="48">
        <v>365.28</v>
      </c>
      <c r="K1152" s="47" t="s">
        <v>520</v>
      </c>
      <c r="L1152" s="47" t="s">
        <v>521</v>
      </c>
      <c r="M1152" s="46" t="s">
        <v>807</v>
      </c>
      <c r="N1152" s="47" t="s">
        <v>808</v>
      </c>
      <c r="O1152" s="44" t="s">
        <v>4</v>
      </c>
      <c r="P1152" s="47" t="s">
        <v>574</v>
      </c>
      <c r="Q1152" s="48">
        <v>4800</v>
      </c>
      <c r="R1152" s="49" t="s">
        <v>4</v>
      </c>
      <c r="S1152" s="48" t="s">
        <v>4</v>
      </c>
      <c r="T1152" s="47" t="s">
        <v>525</v>
      </c>
    </row>
    <row r="1153" spans="1:20">
      <c r="A1153" s="46">
        <v>138963614327</v>
      </c>
      <c r="B1153" s="44" t="s">
        <v>517</v>
      </c>
      <c r="C1153" s="45">
        <v>46017</v>
      </c>
      <c r="D1153" s="46">
        <v>55463334509</v>
      </c>
      <c r="E1153" s="46">
        <v>2160003877240</v>
      </c>
      <c r="F1153" s="47" t="s">
        <v>518</v>
      </c>
      <c r="G1153" s="47" t="s">
        <v>519</v>
      </c>
      <c r="H1153" s="47" t="s">
        <v>4</v>
      </c>
      <c r="I1153" s="46" t="s">
        <v>4</v>
      </c>
      <c r="J1153" s="48">
        <v>2853.75</v>
      </c>
      <c r="K1153" s="47" t="s">
        <v>520</v>
      </c>
      <c r="L1153" s="47" t="s">
        <v>521</v>
      </c>
      <c r="M1153" s="46" t="s">
        <v>807</v>
      </c>
      <c r="N1153" s="47" t="s">
        <v>808</v>
      </c>
      <c r="O1153" s="44" t="s">
        <v>4</v>
      </c>
      <c r="P1153" s="47" t="s">
        <v>1035</v>
      </c>
      <c r="Q1153" s="48">
        <v>37500</v>
      </c>
      <c r="R1153" s="49" t="s">
        <v>4</v>
      </c>
      <c r="S1153" s="48" t="s">
        <v>4</v>
      </c>
      <c r="T1153" s="47" t="s">
        <v>525</v>
      </c>
    </row>
    <row r="1154" spans="1:20">
      <c r="A1154" s="46">
        <v>138965535883</v>
      </c>
      <c r="B1154" s="44" t="s">
        <v>517</v>
      </c>
      <c r="C1154" s="45">
        <v>46017</v>
      </c>
      <c r="D1154" s="46">
        <v>55464044253</v>
      </c>
      <c r="E1154" s="46">
        <v>2160019417458</v>
      </c>
      <c r="F1154" s="47" t="s">
        <v>529</v>
      </c>
      <c r="G1154" s="47" t="s">
        <v>519</v>
      </c>
      <c r="H1154" s="47" t="s">
        <v>4</v>
      </c>
      <c r="I1154" s="46" t="s">
        <v>4</v>
      </c>
      <c r="J1154" s="48">
        <v>393</v>
      </c>
      <c r="K1154" s="47" t="s">
        <v>520</v>
      </c>
      <c r="L1154" s="47" t="s">
        <v>530</v>
      </c>
      <c r="M1154" s="46" t="s">
        <v>660</v>
      </c>
      <c r="N1154" s="47" t="s">
        <v>661</v>
      </c>
      <c r="O1154" s="44" t="s">
        <v>263</v>
      </c>
      <c r="P1154" s="47" t="s">
        <v>531</v>
      </c>
      <c r="Q1154" s="48">
        <v>10000</v>
      </c>
      <c r="R1154" s="49" t="s">
        <v>4</v>
      </c>
      <c r="S1154" s="48" t="s">
        <v>4</v>
      </c>
      <c r="T1154" s="47" t="s">
        <v>525</v>
      </c>
    </row>
    <row r="1155" spans="1:20">
      <c r="A1155" s="46">
        <v>138965717981</v>
      </c>
      <c r="B1155" s="44" t="s">
        <v>517</v>
      </c>
      <c r="C1155" s="45">
        <v>46017</v>
      </c>
      <c r="D1155" s="46">
        <v>55464137529</v>
      </c>
      <c r="E1155" s="46">
        <v>2160021111842</v>
      </c>
      <c r="F1155" s="47" t="s">
        <v>529</v>
      </c>
      <c r="G1155" s="47" t="s">
        <v>519</v>
      </c>
      <c r="H1155" s="47" t="s">
        <v>4</v>
      </c>
      <c r="I1155" s="46" t="s">
        <v>4</v>
      </c>
      <c r="J1155" s="48">
        <v>393</v>
      </c>
      <c r="K1155" s="47" t="s">
        <v>520</v>
      </c>
      <c r="L1155" s="47" t="s">
        <v>530</v>
      </c>
      <c r="M1155" s="46" t="s">
        <v>807</v>
      </c>
      <c r="N1155" s="47" t="s">
        <v>808</v>
      </c>
      <c r="O1155" s="44" t="s">
        <v>263</v>
      </c>
      <c r="P1155" s="47" t="s">
        <v>531</v>
      </c>
      <c r="Q1155" s="48">
        <v>10000</v>
      </c>
      <c r="R1155" s="49" t="s">
        <v>4</v>
      </c>
      <c r="S1155" s="48" t="s">
        <v>4</v>
      </c>
      <c r="T1155" s="47" t="s">
        <v>525</v>
      </c>
    </row>
    <row r="1156" spans="1:20">
      <c r="A1156" s="46">
        <v>138966237485</v>
      </c>
      <c r="B1156" s="44" t="s">
        <v>517</v>
      </c>
      <c r="C1156" s="45">
        <v>46017</v>
      </c>
      <c r="D1156" s="46">
        <v>55464345457</v>
      </c>
      <c r="E1156" s="46">
        <v>2159859170271</v>
      </c>
      <c r="F1156" s="47" t="s">
        <v>529</v>
      </c>
      <c r="G1156" s="47" t="s">
        <v>519</v>
      </c>
      <c r="H1156" s="47" t="s">
        <v>4</v>
      </c>
      <c r="I1156" s="46" t="s">
        <v>4</v>
      </c>
      <c r="J1156" s="48">
        <v>377.28</v>
      </c>
      <c r="K1156" s="47" t="s">
        <v>520</v>
      </c>
      <c r="L1156" s="47" t="s">
        <v>530</v>
      </c>
      <c r="M1156" s="46" t="s">
        <v>807</v>
      </c>
      <c r="N1156" s="47" t="s">
        <v>808</v>
      </c>
      <c r="O1156" s="44" t="s">
        <v>263</v>
      </c>
      <c r="P1156" s="47" t="s">
        <v>531</v>
      </c>
      <c r="Q1156" s="48">
        <v>9600</v>
      </c>
      <c r="R1156" s="49" t="s">
        <v>4</v>
      </c>
      <c r="S1156" s="48" t="s">
        <v>4</v>
      </c>
      <c r="T1156" s="47" t="s">
        <v>525</v>
      </c>
    </row>
    <row r="1157" spans="1:20">
      <c r="A1157" s="46">
        <v>139613303416</v>
      </c>
      <c r="B1157" s="44" t="s">
        <v>517</v>
      </c>
      <c r="C1157" s="45">
        <v>46017</v>
      </c>
      <c r="D1157" s="46">
        <v>55464424909</v>
      </c>
      <c r="E1157" s="46">
        <v>2160027005396</v>
      </c>
      <c r="F1157" s="47" t="s">
        <v>526</v>
      </c>
      <c r="G1157" s="47" t="s">
        <v>519</v>
      </c>
      <c r="H1157" s="47" t="s">
        <v>4</v>
      </c>
      <c r="I1157" s="46" t="s">
        <v>4</v>
      </c>
      <c r="J1157" s="48">
        <v>281.3</v>
      </c>
      <c r="K1157" s="47" t="s">
        <v>520</v>
      </c>
      <c r="L1157" s="47" t="s">
        <v>521</v>
      </c>
      <c r="M1157" s="46" t="s">
        <v>807</v>
      </c>
      <c r="N1157" s="47" t="s">
        <v>808</v>
      </c>
      <c r="O1157" s="44" t="s">
        <v>4</v>
      </c>
      <c r="P1157" s="47" t="s">
        <v>527</v>
      </c>
      <c r="Q1157" s="48">
        <v>29000</v>
      </c>
      <c r="R1157" s="49" t="s">
        <v>4</v>
      </c>
      <c r="S1157" s="48" t="s">
        <v>4</v>
      </c>
      <c r="T1157" s="47" t="s">
        <v>4</v>
      </c>
    </row>
    <row r="1158" spans="1:20">
      <c r="A1158" s="46">
        <v>138967782947</v>
      </c>
      <c r="B1158" s="44" t="s">
        <v>517</v>
      </c>
      <c r="C1158" s="45">
        <v>46017</v>
      </c>
      <c r="D1158" s="46">
        <v>55464848307</v>
      </c>
      <c r="E1158" s="46">
        <v>2159869749709</v>
      </c>
      <c r="F1158" s="47" t="s">
        <v>562</v>
      </c>
      <c r="G1158" s="47" t="s">
        <v>519</v>
      </c>
      <c r="H1158" s="47" t="s">
        <v>4</v>
      </c>
      <c r="I1158" s="46" t="s">
        <v>4</v>
      </c>
      <c r="J1158" s="48">
        <v>81.5</v>
      </c>
      <c r="K1158" s="47" t="s">
        <v>520</v>
      </c>
      <c r="L1158" s="47" t="s">
        <v>521</v>
      </c>
      <c r="M1158" s="46" t="s">
        <v>807</v>
      </c>
      <c r="N1158" s="47" t="s">
        <v>808</v>
      </c>
      <c r="O1158" s="44" t="s">
        <v>4</v>
      </c>
      <c r="P1158" s="47" t="s">
        <v>563</v>
      </c>
      <c r="Q1158" s="48">
        <v>5000</v>
      </c>
      <c r="R1158" s="49" t="s">
        <v>4</v>
      </c>
      <c r="S1158" s="48" t="s">
        <v>4</v>
      </c>
      <c r="T1158" s="47" t="s">
        <v>525</v>
      </c>
    </row>
    <row r="1159" spans="1:20">
      <c r="A1159" s="46">
        <v>139615922224</v>
      </c>
      <c r="B1159" s="44" t="s">
        <v>517</v>
      </c>
      <c r="C1159" s="45">
        <v>46017</v>
      </c>
      <c r="D1159" s="46">
        <v>55465321242</v>
      </c>
      <c r="E1159" s="46">
        <v>2159880571727</v>
      </c>
      <c r="F1159" s="47" t="s">
        <v>529</v>
      </c>
      <c r="G1159" s="47" t="s">
        <v>519</v>
      </c>
      <c r="H1159" s="47" t="s">
        <v>4</v>
      </c>
      <c r="I1159" s="46" t="s">
        <v>4</v>
      </c>
      <c r="J1159" s="48">
        <v>985.18</v>
      </c>
      <c r="K1159" s="47" t="s">
        <v>520</v>
      </c>
      <c r="L1159" s="47" t="s">
        <v>530</v>
      </c>
      <c r="M1159" s="46" t="s">
        <v>807</v>
      </c>
      <c r="N1159" s="47" t="s">
        <v>808</v>
      </c>
      <c r="O1159" s="44" t="s">
        <v>263</v>
      </c>
      <c r="P1159" s="47" t="s">
        <v>531</v>
      </c>
      <c r="Q1159" s="48">
        <v>21700</v>
      </c>
      <c r="R1159" s="49" t="s">
        <v>4</v>
      </c>
      <c r="S1159" s="48" t="s">
        <v>4</v>
      </c>
      <c r="T1159" s="47" t="s">
        <v>525</v>
      </c>
    </row>
    <row r="1160" spans="1:20">
      <c r="A1160" s="46">
        <v>138969778077</v>
      </c>
      <c r="B1160" s="44" t="s">
        <v>517</v>
      </c>
      <c r="C1160" s="45">
        <v>46017</v>
      </c>
      <c r="D1160" s="46">
        <v>55465596917</v>
      </c>
      <c r="E1160" s="46">
        <v>2159886764419</v>
      </c>
      <c r="F1160" s="47" t="s">
        <v>529</v>
      </c>
      <c r="G1160" s="47" t="s">
        <v>519</v>
      </c>
      <c r="H1160" s="47" t="s">
        <v>4</v>
      </c>
      <c r="I1160" s="46" t="s">
        <v>4</v>
      </c>
      <c r="J1160" s="48">
        <v>2377.65</v>
      </c>
      <c r="K1160" s="47" t="s">
        <v>520</v>
      </c>
      <c r="L1160" s="47" t="s">
        <v>530</v>
      </c>
      <c r="M1160" s="46" t="s">
        <v>660</v>
      </c>
      <c r="N1160" s="47" t="s">
        <v>661</v>
      </c>
      <c r="O1160" s="44" t="s">
        <v>263</v>
      </c>
      <c r="P1160" s="47" t="s">
        <v>531</v>
      </c>
      <c r="Q1160" s="48">
        <v>60500</v>
      </c>
      <c r="R1160" s="49" t="s">
        <v>4</v>
      </c>
      <c r="S1160" s="48" t="s">
        <v>4</v>
      </c>
      <c r="T1160" s="47" t="s">
        <v>525</v>
      </c>
    </row>
    <row r="1161" spans="1:20">
      <c r="A1161" s="46">
        <v>139617244154</v>
      </c>
      <c r="B1161" s="44" t="s">
        <v>517</v>
      </c>
      <c r="C1161" s="45">
        <v>46017</v>
      </c>
      <c r="D1161" s="46">
        <v>55465847365</v>
      </c>
      <c r="E1161" s="46">
        <v>2159892287825</v>
      </c>
      <c r="F1161" s="47" t="s">
        <v>518</v>
      </c>
      <c r="G1161" s="47" t="s">
        <v>519</v>
      </c>
      <c r="H1161" s="47" t="s">
        <v>4</v>
      </c>
      <c r="I1161" s="46" t="s">
        <v>4</v>
      </c>
      <c r="J1161" s="48">
        <v>335.62</v>
      </c>
      <c r="K1161" s="47" t="s">
        <v>520</v>
      </c>
      <c r="L1161" s="47" t="s">
        <v>521</v>
      </c>
      <c r="M1161" s="46" t="s">
        <v>660</v>
      </c>
      <c r="N1161" s="47" t="s">
        <v>661</v>
      </c>
      <c r="O1161" s="44" t="s">
        <v>4</v>
      </c>
      <c r="P1161" s="47" t="s">
        <v>1036</v>
      </c>
      <c r="Q1161" s="48">
        <v>34600</v>
      </c>
      <c r="R1161" s="49" t="s">
        <v>4</v>
      </c>
      <c r="S1161" s="48" t="s">
        <v>4</v>
      </c>
      <c r="T1161" s="47" t="s">
        <v>525</v>
      </c>
    </row>
    <row r="1162" spans="1:20">
      <c r="A1162" s="46">
        <v>138970709575</v>
      </c>
      <c r="B1162" s="44" t="s">
        <v>517</v>
      </c>
      <c r="C1162" s="45">
        <v>46017</v>
      </c>
      <c r="D1162" s="46">
        <v>55465891946</v>
      </c>
      <c r="E1162" s="46">
        <v>2159893579107</v>
      </c>
      <c r="F1162" s="47" t="s">
        <v>518</v>
      </c>
      <c r="G1162" s="47" t="s">
        <v>519</v>
      </c>
      <c r="H1162" s="47" t="s">
        <v>4</v>
      </c>
      <c r="I1162" s="46" t="s">
        <v>4</v>
      </c>
      <c r="J1162" s="48">
        <v>97</v>
      </c>
      <c r="K1162" s="47" t="s">
        <v>520</v>
      </c>
      <c r="L1162" s="47" t="s">
        <v>521</v>
      </c>
      <c r="M1162" s="46" t="s">
        <v>807</v>
      </c>
      <c r="N1162" s="47" t="s">
        <v>808</v>
      </c>
      <c r="O1162" s="44" t="s">
        <v>4</v>
      </c>
      <c r="P1162" s="47" t="s">
        <v>1037</v>
      </c>
      <c r="Q1162" s="48">
        <v>10000</v>
      </c>
      <c r="R1162" s="49" t="s">
        <v>4</v>
      </c>
      <c r="S1162" s="48" t="s">
        <v>4</v>
      </c>
      <c r="T1162" s="47" t="s">
        <v>525</v>
      </c>
    </row>
    <row r="1163" spans="1:20">
      <c r="A1163" s="46">
        <v>139618386762</v>
      </c>
      <c r="B1163" s="44" t="s">
        <v>517</v>
      </c>
      <c r="C1163" s="45">
        <v>46017</v>
      </c>
      <c r="D1163" s="46">
        <v>55466237699</v>
      </c>
      <c r="E1163" s="46">
        <v>2160067256414</v>
      </c>
      <c r="F1163" s="47" t="s">
        <v>529</v>
      </c>
      <c r="G1163" s="47" t="s">
        <v>519</v>
      </c>
      <c r="H1163" s="47" t="s">
        <v>4</v>
      </c>
      <c r="I1163" s="46" t="s">
        <v>4</v>
      </c>
      <c r="J1163" s="48">
        <v>1568.07</v>
      </c>
      <c r="K1163" s="47" t="s">
        <v>520</v>
      </c>
      <c r="L1163" s="47" t="s">
        <v>530</v>
      </c>
      <c r="M1163" s="46" t="s">
        <v>807</v>
      </c>
      <c r="N1163" s="47" t="s">
        <v>808</v>
      </c>
      <c r="O1163" s="44" t="s">
        <v>263</v>
      </c>
      <c r="P1163" s="47" t="s">
        <v>531</v>
      </c>
      <c r="Q1163" s="48">
        <v>39900</v>
      </c>
      <c r="R1163" s="49" t="s">
        <v>4</v>
      </c>
      <c r="S1163" s="48" t="s">
        <v>4</v>
      </c>
      <c r="T1163" s="47" t="s">
        <v>525</v>
      </c>
    </row>
    <row r="1164" spans="1:20">
      <c r="A1164" s="46">
        <v>139618771272</v>
      </c>
      <c r="B1164" s="44" t="s">
        <v>517</v>
      </c>
      <c r="C1164" s="45">
        <v>46017</v>
      </c>
      <c r="D1164" s="46">
        <v>55466394116</v>
      </c>
      <c r="E1164" s="46">
        <v>2160071191234</v>
      </c>
      <c r="F1164" s="47" t="s">
        <v>529</v>
      </c>
      <c r="G1164" s="47" t="s">
        <v>519</v>
      </c>
      <c r="H1164" s="47" t="s">
        <v>4</v>
      </c>
      <c r="I1164" s="46" t="s">
        <v>4</v>
      </c>
      <c r="J1164" s="48">
        <v>1689.9</v>
      </c>
      <c r="K1164" s="47" t="s">
        <v>520</v>
      </c>
      <c r="L1164" s="47" t="s">
        <v>530</v>
      </c>
      <c r="M1164" s="46" t="s">
        <v>660</v>
      </c>
      <c r="N1164" s="47" t="s">
        <v>661</v>
      </c>
      <c r="O1164" s="44" t="s">
        <v>263</v>
      </c>
      <c r="P1164" s="47" t="s">
        <v>531</v>
      </c>
      <c r="Q1164" s="48">
        <v>43000</v>
      </c>
      <c r="R1164" s="49" t="s">
        <v>4</v>
      </c>
      <c r="S1164" s="48" t="s">
        <v>4</v>
      </c>
      <c r="T1164" s="47" t="s">
        <v>525</v>
      </c>
    </row>
    <row r="1165" spans="1:20">
      <c r="A1165" s="46">
        <v>139619856274</v>
      </c>
      <c r="B1165" s="44" t="s">
        <v>517</v>
      </c>
      <c r="C1165" s="45">
        <v>46017</v>
      </c>
      <c r="D1165" s="46">
        <v>55466771694</v>
      </c>
      <c r="E1165" s="46">
        <v>2159914638589</v>
      </c>
      <c r="F1165" s="47" t="s">
        <v>562</v>
      </c>
      <c r="G1165" s="47" t="s">
        <v>519</v>
      </c>
      <c r="H1165" s="47" t="s">
        <v>4</v>
      </c>
      <c r="I1165" s="46" t="s">
        <v>4</v>
      </c>
      <c r="J1165" s="48">
        <v>81.5</v>
      </c>
      <c r="K1165" s="47" t="s">
        <v>520</v>
      </c>
      <c r="L1165" s="47" t="s">
        <v>521</v>
      </c>
      <c r="M1165" s="46" t="s">
        <v>807</v>
      </c>
      <c r="N1165" s="47" t="s">
        <v>808</v>
      </c>
      <c r="O1165" s="44" t="s">
        <v>4</v>
      </c>
      <c r="P1165" s="47" t="s">
        <v>563</v>
      </c>
      <c r="Q1165" s="48">
        <v>5000</v>
      </c>
      <c r="R1165" s="49" t="s">
        <v>4</v>
      </c>
      <c r="S1165" s="48" t="s">
        <v>4</v>
      </c>
      <c r="T1165" s="47" t="s">
        <v>525</v>
      </c>
    </row>
    <row r="1166" spans="1:20">
      <c r="A1166" s="46">
        <v>138973548859</v>
      </c>
      <c r="B1166" s="44" t="s">
        <v>517</v>
      </c>
      <c r="C1166" s="45">
        <v>46017</v>
      </c>
      <c r="D1166" s="46">
        <v>55466948614</v>
      </c>
      <c r="E1166" s="46">
        <v>2160084438626</v>
      </c>
      <c r="F1166" s="47" t="s">
        <v>526</v>
      </c>
      <c r="G1166" s="47" t="s">
        <v>519</v>
      </c>
      <c r="H1166" s="47" t="s">
        <v>4</v>
      </c>
      <c r="I1166" s="46" t="s">
        <v>4</v>
      </c>
      <c r="J1166" s="48">
        <v>365.69</v>
      </c>
      <c r="K1166" s="47" t="s">
        <v>520</v>
      </c>
      <c r="L1166" s="47" t="s">
        <v>521</v>
      </c>
      <c r="M1166" s="46" t="s">
        <v>660</v>
      </c>
      <c r="N1166" s="47" t="s">
        <v>661</v>
      </c>
      <c r="O1166" s="44" t="s">
        <v>4</v>
      </c>
      <c r="P1166" s="47" t="s">
        <v>527</v>
      </c>
      <c r="Q1166" s="48">
        <v>37700</v>
      </c>
      <c r="R1166" s="49" t="s">
        <v>4</v>
      </c>
      <c r="S1166" s="48" t="s">
        <v>4</v>
      </c>
      <c r="T1166" s="47" t="s">
        <v>4</v>
      </c>
    </row>
    <row r="1167" spans="1:20">
      <c r="A1167" s="46">
        <v>139620716118</v>
      </c>
      <c r="B1167" s="44" t="s">
        <v>517</v>
      </c>
      <c r="C1167" s="45">
        <v>46017</v>
      </c>
      <c r="D1167" s="46">
        <v>55467056341</v>
      </c>
      <c r="E1167" s="46">
        <v>2160087213992</v>
      </c>
      <c r="F1167" s="47" t="s">
        <v>518</v>
      </c>
      <c r="G1167" s="47" t="s">
        <v>519</v>
      </c>
      <c r="H1167" s="47" t="s">
        <v>4</v>
      </c>
      <c r="I1167" s="46" t="s">
        <v>4</v>
      </c>
      <c r="J1167" s="48">
        <v>730.56</v>
      </c>
      <c r="K1167" s="47" t="s">
        <v>520</v>
      </c>
      <c r="L1167" s="47" t="s">
        <v>521</v>
      </c>
      <c r="M1167" s="46" t="s">
        <v>807</v>
      </c>
      <c r="N1167" s="47" t="s">
        <v>808</v>
      </c>
      <c r="O1167" s="44" t="s">
        <v>4</v>
      </c>
      <c r="P1167" s="47" t="s">
        <v>1038</v>
      </c>
      <c r="Q1167" s="48">
        <v>9600</v>
      </c>
      <c r="R1167" s="49" t="s">
        <v>4</v>
      </c>
      <c r="S1167" s="48" t="s">
        <v>4</v>
      </c>
      <c r="T1167" s="47" t="s">
        <v>525</v>
      </c>
    </row>
    <row r="1168" spans="1:20">
      <c r="A1168" s="46">
        <v>139621844894</v>
      </c>
      <c r="B1168" s="44" t="s">
        <v>517</v>
      </c>
      <c r="C1168" s="45">
        <v>46017</v>
      </c>
      <c r="D1168" s="46">
        <v>55467547473</v>
      </c>
      <c r="E1168" s="46">
        <v>2159932469955</v>
      </c>
      <c r="F1168" s="47" t="s">
        <v>529</v>
      </c>
      <c r="G1168" s="47" t="s">
        <v>519</v>
      </c>
      <c r="H1168" s="47" t="s">
        <v>4</v>
      </c>
      <c r="I1168" s="46" t="s">
        <v>4</v>
      </c>
      <c r="J1168" s="48">
        <v>3603.81</v>
      </c>
      <c r="K1168" s="47" t="s">
        <v>520</v>
      </c>
      <c r="L1168" s="47" t="s">
        <v>530</v>
      </c>
      <c r="M1168" s="46" t="s">
        <v>807</v>
      </c>
      <c r="N1168" s="47" t="s">
        <v>808</v>
      </c>
      <c r="O1168" s="44" t="s">
        <v>263</v>
      </c>
      <c r="P1168" s="47" t="s">
        <v>531</v>
      </c>
      <c r="Q1168" s="48">
        <v>91700</v>
      </c>
      <c r="R1168" s="49" t="s">
        <v>4</v>
      </c>
      <c r="S1168" s="48" t="s">
        <v>4</v>
      </c>
      <c r="T1168" s="47" t="s">
        <v>525</v>
      </c>
    </row>
    <row r="1169" spans="1:20">
      <c r="A1169" s="46">
        <v>138975586959</v>
      </c>
      <c r="B1169" s="44" t="s">
        <v>517</v>
      </c>
      <c r="C1169" s="45">
        <v>46017</v>
      </c>
      <c r="D1169" s="46">
        <v>55467690884</v>
      </c>
      <c r="E1169" s="46">
        <v>2159935311299</v>
      </c>
      <c r="F1169" s="47" t="s">
        <v>529</v>
      </c>
      <c r="G1169" s="47" t="s">
        <v>519</v>
      </c>
      <c r="H1169" s="47" t="s">
        <v>4</v>
      </c>
      <c r="I1169" s="46" t="s">
        <v>4</v>
      </c>
      <c r="J1169" s="48">
        <v>2656.68</v>
      </c>
      <c r="K1169" s="47" t="s">
        <v>520</v>
      </c>
      <c r="L1169" s="47" t="s">
        <v>530</v>
      </c>
      <c r="M1169" s="46" t="s">
        <v>807</v>
      </c>
      <c r="N1169" s="47" t="s">
        <v>808</v>
      </c>
      <c r="O1169" s="44" t="s">
        <v>263</v>
      </c>
      <c r="P1169" s="47" t="s">
        <v>531</v>
      </c>
      <c r="Q1169" s="48">
        <v>67600</v>
      </c>
      <c r="R1169" s="49" t="s">
        <v>4</v>
      </c>
      <c r="S1169" s="48" t="s">
        <v>4</v>
      </c>
      <c r="T1169" s="47" t="s">
        <v>525</v>
      </c>
    </row>
    <row r="1170" spans="1:20">
      <c r="A1170" s="46">
        <v>139622764004</v>
      </c>
      <c r="B1170" s="44" t="s">
        <v>517</v>
      </c>
      <c r="C1170" s="45">
        <v>46017</v>
      </c>
      <c r="D1170" s="46">
        <v>55467924930</v>
      </c>
      <c r="E1170" s="46">
        <v>2159939166683</v>
      </c>
      <c r="F1170" s="47" t="s">
        <v>518</v>
      </c>
      <c r="G1170" s="47" t="s">
        <v>519</v>
      </c>
      <c r="H1170" s="47" t="s">
        <v>4</v>
      </c>
      <c r="I1170" s="46" t="s">
        <v>4</v>
      </c>
      <c r="J1170" s="48">
        <v>688.7</v>
      </c>
      <c r="K1170" s="47" t="s">
        <v>520</v>
      </c>
      <c r="L1170" s="47" t="s">
        <v>521</v>
      </c>
      <c r="M1170" s="46" t="s">
        <v>807</v>
      </c>
      <c r="N1170" s="47" t="s">
        <v>808</v>
      </c>
      <c r="O1170" s="44" t="s">
        <v>4</v>
      </c>
      <c r="P1170" s="47" t="s">
        <v>581</v>
      </c>
      <c r="Q1170" s="48">
        <v>71000</v>
      </c>
      <c r="R1170" s="49" t="s">
        <v>4</v>
      </c>
      <c r="S1170" s="48" t="s">
        <v>4</v>
      </c>
      <c r="T1170" s="47" t="s">
        <v>525</v>
      </c>
    </row>
    <row r="1171" spans="1:20">
      <c r="A1171" s="46">
        <v>138976300439</v>
      </c>
      <c r="B1171" s="44" t="s">
        <v>517</v>
      </c>
      <c r="C1171" s="45">
        <v>46017</v>
      </c>
      <c r="D1171" s="46">
        <v>55467997930</v>
      </c>
      <c r="E1171" s="46">
        <v>2159940831987</v>
      </c>
      <c r="F1171" s="47" t="s">
        <v>518</v>
      </c>
      <c r="G1171" s="47" t="s">
        <v>519</v>
      </c>
      <c r="H1171" s="47" t="s">
        <v>4</v>
      </c>
      <c r="I1171" s="46" t="s">
        <v>4</v>
      </c>
      <c r="J1171" s="48">
        <v>1050.51</v>
      </c>
      <c r="K1171" s="47" t="s">
        <v>520</v>
      </c>
      <c r="L1171" s="47" t="s">
        <v>521</v>
      </c>
      <c r="M1171" s="46" t="s">
        <v>807</v>
      </c>
      <c r="N1171" s="47" t="s">
        <v>808</v>
      </c>
      <c r="O1171" s="44" t="s">
        <v>4</v>
      </c>
      <c r="P1171" s="47" t="s">
        <v>1039</v>
      </c>
      <c r="Q1171" s="48">
        <v>108300</v>
      </c>
      <c r="R1171" s="49" t="s">
        <v>4</v>
      </c>
      <c r="S1171" s="48" t="s">
        <v>4</v>
      </c>
      <c r="T1171" s="47" t="s">
        <v>525</v>
      </c>
    </row>
    <row r="1172" spans="1:20">
      <c r="A1172" s="46">
        <v>139623660942</v>
      </c>
      <c r="B1172" s="44" t="s">
        <v>517</v>
      </c>
      <c r="C1172" s="45">
        <v>46017</v>
      </c>
      <c r="D1172" s="46">
        <v>55468285349</v>
      </c>
      <c r="E1172" s="46">
        <v>2160111804824</v>
      </c>
      <c r="F1172" s="47" t="s">
        <v>518</v>
      </c>
      <c r="G1172" s="47" t="s">
        <v>519</v>
      </c>
      <c r="H1172" s="47" t="s">
        <v>4</v>
      </c>
      <c r="I1172" s="46" t="s">
        <v>4</v>
      </c>
      <c r="J1172" s="48">
        <v>83.42</v>
      </c>
      <c r="K1172" s="47" t="s">
        <v>520</v>
      </c>
      <c r="L1172" s="47" t="s">
        <v>521</v>
      </c>
      <c r="M1172" s="46" t="s">
        <v>660</v>
      </c>
      <c r="N1172" s="47" t="s">
        <v>661</v>
      </c>
      <c r="O1172" s="44" t="s">
        <v>4</v>
      </c>
      <c r="P1172" s="47" t="s">
        <v>1040</v>
      </c>
      <c r="Q1172" s="48">
        <v>8600</v>
      </c>
      <c r="R1172" s="49" t="s">
        <v>4</v>
      </c>
      <c r="S1172" s="48" t="s">
        <v>4</v>
      </c>
      <c r="T1172" s="47" t="s">
        <v>525</v>
      </c>
    </row>
    <row r="1173" spans="1:20">
      <c r="A1173" s="46">
        <v>139624260564</v>
      </c>
      <c r="B1173" s="44" t="s">
        <v>517</v>
      </c>
      <c r="C1173" s="45">
        <v>46018</v>
      </c>
      <c r="D1173" s="46">
        <v>55468534768</v>
      </c>
      <c r="E1173" s="46">
        <v>2159949569045</v>
      </c>
      <c r="F1173" s="47" t="s">
        <v>529</v>
      </c>
      <c r="G1173" s="47" t="s">
        <v>519</v>
      </c>
      <c r="H1173" s="47" t="s">
        <v>4</v>
      </c>
      <c r="I1173" s="46" t="s">
        <v>4</v>
      </c>
      <c r="J1173" s="48">
        <v>837.1</v>
      </c>
      <c r="K1173" s="47" t="s">
        <v>520</v>
      </c>
      <c r="L1173" s="47" t="s">
        <v>530</v>
      </c>
      <c r="M1173" s="46" t="s">
        <v>807</v>
      </c>
      <c r="N1173" s="47" t="s">
        <v>808</v>
      </c>
      <c r="O1173" s="44" t="s">
        <v>263</v>
      </c>
      <c r="P1173" s="47" t="s">
        <v>531</v>
      </c>
      <c r="Q1173" s="48">
        <v>11000</v>
      </c>
      <c r="R1173" s="49" t="s">
        <v>4</v>
      </c>
      <c r="S1173" s="48" t="s">
        <v>4</v>
      </c>
      <c r="T1173" s="47" t="s">
        <v>525</v>
      </c>
    </row>
    <row r="1174" spans="1:20">
      <c r="A1174" s="46">
        <v>139625026608</v>
      </c>
      <c r="B1174" s="44" t="s">
        <v>517</v>
      </c>
      <c r="C1174" s="45">
        <v>46018</v>
      </c>
      <c r="D1174" s="46">
        <v>55468779483</v>
      </c>
      <c r="E1174" s="46">
        <v>2160120571000</v>
      </c>
      <c r="F1174" s="47" t="s">
        <v>518</v>
      </c>
      <c r="G1174" s="47" t="s">
        <v>519</v>
      </c>
      <c r="H1174" s="47" t="s">
        <v>4</v>
      </c>
      <c r="I1174" s="46" t="s">
        <v>4</v>
      </c>
      <c r="J1174" s="48">
        <v>506.34</v>
      </c>
      <c r="K1174" s="47" t="s">
        <v>520</v>
      </c>
      <c r="L1174" s="47" t="s">
        <v>521</v>
      </c>
      <c r="M1174" s="46" t="s">
        <v>807</v>
      </c>
      <c r="N1174" s="47" t="s">
        <v>808</v>
      </c>
      <c r="O1174" s="44" t="s">
        <v>4</v>
      </c>
      <c r="P1174" s="47" t="s">
        <v>1041</v>
      </c>
      <c r="Q1174" s="48">
        <v>52200</v>
      </c>
      <c r="R1174" s="49" t="s">
        <v>4</v>
      </c>
      <c r="S1174" s="48" t="s">
        <v>4</v>
      </c>
      <c r="T1174" s="47" t="s">
        <v>525</v>
      </c>
    </row>
    <row r="1175" spans="1:20">
      <c r="A1175" s="46">
        <v>138978259553</v>
      </c>
      <c r="B1175" s="44" t="s">
        <v>517</v>
      </c>
      <c r="C1175" s="45">
        <v>46018</v>
      </c>
      <c r="D1175" s="46">
        <v>55468820986</v>
      </c>
      <c r="E1175" s="46">
        <v>2160121405666</v>
      </c>
      <c r="F1175" s="47" t="s">
        <v>529</v>
      </c>
      <c r="G1175" s="47" t="s">
        <v>519</v>
      </c>
      <c r="H1175" s="47" t="s">
        <v>4</v>
      </c>
      <c r="I1175" s="46" t="s">
        <v>4</v>
      </c>
      <c r="J1175" s="48">
        <v>358.66</v>
      </c>
      <c r="K1175" s="47" t="s">
        <v>520</v>
      </c>
      <c r="L1175" s="47" t="s">
        <v>530</v>
      </c>
      <c r="M1175" s="46" t="s">
        <v>807</v>
      </c>
      <c r="N1175" s="47" t="s">
        <v>808</v>
      </c>
      <c r="O1175" s="44" t="s">
        <v>263</v>
      </c>
      <c r="P1175" s="47" t="s">
        <v>531</v>
      </c>
      <c r="Q1175" s="48">
        <v>7900</v>
      </c>
      <c r="R1175" s="49" t="s">
        <v>4</v>
      </c>
      <c r="S1175" s="48" t="s">
        <v>4</v>
      </c>
      <c r="T1175" s="47" t="s">
        <v>525</v>
      </c>
    </row>
    <row r="1176" spans="1:20">
      <c r="A1176" s="46">
        <v>139625329332</v>
      </c>
      <c r="B1176" s="44" t="s">
        <v>517</v>
      </c>
      <c r="C1176" s="45">
        <v>46018</v>
      </c>
      <c r="D1176" s="46">
        <v>55468931658</v>
      </c>
      <c r="E1176" s="46">
        <v>2159957367771</v>
      </c>
      <c r="F1176" s="47" t="s">
        <v>529</v>
      </c>
      <c r="G1176" s="47" t="s">
        <v>519</v>
      </c>
      <c r="H1176" s="47" t="s">
        <v>4</v>
      </c>
      <c r="I1176" s="46" t="s">
        <v>4</v>
      </c>
      <c r="J1176" s="48">
        <v>2684.19</v>
      </c>
      <c r="K1176" s="47" t="s">
        <v>520</v>
      </c>
      <c r="L1176" s="47" t="s">
        <v>530</v>
      </c>
      <c r="M1176" s="46" t="s">
        <v>807</v>
      </c>
      <c r="N1176" s="47" t="s">
        <v>808</v>
      </c>
      <c r="O1176" s="44" t="s">
        <v>263</v>
      </c>
      <c r="P1176" s="47" t="s">
        <v>531</v>
      </c>
      <c r="Q1176" s="48">
        <v>68300</v>
      </c>
      <c r="R1176" s="49" t="s">
        <v>4</v>
      </c>
      <c r="S1176" s="48" t="s">
        <v>4</v>
      </c>
      <c r="T1176" s="47" t="s">
        <v>525</v>
      </c>
    </row>
    <row r="1177" spans="1:20">
      <c r="A1177" s="46">
        <v>138978844689</v>
      </c>
      <c r="B1177" s="44" t="s">
        <v>517</v>
      </c>
      <c r="C1177" s="45">
        <v>46018</v>
      </c>
      <c r="D1177" s="46">
        <v>55469007202</v>
      </c>
      <c r="E1177" s="46">
        <v>2160124468174</v>
      </c>
      <c r="F1177" s="47" t="s">
        <v>518</v>
      </c>
      <c r="G1177" s="47" t="s">
        <v>519</v>
      </c>
      <c r="H1177" s="47" t="s">
        <v>4</v>
      </c>
      <c r="I1177" s="46" t="s">
        <v>4</v>
      </c>
      <c r="J1177" s="48">
        <v>739.14</v>
      </c>
      <c r="K1177" s="47" t="s">
        <v>520</v>
      </c>
      <c r="L1177" s="47" t="s">
        <v>521</v>
      </c>
      <c r="M1177" s="46" t="s">
        <v>807</v>
      </c>
      <c r="N1177" s="47" t="s">
        <v>808</v>
      </c>
      <c r="O1177" s="44" t="s">
        <v>4</v>
      </c>
      <c r="P1177" s="47" t="s">
        <v>1042</v>
      </c>
      <c r="Q1177" s="48">
        <v>76200</v>
      </c>
      <c r="R1177" s="49" t="s">
        <v>4</v>
      </c>
      <c r="S1177" s="48" t="s">
        <v>4</v>
      </c>
      <c r="T1177" s="47" t="s">
        <v>525</v>
      </c>
    </row>
    <row r="1178" spans="1:20">
      <c r="A1178" s="46">
        <v>138978851547</v>
      </c>
      <c r="B1178" s="44" t="s">
        <v>517</v>
      </c>
      <c r="C1178" s="45">
        <v>46018</v>
      </c>
      <c r="D1178" s="46">
        <v>55469033517</v>
      </c>
      <c r="E1178" s="46">
        <v>2159958621877</v>
      </c>
      <c r="F1178" s="47" t="s">
        <v>518</v>
      </c>
      <c r="G1178" s="47" t="s">
        <v>519</v>
      </c>
      <c r="H1178" s="47" t="s">
        <v>4</v>
      </c>
      <c r="I1178" s="46" t="s">
        <v>4</v>
      </c>
      <c r="J1178" s="48">
        <v>155.19999999999999</v>
      </c>
      <c r="K1178" s="47" t="s">
        <v>520</v>
      </c>
      <c r="L1178" s="47" t="s">
        <v>521</v>
      </c>
      <c r="M1178" s="46" t="s">
        <v>807</v>
      </c>
      <c r="N1178" s="47" t="s">
        <v>808</v>
      </c>
      <c r="O1178" s="44" t="s">
        <v>4</v>
      </c>
      <c r="P1178" s="47" t="s">
        <v>814</v>
      </c>
      <c r="Q1178" s="48">
        <v>16000</v>
      </c>
      <c r="R1178" s="49" t="s">
        <v>4</v>
      </c>
      <c r="S1178" s="48" t="s">
        <v>4</v>
      </c>
      <c r="T1178" s="47" t="s">
        <v>525</v>
      </c>
    </row>
    <row r="1179" spans="1:20">
      <c r="A1179" s="46">
        <v>139626692140</v>
      </c>
      <c r="B1179" s="44" t="s">
        <v>517</v>
      </c>
      <c r="C1179" s="45">
        <v>46018</v>
      </c>
      <c r="D1179" s="46">
        <v>55469456156</v>
      </c>
      <c r="E1179" s="46">
        <v>2160131326146</v>
      </c>
      <c r="F1179" s="47" t="s">
        <v>518</v>
      </c>
      <c r="G1179" s="47" t="s">
        <v>519</v>
      </c>
      <c r="H1179" s="47" t="s">
        <v>4</v>
      </c>
      <c r="I1179" s="46" t="s">
        <v>4</v>
      </c>
      <c r="J1179" s="48">
        <v>420.98</v>
      </c>
      <c r="K1179" s="47" t="s">
        <v>520</v>
      </c>
      <c r="L1179" s="47" t="s">
        <v>521</v>
      </c>
      <c r="M1179" s="46" t="s">
        <v>807</v>
      </c>
      <c r="N1179" s="47" t="s">
        <v>808</v>
      </c>
      <c r="O1179" s="44" t="s">
        <v>4</v>
      </c>
      <c r="P1179" s="47" t="s">
        <v>1043</v>
      </c>
      <c r="Q1179" s="48">
        <v>43400</v>
      </c>
      <c r="R1179" s="49" t="s">
        <v>4</v>
      </c>
      <c r="S1179" s="48" t="s">
        <v>4</v>
      </c>
      <c r="T1179" s="47" t="s">
        <v>525</v>
      </c>
    </row>
    <row r="1180" spans="1:20">
      <c r="A1180" s="46">
        <v>138979990983</v>
      </c>
      <c r="B1180" s="44" t="s">
        <v>517</v>
      </c>
      <c r="C1180" s="45">
        <v>46018</v>
      </c>
      <c r="D1180" s="46">
        <v>55469511889</v>
      </c>
      <c r="E1180" s="46">
        <v>2160132519320</v>
      </c>
      <c r="F1180" s="47" t="s">
        <v>526</v>
      </c>
      <c r="G1180" s="47" t="s">
        <v>519</v>
      </c>
      <c r="H1180" s="47" t="s">
        <v>4</v>
      </c>
      <c r="I1180" s="46" t="s">
        <v>4</v>
      </c>
      <c r="J1180" s="48">
        <v>765.33</v>
      </c>
      <c r="K1180" s="47" t="s">
        <v>520</v>
      </c>
      <c r="L1180" s="47" t="s">
        <v>521</v>
      </c>
      <c r="M1180" s="46" t="s">
        <v>807</v>
      </c>
      <c r="N1180" s="47" t="s">
        <v>808</v>
      </c>
      <c r="O1180" s="44" t="s">
        <v>4</v>
      </c>
      <c r="P1180" s="47" t="s">
        <v>527</v>
      </c>
      <c r="Q1180" s="48">
        <v>78900</v>
      </c>
      <c r="R1180" s="49" t="s">
        <v>4</v>
      </c>
      <c r="S1180" s="48" t="s">
        <v>4</v>
      </c>
      <c r="T1180" s="47" t="s">
        <v>4</v>
      </c>
    </row>
    <row r="1181" spans="1:20">
      <c r="A1181" s="46">
        <v>139626843748</v>
      </c>
      <c r="B1181" s="44" t="s">
        <v>517</v>
      </c>
      <c r="C1181" s="45">
        <v>46018</v>
      </c>
      <c r="D1181" s="46">
        <v>55469551929</v>
      </c>
      <c r="E1181" s="46">
        <v>2159967366371</v>
      </c>
      <c r="F1181" s="47" t="s">
        <v>518</v>
      </c>
      <c r="G1181" s="47" t="s">
        <v>519</v>
      </c>
      <c r="H1181" s="47" t="s">
        <v>4</v>
      </c>
      <c r="I1181" s="46" t="s">
        <v>4</v>
      </c>
      <c r="J1181" s="48">
        <v>48.5</v>
      </c>
      <c r="K1181" s="47" t="s">
        <v>520</v>
      </c>
      <c r="L1181" s="47" t="s">
        <v>521</v>
      </c>
      <c r="M1181" s="46" t="s">
        <v>807</v>
      </c>
      <c r="N1181" s="47" t="s">
        <v>808</v>
      </c>
      <c r="O1181" s="44" t="s">
        <v>4</v>
      </c>
      <c r="P1181" s="47" t="s">
        <v>1044</v>
      </c>
      <c r="Q1181" s="48">
        <v>5000</v>
      </c>
      <c r="R1181" s="49" t="s">
        <v>4</v>
      </c>
      <c r="S1181" s="48" t="s">
        <v>4</v>
      </c>
      <c r="T1181" s="47" t="s">
        <v>525</v>
      </c>
    </row>
    <row r="1182" spans="1:20">
      <c r="A1182" s="46">
        <v>138980531813</v>
      </c>
      <c r="B1182" s="44" t="s">
        <v>517</v>
      </c>
      <c r="C1182" s="45">
        <v>46018</v>
      </c>
      <c r="D1182" s="46">
        <v>55469743973</v>
      </c>
      <c r="E1182" s="46">
        <v>2160136055106</v>
      </c>
      <c r="F1182" s="47" t="s">
        <v>529</v>
      </c>
      <c r="G1182" s="47" t="s">
        <v>519</v>
      </c>
      <c r="H1182" s="47" t="s">
        <v>4</v>
      </c>
      <c r="I1182" s="46" t="s">
        <v>4</v>
      </c>
      <c r="J1182" s="48">
        <v>463.74</v>
      </c>
      <c r="K1182" s="47" t="s">
        <v>520</v>
      </c>
      <c r="L1182" s="47" t="s">
        <v>530</v>
      </c>
      <c r="M1182" s="46" t="s">
        <v>807</v>
      </c>
      <c r="N1182" s="47" t="s">
        <v>808</v>
      </c>
      <c r="O1182" s="44" t="s">
        <v>263</v>
      </c>
      <c r="P1182" s="47" t="s">
        <v>531</v>
      </c>
      <c r="Q1182" s="48">
        <v>11800</v>
      </c>
      <c r="R1182" s="49" t="s">
        <v>4</v>
      </c>
      <c r="S1182" s="48" t="s">
        <v>4</v>
      </c>
      <c r="T1182" s="47" t="s">
        <v>525</v>
      </c>
    </row>
    <row r="1183" spans="1:20">
      <c r="A1183" s="46">
        <v>138981018173</v>
      </c>
      <c r="B1183" s="44" t="s">
        <v>517</v>
      </c>
      <c r="C1183" s="45">
        <v>46018</v>
      </c>
      <c r="D1183" s="46">
        <v>55469925950</v>
      </c>
      <c r="E1183" s="46">
        <v>2160138439784</v>
      </c>
      <c r="F1183" s="47" t="s">
        <v>518</v>
      </c>
      <c r="G1183" s="47" t="s">
        <v>519</v>
      </c>
      <c r="H1183" s="47" t="s">
        <v>4</v>
      </c>
      <c r="I1183" s="46" t="s">
        <v>4</v>
      </c>
      <c r="J1183" s="48">
        <v>280.33</v>
      </c>
      <c r="K1183" s="47" t="s">
        <v>520</v>
      </c>
      <c r="L1183" s="47" t="s">
        <v>521</v>
      </c>
      <c r="M1183" s="46" t="s">
        <v>807</v>
      </c>
      <c r="N1183" s="47" t="s">
        <v>808</v>
      </c>
      <c r="O1183" s="44" t="s">
        <v>4</v>
      </c>
      <c r="P1183" s="47" t="s">
        <v>1045</v>
      </c>
      <c r="Q1183" s="48">
        <v>28900</v>
      </c>
      <c r="R1183" s="49" t="s">
        <v>4</v>
      </c>
      <c r="S1183" s="48" t="s">
        <v>4</v>
      </c>
      <c r="T1183" s="47" t="s">
        <v>525</v>
      </c>
    </row>
    <row r="1184" spans="1:20">
      <c r="A1184" s="46">
        <v>139627710518</v>
      </c>
      <c r="B1184" s="44" t="s">
        <v>517</v>
      </c>
      <c r="C1184" s="45">
        <v>46018</v>
      </c>
      <c r="D1184" s="46">
        <v>55469931840</v>
      </c>
      <c r="E1184" s="46">
        <v>2160138962094</v>
      </c>
      <c r="F1184" s="47" t="s">
        <v>529</v>
      </c>
      <c r="G1184" s="47" t="s">
        <v>519</v>
      </c>
      <c r="H1184" s="47" t="s">
        <v>4</v>
      </c>
      <c r="I1184" s="46" t="s">
        <v>4</v>
      </c>
      <c r="J1184" s="48">
        <v>1693.42</v>
      </c>
      <c r="K1184" s="47" t="s">
        <v>520</v>
      </c>
      <c r="L1184" s="47" t="s">
        <v>530</v>
      </c>
      <c r="M1184" s="46" t="s">
        <v>807</v>
      </c>
      <c r="N1184" s="47" t="s">
        <v>808</v>
      </c>
      <c r="O1184" s="44" t="s">
        <v>263</v>
      </c>
      <c r="P1184" s="47" t="s">
        <v>531</v>
      </c>
      <c r="Q1184" s="48">
        <v>37300</v>
      </c>
      <c r="R1184" s="49" t="s">
        <v>4</v>
      </c>
      <c r="S1184" s="48" t="s">
        <v>4</v>
      </c>
      <c r="T1184" s="47" t="s">
        <v>525</v>
      </c>
    </row>
    <row r="1185" spans="1:20">
      <c r="A1185" s="46">
        <v>138981406123</v>
      </c>
      <c r="B1185" s="44" t="s">
        <v>517</v>
      </c>
      <c r="C1185" s="45">
        <v>46018</v>
      </c>
      <c r="D1185" s="46">
        <v>55470124376</v>
      </c>
      <c r="E1185" s="46">
        <v>2160141371812</v>
      </c>
      <c r="F1185" s="47" t="s">
        <v>518</v>
      </c>
      <c r="G1185" s="47" t="s">
        <v>519</v>
      </c>
      <c r="H1185" s="47" t="s">
        <v>4</v>
      </c>
      <c r="I1185" s="46" t="s">
        <v>4</v>
      </c>
      <c r="J1185" s="48">
        <v>301.67</v>
      </c>
      <c r="K1185" s="47" t="s">
        <v>520</v>
      </c>
      <c r="L1185" s="47" t="s">
        <v>521</v>
      </c>
      <c r="M1185" s="46" t="s">
        <v>660</v>
      </c>
      <c r="N1185" s="47" t="s">
        <v>661</v>
      </c>
      <c r="O1185" s="44" t="s">
        <v>4</v>
      </c>
      <c r="P1185" s="47" t="s">
        <v>1046</v>
      </c>
      <c r="Q1185" s="48">
        <v>31100</v>
      </c>
      <c r="R1185" s="49" t="s">
        <v>4</v>
      </c>
      <c r="S1185" s="48" t="s">
        <v>4</v>
      </c>
      <c r="T1185" s="47" t="s">
        <v>525</v>
      </c>
    </row>
    <row r="1186" spans="1:20">
      <c r="A1186" s="46">
        <v>139628504836</v>
      </c>
      <c r="B1186" s="44" t="s">
        <v>517</v>
      </c>
      <c r="C1186" s="45">
        <v>46018</v>
      </c>
      <c r="D1186" s="46">
        <v>55470325915</v>
      </c>
      <c r="E1186" s="46">
        <v>2159977697659</v>
      </c>
      <c r="F1186" s="47" t="s">
        <v>518</v>
      </c>
      <c r="G1186" s="47" t="s">
        <v>519</v>
      </c>
      <c r="H1186" s="47" t="s">
        <v>4</v>
      </c>
      <c r="I1186" s="46" t="s">
        <v>4</v>
      </c>
      <c r="J1186" s="48">
        <v>97</v>
      </c>
      <c r="K1186" s="47" t="s">
        <v>520</v>
      </c>
      <c r="L1186" s="47" t="s">
        <v>521</v>
      </c>
      <c r="M1186" s="46" t="s">
        <v>807</v>
      </c>
      <c r="N1186" s="47" t="s">
        <v>808</v>
      </c>
      <c r="O1186" s="44" t="s">
        <v>4</v>
      </c>
      <c r="P1186" s="47" t="s">
        <v>1047</v>
      </c>
      <c r="Q1186" s="48">
        <v>10000</v>
      </c>
      <c r="R1186" s="49" t="s">
        <v>4</v>
      </c>
      <c r="S1186" s="48" t="s">
        <v>4</v>
      </c>
      <c r="T1186" s="47" t="s">
        <v>525</v>
      </c>
    </row>
    <row r="1187" spans="1:20">
      <c r="A1187" s="46">
        <v>139628583816</v>
      </c>
      <c r="B1187" s="44" t="s">
        <v>517</v>
      </c>
      <c r="C1187" s="45">
        <v>46018</v>
      </c>
      <c r="D1187" s="46">
        <v>55470388854</v>
      </c>
      <c r="E1187" s="46">
        <v>2159978847305</v>
      </c>
      <c r="F1187" s="47" t="s">
        <v>526</v>
      </c>
      <c r="G1187" s="47" t="s">
        <v>519</v>
      </c>
      <c r="H1187" s="47" t="s">
        <v>4</v>
      </c>
      <c r="I1187" s="46" t="s">
        <v>4</v>
      </c>
      <c r="J1187" s="48">
        <v>188.18</v>
      </c>
      <c r="K1187" s="47" t="s">
        <v>520</v>
      </c>
      <c r="L1187" s="47" t="s">
        <v>521</v>
      </c>
      <c r="M1187" s="46" t="s">
        <v>807</v>
      </c>
      <c r="N1187" s="47" t="s">
        <v>808</v>
      </c>
      <c r="O1187" s="44" t="s">
        <v>4</v>
      </c>
      <c r="P1187" s="47" t="s">
        <v>527</v>
      </c>
      <c r="Q1187" s="48">
        <v>19400</v>
      </c>
      <c r="R1187" s="49" t="s">
        <v>4</v>
      </c>
      <c r="S1187" s="48" t="s">
        <v>4</v>
      </c>
      <c r="T1187" s="47" t="s">
        <v>4</v>
      </c>
    </row>
    <row r="1188" spans="1:20">
      <c r="A1188" s="46">
        <v>138982147639</v>
      </c>
      <c r="B1188" s="44" t="s">
        <v>517</v>
      </c>
      <c r="C1188" s="45">
        <v>46018</v>
      </c>
      <c r="D1188" s="46">
        <v>55470483673</v>
      </c>
      <c r="E1188" s="46">
        <v>2159980460763</v>
      </c>
      <c r="F1188" s="47" t="s">
        <v>518</v>
      </c>
      <c r="G1188" s="47" t="s">
        <v>519</v>
      </c>
      <c r="H1188" s="47" t="s">
        <v>4</v>
      </c>
      <c r="I1188" s="46" t="s">
        <v>4</v>
      </c>
      <c r="J1188" s="48">
        <v>48.5</v>
      </c>
      <c r="K1188" s="47" t="s">
        <v>520</v>
      </c>
      <c r="L1188" s="47" t="s">
        <v>521</v>
      </c>
      <c r="M1188" s="46" t="s">
        <v>807</v>
      </c>
      <c r="N1188" s="47" t="s">
        <v>808</v>
      </c>
      <c r="O1188" s="44" t="s">
        <v>4</v>
      </c>
      <c r="P1188" s="47" t="s">
        <v>1048</v>
      </c>
      <c r="Q1188" s="48">
        <v>5000</v>
      </c>
      <c r="R1188" s="49" t="s">
        <v>4</v>
      </c>
      <c r="S1188" s="48" t="s">
        <v>4</v>
      </c>
      <c r="T1188" s="47" t="s">
        <v>525</v>
      </c>
    </row>
    <row r="1189" spans="1:20">
      <c r="A1189" s="46">
        <v>138982236909</v>
      </c>
      <c r="B1189" s="44" t="s">
        <v>517</v>
      </c>
      <c r="C1189" s="45">
        <v>46018</v>
      </c>
      <c r="D1189" s="46">
        <v>55470513274</v>
      </c>
      <c r="E1189" s="46">
        <v>2160146644870</v>
      </c>
      <c r="F1189" s="47" t="s">
        <v>526</v>
      </c>
      <c r="G1189" s="47" t="s">
        <v>519</v>
      </c>
      <c r="H1189" s="47" t="s">
        <v>4</v>
      </c>
      <c r="I1189" s="46" t="s">
        <v>4</v>
      </c>
      <c r="J1189" s="48">
        <v>53.35</v>
      </c>
      <c r="K1189" s="47" t="s">
        <v>520</v>
      </c>
      <c r="L1189" s="47" t="s">
        <v>521</v>
      </c>
      <c r="M1189" s="46" t="s">
        <v>807</v>
      </c>
      <c r="N1189" s="47" t="s">
        <v>808</v>
      </c>
      <c r="O1189" s="44" t="s">
        <v>4</v>
      </c>
      <c r="P1189" s="47" t="s">
        <v>527</v>
      </c>
      <c r="Q1189" s="48">
        <v>5500</v>
      </c>
      <c r="R1189" s="49" t="s">
        <v>4</v>
      </c>
      <c r="S1189" s="48" t="s">
        <v>4</v>
      </c>
      <c r="T1189" s="47" t="s">
        <v>4</v>
      </c>
    </row>
    <row r="1190" spans="1:20">
      <c r="A1190" s="46">
        <v>138982300437</v>
      </c>
      <c r="B1190" s="44" t="s">
        <v>517</v>
      </c>
      <c r="C1190" s="45">
        <v>46018</v>
      </c>
      <c r="D1190" s="46">
        <v>55470521208</v>
      </c>
      <c r="E1190" s="46">
        <v>2159981013347</v>
      </c>
      <c r="F1190" s="47" t="s">
        <v>526</v>
      </c>
      <c r="G1190" s="47" t="s">
        <v>519</v>
      </c>
      <c r="H1190" s="47" t="s">
        <v>4</v>
      </c>
      <c r="I1190" s="46" t="s">
        <v>4</v>
      </c>
      <c r="J1190" s="48">
        <v>53.35</v>
      </c>
      <c r="K1190" s="47" t="s">
        <v>520</v>
      </c>
      <c r="L1190" s="47" t="s">
        <v>521</v>
      </c>
      <c r="M1190" s="46" t="s">
        <v>807</v>
      </c>
      <c r="N1190" s="47" t="s">
        <v>808</v>
      </c>
      <c r="O1190" s="44" t="s">
        <v>4</v>
      </c>
      <c r="P1190" s="47" t="s">
        <v>527</v>
      </c>
      <c r="Q1190" s="48">
        <v>5500</v>
      </c>
      <c r="R1190" s="49" t="s">
        <v>4</v>
      </c>
      <c r="S1190" s="48" t="s">
        <v>4</v>
      </c>
      <c r="T1190" s="47" t="s">
        <v>4</v>
      </c>
    </row>
    <row r="1191" spans="1:20">
      <c r="A1191" s="46">
        <v>138982362887</v>
      </c>
      <c r="B1191" s="44" t="s">
        <v>517</v>
      </c>
      <c r="C1191" s="45">
        <v>46018</v>
      </c>
      <c r="D1191" s="46">
        <v>55470587748</v>
      </c>
      <c r="E1191" s="46">
        <v>2160147655462</v>
      </c>
      <c r="F1191" s="47" t="s">
        <v>526</v>
      </c>
      <c r="G1191" s="47" t="s">
        <v>519</v>
      </c>
      <c r="H1191" s="47" t="s">
        <v>4</v>
      </c>
      <c r="I1191" s="46" t="s">
        <v>4</v>
      </c>
      <c r="J1191" s="48">
        <v>46.56</v>
      </c>
      <c r="K1191" s="47" t="s">
        <v>520</v>
      </c>
      <c r="L1191" s="47" t="s">
        <v>521</v>
      </c>
      <c r="M1191" s="46" t="s">
        <v>807</v>
      </c>
      <c r="N1191" s="47" t="s">
        <v>808</v>
      </c>
      <c r="O1191" s="44" t="s">
        <v>4</v>
      </c>
      <c r="P1191" s="47" t="s">
        <v>527</v>
      </c>
      <c r="Q1191" s="48">
        <v>4800</v>
      </c>
      <c r="R1191" s="49" t="s">
        <v>4</v>
      </c>
      <c r="S1191" s="48" t="s">
        <v>4</v>
      </c>
      <c r="T1191" s="47" t="s">
        <v>4</v>
      </c>
    </row>
    <row r="1192" spans="1:20">
      <c r="A1192" s="46">
        <v>138982602723</v>
      </c>
      <c r="B1192" s="44" t="s">
        <v>517</v>
      </c>
      <c r="C1192" s="45">
        <v>46018</v>
      </c>
      <c r="D1192" s="46">
        <v>55470681374</v>
      </c>
      <c r="E1192" s="46">
        <v>2159983105287</v>
      </c>
      <c r="F1192" s="47" t="s">
        <v>526</v>
      </c>
      <c r="G1192" s="47" t="s">
        <v>519</v>
      </c>
      <c r="H1192" s="47" t="s">
        <v>4</v>
      </c>
      <c r="I1192" s="46" t="s">
        <v>4</v>
      </c>
      <c r="J1192" s="48">
        <v>133.86000000000001</v>
      </c>
      <c r="K1192" s="47" t="s">
        <v>520</v>
      </c>
      <c r="L1192" s="47" t="s">
        <v>521</v>
      </c>
      <c r="M1192" s="46" t="s">
        <v>807</v>
      </c>
      <c r="N1192" s="47" t="s">
        <v>808</v>
      </c>
      <c r="O1192" s="44" t="s">
        <v>4</v>
      </c>
      <c r="P1192" s="47" t="s">
        <v>527</v>
      </c>
      <c r="Q1192" s="48">
        <v>13800</v>
      </c>
      <c r="R1192" s="49" t="s">
        <v>4</v>
      </c>
      <c r="S1192" s="48" t="s">
        <v>4</v>
      </c>
      <c r="T1192" s="47" t="s">
        <v>4</v>
      </c>
    </row>
    <row r="1193" spans="1:20">
      <c r="A1193" s="46">
        <v>138982952411</v>
      </c>
      <c r="B1193" s="44" t="s">
        <v>517</v>
      </c>
      <c r="C1193" s="45">
        <v>46018</v>
      </c>
      <c r="D1193" s="46">
        <v>55470862148</v>
      </c>
      <c r="E1193" s="46">
        <v>2160151820488</v>
      </c>
      <c r="F1193" s="47" t="s">
        <v>518</v>
      </c>
      <c r="G1193" s="47" t="s">
        <v>519</v>
      </c>
      <c r="H1193" s="47" t="s">
        <v>4</v>
      </c>
      <c r="I1193" s="46" t="s">
        <v>4</v>
      </c>
      <c r="J1193" s="48">
        <v>48.5</v>
      </c>
      <c r="K1193" s="47" t="s">
        <v>520</v>
      </c>
      <c r="L1193" s="47" t="s">
        <v>521</v>
      </c>
      <c r="M1193" s="46" t="s">
        <v>807</v>
      </c>
      <c r="N1193" s="47" t="s">
        <v>808</v>
      </c>
      <c r="O1193" s="44" t="s">
        <v>4</v>
      </c>
      <c r="P1193" s="47" t="s">
        <v>1044</v>
      </c>
      <c r="Q1193" s="48">
        <v>5000</v>
      </c>
      <c r="R1193" s="49" t="s">
        <v>4</v>
      </c>
      <c r="S1193" s="48" t="s">
        <v>4</v>
      </c>
      <c r="T1193" s="47" t="s">
        <v>525</v>
      </c>
    </row>
    <row r="1194" spans="1:20">
      <c r="A1194" s="46">
        <v>138982968973</v>
      </c>
      <c r="B1194" s="44" t="s">
        <v>517</v>
      </c>
      <c r="C1194" s="45">
        <v>46018</v>
      </c>
      <c r="D1194" s="46">
        <v>55470889365</v>
      </c>
      <c r="E1194" s="46">
        <v>2159986147611</v>
      </c>
      <c r="F1194" s="47" t="s">
        <v>529</v>
      </c>
      <c r="G1194" s="47" t="s">
        <v>519</v>
      </c>
      <c r="H1194" s="47" t="s">
        <v>4</v>
      </c>
      <c r="I1194" s="46" t="s">
        <v>4</v>
      </c>
      <c r="J1194" s="48">
        <v>1210.44</v>
      </c>
      <c r="K1194" s="47" t="s">
        <v>520</v>
      </c>
      <c r="L1194" s="47" t="s">
        <v>530</v>
      </c>
      <c r="M1194" s="46" t="s">
        <v>807</v>
      </c>
      <c r="N1194" s="47" t="s">
        <v>808</v>
      </c>
      <c r="O1194" s="44" t="s">
        <v>263</v>
      </c>
      <c r="P1194" s="47" t="s">
        <v>531</v>
      </c>
      <c r="Q1194" s="48">
        <v>30800</v>
      </c>
      <c r="R1194" s="49" t="s">
        <v>4</v>
      </c>
      <c r="S1194" s="48" t="s">
        <v>4</v>
      </c>
      <c r="T1194" s="47" t="s">
        <v>525</v>
      </c>
    </row>
    <row r="1195" spans="1:20">
      <c r="A1195" s="46">
        <v>139630051996</v>
      </c>
      <c r="B1195" s="44" t="s">
        <v>517</v>
      </c>
      <c r="C1195" s="45">
        <v>46018</v>
      </c>
      <c r="D1195" s="46">
        <v>55471116212</v>
      </c>
      <c r="E1195" s="46">
        <v>2159988714949</v>
      </c>
      <c r="F1195" s="47" t="s">
        <v>526</v>
      </c>
      <c r="G1195" s="47" t="s">
        <v>519</v>
      </c>
      <c r="H1195" s="47" t="s">
        <v>4</v>
      </c>
      <c r="I1195" s="46" t="s">
        <v>4</v>
      </c>
      <c r="J1195" s="48">
        <v>245.41</v>
      </c>
      <c r="K1195" s="47" t="s">
        <v>520</v>
      </c>
      <c r="L1195" s="47" t="s">
        <v>521</v>
      </c>
      <c r="M1195" s="46" t="s">
        <v>807</v>
      </c>
      <c r="N1195" s="47" t="s">
        <v>808</v>
      </c>
      <c r="O1195" s="44" t="s">
        <v>4</v>
      </c>
      <c r="P1195" s="47" t="s">
        <v>527</v>
      </c>
      <c r="Q1195" s="48">
        <v>25300</v>
      </c>
      <c r="R1195" s="49" t="s">
        <v>4</v>
      </c>
      <c r="S1195" s="48" t="s">
        <v>4</v>
      </c>
      <c r="T1195" s="47" t="s">
        <v>4</v>
      </c>
    </row>
    <row r="1196" spans="1:20">
      <c r="A1196" s="46">
        <v>139630170634</v>
      </c>
      <c r="B1196" s="44" t="s">
        <v>517</v>
      </c>
      <c r="C1196" s="45">
        <v>46018</v>
      </c>
      <c r="D1196" s="46">
        <v>55471125190</v>
      </c>
      <c r="E1196" s="46">
        <v>2159989153671</v>
      </c>
      <c r="F1196" s="47" t="s">
        <v>526</v>
      </c>
      <c r="G1196" s="47" t="s">
        <v>519</v>
      </c>
      <c r="H1196" s="47" t="s">
        <v>4</v>
      </c>
      <c r="I1196" s="46" t="s">
        <v>4</v>
      </c>
      <c r="J1196" s="48">
        <v>564.54</v>
      </c>
      <c r="K1196" s="47" t="s">
        <v>520</v>
      </c>
      <c r="L1196" s="47" t="s">
        <v>521</v>
      </c>
      <c r="M1196" s="46" t="s">
        <v>807</v>
      </c>
      <c r="N1196" s="47" t="s">
        <v>808</v>
      </c>
      <c r="O1196" s="44" t="s">
        <v>4</v>
      </c>
      <c r="P1196" s="47" t="s">
        <v>527</v>
      </c>
      <c r="Q1196" s="48">
        <v>58200</v>
      </c>
      <c r="R1196" s="49" t="s">
        <v>4</v>
      </c>
      <c r="S1196" s="48" t="s">
        <v>4</v>
      </c>
      <c r="T1196" s="47" t="s">
        <v>4</v>
      </c>
    </row>
    <row r="1197" spans="1:20">
      <c r="A1197" s="46">
        <v>139630137722</v>
      </c>
      <c r="B1197" s="44" t="s">
        <v>517</v>
      </c>
      <c r="C1197" s="45">
        <v>46018</v>
      </c>
      <c r="D1197" s="46">
        <v>55471129399</v>
      </c>
      <c r="E1197" s="46">
        <v>2159989025173</v>
      </c>
      <c r="F1197" s="47" t="s">
        <v>529</v>
      </c>
      <c r="G1197" s="47" t="s">
        <v>519</v>
      </c>
      <c r="H1197" s="47" t="s">
        <v>4</v>
      </c>
      <c r="I1197" s="46" t="s">
        <v>4</v>
      </c>
      <c r="J1197" s="48">
        <v>2342.2800000000002</v>
      </c>
      <c r="K1197" s="47" t="s">
        <v>520</v>
      </c>
      <c r="L1197" s="47" t="s">
        <v>530</v>
      </c>
      <c r="M1197" s="46" t="s">
        <v>807</v>
      </c>
      <c r="N1197" s="47" t="s">
        <v>808</v>
      </c>
      <c r="O1197" s="44" t="s">
        <v>263</v>
      </c>
      <c r="P1197" s="47" t="s">
        <v>531</v>
      </c>
      <c r="Q1197" s="48">
        <v>59600</v>
      </c>
      <c r="R1197" s="49" t="s">
        <v>4</v>
      </c>
      <c r="S1197" s="48" t="s">
        <v>4</v>
      </c>
      <c r="T1197" s="47" t="s">
        <v>525</v>
      </c>
    </row>
    <row r="1198" spans="1:20">
      <c r="A1198" s="46">
        <v>139630171806</v>
      </c>
      <c r="B1198" s="44" t="s">
        <v>517</v>
      </c>
      <c r="C1198" s="45">
        <v>46018</v>
      </c>
      <c r="D1198" s="46">
        <v>55471142090</v>
      </c>
      <c r="E1198" s="46">
        <v>2160155516342</v>
      </c>
      <c r="F1198" s="47" t="s">
        <v>518</v>
      </c>
      <c r="G1198" s="47" t="s">
        <v>519</v>
      </c>
      <c r="H1198" s="47" t="s">
        <v>4</v>
      </c>
      <c r="I1198" s="46" t="s">
        <v>4</v>
      </c>
      <c r="J1198" s="48">
        <v>53.35</v>
      </c>
      <c r="K1198" s="47" t="s">
        <v>520</v>
      </c>
      <c r="L1198" s="47" t="s">
        <v>521</v>
      </c>
      <c r="M1198" s="46" t="s">
        <v>807</v>
      </c>
      <c r="N1198" s="47" t="s">
        <v>808</v>
      </c>
      <c r="O1198" s="44" t="s">
        <v>4</v>
      </c>
      <c r="P1198" s="47" t="s">
        <v>1049</v>
      </c>
      <c r="Q1198" s="48">
        <v>5500</v>
      </c>
      <c r="R1198" s="49" t="s">
        <v>4</v>
      </c>
      <c r="S1198" s="48" t="s">
        <v>4</v>
      </c>
      <c r="T1198" s="47" t="s">
        <v>525</v>
      </c>
    </row>
    <row r="1199" spans="1:20">
      <c r="A1199" s="46">
        <v>138983545497</v>
      </c>
      <c r="B1199" s="44" t="s">
        <v>517</v>
      </c>
      <c r="C1199" s="45">
        <v>46018</v>
      </c>
      <c r="D1199" s="46">
        <v>55471168583</v>
      </c>
      <c r="E1199" s="46">
        <v>2160156003702</v>
      </c>
      <c r="F1199" s="47" t="s">
        <v>518</v>
      </c>
      <c r="G1199" s="47" t="s">
        <v>519</v>
      </c>
      <c r="H1199" s="47" t="s">
        <v>4</v>
      </c>
      <c r="I1199" s="46" t="s">
        <v>4</v>
      </c>
      <c r="J1199" s="48">
        <v>348.23</v>
      </c>
      <c r="K1199" s="47" t="s">
        <v>520</v>
      </c>
      <c r="L1199" s="47" t="s">
        <v>521</v>
      </c>
      <c r="M1199" s="46" t="s">
        <v>807</v>
      </c>
      <c r="N1199" s="47" t="s">
        <v>808</v>
      </c>
      <c r="O1199" s="44" t="s">
        <v>4</v>
      </c>
      <c r="P1199" s="47" t="s">
        <v>1050</v>
      </c>
      <c r="Q1199" s="48">
        <v>35900</v>
      </c>
      <c r="R1199" s="49" t="s">
        <v>4</v>
      </c>
      <c r="S1199" s="48" t="s">
        <v>4</v>
      </c>
      <c r="T1199" s="47" t="s">
        <v>525</v>
      </c>
    </row>
    <row r="1200" spans="1:20">
      <c r="A1200" s="46">
        <v>139630576538</v>
      </c>
      <c r="B1200" s="44" t="s">
        <v>517</v>
      </c>
      <c r="C1200" s="45">
        <v>46018</v>
      </c>
      <c r="D1200" s="46">
        <v>55471281080</v>
      </c>
      <c r="E1200" s="46">
        <v>2160157507044</v>
      </c>
      <c r="F1200" s="47" t="s">
        <v>526</v>
      </c>
      <c r="G1200" s="47" t="s">
        <v>519</v>
      </c>
      <c r="H1200" s="47" t="s">
        <v>4</v>
      </c>
      <c r="I1200" s="46" t="s">
        <v>4</v>
      </c>
      <c r="J1200" s="48">
        <v>48.5</v>
      </c>
      <c r="K1200" s="47" t="s">
        <v>520</v>
      </c>
      <c r="L1200" s="47" t="s">
        <v>521</v>
      </c>
      <c r="M1200" s="46" t="s">
        <v>807</v>
      </c>
      <c r="N1200" s="47" t="s">
        <v>808</v>
      </c>
      <c r="O1200" s="44" t="s">
        <v>4</v>
      </c>
      <c r="P1200" s="47" t="s">
        <v>527</v>
      </c>
      <c r="Q1200" s="48">
        <v>5000</v>
      </c>
      <c r="R1200" s="49" t="s">
        <v>4</v>
      </c>
      <c r="S1200" s="48" t="s">
        <v>4</v>
      </c>
      <c r="T1200" s="47" t="s">
        <v>4</v>
      </c>
    </row>
    <row r="1201" spans="1:20">
      <c r="A1201" s="46">
        <v>139630636244</v>
      </c>
      <c r="B1201" s="44" t="s">
        <v>517</v>
      </c>
      <c r="C1201" s="45">
        <v>46018</v>
      </c>
      <c r="D1201" s="46">
        <v>55471295520</v>
      </c>
      <c r="E1201" s="46">
        <v>2160157537504</v>
      </c>
      <c r="F1201" s="47" t="s">
        <v>518</v>
      </c>
      <c r="G1201" s="47" t="s">
        <v>519</v>
      </c>
      <c r="H1201" s="47" t="s">
        <v>4</v>
      </c>
      <c r="I1201" s="46" t="s">
        <v>4</v>
      </c>
      <c r="J1201" s="48">
        <v>46.56</v>
      </c>
      <c r="K1201" s="47" t="s">
        <v>520</v>
      </c>
      <c r="L1201" s="47" t="s">
        <v>521</v>
      </c>
      <c r="M1201" s="46" t="s">
        <v>807</v>
      </c>
      <c r="N1201" s="47" t="s">
        <v>808</v>
      </c>
      <c r="O1201" s="44" t="s">
        <v>4</v>
      </c>
      <c r="P1201" s="47" t="s">
        <v>1048</v>
      </c>
      <c r="Q1201" s="48">
        <v>4800</v>
      </c>
      <c r="R1201" s="49" t="s">
        <v>4</v>
      </c>
      <c r="S1201" s="48" t="s">
        <v>4</v>
      </c>
      <c r="T1201" s="47" t="s">
        <v>525</v>
      </c>
    </row>
    <row r="1202" spans="1:20">
      <c r="A1202" s="46">
        <v>139630821520</v>
      </c>
      <c r="B1202" s="44" t="s">
        <v>517</v>
      </c>
      <c r="C1202" s="45">
        <v>46018</v>
      </c>
      <c r="D1202" s="46">
        <v>55471415244</v>
      </c>
      <c r="E1202" s="46">
        <v>2159993343277</v>
      </c>
      <c r="F1202" s="47" t="s">
        <v>518</v>
      </c>
      <c r="G1202" s="47" t="s">
        <v>519</v>
      </c>
      <c r="H1202" s="47" t="s">
        <v>4</v>
      </c>
      <c r="I1202" s="46" t="s">
        <v>4</v>
      </c>
      <c r="J1202" s="48">
        <v>516.04</v>
      </c>
      <c r="K1202" s="47" t="s">
        <v>520</v>
      </c>
      <c r="L1202" s="47" t="s">
        <v>521</v>
      </c>
      <c r="M1202" s="46" t="s">
        <v>807</v>
      </c>
      <c r="N1202" s="47" t="s">
        <v>808</v>
      </c>
      <c r="O1202" s="44" t="s">
        <v>4</v>
      </c>
      <c r="P1202" s="47" t="s">
        <v>1051</v>
      </c>
      <c r="Q1202" s="48">
        <v>53200</v>
      </c>
      <c r="R1202" s="49" t="s">
        <v>4</v>
      </c>
      <c r="S1202" s="48" t="s">
        <v>4</v>
      </c>
      <c r="T1202" s="47" t="s">
        <v>525</v>
      </c>
    </row>
    <row r="1203" spans="1:20">
      <c r="A1203" s="46">
        <v>138984089477</v>
      </c>
      <c r="B1203" s="44" t="s">
        <v>517</v>
      </c>
      <c r="C1203" s="45">
        <v>46018</v>
      </c>
      <c r="D1203" s="46">
        <v>55471418361</v>
      </c>
      <c r="E1203" s="46">
        <v>2159993691367</v>
      </c>
      <c r="F1203" s="47" t="s">
        <v>518</v>
      </c>
      <c r="G1203" s="47" t="s">
        <v>519</v>
      </c>
      <c r="H1203" s="47" t="s">
        <v>4</v>
      </c>
      <c r="I1203" s="46" t="s">
        <v>4</v>
      </c>
      <c r="J1203" s="48">
        <v>139.68</v>
      </c>
      <c r="K1203" s="47" t="s">
        <v>520</v>
      </c>
      <c r="L1203" s="47" t="s">
        <v>521</v>
      </c>
      <c r="M1203" s="46" t="s">
        <v>807</v>
      </c>
      <c r="N1203" s="47" t="s">
        <v>808</v>
      </c>
      <c r="O1203" s="44" t="s">
        <v>4</v>
      </c>
      <c r="P1203" s="47" t="s">
        <v>1052</v>
      </c>
      <c r="Q1203" s="48">
        <v>14400</v>
      </c>
      <c r="R1203" s="49" t="s">
        <v>4</v>
      </c>
      <c r="S1203" s="48" t="s">
        <v>4</v>
      </c>
      <c r="T1203" s="47" t="s">
        <v>525</v>
      </c>
    </row>
    <row r="1204" spans="1:20">
      <c r="A1204" s="46">
        <v>138984279097</v>
      </c>
      <c r="B1204" s="44" t="s">
        <v>517</v>
      </c>
      <c r="C1204" s="45">
        <v>46018</v>
      </c>
      <c r="D1204" s="46">
        <v>55471520125</v>
      </c>
      <c r="E1204" s="46">
        <v>2160160863296</v>
      </c>
      <c r="F1204" s="47" t="s">
        <v>562</v>
      </c>
      <c r="G1204" s="47" t="s">
        <v>519</v>
      </c>
      <c r="H1204" s="47" t="s">
        <v>4</v>
      </c>
      <c r="I1204" s="46" t="s">
        <v>4</v>
      </c>
      <c r="J1204" s="48">
        <v>326</v>
      </c>
      <c r="K1204" s="47" t="s">
        <v>520</v>
      </c>
      <c r="L1204" s="47" t="s">
        <v>521</v>
      </c>
      <c r="M1204" s="46" t="s">
        <v>807</v>
      </c>
      <c r="N1204" s="47" t="s">
        <v>808</v>
      </c>
      <c r="O1204" s="44" t="s">
        <v>4</v>
      </c>
      <c r="P1204" s="47" t="s">
        <v>563</v>
      </c>
      <c r="Q1204" s="48">
        <v>20000</v>
      </c>
      <c r="R1204" s="49" t="s">
        <v>4</v>
      </c>
      <c r="S1204" s="48" t="s">
        <v>4</v>
      </c>
      <c r="T1204" s="47" t="s">
        <v>525</v>
      </c>
    </row>
    <row r="1205" spans="1:20">
      <c r="A1205" s="46">
        <v>139631095712</v>
      </c>
      <c r="B1205" s="44" t="s">
        <v>517</v>
      </c>
      <c r="C1205" s="45">
        <v>46018</v>
      </c>
      <c r="D1205" s="46">
        <v>55471586043</v>
      </c>
      <c r="E1205" s="46">
        <v>2160161673056</v>
      </c>
      <c r="F1205" s="47" t="s">
        <v>518</v>
      </c>
      <c r="G1205" s="47" t="s">
        <v>519</v>
      </c>
      <c r="H1205" s="47" t="s">
        <v>4</v>
      </c>
      <c r="I1205" s="46" t="s">
        <v>4</v>
      </c>
      <c r="J1205" s="48">
        <v>1206.68</v>
      </c>
      <c r="K1205" s="47" t="s">
        <v>520</v>
      </c>
      <c r="L1205" s="47" t="s">
        <v>521</v>
      </c>
      <c r="M1205" s="46" t="s">
        <v>807</v>
      </c>
      <c r="N1205" s="47" t="s">
        <v>808</v>
      </c>
      <c r="O1205" s="44" t="s">
        <v>4</v>
      </c>
      <c r="P1205" s="47" t="s">
        <v>1053</v>
      </c>
      <c r="Q1205" s="48">
        <v>124400</v>
      </c>
      <c r="R1205" s="49" t="s">
        <v>4</v>
      </c>
      <c r="S1205" s="48" t="s">
        <v>4</v>
      </c>
      <c r="T1205" s="47" t="s">
        <v>525</v>
      </c>
    </row>
    <row r="1206" spans="1:20">
      <c r="A1206" s="46">
        <v>139631277772</v>
      </c>
      <c r="B1206" s="44" t="s">
        <v>517</v>
      </c>
      <c r="C1206" s="45">
        <v>46018</v>
      </c>
      <c r="D1206" s="46">
        <v>55471683585</v>
      </c>
      <c r="E1206" s="46">
        <v>2160163024910</v>
      </c>
      <c r="F1206" s="47" t="s">
        <v>518</v>
      </c>
      <c r="G1206" s="47" t="s">
        <v>519</v>
      </c>
      <c r="H1206" s="47" t="s">
        <v>4</v>
      </c>
      <c r="I1206" s="46" t="s">
        <v>4</v>
      </c>
      <c r="J1206" s="48">
        <v>678.03</v>
      </c>
      <c r="K1206" s="47" t="s">
        <v>520</v>
      </c>
      <c r="L1206" s="47" t="s">
        <v>521</v>
      </c>
      <c r="M1206" s="46" t="s">
        <v>807</v>
      </c>
      <c r="N1206" s="47" t="s">
        <v>808</v>
      </c>
      <c r="O1206" s="44" t="s">
        <v>4</v>
      </c>
      <c r="P1206" s="47" t="s">
        <v>1054</v>
      </c>
      <c r="Q1206" s="48">
        <v>69900</v>
      </c>
      <c r="R1206" s="49" t="s">
        <v>4</v>
      </c>
      <c r="S1206" s="48" t="s">
        <v>4</v>
      </c>
      <c r="T1206" s="47" t="s">
        <v>525</v>
      </c>
    </row>
    <row r="1207" spans="1:20">
      <c r="A1207" s="46">
        <v>138984795275</v>
      </c>
      <c r="B1207" s="44" t="s">
        <v>517</v>
      </c>
      <c r="C1207" s="45">
        <v>46018</v>
      </c>
      <c r="D1207" s="46">
        <v>55471821667</v>
      </c>
      <c r="E1207" s="46">
        <v>2159998120927</v>
      </c>
      <c r="F1207" s="47" t="s">
        <v>518</v>
      </c>
      <c r="G1207" s="47" t="s">
        <v>519</v>
      </c>
      <c r="H1207" s="47" t="s">
        <v>4</v>
      </c>
      <c r="I1207" s="46" t="s">
        <v>4</v>
      </c>
      <c r="J1207" s="48">
        <v>533.5</v>
      </c>
      <c r="K1207" s="47" t="s">
        <v>520</v>
      </c>
      <c r="L1207" s="47" t="s">
        <v>521</v>
      </c>
      <c r="M1207" s="46" t="s">
        <v>807</v>
      </c>
      <c r="N1207" s="47" t="s">
        <v>808</v>
      </c>
      <c r="O1207" s="44" t="s">
        <v>4</v>
      </c>
      <c r="P1207" s="47" t="s">
        <v>528</v>
      </c>
      <c r="Q1207" s="48">
        <v>55000</v>
      </c>
      <c r="R1207" s="49" t="s">
        <v>4</v>
      </c>
      <c r="S1207" s="48" t="s">
        <v>4</v>
      </c>
      <c r="T1207" s="47" t="s">
        <v>525</v>
      </c>
    </row>
    <row r="1208" spans="1:20">
      <c r="A1208" s="46">
        <v>139631549822</v>
      </c>
      <c r="B1208" s="44" t="s">
        <v>517</v>
      </c>
      <c r="C1208" s="45">
        <v>46018</v>
      </c>
      <c r="D1208" s="46">
        <v>55471842829</v>
      </c>
      <c r="E1208" s="46">
        <v>2159998913821</v>
      </c>
      <c r="F1208" s="47" t="s">
        <v>518</v>
      </c>
      <c r="G1208" s="47" t="s">
        <v>519</v>
      </c>
      <c r="H1208" s="47" t="s">
        <v>4</v>
      </c>
      <c r="I1208" s="46" t="s">
        <v>4</v>
      </c>
      <c r="J1208" s="48">
        <v>48.5</v>
      </c>
      <c r="K1208" s="47" t="s">
        <v>520</v>
      </c>
      <c r="L1208" s="47" t="s">
        <v>521</v>
      </c>
      <c r="M1208" s="46" t="s">
        <v>807</v>
      </c>
      <c r="N1208" s="47" t="s">
        <v>808</v>
      </c>
      <c r="O1208" s="44" t="s">
        <v>4</v>
      </c>
      <c r="P1208" s="47" t="s">
        <v>1055</v>
      </c>
      <c r="Q1208" s="48">
        <v>5000</v>
      </c>
      <c r="R1208" s="49" t="s">
        <v>4</v>
      </c>
      <c r="S1208" s="48" t="s">
        <v>4</v>
      </c>
      <c r="T1208" s="47" t="s">
        <v>525</v>
      </c>
    </row>
    <row r="1209" spans="1:20">
      <c r="A1209" s="46">
        <v>138984902535</v>
      </c>
      <c r="B1209" s="44" t="s">
        <v>517</v>
      </c>
      <c r="C1209" s="45">
        <v>46018</v>
      </c>
      <c r="D1209" s="46">
        <v>55471858897</v>
      </c>
      <c r="E1209" s="46">
        <v>2160164532932</v>
      </c>
      <c r="F1209" s="47" t="s">
        <v>518</v>
      </c>
      <c r="G1209" s="47" t="s">
        <v>519</v>
      </c>
      <c r="H1209" s="47" t="s">
        <v>4</v>
      </c>
      <c r="I1209" s="46" t="s">
        <v>4</v>
      </c>
      <c r="J1209" s="48">
        <v>233.77</v>
      </c>
      <c r="K1209" s="47" t="s">
        <v>520</v>
      </c>
      <c r="L1209" s="47" t="s">
        <v>521</v>
      </c>
      <c r="M1209" s="46" t="s">
        <v>807</v>
      </c>
      <c r="N1209" s="47" t="s">
        <v>808</v>
      </c>
      <c r="O1209" s="44" t="s">
        <v>4</v>
      </c>
      <c r="P1209" s="47" t="s">
        <v>1056</v>
      </c>
      <c r="Q1209" s="48">
        <v>24100</v>
      </c>
      <c r="R1209" s="49" t="s">
        <v>4</v>
      </c>
      <c r="S1209" s="48" t="s">
        <v>4</v>
      </c>
      <c r="T1209" s="47" t="s">
        <v>525</v>
      </c>
    </row>
    <row r="1210" spans="1:20">
      <c r="A1210" s="46">
        <v>139063218521</v>
      </c>
      <c r="B1210" s="44" t="s">
        <v>517</v>
      </c>
      <c r="C1210" s="45">
        <v>46018</v>
      </c>
      <c r="D1210" s="46">
        <v>55503755384</v>
      </c>
      <c r="E1210" s="46">
        <v>2160492027445</v>
      </c>
      <c r="F1210" s="47" t="s">
        <v>518</v>
      </c>
      <c r="G1210" s="47" t="s">
        <v>519</v>
      </c>
      <c r="H1210" s="47" t="s">
        <v>4</v>
      </c>
      <c r="I1210" s="46" t="s">
        <v>4</v>
      </c>
      <c r="J1210" s="48">
        <v>203.7</v>
      </c>
      <c r="K1210" s="47" t="s">
        <v>520</v>
      </c>
      <c r="L1210" s="47" t="s">
        <v>521</v>
      </c>
      <c r="M1210" s="46" t="s">
        <v>807</v>
      </c>
      <c r="N1210" s="47" t="s">
        <v>808</v>
      </c>
      <c r="O1210" s="44" t="s">
        <v>4</v>
      </c>
      <c r="P1210" s="47" t="s">
        <v>1057</v>
      </c>
      <c r="Q1210" s="48">
        <v>21000</v>
      </c>
      <c r="R1210" s="49" t="s">
        <v>4</v>
      </c>
      <c r="S1210" s="48" t="s">
        <v>4</v>
      </c>
      <c r="T1210" s="47" t="s">
        <v>525</v>
      </c>
    </row>
    <row r="1211" spans="1:20">
      <c r="A1211" s="46">
        <v>139720219596</v>
      </c>
      <c r="B1211" s="44" t="s">
        <v>517</v>
      </c>
      <c r="C1211" s="45">
        <v>46018</v>
      </c>
      <c r="D1211" s="46">
        <v>55507263735</v>
      </c>
      <c r="E1211" s="46">
        <v>2160719470412</v>
      </c>
      <c r="F1211" s="47" t="s">
        <v>518</v>
      </c>
      <c r="G1211" s="47" t="s">
        <v>519</v>
      </c>
      <c r="H1211" s="47" t="s">
        <v>4</v>
      </c>
      <c r="I1211" s="46" t="s">
        <v>4</v>
      </c>
      <c r="J1211" s="48">
        <v>93.12</v>
      </c>
      <c r="K1211" s="47" t="s">
        <v>520</v>
      </c>
      <c r="L1211" s="47" t="s">
        <v>521</v>
      </c>
      <c r="M1211" s="46" t="s">
        <v>807</v>
      </c>
      <c r="N1211" s="47" t="s">
        <v>808</v>
      </c>
      <c r="O1211" s="44" t="s">
        <v>4</v>
      </c>
      <c r="P1211" s="47" t="s">
        <v>1058</v>
      </c>
      <c r="Q1211" s="48">
        <v>9600</v>
      </c>
      <c r="R1211" s="49" t="s">
        <v>4</v>
      </c>
      <c r="S1211" s="48" t="s">
        <v>4</v>
      </c>
      <c r="T1211" s="47" t="s">
        <v>525</v>
      </c>
    </row>
    <row r="1212" spans="1:20">
      <c r="A1212" s="46">
        <v>139072847851</v>
      </c>
      <c r="B1212" s="44" t="s">
        <v>517</v>
      </c>
      <c r="C1212" s="45">
        <v>46018</v>
      </c>
      <c r="D1212" s="46">
        <v>55507277968</v>
      </c>
      <c r="E1212" s="46">
        <v>2160552661347</v>
      </c>
      <c r="F1212" s="47" t="s">
        <v>529</v>
      </c>
      <c r="G1212" s="47" t="s">
        <v>519</v>
      </c>
      <c r="H1212" s="47" t="s">
        <v>4</v>
      </c>
      <c r="I1212" s="46" t="s">
        <v>4</v>
      </c>
      <c r="J1212" s="48">
        <v>562</v>
      </c>
      <c r="K1212" s="47" t="s">
        <v>520</v>
      </c>
      <c r="L1212" s="47" t="s">
        <v>530</v>
      </c>
      <c r="M1212" s="46" t="s">
        <v>660</v>
      </c>
      <c r="N1212" s="47" t="s">
        <v>661</v>
      </c>
      <c r="O1212" s="44" t="s">
        <v>263</v>
      </c>
      <c r="P1212" s="47" t="s">
        <v>531</v>
      </c>
      <c r="Q1212" s="48">
        <v>5000</v>
      </c>
      <c r="R1212" s="49" t="s">
        <v>4</v>
      </c>
      <c r="S1212" s="48" t="s">
        <v>4</v>
      </c>
      <c r="T1212" s="47" t="s">
        <v>525</v>
      </c>
    </row>
    <row r="1213" spans="1:20">
      <c r="A1213" s="46">
        <v>139073157963</v>
      </c>
      <c r="B1213" s="44" t="s">
        <v>517</v>
      </c>
      <c r="C1213" s="45">
        <v>46018</v>
      </c>
      <c r="D1213" s="46">
        <v>55507368289</v>
      </c>
      <c r="E1213" s="46">
        <v>2160554546141</v>
      </c>
      <c r="F1213" s="47" t="s">
        <v>518</v>
      </c>
      <c r="G1213" s="47" t="s">
        <v>519</v>
      </c>
      <c r="H1213" s="47" t="s">
        <v>4</v>
      </c>
      <c r="I1213" s="46" t="s">
        <v>4</v>
      </c>
      <c r="J1213" s="48">
        <v>114.46</v>
      </c>
      <c r="K1213" s="47" t="s">
        <v>520</v>
      </c>
      <c r="L1213" s="47" t="s">
        <v>521</v>
      </c>
      <c r="M1213" s="46" t="s">
        <v>807</v>
      </c>
      <c r="N1213" s="47" t="s">
        <v>808</v>
      </c>
      <c r="O1213" s="44" t="s">
        <v>4</v>
      </c>
      <c r="P1213" s="47" t="s">
        <v>994</v>
      </c>
      <c r="Q1213" s="48">
        <v>11800</v>
      </c>
      <c r="R1213" s="49" t="s">
        <v>4</v>
      </c>
      <c r="S1213" s="48" t="s">
        <v>4</v>
      </c>
      <c r="T1213" s="47" t="s">
        <v>525</v>
      </c>
    </row>
    <row r="1214" spans="1:20">
      <c r="A1214" s="46">
        <v>139074196447</v>
      </c>
      <c r="B1214" s="44" t="s">
        <v>517</v>
      </c>
      <c r="C1214" s="45">
        <v>46018</v>
      </c>
      <c r="D1214" s="46">
        <v>55507662586</v>
      </c>
      <c r="E1214" s="46">
        <v>2160726143044</v>
      </c>
      <c r="F1214" s="47" t="s">
        <v>526</v>
      </c>
      <c r="G1214" s="47" t="s">
        <v>519</v>
      </c>
      <c r="H1214" s="47" t="s">
        <v>4</v>
      </c>
      <c r="I1214" s="46" t="s">
        <v>4</v>
      </c>
      <c r="J1214" s="48">
        <v>242.5</v>
      </c>
      <c r="K1214" s="47" t="s">
        <v>520</v>
      </c>
      <c r="L1214" s="47" t="s">
        <v>521</v>
      </c>
      <c r="M1214" s="46" t="s">
        <v>807</v>
      </c>
      <c r="N1214" s="47" t="s">
        <v>808</v>
      </c>
      <c r="O1214" s="44" t="s">
        <v>4</v>
      </c>
      <c r="P1214" s="47" t="s">
        <v>527</v>
      </c>
      <c r="Q1214" s="48">
        <v>25000</v>
      </c>
      <c r="R1214" s="49" t="s">
        <v>4</v>
      </c>
      <c r="S1214" s="48" t="s">
        <v>4</v>
      </c>
      <c r="T1214" s="47" t="s">
        <v>4</v>
      </c>
    </row>
    <row r="1215" spans="1:20">
      <c r="A1215" s="46">
        <v>139721874566</v>
      </c>
      <c r="B1215" s="44" t="s">
        <v>517</v>
      </c>
      <c r="C1215" s="45">
        <v>46018</v>
      </c>
      <c r="D1215" s="46">
        <v>55507850481</v>
      </c>
      <c r="E1215" s="46">
        <v>2160729308678</v>
      </c>
      <c r="F1215" s="47" t="s">
        <v>529</v>
      </c>
      <c r="G1215" s="47" t="s">
        <v>519</v>
      </c>
      <c r="H1215" s="47" t="s">
        <v>4</v>
      </c>
      <c r="I1215" s="46" t="s">
        <v>4</v>
      </c>
      <c r="J1215" s="48">
        <v>581.64</v>
      </c>
      <c r="K1215" s="47" t="s">
        <v>520</v>
      </c>
      <c r="L1215" s="47" t="s">
        <v>530</v>
      </c>
      <c r="M1215" s="46" t="s">
        <v>807</v>
      </c>
      <c r="N1215" s="47" t="s">
        <v>808</v>
      </c>
      <c r="O1215" s="44" t="s">
        <v>263</v>
      </c>
      <c r="P1215" s="47" t="s">
        <v>531</v>
      </c>
      <c r="Q1215" s="48">
        <v>14800</v>
      </c>
      <c r="R1215" s="49" t="s">
        <v>4</v>
      </c>
      <c r="S1215" s="48" t="s">
        <v>4</v>
      </c>
      <c r="T1215" s="47" t="s">
        <v>525</v>
      </c>
    </row>
    <row r="1216" spans="1:20">
      <c r="A1216" s="46">
        <v>139723099764</v>
      </c>
      <c r="B1216" s="44" t="s">
        <v>517</v>
      </c>
      <c r="C1216" s="45">
        <v>46018</v>
      </c>
      <c r="D1216" s="46">
        <v>55508326884</v>
      </c>
      <c r="E1216" s="46">
        <v>2160737163256</v>
      </c>
      <c r="F1216" s="47" t="s">
        <v>518</v>
      </c>
      <c r="G1216" s="47" t="s">
        <v>519</v>
      </c>
      <c r="H1216" s="47" t="s">
        <v>4</v>
      </c>
      <c r="I1216" s="46" t="s">
        <v>4</v>
      </c>
      <c r="J1216" s="48">
        <v>198.85</v>
      </c>
      <c r="K1216" s="47" t="s">
        <v>520</v>
      </c>
      <c r="L1216" s="47" t="s">
        <v>521</v>
      </c>
      <c r="M1216" s="46" t="s">
        <v>807</v>
      </c>
      <c r="N1216" s="47" t="s">
        <v>808</v>
      </c>
      <c r="O1216" s="44" t="s">
        <v>4</v>
      </c>
      <c r="P1216" s="47" t="s">
        <v>1059</v>
      </c>
      <c r="Q1216" s="48">
        <v>20500</v>
      </c>
      <c r="R1216" s="49" t="s">
        <v>4</v>
      </c>
      <c r="S1216" s="48" t="s">
        <v>4</v>
      </c>
      <c r="T1216" s="47" t="s">
        <v>525</v>
      </c>
    </row>
    <row r="1217" spans="1:20">
      <c r="A1217" s="46">
        <v>139077062539</v>
      </c>
      <c r="B1217" s="44" t="s">
        <v>517</v>
      </c>
      <c r="C1217" s="45">
        <v>46018</v>
      </c>
      <c r="D1217" s="46">
        <v>55508686267</v>
      </c>
      <c r="E1217" s="46">
        <v>2160577379035</v>
      </c>
      <c r="F1217" s="47" t="s">
        <v>529</v>
      </c>
      <c r="G1217" s="47" t="s">
        <v>519</v>
      </c>
      <c r="H1217" s="47" t="s">
        <v>4</v>
      </c>
      <c r="I1217" s="46" t="s">
        <v>4</v>
      </c>
      <c r="J1217" s="48">
        <v>196.5</v>
      </c>
      <c r="K1217" s="47" t="s">
        <v>520</v>
      </c>
      <c r="L1217" s="47" t="s">
        <v>530</v>
      </c>
      <c r="M1217" s="46" t="s">
        <v>807</v>
      </c>
      <c r="N1217" s="47" t="s">
        <v>808</v>
      </c>
      <c r="O1217" s="44" t="s">
        <v>263</v>
      </c>
      <c r="P1217" s="47" t="s">
        <v>531</v>
      </c>
      <c r="Q1217" s="48">
        <v>5000</v>
      </c>
      <c r="R1217" s="49" t="s">
        <v>4</v>
      </c>
      <c r="S1217" s="48" t="s">
        <v>4</v>
      </c>
      <c r="T1217" s="47" t="s">
        <v>525</v>
      </c>
    </row>
    <row r="1218" spans="1:20">
      <c r="A1218" s="46">
        <v>139724393082</v>
      </c>
      <c r="B1218" s="44" t="s">
        <v>517</v>
      </c>
      <c r="C1218" s="45">
        <v>46018</v>
      </c>
      <c r="D1218" s="46">
        <v>55508759507</v>
      </c>
      <c r="E1218" s="46">
        <v>2160578486211</v>
      </c>
      <c r="F1218" s="47" t="s">
        <v>529</v>
      </c>
      <c r="G1218" s="47" t="s">
        <v>519</v>
      </c>
      <c r="H1218" s="47" t="s">
        <v>4</v>
      </c>
      <c r="I1218" s="46" t="s">
        <v>4</v>
      </c>
      <c r="J1218" s="48">
        <v>393</v>
      </c>
      <c r="K1218" s="47" t="s">
        <v>520</v>
      </c>
      <c r="L1218" s="47" t="s">
        <v>530</v>
      </c>
      <c r="M1218" s="46" t="s">
        <v>807</v>
      </c>
      <c r="N1218" s="47" t="s">
        <v>808</v>
      </c>
      <c r="O1218" s="44" t="s">
        <v>263</v>
      </c>
      <c r="P1218" s="47" t="s">
        <v>531</v>
      </c>
      <c r="Q1218" s="48">
        <v>10000</v>
      </c>
      <c r="R1218" s="49" t="s">
        <v>4</v>
      </c>
      <c r="S1218" s="48" t="s">
        <v>4</v>
      </c>
      <c r="T1218" s="47" t="s">
        <v>525</v>
      </c>
    </row>
    <row r="1219" spans="1:20">
      <c r="A1219" s="46">
        <v>139079138431</v>
      </c>
      <c r="B1219" s="44" t="s">
        <v>517</v>
      </c>
      <c r="C1219" s="45">
        <v>46018</v>
      </c>
      <c r="D1219" s="46">
        <v>55509409930</v>
      </c>
      <c r="E1219" s="46">
        <v>2160590039055</v>
      </c>
      <c r="F1219" s="47" t="s">
        <v>518</v>
      </c>
      <c r="G1219" s="47" t="s">
        <v>519</v>
      </c>
      <c r="H1219" s="47" t="s">
        <v>4</v>
      </c>
      <c r="I1219" s="46" t="s">
        <v>4</v>
      </c>
      <c r="J1219" s="48">
        <v>163</v>
      </c>
      <c r="K1219" s="47" t="s">
        <v>520</v>
      </c>
      <c r="L1219" s="47" t="s">
        <v>521</v>
      </c>
      <c r="M1219" s="46" t="s">
        <v>660</v>
      </c>
      <c r="N1219" s="47" t="s">
        <v>661</v>
      </c>
      <c r="O1219" s="44" t="s">
        <v>4</v>
      </c>
      <c r="P1219" s="47" t="s">
        <v>1060</v>
      </c>
      <c r="Q1219" s="48">
        <v>10000</v>
      </c>
      <c r="R1219" s="49" t="s">
        <v>4</v>
      </c>
      <c r="S1219" s="48" t="s">
        <v>4</v>
      </c>
      <c r="T1219" s="47" t="s">
        <v>525</v>
      </c>
    </row>
    <row r="1220" spans="1:20">
      <c r="A1220" s="46">
        <v>139729250792</v>
      </c>
      <c r="B1220" s="44" t="s">
        <v>517</v>
      </c>
      <c r="C1220" s="45">
        <v>46018</v>
      </c>
      <c r="D1220" s="46">
        <v>55510476003</v>
      </c>
      <c r="E1220" s="46">
        <v>2160774750704</v>
      </c>
      <c r="F1220" s="47" t="s">
        <v>518</v>
      </c>
      <c r="G1220" s="47" t="s">
        <v>519</v>
      </c>
      <c r="H1220" s="47" t="s">
        <v>4</v>
      </c>
      <c r="I1220" s="46" t="s">
        <v>4</v>
      </c>
      <c r="J1220" s="48">
        <v>77.599999999999994</v>
      </c>
      <c r="K1220" s="47" t="s">
        <v>520</v>
      </c>
      <c r="L1220" s="47" t="s">
        <v>521</v>
      </c>
      <c r="M1220" s="46" t="s">
        <v>807</v>
      </c>
      <c r="N1220" s="47" t="s">
        <v>808</v>
      </c>
      <c r="O1220" s="44" t="s">
        <v>4</v>
      </c>
      <c r="P1220" s="47" t="s">
        <v>1061</v>
      </c>
      <c r="Q1220" s="48">
        <v>8000</v>
      </c>
      <c r="R1220" s="49" t="s">
        <v>4</v>
      </c>
      <c r="S1220" s="48" t="s">
        <v>4</v>
      </c>
      <c r="T1220" s="47" t="s">
        <v>525</v>
      </c>
    </row>
    <row r="1221" spans="1:20">
      <c r="A1221" s="46">
        <v>139082306869</v>
      </c>
      <c r="B1221" s="44" t="s">
        <v>517</v>
      </c>
      <c r="C1221" s="45">
        <v>46018</v>
      </c>
      <c r="D1221" s="46">
        <v>55510548070</v>
      </c>
      <c r="E1221" s="46">
        <v>2160609688399</v>
      </c>
      <c r="F1221" s="47" t="s">
        <v>529</v>
      </c>
      <c r="G1221" s="47" t="s">
        <v>519</v>
      </c>
      <c r="H1221" s="47" t="s">
        <v>4</v>
      </c>
      <c r="I1221" s="46" t="s">
        <v>4</v>
      </c>
      <c r="J1221" s="48">
        <v>5901</v>
      </c>
      <c r="K1221" s="47" t="s">
        <v>520</v>
      </c>
      <c r="L1221" s="47" t="s">
        <v>530</v>
      </c>
      <c r="M1221" s="46" t="s">
        <v>660</v>
      </c>
      <c r="N1221" s="47" t="s">
        <v>661</v>
      </c>
      <c r="O1221" s="44" t="s">
        <v>263</v>
      </c>
      <c r="P1221" s="47" t="s">
        <v>531</v>
      </c>
      <c r="Q1221" s="48">
        <v>52500</v>
      </c>
      <c r="R1221" s="49" t="s">
        <v>4</v>
      </c>
      <c r="S1221" s="48" t="s">
        <v>4</v>
      </c>
      <c r="T1221" s="47" t="s">
        <v>525</v>
      </c>
    </row>
    <row r="1222" spans="1:20">
      <c r="A1222" s="46">
        <v>139082797497</v>
      </c>
      <c r="B1222" s="44" t="s">
        <v>517</v>
      </c>
      <c r="C1222" s="45">
        <v>46018</v>
      </c>
      <c r="D1222" s="46">
        <v>55510732752</v>
      </c>
      <c r="E1222" s="46">
        <v>2160613245997</v>
      </c>
      <c r="F1222" s="47" t="s">
        <v>518</v>
      </c>
      <c r="G1222" s="47" t="s">
        <v>519</v>
      </c>
      <c r="H1222" s="47" t="s">
        <v>4</v>
      </c>
      <c r="I1222" s="46" t="s">
        <v>4</v>
      </c>
      <c r="J1222" s="48">
        <v>473.36</v>
      </c>
      <c r="K1222" s="47" t="s">
        <v>520</v>
      </c>
      <c r="L1222" s="47" t="s">
        <v>521</v>
      </c>
      <c r="M1222" s="46" t="s">
        <v>660</v>
      </c>
      <c r="N1222" s="47" t="s">
        <v>661</v>
      </c>
      <c r="O1222" s="44" t="s">
        <v>4</v>
      </c>
      <c r="P1222" s="47" t="s">
        <v>1062</v>
      </c>
      <c r="Q1222" s="48">
        <v>48800</v>
      </c>
      <c r="R1222" s="49" t="s">
        <v>4</v>
      </c>
      <c r="S1222" s="48" t="s">
        <v>4</v>
      </c>
      <c r="T1222" s="47" t="s">
        <v>525</v>
      </c>
    </row>
    <row r="1223" spans="1:20">
      <c r="A1223" s="46">
        <v>139082973003</v>
      </c>
      <c r="B1223" s="44" t="s">
        <v>517</v>
      </c>
      <c r="C1223" s="45">
        <v>46018</v>
      </c>
      <c r="D1223" s="46">
        <v>55510766554</v>
      </c>
      <c r="E1223" s="46">
        <v>2160613720903</v>
      </c>
      <c r="F1223" s="47" t="s">
        <v>529</v>
      </c>
      <c r="G1223" s="47" t="s">
        <v>519</v>
      </c>
      <c r="H1223" s="47" t="s">
        <v>4</v>
      </c>
      <c r="I1223" s="46" t="s">
        <v>4</v>
      </c>
      <c r="J1223" s="48">
        <v>393</v>
      </c>
      <c r="K1223" s="47" t="s">
        <v>520</v>
      </c>
      <c r="L1223" s="47" t="s">
        <v>530</v>
      </c>
      <c r="M1223" s="46" t="s">
        <v>807</v>
      </c>
      <c r="N1223" s="47" t="s">
        <v>808</v>
      </c>
      <c r="O1223" s="44" t="s">
        <v>263</v>
      </c>
      <c r="P1223" s="47" t="s">
        <v>531</v>
      </c>
      <c r="Q1223" s="48">
        <v>10000</v>
      </c>
      <c r="R1223" s="49" t="s">
        <v>4</v>
      </c>
      <c r="S1223" s="48" t="s">
        <v>4</v>
      </c>
      <c r="T1223" s="47" t="s">
        <v>525</v>
      </c>
    </row>
    <row r="1224" spans="1:20">
      <c r="A1224" s="46">
        <v>139730594000</v>
      </c>
      <c r="B1224" s="44" t="s">
        <v>517</v>
      </c>
      <c r="C1224" s="45">
        <v>46018</v>
      </c>
      <c r="D1224" s="46">
        <v>55510923951</v>
      </c>
      <c r="E1224" s="46">
        <v>2160783080006</v>
      </c>
      <c r="F1224" s="47" t="s">
        <v>529</v>
      </c>
      <c r="G1224" s="47" t="s">
        <v>519</v>
      </c>
      <c r="H1224" s="47" t="s">
        <v>4</v>
      </c>
      <c r="I1224" s="46" t="s">
        <v>4</v>
      </c>
      <c r="J1224" s="48">
        <v>1929.63</v>
      </c>
      <c r="K1224" s="47" t="s">
        <v>520</v>
      </c>
      <c r="L1224" s="47" t="s">
        <v>530</v>
      </c>
      <c r="M1224" s="46" t="s">
        <v>660</v>
      </c>
      <c r="N1224" s="47" t="s">
        <v>661</v>
      </c>
      <c r="O1224" s="44" t="s">
        <v>263</v>
      </c>
      <c r="P1224" s="47" t="s">
        <v>531</v>
      </c>
      <c r="Q1224" s="48">
        <v>49100</v>
      </c>
      <c r="R1224" s="49" t="s">
        <v>4</v>
      </c>
      <c r="S1224" s="48" t="s">
        <v>4</v>
      </c>
      <c r="T1224" s="47" t="s">
        <v>525</v>
      </c>
    </row>
    <row r="1225" spans="1:20">
      <c r="A1225" s="46">
        <v>139083518057</v>
      </c>
      <c r="B1225" s="44" t="s">
        <v>517</v>
      </c>
      <c r="C1225" s="45">
        <v>46018</v>
      </c>
      <c r="D1225" s="46">
        <v>55511014402</v>
      </c>
      <c r="E1225" s="46">
        <v>2160617680319</v>
      </c>
      <c r="F1225" s="47" t="s">
        <v>529</v>
      </c>
      <c r="G1225" s="47" t="s">
        <v>519</v>
      </c>
      <c r="H1225" s="47" t="s">
        <v>4</v>
      </c>
      <c r="I1225" s="46" t="s">
        <v>4</v>
      </c>
      <c r="J1225" s="48">
        <v>6521.77</v>
      </c>
      <c r="K1225" s="47" t="s">
        <v>520</v>
      </c>
      <c r="L1225" s="47" t="s">
        <v>530</v>
      </c>
      <c r="M1225" s="46" t="s">
        <v>660</v>
      </c>
      <c r="N1225" s="47" t="s">
        <v>661</v>
      </c>
      <c r="O1225" s="44" t="s">
        <v>263</v>
      </c>
      <c r="P1225" s="47" t="s">
        <v>531</v>
      </c>
      <c r="Q1225" s="48">
        <v>85700</v>
      </c>
      <c r="R1225" s="49" t="s">
        <v>4</v>
      </c>
      <c r="S1225" s="48" t="s">
        <v>4</v>
      </c>
      <c r="T1225" s="47" t="s">
        <v>525</v>
      </c>
    </row>
    <row r="1226" spans="1:20">
      <c r="A1226" s="46">
        <v>139084107193</v>
      </c>
      <c r="B1226" s="44" t="s">
        <v>517</v>
      </c>
      <c r="C1226" s="45">
        <v>46018</v>
      </c>
      <c r="D1226" s="46">
        <v>55511167006</v>
      </c>
      <c r="E1226" s="46">
        <v>2160620742515</v>
      </c>
      <c r="F1226" s="47" t="s">
        <v>518</v>
      </c>
      <c r="G1226" s="47" t="s">
        <v>519</v>
      </c>
      <c r="H1226" s="47" t="s">
        <v>4</v>
      </c>
      <c r="I1226" s="46" t="s">
        <v>4</v>
      </c>
      <c r="J1226" s="48">
        <v>364.72</v>
      </c>
      <c r="K1226" s="47" t="s">
        <v>520</v>
      </c>
      <c r="L1226" s="47" t="s">
        <v>521</v>
      </c>
      <c r="M1226" s="46" t="s">
        <v>660</v>
      </c>
      <c r="N1226" s="47" t="s">
        <v>661</v>
      </c>
      <c r="O1226" s="44" t="s">
        <v>4</v>
      </c>
      <c r="P1226" s="47" t="s">
        <v>1063</v>
      </c>
      <c r="Q1226" s="48">
        <v>37600</v>
      </c>
      <c r="R1226" s="49" t="s">
        <v>4</v>
      </c>
      <c r="S1226" s="48" t="s">
        <v>4</v>
      </c>
      <c r="T1226" s="47" t="s">
        <v>525</v>
      </c>
    </row>
    <row r="1227" spans="1:20">
      <c r="A1227" s="46">
        <v>139085202049</v>
      </c>
      <c r="B1227" s="44" t="s">
        <v>517</v>
      </c>
      <c r="C1227" s="45">
        <v>46018</v>
      </c>
      <c r="D1227" s="46">
        <v>55511579190</v>
      </c>
      <c r="E1227" s="46">
        <v>2160794546038</v>
      </c>
      <c r="F1227" s="47" t="s">
        <v>529</v>
      </c>
      <c r="G1227" s="47" t="s">
        <v>519</v>
      </c>
      <c r="H1227" s="47" t="s">
        <v>4</v>
      </c>
      <c r="I1227" s="46" t="s">
        <v>4</v>
      </c>
      <c r="J1227" s="48">
        <v>196.5</v>
      </c>
      <c r="K1227" s="47" t="s">
        <v>520</v>
      </c>
      <c r="L1227" s="47" t="s">
        <v>530</v>
      </c>
      <c r="M1227" s="46" t="s">
        <v>660</v>
      </c>
      <c r="N1227" s="47" t="s">
        <v>661</v>
      </c>
      <c r="O1227" s="44" t="s">
        <v>263</v>
      </c>
      <c r="P1227" s="47" t="s">
        <v>531</v>
      </c>
      <c r="Q1227" s="48">
        <v>5000</v>
      </c>
      <c r="R1227" s="49" t="s">
        <v>4</v>
      </c>
      <c r="S1227" s="48" t="s">
        <v>4</v>
      </c>
      <c r="T1227" s="47" t="s">
        <v>525</v>
      </c>
    </row>
    <row r="1228" spans="1:20">
      <c r="A1228" s="46">
        <v>139734214508</v>
      </c>
      <c r="B1228" s="44" t="s">
        <v>517</v>
      </c>
      <c r="C1228" s="45">
        <v>46018</v>
      </c>
      <c r="D1228" s="46">
        <v>55512147979</v>
      </c>
      <c r="E1228" s="46">
        <v>2160637462443</v>
      </c>
      <c r="F1228" s="47" t="s">
        <v>529</v>
      </c>
      <c r="G1228" s="47" t="s">
        <v>519</v>
      </c>
      <c r="H1228" s="47" t="s">
        <v>4</v>
      </c>
      <c r="I1228" s="46" t="s">
        <v>4</v>
      </c>
      <c r="J1228" s="48">
        <v>4078.96</v>
      </c>
      <c r="K1228" s="47" t="s">
        <v>520</v>
      </c>
      <c r="L1228" s="47" t="s">
        <v>530</v>
      </c>
      <c r="M1228" s="46" t="s">
        <v>807</v>
      </c>
      <c r="N1228" s="47" t="s">
        <v>808</v>
      </c>
      <c r="O1228" s="44" t="s">
        <v>263</v>
      </c>
      <c r="P1228" s="47" t="s">
        <v>531</v>
      </c>
      <c r="Q1228" s="48">
        <v>53600</v>
      </c>
      <c r="R1228" s="49" t="s">
        <v>4</v>
      </c>
      <c r="S1228" s="48" t="s">
        <v>4</v>
      </c>
      <c r="T1228" s="47" t="s">
        <v>525</v>
      </c>
    </row>
    <row r="1229" spans="1:20">
      <c r="A1229" s="46">
        <v>139087122709</v>
      </c>
      <c r="B1229" s="44" t="s">
        <v>517</v>
      </c>
      <c r="C1229" s="45">
        <v>46018</v>
      </c>
      <c r="D1229" s="46">
        <v>55512219798</v>
      </c>
      <c r="E1229" s="46">
        <v>2160638749633</v>
      </c>
      <c r="F1229" s="47" t="s">
        <v>529</v>
      </c>
      <c r="G1229" s="47" t="s">
        <v>519</v>
      </c>
      <c r="H1229" s="47" t="s">
        <v>4</v>
      </c>
      <c r="I1229" s="46" t="s">
        <v>4</v>
      </c>
      <c r="J1229" s="48">
        <v>550.20000000000005</v>
      </c>
      <c r="K1229" s="47" t="s">
        <v>520</v>
      </c>
      <c r="L1229" s="47" t="s">
        <v>530</v>
      </c>
      <c r="M1229" s="46" t="s">
        <v>807</v>
      </c>
      <c r="N1229" s="47" t="s">
        <v>808</v>
      </c>
      <c r="O1229" s="44" t="s">
        <v>263</v>
      </c>
      <c r="P1229" s="47" t="s">
        <v>531</v>
      </c>
      <c r="Q1229" s="48">
        <v>14000</v>
      </c>
      <c r="R1229" s="49" t="s">
        <v>4</v>
      </c>
      <c r="S1229" s="48" t="s">
        <v>4</v>
      </c>
      <c r="T1229" s="47" t="s">
        <v>525</v>
      </c>
    </row>
    <row r="1230" spans="1:20">
      <c r="A1230" s="46">
        <v>139734505018</v>
      </c>
      <c r="B1230" s="44" t="s">
        <v>517</v>
      </c>
      <c r="C1230" s="45">
        <v>46018</v>
      </c>
      <c r="D1230" s="46">
        <v>55512278412</v>
      </c>
      <c r="E1230" s="46">
        <v>2160639618461</v>
      </c>
      <c r="F1230" s="47" t="s">
        <v>529</v>
      </c>
      <c r="G1230" s="47" t="s">
        <v>519</v>
      </c>
      <c r="H1230" s="47" t="s">
        <v>4</v>
      </c>
      <c r="I1230" s="46" t="s">
        <v>4</v>
      </c>
      <c r="J1230" s="48">
        <v>2510.62</v>
      </c>
      <c r="K1230" s="47" t="s">
        <v>520</v>
      </c>
      <c r="L1230" s="47" t="s">
        <v>530</v>
      </c>
      <c r="M1230" s="46" t="s">
        <v>660</v>
      </c>
      <c r="N1230" s="47" t="s">
        <v>661</v>
      </c>
      <c r="O1230" s="44" t="s">
        <v>263</v>
      </c>
      <c r="P1230" s="47" t="s">
        <v>531</v>
      </c>
      <c r="Q1230" s="48">
        <v>55300</v>
      </c>
      <c r="R1230" s="49" t="s">
        <v>4</v>
      </c>
      <c r="S1230" s="48" t="s">
        <v>4</v>
      </c>
      <c r="T1230" s="47" t="s">
        <v>525</v>
      </c>
    </row>
    <row r="1231" spans="1:20">
      <c r="A1231" s="46">
        <v>139087711755</v>
      </c>
      <c r="B1231" s="44" t="s">
        <v>517</v>
      </c>
      <c r="C1231" s="45">
        <v>46018</v>
      </c>
      <c r="D1231" s="46">
        <v>55512507814</v>
      </c>
      <c r="E1231" s="46">
        <v>2160643233475</v>
      </c>
      <c r="F1231" s="47" t="s">
        <v>518</v>
      </c>
      <c r="G1231" s="47" t="s">
        <v>519</v>
      </c>
      <c r="H1231" s="47" t="s">
        <v>4</v>
      </c>
      <c r="I1231" s="46" t="s">
        <v>4</v>
      </c>
      <c r="J1231" s="48">
        <v>245.41</v>
      </c>
      <c r="K1231" s="47" t="s">
        <v>520</v>
      </c>
      <c r="L1231" s="47" t="s">
        <v>521</v>
      </c>
      <c r="M1231" s="46" t="s">
        <v>807</v>
      </c>
      <c r="N1231" s="47" t="s">
        <v>808</v>
      </c>
      <c r="O1231" s="44" t="s">
        <v>4</v>
      </c>
      <c r="P1231" s="47" t="s">
        <v>1064</v>
      </c>
      <c r="Q1231" s="48">
        <v>25300</v>
      </c>
      <c r="R1231" s="49" t="s">
        <v>4</v>
      </c>
      <c r="S1231" s="48" t="s">
        <v>4</v>
      </c>
      <c r="T1231" s="47" t="s">
        <v>525</v>
      </c>
    </row>
    <row r="1232" spans="1:20">
      <c r="A1232" s="46">
        <v>139089424897</v>
      </c>
      <c r="B1232" s="44" t="s">
        <v>517</v>
      </c>
      <c r="C1232" s="45">
        <v>46018</v>
      </c>
      <c r="D1232" s="46">
        <v>55513019149</v>
      </c>
      <c r="E1232" s="46">
        <v>2160819343960</v>
      </c>
      <c r="F1232" s="47" t="s">
        <v>518</v>
      </c>
      <c r="G1232" s="47" t="s">
        <v>519</v>
      </c>
      <c r="H1232" s="47" t="s">
        <v>4</v>
      </c>
      <c r="I1232" s="46" t="s">
        <v>4</v>
      </c>
      <c r="J1232" s="48">
        <v>48.5</v>
      </c>
      <c r="K1232" s="47" t="s">
        <v>520</v>
      </c>
      <c r="L1232" s="47" t="s">
        <v>521</v>
      </c>
      <c r="M1232" s="46" t="s">
        <v>660</v>
      </c>
      <c r="N1232" s="47" t="s">
        <v>661</v>
      </c>
      <c r="O1232" s="44" t="s">
        <v>4</v>
      </c>
      <c r="P1232" s="47" t="s">
        <v>1065</v>
      </c>
      <c r="Q1232" s="48">
        <v>5000</v>
      </c>
      <c r="R1232" s="49" t="s">
        <v>4</v>
      </c>
      <c r="S1232" s="48" t="s">
        <v>4</v>
      </c>
      <c r="T1232" s="47" t="s">
        <v>525</v>
      </c>
    </row>
    <row r="1233" spans="1:20">
      <c r="A1233" s="46">
        <v>139736694770</v>
      </c>
      <c r="B1233" s="44" t="s">
        <v>517</v>
      </c>
      <c r="C1233" s="45">
        <v>46018</v>
      </c>
      <c r="D1233" s="46">
        <v>55513063364</v>
      </c>
      <c r="E1233" s="46">
        <v>2160820230100</v>
      </c>
      <c r="F1233" s="47" t="s">
        <v>526</v>
      </c>
      <c r="G1233" s="47" t="s">
        <v>519</v>
      </c>
      <c r="H1233" s="47" t="s">
        <v>4</v>
      </c>
      <c r="I1233" s="46" t="s">
        <v>4</v>
      </c>
      <c r="J1233" s="48">
        <v>399.64</v>
      </c>
      <c r="K1233" s="47" t="s">
        <v>520</v>
      </c>
      <c r="L1233" s="47" t="s">
        <v>521</v>
      </c>
      <c r="M1233" s="46" t="s">
        <v>660</v>
      </c>
      <c r="N1233" s="47" t="s">
        <v>661</v>
      </c>
      <c r="O1233" s="44" t="s">
        <v>4</v>
      </c>
      <c r="P1233" s="47" t="s">
        <v>527</v>
      </c>
      <c r="Q1233" s="48">
        <v>41200</v>
      </c>
      <c r="R1233" s="49" t="s">
        <v>4</v>
      </c>
      <c r="S1233" s="48" t="s">
        <v>4</v>
      </c>
      <c r="T1233" s="47" t="s">
        <v>4</v>
      </c>
    </row>
    <row r="1234" spans="1:20">
      <c r="A1234" s="46">
        <v>139089767285</v>
      </c>
      <c r="B1234" s="44" t="s">
        <v>517</v>
      </c>
      <c r="C1234" s="45">
        <v>46018</v>
      </c>
      <c r="D1234" s="46">
        <v>55513171546</v>
      </c>
      <c r="E1234" s="46">
        <v>2160821842046</v>
      </c>
      <c r="F1234" s="47" t="s">
        <v>562</v>
      </c>
      <c r="G1234" s="47" t="s">
        <v>519</v>
      </c>
      <c r="H1234" s="47" t="s">
        <v>4</v>
      </c>
      <c r="I1234" s="46" t="s">
        <v>4</v>
      </c>
      <c r="J1234" s="48">
        <v>324.37</v>
      </c>
      <c r="K1234" s="47" t="s">
        <v>520</v>
      </c>
      <c r="L1234" s="47" t="s">
        <v>521</v>
      </c>
      <c r="M1234" s="46" t="s">
        <v>660</v>
      </c>
      <c r="N1234" s="47" t="s">
        <v>661</v>
      </c>
      <c r="O1234" s="44" t="s">
        <v>4</v>
      </c>
      <c r="P1234" s="47" t="s">
        <v>563</v>
      </c>
      <c r="Q1234" s="48">
        <v>19900</v>
      </c>
      <c r="R1234" s="49" t="s">
        <v>4</v>
      </c>
      <c r="S1234" s="48" t="s">
        <v>4</v>
      </c>
      <c r="T1234" s="47" t="s">
        <v>525</v>
      </c>
    </row>
    <row r="1235" spans="1:20">
      <c r="A1235" s="46">
        <v>139090047369</v>
      </c>
      <c r="B1235" s="44" t="s">
        <v>517</v>
      </c>
      <c r="C1235" s="45">
        <v>46018</v>
      </c>
      <c r="D1235" s="46">
        <v>55513270620</v>
      </c>
      <c r="E1235" s="46">
        <v>2160823444798</v>
      </c>
      <c r="F1235" s="47" t="s">
        <v>518</v>
      </c>
      <c r="G1235" s="47" t="s">
        <v>519</v>
      </c>
      <c r="H1235" s="47" t="s">
        <v>4</v>
      </c>
      <c r="I1235" s="46" t="s">
        <v>4</v>
      </c>
      <c r="J1235" s="48">
        <v>267.72000000000003</v>
      </c>
      <c r="K1235" s="47" t="s">
        <v>520</v>
      </c>
      <c r="L1235" s="47" t="s">
        <v>521</v>
      </c>
      <c r="M1235" s="46" t="s">
        <v>807</v>
      </c>
      <c r="N1235" s="47" t="s">
        <v>808</v>
      </c>
      <c r="O1235" s="44" t="s">
        <v>4</v>
      </c>
      <c r="P1235" s="47" t="s">
        <v>1066</v>
      </c>
      <c r="Q1235" s="48">
        <v>27600</v>
      </c>
      <c r="R1235" s="49" t="s">
        <v>4</v>
      </c>
      <c r="S1235" s="48" t="s">
        <v>4</v>
      </c>
      <c r="T1235" s="47" t="s">
        <v>525</v>
      </c>
    </row>
    <row r="1236" spans="1:20">
      <c r="A1236" s="46">
        <v>139090278709</v>
      </c>
      <c r="B1236" s="44" t="s">
        <v>517</v>
      </c>
      <c r="C1236" s="45">
        <v>46018</v>
      </c>
      <c r="D1236" s="46">
        <v>55513344125</v>
      </c>
      <c r="E1236" s="46">
        <v>2160658177167</v>
      </c>
      <c r="F1236" s="47" t="s">
        <v>529</v>
      </c>
      <c r="G1236" s="47" t="s">
        <v>519</v>
      </c>
      <c r="H1236" s="47" t="s">
        <v>4</v>
      </c>
      <c r="I1236" s="46" t="s">
        <v>4</v>
      </c>
      <c r="J1236" s="48">
        <v>2959.29</v>
      </c>
      <c r="K1236" s="47" t="s">
        <v>520</v>
      </c>
      <c r="L1236" s="47" t="s">
        <v>530</v>
      </c>
      <c r="M1236" s="46" t="s">
        <v>660</v>
      </c>
      <c r="N1236" s="47" t="s">
        <v>661</v>
      </c>
      <c r="O1236" s="44" t="s">
        <v>263</v>
      </c>
      <c r="P1236" s="47" t="s">
        <v>531</v>
      </c>
      <c r="Q1236" s="48">
        <v>75300</v>
      </c>
      <c r="R1236" s="49" t="s">
        <v>4</v>
      </c>
      <c r="S1236" s="48" t="s">
        <v>4</v>
      </c>
      <c r="T1236" s="47" t="s">
        <v>525</v>
      </c>
    </row>
    <row r="1237" spans="1:20">
      <c r="A1237" s="46">
        <v>139738821200</v>
      </c>
      <c r="B1237" s="44" t="s">
        <v>517</v>
      </c>
      <c r="C1237" s="45">
        <v>46018</v>
      </c>
      <c r="D1237" s="46">
        <v>55513833410</v>
      </c>
      <c r="E1237" s="46">
        <v>2160666371219</v>
      </c>
      <c r="F1237" s="47" t="s">
        <v>526</v>
      </c>
      <c r="G1237" s="47" t="s">
        <v>519</v>
      </c>
      <c r="H1237" s="47" t="s">
        <v>4</v>
      </c>
      <c r="I1237" s="46" t="s">
        <v>4</v>
      </c>
      <c r="J1237" s="48">
        <v>331.74</v>
      </c>
      <c r="K1237" s="47" t="s">
        <v>520</v>
      </c>
      <c r="L1237" s="47" t="s">
        <v>521</v>
      </c>
      <c r="M1237" s="46" t="s">
        <v>807</v>
      </c>
      <c r="N1237" s="47" t="s">
        <v>808</v>
      </c>
      <c r="O1237" s="44" t="s">
        <v>4</v>
      </c>
      <c r="P1237" s="47" t="s">
        <v>527</v>
      </c>
      <c r="Q1237" s="48">
        <v>34200</v>
      </c>
      <c r="R1237" s="49" t="s">
        <v>4</v>
      </c>
      <c r="S1237" s="48" t="s">
        <v>4</v>
      </c>
      <c r="T1237" s="47" t="s">
        <v>4</v>
      </c>
    </row>
    <row r="1238" spans="1:20">
      <c r="A1238" s="46">
        <v>139092164837</v>
      </c>
      <c r="B1238" s="44" t="s">
        <v>517</v>
      </c>
      <c r="C1238" s="45">
        <v>46018</v>
      </c>
      <c r="D1238" s="46">
        <v>55514032142</v>
      </c>
      <c r="E1238" s="46">
        <v>2160836226496</v>
      </c>
      <c r="F1238" s="47" t="s">
        <v>518</v>
      </c>
      <c r="G1238" s="47" t="s">
        <v>519</v>
      </c>
      <c r="H1238" s="47" t="s">
        <v>4</v>
      </c>
      <c r="I1238" s="46" t="s">
        <v>4</v>
      </c>
      <c r="J1238" s="48">
        <v>854.57</v>
      </c>
      <c r="K1238" s="47" t="s">
        <v>520</v>
      </c>
      <c r="L1238" s="47" t="s">
        <v>521</v>
      </c>
      <c r="M1238" s="46" t="s">
        <v>660</v>
      </c>
      <c r="N1238" s="47" t="s">
        <v>661</v>
      </c>
      <c r="O1238" s="44" t="s">
        <v>4</v>
      </c>
      <c r="P1238" s="47" t="s">
        <v>1067</v>
      </c>
      <c r="Q1238" s="48">
        <v>88100</v>
      </c>
      <c r="R1238" s="49" t="s">
        <v>4</v>
      </c>
      <c r="S1238" s="48" t="s">
        <v>4</v>
      </c>
      <c r="T1238" s="47" t="s">
        <v>525</v>
      </c>
    </row>
    <row r="1239" spans="1:20">
      <c r="A1239" s="46">
        <v>139740074742</v>
      </c>
      <c r="B1239" s="44" t="s">
        <v>517</v>
      </c>
      <c r="C1239" s="45">
        <v>46019</v>
      </c>
      <c r="D1239" s="46">
        <v>55514297928</v>
      </c>
      <c r="E1239" s="46">
        <v>2160840456790</v>
      </c>
      <c r="F1239" s="47" t="s">
        <v>518</v>
      </c>
      <c r="G1239" s="47" t="s">
        <v>519</v>
      </c>
      <c r="H1239" s="47" t="s">
        <v>4</v>
      </c>
      <c r="I1239" s="46" t="s">
        <v>4</v>
      </c>
      <c r="J1239" s="48">
        <v>95.06</v>
      </c>
      <c r="K1239" s="47" t="s">
        <v>520</v>
      </c>
      <c r="L1239" s="47" t="s">
        <v>521</v>
      </c>
      <c r="M1239" s="46" t="s">
        <v>807</v>
      </c>
      <c r="N1239" s="47" t="s">
        <v>808</v>
      </c>
      <c r="O1239" s="44" t="s">
        <v>4</v>
      </c>
      <c r="P1239" s="47" t="s">
        <v>644</v>
      </c>
      <c r="Q1239" s="48">
        <v>9800</v>
      </c>
      <c r="R1239" s="49" t="s">
        <v>4</v>
      </c>
      <c r="S1239" s="48" t="s">
        <v>4</v>
      </c>
      <c r="T1239" s="47" t="s">
        <v>525</v>
      </c>
    </row>
    <row r="1240" spans="1:20">
      <c r="A1240" s="46">
        <v>139093374485</v>
      </c>
      <c r="B1240" s="44" t="s">
        <v>517</v>
      </c>
      <c r="C1240" s="45">
        <v>46019</v>
      </c>
      <c r="D1240" s="46">
        <v>55514432524</v>
      </c>
      <c r="E1240" s="46">
        <v>2160843039376</v>
      </c>
      <c r="F1240" s="47" t="s">
        <v>518</v>
      </c>
      <c r="G1240" s="47" t="s">
        <v>519</v>
      </c>
      <c r="H1240" s="47" t="s">
        <v>4</v>
      </c>
      <c r="I1240" s="46" t="s">
        <v>4</v>
      </c>
      <c r="J1240" s="48">
        <v>192.06</v>
      </c>
      <c r="K1240" s="47" t="s">
        <v>520</v>
      </c>
      <c r="L1240" s="47" t="s">
        <v>521</v>
      </c>
      <c r="M1240" s="46" t="s">
        <v>807</v>
      </c>
      <c r="N1240" s="47" t="s">
        <v>808</v>
      </c>
      <c r="O1240" s="44" t="s">
        <v>4</v>
      </c>
      <c r="P1240" s="47" t="s">
        <v>1068</v>
      </c>
      <c r="Q1240" s="48">
        <v>19800</v>
      </c>
      <c r="R1240" s="49" t="s">
        <v>4</v>
      </c>
      <c r="S1240" s="48" t="s">
        <v>4</v>
      </c>
      <c r="T1240" s="47" t="s">
        <v>525</v>
      </c>
    </row>
    <row r="1241" spans="1:20">
      <c r="A1241" s="46">
        <v>139093878133</v>
      </c>
      <c r="B1241" s="44" t="s">
        <v>517</v>
      </c>
      <c r="C1241" s="45">
        <v>46019</v>
      </c>
      <c r="D1241" s="46">
        <v>55514636109</v>
      </c>
      <c r="E1241" s="46">
        <v>2160679462549</v>
      </c>
      <c r="F1241" s="47" t="s">
        <v>529</v>
      </c>
      <c r="G1241" s="47" t="s">
        <v>519</v>
      </c>
      <c r="H1241" s="47" t="s">
        <v>4</v>
      </c>
      <c r="I1241" s="46" t="s">
        <v>4</v>
      </c>
      <c r="J1241" s="48">
        <v>1241.8800000000001</v>
      </c>
      <c r="K1241" s="47" t="s">
        <v>520</v>
      </c>
      <c r="L1241" s="47" t="s">
        <v>530</v>
      </c>
      <c r="M1241" s="46" t="s">
        <v>660</v>
      </c>
      <c r="N1241" s="47" t="s">
        <v>661</v>
      </c>
      <c r="O1241" s="44" t="s">
        <v>263</v>
      </c>
      <c r="P1241" s="47" t="s">
        <v>531</v>
      </c>
      <c r="Q1241" s="48">
        <v>31600</v>
      </c>
      <c r="R1241" s="49" t="s">
        <v>4</v>
      </c>
      <c r="S1241" s="48" t="s">
        <v>4</v>
      </c>
      <c r="T1241" s="47" t="s">
        <v>525</v>
      </c>
    </row>
    <row r="1242" spans="1:20">
      <c r="A1242" s="46">
        <v>139094071125</v>
      </c>
      <c r="B1242" s="44" t="s">
        <v>517</v>
      </c>
      <c r="C1242" s="45">
        <v>46019</v>
      </c>
      <c r="D1242" s="46">
        <v>55514758303</v>
      </c>
      <c r="E1242" s="46">
        <v>2160681858515</v>
      </c>
      <c r="F1242" s="47" t="s">
        <v>529</v>
      </c>
      <c r="G1242" s="47" t="s">
        <v>519</v>
      </c>
      <c r="H1242" s="47" t="s">
        <v>4</v>
      </c>
      <c r="I1242" s="46" t="s">
        <v>4</v>
      </c>
      <c r="J1242" s="48">
        <v>754.56</v>
      </c>
      <c r="K1242" s="47" t="s">
        <v>520</v>
      </c>
      <c r="L1242" s="47" t="s">
        <v>530</v>
      </c>
      <c r="M1242" s="46" t="s">
        <v>660</v>
      </c>
      <c r="N1242" s="47" t="s">
        <v>661</v>
      </c>
      <c r="O1242" s="44" t="s">
        <v>263</v>
      </c>
      <c r="P1242" s="47" t="s">
        <v>531</v>
      </c>
      <c r="Q1242" s="48">
        <v>19200</v>
      </c>
      <c r="R1242" s="49" t="s">
        <v>4</v>
      </c>
      <c r="S1242" s="48" t="s">
        <v>4</v>
      </c>
      <c r="T1242" s="47" t="s">
        <v>525</v>
      </c>
    </row>
    <row r="1243" spans="1:20">
      <c r="A1243" s="46">
        <v>139741640206</v>
      </c>
      <c r="B1243" s="44" t="s">
        <v>517</v>
      </c>
      <c r="C1243" s="45">
        <v>46019</v>
      </c>
      <c r="D1243" s="46">
        <v>55514854676</v>
      </c>
      <c r="E1243" s="46">
        <v>2160683375827</v>
      </c>
      <c r="F1243" s="47" t="s">
        <v>518</v>
      </c>
      <c r="G1243" s="47" t="s">
        <v>519</v>
      </c>
      <c r="H1243" s="47" t="s">
        <v>4</v>
      </c>
      <c r="I1243" s="46" t="s">
        <v>4</v>
      </c>
      <c r="J1243" s="48">
        <v>97</v>
      </c>
      <c r="K1243" s="47" t="s">
        <v>520</v>
      </c>
      <c r="L1243" s="47" t="s">
        <v>521</v>
      </c>
      <c r="M1243" s="46" t="s">
        <v>660</v>
      </c>
      <c r="N1243" s="47" t="s">
        <v>661</v>
      </c>
      <c r="O1243" s="44" t="s">
        <v>4</v>
      </c>
      <c r="P1243" s="47" t="s">
        <v>1069</v>
      </c>
      <c r="Q1243" s="48">
        <v>10000</v>
      </c>
      <c r="R1243" s="49" t="s">
        <v>4</v>
      </c>
      <c r="S1243" s="48" t="s">
        <v>4</v>
      </c>
      <c r="T1243" s="47" t="s">
        <v>525</v>
      </c>
    </row>
    <row r="1244" spans="1:20">
      <c r="A1244" s="46">
        <v>139094631503</v>
      </c>
      <c r="B1244" s="44" t="s">
        <v>517</v>
      </c>
      <c r="C1244" s="45">
        <v>46019</v>
      </c>
      <c r="D1244" s="46">
        <v>55514974016</v>
      </c>
      <c r="E1244" s="46">
        <v>2160852284930</v>
      </c>
      <c r="F1244" s="47" t="s">
        <v>529</v>
      </c>
      <c r="G1244" s="47" t="s">
        <v>519</v>
      </c>
      <c r="H1244" s="47" t="s">
        <v>4</v>
      </c>
      <c r="I1244" s="46" t="s">
        <v>4</v>
      </c>
      <c r="J1244" s="48">
        <v>6130.8</v>
      </c>
      <c r="K1244" s="47" t="s">
        <v>520</v>
      </c>
      <c r="L1244" s="47" t="s">
        <v>530</v>
      </c>
      <c r="M1244" s="46" t="s">
        <v>807</v>
      </c>
      <c r="N1244" s="47" t="s">
        <v>808</v>
      </c>
      <c r="O1244" s="44" t="s">
        <v>263</v>
      </c>
      <c r="P1244" s="47" t="s">
        <v>531</v>
      </c>
      <c r="Q1244" s="48">
        <v>156000</v>
      </c>
      <c r="R1244" s="49" t="s">
        <v>4</v>
      </c>
      <c r="S1244" s="48" t="s">
        <v>4</v>
      </c>
      <c r="T1244" s="47" t="s">
        <v>525</v>
      </c>
    </row>
    <row r="1245" spans="1:20">
      <c r="A1245" s="46">
        <v>139742005488</v>
      </c>
      <c r="B1245" s="44" t="s">
        <v>517</v>
      </c>
      <c r="C1245" s="45">
        <v>46019</v>
      </c>
      <c r="D1245" s="46">
        <v>55515022396</v>
      </c>
      <c r="E1245" s="46">
        <v>2160852893650</v>
      </c>
      <c r="F1245" s="47" t="s">
        <v>518</v>
      </c>
      <c r="G1245" s="47" t="s">
        <v>519</v>
      </c>
      <c r="H1245" s="47" t="s">
        <v>4</v>
      </c>
      <c r="I1245" s="46" t="s">
        <v>4</v>
      </c>
      <c r="J1245" s="48">
        <v>97</v>
      </c>
      <c r="K1245" s="47" t="s">
        <v>520</v>
      </c>
      <c r="L1245" s="47" t="s">
        <v>521</v>
      </c>
      <c r="M1245" s="46" t="s">
        <v>807</v>
      </c>
      <c r="N1245" s="47" t="s">
        <v>808</v>
      </c>
      <c r="O1245" s="44" t="s">
        <v>4</v>
      </c>
      <c r="P1245" s="47" t="s">
        <v>1070</v>
      </c>
      <c r="Q1245" s="48">
        <v>10000</v>
      </c>
      <c r="R1245" s="49" t="s">
        <v>4</v>
      </c>
      <c r="S1245" s="48" t="s">
        <v>4</v>
      </c>
      <c r="T1245" s="47" t="s">
        <v>525</v>
      </c>
    </row>
    <row r="1246" spans="1:20">
      <c r="A1246" s="46">
        <v>139742125860</v>
      </c>
      <c r="B1246" s="44" t="s">
        <v>517</v>
      </c>
      <c r="C1246" s="45">
        <v>46019</v>
      </c>
      <c r="D1246" s="46">
        <v>55515079678</v>
      </c>
      <c r="E1246" s="46">
        <v>2160854123488</v>
      </c>
      <c r="F1246" s="47" t="s">
        <v>518</v>
      </c>
      <c r="G1246" s="47" t="s">
        <v>519</v>
      </c>
      <c r="H1246" s="47" t="s">
        <v>4</v>
      </c>
      <c r="I1246" s="46" t="s">
        <v>4</v>
      </c>
      <c r="J1246" s="48">
        <v>539.32000000000005</v>
      </c>
      <c r="K1246" s="47" t="s">
        <v>520</v>
      </c>
      <c r="L1246" s="47" t="s">
        <v>521</v>
      </c>
      <c r="M1246" s="46" t="s">
        <v>807</v>
      </c>
      <c r="N1246" s="47" t="s">
        <v>808</v>
      </c>
      <c r="O1246" s="44" t="s">
        <v>4</v>
      </c>
      <c r="P1246" s="47" t="s">
        <v>1071</v>
      </c>
      <c r="Q1246" s="48">
        <v>55600</v>
      </c>
      <c r="R1246" s="49" t="s">
        <v>4</v>
      </c>
      <c r="S1246" s="48" t="s">
        <v>4</v>
      </c>
      <c r="T1246" s="47" t="s">
        <v>525</v>
      </c>
    </row>
    <row r="1247" spans="1:20">
      <c r="A1247" s="46">
        <v>139742356014</v>
      </c>
      <c r="B1247" s="44" t="s">
        <v>517</v>
      </c>
      <c r="C1247" s="45">
        <v>46019</v>
      </c>
      <c r="D1247" s="46">
        <v>55515163652</v>
      </c>
      <c r="E1247" s="46">
        <v>2160688910343</v>
      </c>
      <c r="F1247" s="47" t="s">
        <v>529</v>
      </c>
      <c r="G1247" s="47" t="s">
        <v>519</v>
      </c>
      <c r="H1247" s="47" t="s">
        <v>4</v>
      </c>
      <c r="I1247" s="46" t="s">
        <v>4</v>
      </c>
      <c r="J1247" s="48">
        <v>3387.66</v>
      </c>
      <c r="K1247" s="47" t="s">
        <v>520</v>
      </c>
      <c r="L1247" s="47" t="s">
        <v>530</v>
      </c>
      <c r="M1247" s="46" t="s">
        <v>807</v>
      </c>
      <c r="N1247" s="47" t="s">
        <v>808</v>
      </c>
      <c r="O1247" s="44" t="s">
        <v>263</v>
      </c>
      <c r="P1247" s="47" t="s">
        <v>531</v>
      </c>
      <c r="Q1247" s="48">
        <v>86200</v>
      </c>
      <c r="R1247" s="49" t="s">
        <v>4</v>
      </c>
      <c r="S1247" s="48" t="s">
        <v>4</v>
      </c>
      <c r="T1247" s="47" t="s">
        <v>525</v>
      </c>
    </row>
    <row r="1248" spans="1:20">
      <c r="A1248" s="46">
        <v>139742892010</v>
      </c>
      <c r="B1248" s="44" t="s">
        <v>517</v>
      </c>
      <c r="C1248" s="45">
        <v>46019</v>
      </c>
      <c r="D1248" s="46">
        <v>55515391162</v>
      </c>
      <c r="E1248" s="46">
        <v>2160692267353</v>
      </c>
      <c r="F1248" s="47" t="s">
        <v>518</v>
      </c>
      <c r="G1248" s="47" t="s">
        <v>519</v>
      </c>
      <c r="H1248" s="47" t="s">
        <v>4</v>
      </c>
      <c r="I1248" s="46" t="s">
        <v>4</v>
      </c>
      <c r="J1248" s="48">
        <v>449.11</v>
      </c>
      <c r="K1248" s="47" t="s">
        <v>520</v>
      </c>
      <c r="L1248" s="47" t="s">
        <v>521</v>
      </c>
      <c r="M1248" s="46" t="s">
        <v>660</v>
      </c>
      <c r="N1248" s="47" t="s">
        <v>661</v>
      </c>
      <c r="O1248" s="44" t="s">
        <v>4</v>
      </c>
      <c r="P1248" s="47" t="s">
        <v>1072</v>
      </c>
      <c r="Q1248" s="48">
        <v>46300</v>
      </c>
      <c r="R1248" s="49" t="s">
        <v>4</v>
      </c>
      <c r="S1248" s="48" t="s">
        <v>4</v>
      </c>
      <c r="T1248" s="47" t="s">
        <v>525</v>
      </c>
    </row>
    <row r="1249" spans="1:20">
      <c r="A1249" s="46">
        <v>139743113042</v>
      </c>
      <c r="B1249" s="44" t="s">
        <v>517</v>
      </c>
      <c r="C1249" s="45">
        <v>46019</v>
      </c>
      <c r="D1249" s="46">
        <v>55515432466</v>
      </c>
      <c r="E1249" s="46">
        <v>2160693183925</v>
      </c>
      <c r="F1249" s="47" t="s">
        <v>518</v>
      </c>
      <c r="G1249" s="47" t="s">
        <v>519</v>
      </c>
      <c r="H1249" s="47" t="s">
        <v>4</v>
      </c>
      <c r="I1249" s="46" t="s">
        <v>4</v>
      </c>
      <c r="J1249" s="48">
        <v>549.02</v>
      </c>
      <c r="K1249" s="47" t="s">
        <v>520</v>
      </c>
      <c r="L1249" s="47" t="s">
        <v>521</v>
      </c>
      <c r="M1249" s="46" t="s">
        <v>660</v>
      </c>
      <c r="N1249" s="47" t="s">
        <v>661</v>
      </c>
      <c r="O1249" s="44" t="s">
        <v>4</v>
      </c>
      <c r="P1249" s="47" t="s">
        <v>1073</v>
      </c>
      <c r="Q1249" s="48">
        <v>56600</v>
      </c>
      <c r="R1249" s="49" t="s">
        <v>4</v>
      </c>
      <c r="S1249" s="48" t="s">
        <v>4</v>
      </c>
      <c r="T1249" s="47" t="s">
        <v>525</v>
      </c>
    </row>
    <row r="1250" spans="1:20">
      <c r="A1250" s="46">
        <v>139095819989</v>
      </c>
      <c r="B1250" s="44" t="s">
        <v>517</v>
      </c>
      <c r="C1250" s="45">
        <v>46019</v>
      </c>
      <c r="D1250" s="46">
        <v>55515447731</v>
      </c>
      <c r="E1250" s="46">
        <v>2160859983142</v>
      </c>
      <c r="F1250" s="47" t="s">
        <v>518</v>
      </c>
      <c r="G1250" s="47" t="s">
        <v>519</v>
      </c>
      <c r="H1250" s="47" t="s">
        <v>4</v>
      </c>
      <c r="I1250" s="46" t="s">
        <v>4</v>
      </c>
      <c r="J1250" s="48">
        <v>223.31</v>
      </c>
      <c r="K1250" s="47" t="s">
        <v>520</v>
      </c>
      <c r="L1250" s="47" t="s">
        <v>521</v>
      </c>
      <c r="M1250" s="46" t="s">
        <v>807</v>
      </c>
      <c r="N1250" s="47" t="s">
        <v>808</v>
      </c>
      <c r="O1250" s="44" t="s">
        <v>4</v>
      </c>
      <c r="P1250" s="47" t="s">
        <v>971</v>
      </c>
      <c r="Q1250" s="48">
        <v>13700</v>
      </c>
      <c r="R1250" s="49" t="s">
        <v>4</v>
      </c>
      <c r="S1250" s="48" t="s">
        <v>4</v>
      </c>
      <c r="T1250" s="47" t="s">
        <v>525</v>
      </c>
    </row>
    <row r="1251" spans="1:20">
      <c r="A1251" s="46">
        <v>139096355877</v>
      </c>
      <c r="B1251" s="44" t="s">
        <v>517</v>
      </c>
      <c r="C1251" s="45">
        <v>46019</v>
      </c>
      <c r="D1251" s="46">
        <v>55515651982</v>
      </c>
      <c r="E1251" s="46">
        <v>2160696704469</v>
      </c>
      <c r="F1251" s="47" t="s">
        <v>526</v>
      </c>
      <c r="G1251" s="47" t="s">
        <v>519</v>
      </c>
      <c r="H1251" s="47" t="s">
        <v>4</v>
      </c>
      <c r="I1251" s="46" t="s">
        <v>4</v>
      </c>
      <c r="J1251" s="48">
        <v>687.73</v>
      </c>
      <c r="K1251" s="47" t="s">
        <v>520</v>
      </c>
      <c r="L1251" s="47" t="s">
        <v>521</v>
      </c>
      <c r="M1251" s="46" t="s">
        <v>660</v>
      </c>
      <c r="N1251" s="47" t="s">
        <v>661</v>
      </c>
      <c r="O1251" s="44" t="s">
        <v>4</v>
      </c>
      <c r="P1251" s="47" t="s">
        <v>527</v>
      </c>
      <c r="Q1251" s="48">
        <v>70900</v>
      </c>
      <c r="R1251" s="49" t="s">
        <v>4</v>
      </c>
      <c r="S1251" s="48" t="s">
        <v>4</v>
      </c>
      <c r="T1251" s="47" t="s">
        <v>4</v>
      </c>
    </row>
    <row r="1252" spans="1:20">
      <c r="A1252" s="46">
        <v>139743764936</v>
      </c>
      <c r="B1252" s="44" t="s">
        <v>517</v>
      </c>
      <c r="C1252" s="45">
        <v>46019</v>
      </c>
      <c r="D1252" s="46">
        <v>55515669526</v>
      </c>
      <c r="E1252" s="46">
        <v>2160863509220</v>
      </c>
      <c r="F1252" s="47" t="s">
        <v>529</v>
      </c>
      <c r="G1252" s="47" t="s">
        <v>519</v>
      </c>
      <c r="H1252" s="47" t="s">
        <v>4</v>
      </c>
      <c r="I1252" s="46" t="s">
        <v>4</v>
      </c>
      <c r="J1252" s="48">
        <v>1469.82</v>
      </c>
      <c r="K1252" s="47" t="s">
        <v>520</v>
      </c>
      <c r="L1252" s="47" t="s">
        <v>530</v>
      </c>
      <c r="M1252" s="46" t="s">
        <v>660</v>
      </c>
      <c r="N1252" s="47" t="s">
        <v>661</v>
      </c>
      <c r="O1252" s="44" t="s">
        <v>263</v>
      </c>
      <c r="P1252" s="47" t="s">
        <v>531</v>
      </c>
      <c r="Q1252" s="48">
        <v>37400</v>
      </c>
      <c r="R1252" s="49" t="s">
        <v>4</v>
      </c>
      <c r="S1252" s="48" t="s">
        <v>4</v>
      </c>
      <c r="T1252" s="47" t="s">
        <v>525</v>
      </c>
    </row>
    <row r="1253" spans="1:20">
      <c r="A1253" s="46">
        <v>139743954796</v>
      </c>
      <c r="B1253" s="44" t="s">
        <v>517</v>
      </c>
      <c r="C1253" s="45">
        <v>46019</v>
      </c>
      <c r="D1253" s="46">
        <v>55515731398</v>
      </c>
      <c r="E1253" s="46">
        <v>2160698081249</v>
      </c>
      <c r="F1253" s="47" t="s">
        <v>529</v>
      </c>
      <c r="G1253" s="47" t="s">
        <v>519</v>
      </c>
      <c r="H1253" s="47" t="s">
        <v>4</v>
      </c>
      <c r="I1253" s="46" t="s">
        <v>4</v>
      </c>
      <c r="J1253" s="48">
        <v>1147.56</v>
      </c>
      <c r="K1253" s="47" t="s">
        <v>520</v>
      </c>
      <c r="L1253" s="47" t="s">
        <v>530</v>
      </c>
      <c r="M1253" s="46" t="s">
        <v>660</v>
      </c>
      <c r="N1253" s="47" t="s">
        <v>661</v>
      </c>
      <c r="O1253" s="44" t="s">
        <v>263</v>
      </c>
      <c r="P1253" s="47" t="s">
        <v>531</v>
      </c>
      <c r="Q1253" s="48">
        <v>29200</v>
      </c>
      <c r="R1253" s="49" t="s">
        <v>4</v>
      </c>
      <c r="S1253" s="48" t="s">
        <v>4</v>
      </c>
      <c r="T1253" s="47" t="s">
        <v>525</v>
      </c>
    </row>
    <row r="1254" spans="1:20">
      <c r="A1254" s="46">
        <v>139744308788</v>
      </c>
      <c r="B1254" s="44" t="s">
        <v>517</v>
      </c>
      <c r="C1254" s="45">
        <v>46019</v>
      </c>
      <c r="D1254" s="46">
        <v>55515876799</v>
      </c>
      <c r="E1254" s="46">
        <v>2160866712886</v>
      </c>
      <c r="F1254" s="47" t="s">
        <v>518</v>
      </c>
      <c r="G1254" s="47" t="s">
        <v>519</v>
      </c>
      <c r="H1254" s="47" t="s">
        <v>4</v>
      </c>
      <c r="I1254" s="46" t="s">
        <v>4</v>
      </c>
      <c r="J1254" s="48">
        <v>99.91</v>
      </c>
      <c r="K1254" s="47" t="s">
        <v>520</v>
      </c>
      <c r="L1254" s="47" t="s">
        <v>521</v>
      </c>
      <c r="M1254" s="46" t="s">
        <v>660</v>
      </c>
      <c r="N1254" s="47" t="s">
        <v>661</v>
      </c>
      <c r="O1254" s="44" t="s">
        <v>4</v>
      </c>
      <c r="P1254" s="47" t="s">
        <v>1074</v>
      </c>
      <c r="Q1254" s="48">
        <v>10300</v>
      </c>
      <c r="R1254" s="49" t="s">
        <v>4</v>
      </c>
      <c r="S1254" s="48" t="s">
        <v>4</v>
      </c>
      <c r="T1254" s="47" t="s">
        <v>525</v>
      </c>
    </row>
    <row r="1255" spans="1:20">
      <c r="A1255" s="46">
        <v>139745018564</v>
      </c>
      <c r="B1255" s="44" t="s">
        <v>517</v>
      </c>
      <c r="C1255" s="45">
        <v>46019</v>
      </c>
      <c r="D1255" s="46">
        <v>55516122946</v>
      </c>
      <c r="E1255" s="46">
        <v>2160704775301</v>
      </c>
      <c r="F1255" s="47" t="s">
        <v>518</v>
      </c>
      <c r="G1255" s="47" t="s">
        <v>519</v>
      </c>
      <c r="H1255" s="47" t="s">
        <v>4</v>
      </c>
      <c r="I1255" s="46" t="s">
        <v>4</v>
      </c>
      <c r="J1255" s="48">
        <v>562.6</v>
      </c>
      <c r="K1255" s="47" t="s">
        <v>520</v>
      </c>
      <c r="L1255" s="47" t="s">
        <v>521</v>
      </c>
      <c r="M1255" s="46" t="s">
        <v>807</v>
      </c>
      <c r="N1255" s="47" t="s">
        <v>808</v>
      </c>
      <c r="O1255" s="44" t="s">
        <v>4</v>
      </c>
      <c r="P1255" s="47" t="s">
        <v>1075</v>
      </c>
      <c r="Q1255" s="48">
        <v>58000</v>
      </c>
      <c r="R1255" s="49" t="s">
        <v>4</v>
      </c>
      <c r="S1255" s="48" t="s">
        <v>4</v>
      </c>
      <c r="T1255" s="47" t="s">
        <v>525</v>
      </c>
    </row>
    <row r="1256" spans="1:20">
      <c r="A1256" s="46">
        <v>139745156910</v>
      </c>
      <c r="B1256" s="44" t="s">
        <v>517</v>
      </c>
      <c r="C1256" s="45">
        <v>46019</v>
      </c>
      <c r="D1256" s="46">
        <v>55516221359</v>
      </c>
      <c r="E1256" s="46">
        <v>2160705817039</v>
      </c>
      <c r="F1256" s="47" t="s">
        <v>529</v>
      </c>
      <c r="G1256" s="47" t="s">
        <v>519</v>
      </c>
      <c r="H1256" s="47" t="s">
        <v>4</v>
      </c>
      <c r="I1256" s="46" t="s">
        <v>4</v>
      </c>
      <c r="J1256" s="48">
        <v>1296.9000000000001</v>
      </c>
      <c r="K1256" s="47" t="s">
        <v>520</v>
      </c>
      <c r="L1256" s="47" t="s">
        <v>530</v>
      </c>
      <c r="M1256" s="46" t="s">
        <v>807</v>
      </c>
      <c r="N1256" s="47" t="s">
        <v>808</v>
      </c>
      <c r="O1256" s="44" t="s">
        <v>263</v>
      </c>
      <c r="P1256" s="47" t="s">
        <v>531</v>
      </c>
      <c r="Q1256" s="48">
        <v>33000</v>
      </c>
      <c r="R1256" s="49" t="s">
        <v>4</v>
      </c>
      <c r="S1256" s="48" t="s">
        <v>4</v>
      </c>
      <c r="T1256" s="47" t="s">
        <v>525</v>
      </c>
    </row>
    <row r="1257" spans="1:20">
      <c r="A1257" s="46">
        <v>139745222594</v>
      </c>
      <c r="B1257" s="44" t="s">
        <v>517</v>
      </c>
      <c r="C1257" s="45">
        <v>46019</v>
      </c>
      <c r="D1257" s="46">
        <v>55516238364</v>
      </c>
      <c r="E1257" s="46">
        <v>2160706072947</v>
      </c>
      <c r="F1257" s="47" t="s">
        <v>529</v>
      </c>
      <c r="G1257" s="47" t="s">
        <v>519</v>
      </c>
      <c r="H1257" s="47" t="s">
        <v>4</v>
      </c>
      <c r="I1257" s="46" t="s">
        <v>4</v>
      </c>
      <c r="J1257" s="48">
        <v>4444.83</v>
      </c>
      <c r="K1257" s="47" t="s">
        <v>520</v>
      </c>
      <c r="L1257" s="47" t="s">
        <v>530</v>
      </c>
      <c r="M1257" s="46" t="s">
        <v>807</v>
      </c>
      <c r="N1257" s="47" t="s">
        <v>808</v>
      </c>
      <c r="O1257" s="44" t="s">
        <v>263</v>
      </c>
      <c r="P1257" s="47" t="s">
        <v>531</v>
      </c>
      <c r="Q1257" s="48">
        <v>113100</v>
      </c>
      <c r="R1257" s="49" t="s">
        <v>4</v>
      </c>
      <c r="S1257" s="48" t="s">
        <v>4</v>
      </c>
      <c r="T1257" s="47" t="s">
        <v>525</v>
      </c>
    </row>
    <row r="1258" spans="1:20">
      <c r="A1258" s="46">
        <v>139098023351</v>
      </c>
      <c r="B1258" s="44" t="s">
        <v>517</v>
      </c>
      <c r="C1258" s="45">
        <v>46019</v>
      </c>
      <c r="D1258" s="46">
        <v>55516273047</v>
      </c>
      <c r="E1258" s="46">
        <v>2160706823233</v>
      </c>
      <c r="F1258" s="47" t="s">
        <v>518</v>
      </c>
      <c r="G1258" s="47" t="s">
        <v>519</v>
      </c>
      <c r="H1258" s="47" t="s">
        <v>4</v>
      </c>
      <c r="I1258" s="46" t="s">
        <v>4</v>
      </c>
      <c r="J1258" s="48">
        <v>148.41</v>
      </c>
      <c r="K1258" s="47" t="s">
        <v>520</v>
      </c>
      <c r="L1258" s="47" t="s">
        <v>521</v>
      </c>
      <c r="M1258" s="46" t="s">
        <v>807</v>
      </c>
      <c r="N1258" s="47" t="s">
        <v>808</v>
      </c>
      <c r="O1258" s="44" t="s">
        <v>4</v>
      </c>
      <c r="P1258" s="47" t="s">
        <v>697</v>
      </c>
      <c r="Q1258" s="48">
        <v>15300</v>
      </c>
      <c r="R1258" s="49" t="s">
        <v>4</v>
      </c>
      <c r="S1258" s="48" t="s">
        <v>4</v>
      </c>
      <c r="T1258" s="47" t="s">
        <v>525</v>
      </c>
    </row>
    <row r="1259" spans="1:20">
      <c r="A1259" s="46">
        <v>139098272395</v>
      </c>
      <c r="B1259" s="44" t="s">
        <v>517</v>
      </c>
      <c r="C1259" s="45">
        <v>46019</v>
      </c>
      <c r="D1259" s="46">
        <v>55516329444</v>
      </c>
      <c r="E1259" s="46">
        <v>2160707534231</v>
      </c>
      <c r="F1259" s="47" t="s">
        <v>518</v>
      </c>
      <c r="G1259" s="47" t="s">
        <v>519</v>
      </c>
      <c r="H1259" s="47" t="s">
        <v>4</v>
      </c>
      <c r="I1259" s="46" t="s">
        <v>4</v>
      </c>
      <c r="J1259" s="48">
        <v>741.08</v>
      </c>
      <c r="K1259" s="47" t="s">
        <v>520</v>
      </c>
      <c r="L1259" s="47" t="s">
        <v>521</v>
      </c>
      <c r="M1259" s="46" t="s">
        <v>807</v>
      </c>
      <c r="N1259" s="47" t="s">
        <v>808</v>
      </c>
      <c r="O1259" s="44" t="s">
        <v>4</v>
      </c>
      <c r="P1259" s="47" t="s">
        <v>1076</v>
      </c>
      <c r="Q1259" s="48">
        <v>76400</v>
      </c>
      <c r="R1259" s="49" t="s">
        <v>4</v>
      </c>
      <c r="S1259" s="48" t="s">
        <v>4</v>
      </c>
      <c r="T1259" s="47" t="s">
        <v>525</v>
      </c>
    </row>
    <row r="1260" spans="1:20">
      <c r="A1260" s="46">
        <v>139746116204</v>
      </c>
      <c r="B1260" s="44" t="s">
        <v>517</v>
      </c>
      <c r="C1260" s="45">
        <v>46019</v>
      </c>
      <c r="D1260" s="46">
        <v>55516533760</v>
      </c>
      <c r="E1260" s="46">
        <v>2160711145115</v>
      </c>
      <c r="F1260" s="47" t="s">
        <v>518</v>
      </c>
      <c r="G1260" s="47" t="s">
        <v>519</v>
      </c>
      <c r="H1260" s="47" t="s">
        <v>4</v>
      </c>
      <c r="I1260" s="46" t="s">
        <v>4</v>
      </c>
      <c r="J1260" s="48">
        <v>397.7</v>
      </c>
      <c r="K1260" s="47" t="s">
        <v>520</v>
      </c>
      <c r="L1260" s="47" t="s">
        <v>521</v>
      </c>
      <c r="M1260" s="46" t="s">
        <v>807</v>
      </c>
      <c r="N1260" s="47" t="s">
        <v>808</v>
      </c>
      <c r="O1260" s="44" t="s">
        <v>4</v>
      </c>
      <c r="P1260" s="47" t="s">
        <v>1077</v>
      </c>
      <c r="Q1260" s="48">
        <v>41000</v>
      </c>
      <c r="R1260" s="49" t="s">
        <v>4</v>
      </c>
      <c r="S1260" s="48" t="s">
        <v>4</v>
      </c>
      <c r="T1260" s="47" t="s">
        <v>525</v>
      </c>
    </row>
    <row r="1261" spans="1:20">
      <c r="A1261" s="46">
        <v>139746110436</v>
      </c>
      <c r="B1261" s="44" t="s">
        <v>517</v>
      </c>
      <c r="C1261" s="45">
        <v>46019</v>
      </c>
      <c r="D1261" s="46">
        <v>55516559817</v>
      </c>
      <c r="E1261" s="46">
        <v>2160877842724</v>
      </c>
      <c r="F1261" s="47" t="s">
        <v>518</v>
      </c>
      <c r="G1261" s="47" t="s">
        <v>519</v>
      </c>
      <c r="H1261" s="47" t="s">
        <v>4</v>
      </c>
      <c r="I1261" s="46" t="s">
        <v>4</v>
      </c>
      <c r="J1261" s="48">
        <v>439.41</v>
      </c>
      <c r="K1261" s="47" t="s">
        <v>520</v>
      </c>
      <c r="L1261" s="47" t="s">
        <v>521</v>
      </c>
      <c r="M1261" s="46" t="s">
        <v>807</v>
      </c>
      <c r="N1261" s="47" t="s">
        <v>808</v>
      </c>
      <c r="O1261" s="44" t="s">
        <v>4</v>
      </c>
      <c r="P1261" s="47" t="s">
        <v>1078</v>
      </c>
      <c r="Q1261" s="48">
        <v>45300</v>
      </c>
      <c r="R1261" s="49" t="s">
        <v>4</v>
      </c>
      <c r="S1261" s="48" t="s">
        <v>4</v>
      </c>
      <c r="T1261" s="47" t="s">
        <v>525</v>
      </c>
    </row>
    <row r="1262" spans="1:20">
      <c r="A1262" s="46">
        <v>139746069422</v>
      </c>
      <c r="B1262" s="44" t="s">
        <v>517</v>
      </c>
      <c r="C1262" s="45">
        <v>46019</v>
      </c>
      <c r="D1262" s="46">
        <v>55516592450</v>
      </c>
      <c r="E1262" s="46">
        <v>2160878278374</v>
      </c>
      <c r="F1262" s="47" t="s">
        <v>518</v>
      </c>
      <c r="G1262" s="47" t="s">
        <v>519</v>
      </c>
      <c r="H1262" s="47" t="s">
        <v>4</v>
      </c>
      <c r="I1262" s="46" t="s">
        <v>4</v>
      </c>
      <c r="J1262" s="48">
        <v>153.26</v>
      </c>
      <c r="K1262" s="47" t="s">
        <v>520</v>
      </c>
      <c r="L1262" s="47" t="s">
        <v>521</v>
      </c>
      <c r="M1262" s="46" t="s">
        <v>807</v>
      </c>
      <c r="N1262" s="47" t="s">
        <v>808</v>
      </c>
      <c r="O1262" s="44" t="s">
        <v>4</v>
      </c>
      <c r="P1262" s="47" t="s">
        <v>1079</v>
      </c>
      <c r="Q1262" s="48">
        <v>15800</v>
      </c>
      <c r="R1262" s="49" t="s">
        <v>4</v>
      </c>
      <c r="S1262" s="48" t="s">
        <v>4</v>
      </c>
      <c r="T1262" s="47" t="s">
        <v>525</v>
      </c>
    </row>
    <row r="1263" spans="1:20">
      <c r="A1263" s="46">
        <v>139098946275</v>
      </c>
      <c r="B1263" s="44" t="s">
        <v>517</v>
      </c>
      <c r="C1263" s="45">
        <v>46019</v>
      </c>
      <c r="D1263" s="46">
        <v>55516601990</v>
      </c>
      <c r="E1263" s="46">
        <v>2160878558878</v>
      </c>
      <c r="F1263" s="47" t="s">
        <v>518</v>
      </c>
      <c r="G1263" s="47" t="s">
        <v>519</v>
      </c>
      <c r="H1263" s="47" t="s">
        <v>4</v>
      </c>
      <c r="I1263" s="46" t="s">
        <v>4</v>
      </c>
      <c r="J1263" s="48">
        <v>966.12</v>
      </c>
      <c r="K1263" s="47" t="s">
        <v>520</v>
      </c>
      <c r="L1263" s="47" t="s">
        <v>521</v>
      </c>
      <c r="M1263" s="46" t="s">
        <v>807</v>
      </c>
      <c r="N1263" s="47" t="s">
        <v>808</v>
      </c>
      <c r="O1263" s="44" t="s">
        <v>4</v>
      </c>
      <c r="P1263" s="47" t="s">
        <v>1080</v>
      </c>
      <c r="Q1263" s="48">
        <v>99600</v>
      </c>
      <c r="R1263" s="49" t="s">
        <v>4</v>
      </c>
      <c r="S1263" s="48" t="s">
        <v>4</v>
      </c>
      <c r="T1263" s="47" t="s">
        <v>525</v>
      </c>
    </row>
    <row r="1264" spans="1:20">
      <c r="A1264" s="46">
        <v>139746652180</v>
      </c>
      <c r="B1264" s="44" t="s">
        <v>517</v>
      </c>
      <c r="C1264" s="45">
        <v>46019</v>
      </c>
      <c r="D1264" s="46">
        <v>55516793582</v>
      </c>
      <c r="E1264" s="46">
        <v>2160714678509</v>
      </c>
      <c r="F1264" s="47" t="s">
        <v>518</v>
      </c>
      <c r="G1264" s="47" t="s">
        <v>519</v>
      </c>
      <c r="H1264" s="47" t="s">
        <v>4</v>
      </c>
      <c r="I1264" s="46" t="s">
        <v>4</v>
      </c>
      <c r="J1264" s="48">
        <v>398.67</v>
      </c>
      <c r="K1264" s="47" t="s">
        <v>520</v>
      </c>
      <c r="L1264" s="47" t="s">
        <v>521</v>
      </c>
      <c r="M1264" s="46" t="s">
        <v>807</v>
      </c>
      <c r="N1264" s="47" t="s">
        <v>808</v>
      </c>
      <c r="O1264" s="44" t="s">
        <v>4</v>
      </c>
      <c r="P1264" s="47" t="s">
        <v>1081</v>
      </c>
      <c r="Q1264" s="48">
        <v>41100</v>
      </c>
      <c r="R1264" s="49" t="s">
        <v>4</v>
      </c>
      <c r="S1264" s="48" t="s">
        <v>4</v>
      </c>
      <c r="T1264" s="47" t="s">
        <v>525</v>
      </c>
    </row>
    <row r="1265" spans="1:20">
      <c r="A1265" s="46">
        <v>139746956110</v>
      </c>
      <c r="B1265" s="44" t="s">
        <v>517</v>
      </c>
      <c r="C1265" s="45">
        <v>46019</v>
      </c>
      <c r="D1265" s="46">
        <v>55516918197</v>
      </c>
      <c r="E1265" s="46">
        <v>2160883226980</v>
      </c>
      <c r="F1265" s="47" t="s">
        <v>529</v>
      </c>
      <c r="G1265" s="47" t="s">
        <v>519</v>
      </c>
      <c r="H1265" s="47" t="s">
        <v>4</v>
      </c>
      <c r="I1265" s="46" t="s">
        <v>4</v>
      </c>
      <c r="J1265" s="48">
        <v>1068.96</v>
      </c>
      <c r="K1265" s="47" t="s">
        <v>520</v>
      </c>
      <c r="L1265" s="47" t="s">
        <v>530</v>
      </c>
      <c r="M1265" s="46" t="s">
        <v>807</v>
      </c>
      <c r="N1265" s="47" t="s">
        <v>808</v>
      </c>
      <c r="O1265" s="44" t="s">
        <v>263</v>
      </c>
      <c r="P1265" s="47" t="s">
        <v>531</v>
      </c>
      <c r="Q1265" s="48">
        <v>27200</v>
      </c>
      <c r="R1265" s="49" t="s">
        <v>4</v>
      </c>
      <c r="S1265" s="48" t="s">
        <v>4</v>
      </c>
      <c r="T1265" s="47" t="s">
        <v>525</v>
      </c>
    </row>
    <row r="1266" spans="1:20">
      <c r="A1266" s="46">
        <v>139746996378</v>
      </c>
      <c r="B1266" s="44" t="s">
        <v>517</v>
      </c>
      <c r="C1266" s="45">
        <v>46019</v>
      </c>
      <c r="D1266" s="46">
        <v>55516946284</v>
      </c>
      <c r="E1266" s="46">
        <v>2160716977673</v>
      </c>
      <c r="F1266" s="47" t="s">
        <v>529</v>
      </c>
      <c r="G1266" s="47" t="s">
        <v>519</v>
      </c>
      <c r="H1266" s="47" t="s">
        <v>4</v>
      </c>
      <c r="I1266" s="46" t="s">
        <v>4</v>
      </c>
      <c r="J1266" s="48">
        <v>3006.45</v>
      </c>
      <c r="K1266" s="47" t="s">
        <v>520</v>
      </c>
      <c r="L1266" s="47" t="s">
        <v>530</v>
      </c>
      <c r="M1266" s="46" t="s">
        <v>807</v>
      </c>
      <c r="N1266" s="47" t="s">
        <v>808</v>
      </c>
      <c r="O1266" s="44" t="s">
        <v>263</v>
      </c>
      <c r="P1266" s="47" t="s">
        <v>531</v>
      </c>
      <c r="Q1266" s="48">
        <v>76500</v>
      </c>
      <c r="R1266" s="49" t="s">
        <v>4</v>
      </c>
      <c r="S1266" s="48" t="s">
        <v>4</v>
      </c>
      <c r="T1266" s="47" t="s">
        <v>525</v>
      </c>
    </row>
    <row r="1267" spans="1:20">
      <c r="A1267" s="46">
        <v>139747108932</v>
      </c>
      <c r="B1267" s="44" t="s">
        <v>517</v>
      </c>
      <c r="C1267" s="45">
        <v>46019</v>
      </c>
      <c r="D1267" s="46">
        <v>55517028176</v>
      </c>
      <c r="E1267" s="46">
        <v>2160884805622</v>
      </c>
      <c r="F1267" s="47" t="s">
        <v>518</v>
      </c>
      <c r="G1267" s="47" t="s">
        <v>519</v>
      </c>
      <c r="H1267" s="47" t="s">
        <v>4</v>
      </c>
      <c r="I1267" s="46" t="s">
        <v>4</v>
      </c>
      <c r="J1267" s="48">
        <v>291</v>
      </c>
      <c r="K1267" s="47" t="s">
        <v>520</v>
      </c>
      <c r="L1267" s="47" t="s">
        <v>521</v>
      </c>
      <c r="M1267" s="46" t="s">
        <v>807</v>
      </c>
      <c r="N1267" s="47" t="s">
        <v>808</v>
      </c>
      <c r="O1267" s="44" t="s">
        <v>4</v>
      </c>
      <c r="P1267" s="47" t="s">
        <v>636</v>
      </c>
      <c r="Q1267" s="48">
        <v>30000</v>
      </c>
      <c r="R1267" s="49" t="s">
        <v>4</v>
      </c>
      <c r="S1267" s="48" t="s">
        <v>4</v>
      </c>
      <c r="T1267" s="47" t="s">
        <v>525</v>
      </c>
    </row>
    <row r="1268" spans="1:20">
      <c r="A1268" s="46">
        <v>139747250496</v>
      </c>
      <c r="B1268" s="44" t="s">
        <v>517</v>
      </c>
      <c r="C1268" s="45">
        <v>46019</v>
      </c>
      <c r="D1268" s="46">
        <v>55517060235</v>
      </c>
      <c r="E1268" s="46">
        <v>2160718892951</v>
      </c>
      <c r="F1268" s="47" t="s">
        <v>529</v>
      </c>
      <c r="G1268" s="47" t="s">
        <v>519</v>
      </c>
      <c r="H1268" s="47" t="s">
        <v>4</v>
      </c>
      <c r="I1268" s="46" t="s">
        <v>4</v>
      </c>
      <c r="J1268" s="48">
        <v>5855.7</v>
      </c>
      <c r="K1268" s="47" t="s">
        <v>520</v>
      </c>
      <c r="L1268" s="47" t="s">
        <v>530</v>
      </c>
      <c r="M1268" s="46" t="s">
        <v>807</v>
      </c>
      <c r="N1268" s="47" t="s">
        <v>808</v>
      </c>
      <c r="O1268" s="44" t="s">
        <v>263</v>
      </c>
      <c r="P1268" s="47" t="s">
        <v>531</v>
      </c>
      <c r="Q1268" s="48">
        <v>149000</v>
      </c>
      <c r="R1268" s="49" t="s">
        <v>4</v>
      </c>
      <c r="S1268" s="48" t="s">
        <v>4</v>
      </c>
      <c r="T1268" s="47" t="s">
        <v>525</v>
      </c>
    </row>
    <row r="1269" spans="1:20">
      <c r="A1269" s="46">
        <v>139100436161</v>
      </c>
      <c r="B1269" s="44" t="s">
        <v>517</v>
      </c>
      <c r="C1269" s="45">
        <v>46019</v>
      </c>
      <c r="D1269" s="46">
        <v>55517235330</v>
      </c>
      <c r="E1269" s="46">
        <v>2160887863084</v>
      </c>
      <c r="F1269" s="47" t="s">
        <v>518</v>
      </c>
      <c r="G1269" s="47" t="s">
        <v>519</v>
      </c>
      <c r="H1269" s="47" t="s">
        <v>4</v>
      </c>
      <c r="I1269" s="46" t="s">
        <v>4</v>
      </c>
      <c r="J1269" s="48">
        <v>139.68</v>
      </c>
      <c r="K1269" s="47" t="s">
        <v>520</v>
      </c>
      <c r="L1269" s="47" t="s">
        <v>521</v>
      </c>
      <c r="M1269" s="46" t="s">
        <v>807</v>
      </c>
      <c r="N1269" s="47" t="s">
        <v>808</v>
      </c>
      <c r="O1269" s="44" t="s">
        <v>4</v>
      </c>
      <c r="P1269" s="47" t="s">
        <v>1082</v>
      </c>
      <c r="Q1269" s="48">
        <v>14400</v>
      </c>
      <c r="R1269" s="49" t="s">
        <v>4</v>
      </c>
      <c r="S1269" s="48" t="s">
        <v>4</v>
      </c>
      <c r="T1269" s="47" t="s">
        <v>525</v>
      </c>
    </row>
    <row r="1270" spans="1:20">
      <c r="A1270" s="46">
        <v>139100574281</v>
      </c>
      <c r="B1270" s="44" t="s">
        <v>517</v>
      </c>
      <c r="C1270" s="45">
        <v>46019</v>
      </c>
      <c r="D1270" s="46">
        <v>55517288977</v>
      </c>
      <c r="E1270" s="46">
        <v>2160888947222</v>
      </c>
      <c r="F1270" s="47" t="s">
        <v>518</v>
      </c>
      <c r="G1270" s="47" t="s">
        <v>519</v>
      </c>
      <c r="H1270" s="47" t="s">
        <v>4</v>
      </c>
      <c r="I1270" s="46" t="s">
        <v>4</v>
      </c>
      <c r="J1270" s="48">
        <v>300.7</v>
      </c>
      <c r="K1270" s="47" t="s">
        <v>520</v>
      </c>
      <c r="L1270" s="47" t="s">
        <v>521</v>
      </c>
      <c r="M1270" s="46" t="s">
        <v>807</v>
      </c>
      <c r="N1270" s="47" t="s">
        <v>808</v>
      </c>
      <c r="O1270" s="44" t="s">
        <v>4</v>
      </c>
      <c r="P1270" s="47" t="s">
        <v>1003</v>
      </c>
      <c r="Q1270" s="48">
        <v>31000</v>
      </c>
      <c r="R1270" s="49" t="s">
        <v>4</v>
      </c>
      <c r="S1270" s="48" t="s">
        <v>4</v>
      </c>
      <c r="T1270" s="47" t="s">
        <v>525</v>
      </c>
    </row>
    <row r="1271" spans="1:20">
      <c r="A1271" s="46">
        <v>139808799678</v>
      </c>
      <c r="B1271" s="44" t="s">
        <v>517</v>
      </c>
      <c r="C1271" s="45">
        <v>46019</v>
      </c>
      <c r="D1271" s="46">
        <v>55544426455</v>
      </c>
      <c r="E1271" s="46">
        <v>2161116377899</v>
      </c>
      <c r="F1271" s="47" t="s">
        <v>518</v>
      </c>
      <c r="G1271" s="47" t="s">
        <v>519</v>
      </c>
      <c r="H1271" s="47" t="s">
        <v>4</v>
      </c>
      <c r="I1271" s="46" t="s">
        <v>4</v>
      </c>
      <c r="J1271" s="48">
        <v>89.65</v>
      </c>
      <c r="K1271" s="47" t="s">
        <v>520</v>
      </c>
      <c r="L1271" s="47" t="s">
        <v>521</v>
      </c>
      <c r="M1271" s="46" t="s">
        <v>807</v>
      </c>
      <c r="N1271" s="47" t="s">
        <v>808</v>
      </c>
      <c r="O1271" s="44" t="s">
        <v>4</v>
      </c>
      <c r="P1271" s="47" t="s">
        <v>788</v>
      </c>
      <c r="Q1271" s="48">
        <v>5500</v>
      </c>
      <c r="R1271" s="49" t="s">
        <v>4</v>
      </c>
      <c r="S1271" s="48" t="s">
        <v>4</v>
      </c>
      <c r="T1271" s="47" t="s">
        <v>525</v>
      </c>
    </row>
    <row r="1272" spans="1:20">
      <c r="A1272" s="46">
        <v>139811178548</v>
      </c>
      <c r="B1272" s="44" t="s">
        <v>517</v>
      </c>
      <c r="C1272" s="45">
        <v>46019</v>
      </c>
      <c r="D1272" s="46">
        <v>55545327685</v>
      </c>
      <c r="E1272" s="46">
        <v>2161298164764</v>
      </c>
      <c r="F1272" s="47" t="s">
        <v>529</v>
      </c>
      <c r="G1272" s="47" t="s">
        <v>519</v>
      </c>
      <c r="H1272" s="47" t="s">
        <v>4</v>
      </c>
      <c r="I1272" s="46" t="s">
        <v>4</v>
      </c>
      <c r="J1272" s="48">
        <v>786</v>
      </c>
      <c r="K1272" s="47" t="s">
        <v>520</v>
      </c>
      <c r="L1272" s="47" t="s">
        <v>530</v>
      </c>
      <c r="M1272" s="46" t="s">
        <v>807</v>
      </c>
      <c r="N1272" s="47" t="s">
        <v>808</v>
      </c>
      <c r="O1272" s="44" t="s">
        <v>263</v>
      </c>
      <c r="P1272" s="47" t="s">
        <v>531</v>
      </c>
      <c r="Q1272" s="48">
        <v>20000</v>
      </c>
      <c r="R1272" s="49" t="s">
        <v>4</v>
      </c>
      <c r="S1272" s="48" t="s">
        <v>4</v>
      </c>
      <c r="T1272" s="47" t="s">
        <v>525</v>
      </c>
    </row>
    <row r="1273" spans="1:20">
      <c r="A1273" s="46">
        <v>139172546173</v>
      </c>
      <c r="B1273" s="44" t="s">
        <v>517</v>
      </c>
      <c r="C1273" s="45">
        <v>46019</v>
      </c>
      <c r="D1273" s="46">
        <v>55548736445</v>
      </c>
      <c r="E1273" s="46">
        <v>2161186436551</v>
      </c>
      <c r="F1273" s="47" t="s">
        <v>526</v>
      </c>
      <c r="G1273" s="47" t="s">
        <v>519</v>
      </c>
      <c r="H1273" s="47" t="s">
        <v>4</v>
      </c>
      <c r="I1273" s="46" t="s">
        <v>4</v>
      </c>
      <c r="J1273" s="48">
        <v>47.53</v>
      </c>
      <c r="K1273" s="47" t="s">
        <v>520</v>
      </c>
      <c r="L1273" s="47" t="s">
        <v>521</v>
      </c>
      <c r="M1273" s="46" t="s">
        <v>660</v>
      </c>
      <c r="N1273" s="47" t="s">
        <v>661</v>
      </c>
      <c r="O1273" s="44" t="s">
        <v>4</v>
      </c>
      <c r="P1273" s="47" t="s">
        <v>527</v>
      </c>
      <c r="Q1273" s="48">
        <v>4900</v>
      </c>
      <c r="R1273" s="49" t="s">
        <v>4</v>
      </c>
      <c r="S1273" s="48" t="s">
        <v>4</v>
      </c>
      <c r="T1273" s="47" t="s">
        <v>4</v>
      </c>
    </row>
    <row r="1274" spans="1:20">
      <c r="A1274" s="46">
        <v>139172710465</v>
      </c>
      <c r="B1274" s="44" t="s">
        <v>517</v>
      </c>
      <c r="C1274" s="45">
        <v>46019</v>
      </c>
      <c r="D1274" s="46">
        <v>55548816932</v>
      </c>
      <c r="E1274" s="46">
        <v>2161354587914</v>
      </c>
      <c r="F1274" s="47" t="s">
        <v>529</v>
      </c>
      <c r="G1274" s="47" t="s">
        <v>519</v>
      </c>
      <c r="H1274" s="47" t="s">
        <v>4</v>
      </c>
      <c r="I1274" s="46" t="s">
        <v>4</v>
      </c>
      <c r="J1274" s="48">
        <v>809.28</v>
      </c>
      <c r="K1274" s="47" t="s">
        <v>520</v>
      </c>
      <c r="L1274" s="47" t="s">
        <v>530</v>
      </c>
      <c r="M1274" s="46" t="s">
        <v>660</v>
      </c>
      <c r="N1274" s="47" t="s">
        <v>661</v>
      </c>
      <c r="O1274" s="44" t="s">
        <v>263</v>
      </c>
      <c r="P1274" s="47" t="s">
        <v>531</v>
      </c>
      <c r="Q1274" s="48">
        <v>7200</v>
      </c>
      <c r="R1274" s="49" t="s">
        <v>4</v>
      </c>
      <c r="S1274" s="48" t="s">
        <v>4</v>
      </c>
      <c r="T1274" s="47" t="s">
        <v>525</v>
      </c>
    </row>
    <row r="1275" spans="1:20">
      <c r="A1275" s="46">
        <v>139820048220</v>
      </c>
      <c r="B1275" s="44" t="s">
        <v>517</v>
      </c>
      <c r="C1275" s="45">
        <v>46019</v>
      </c>
      <c r="D1275" s="46">
        <v>55548823597</v>
      </c>
      <c r="E1275" s="46">
        <v>2161187986995</v>
      </c>
      <c r="F1275" s="47" t="s">
        <v>518</v>
      </c>
      <c r="G1275" s="47" t="s">
        <v>519</v>
      </c>
      <c r="H1275" s="47" t="s">
        <v>4</v>
      </c>
      <c r="I1275" s="46" t="s">
        <v>4</v>
      </c>
      <c r="J1275" s="48">
        <v>188.18</v>
      </c>
      <c r="K1275" s="47" t="s">
        <v>520</v>
      </c>
      <c r="L1275" s="47" t="s">
        <v>521</v>
      </c>
      <c r="M1275" s="46" t="s">
        <v>660</v>
      </c>
      <c r="N1275" s="47" t="s">
        <v>661</v>
      </c>
      <c r="O1275" s="44" t="s">
        <v>4</v>
      </c>
      <c r="P1275" s="47" t="s">
        <v>1083</v>
      </c>
      <c r="Q1275" s="48">
        <v>19400</v>
      </c>
      <c r="R1275" s="49" t="s">
        <v>4</v>
      </c>
      <c r="S1275" s="48" t="s">
        <v>4</v>
      </c>
      <c r="T1275" s="47" t="s">
        <v>525</v>
      </c>
    </row>
    <row r="1276" spans="1:20">
      <c r="A1276" s="46">
        <v>139173070093</v>
      </c>
      <c r="B1276" s="44" t="s">
        <v>517</v>
      </c>
      <c r="C1276" s="45">
        <v>46019</v>
      </c>
      <c r="D1276" s="46">
        <v>55549012948</v>
      </c>
      <c r="E1276" s="46">
        <v>2161358168580</v>
      </c>
      <c r="F1276" s="47" t="s">
        <v>529</v>
      </c>
      <c r="G1276" s="47" t="s">
        <v>519</v>
      </c>
      <c r="H1276" s="47" t="s">
        <v>4</v>
      </c>
      <c r="I1276" s="46" t="s">
        <v>4</v>
      </c>
      <c r="J1276" s="48">
        <v>786</v>
      </c>
      <c r="K1276" s="47" t="s">
        <v>520</v>
      </c>
      <c r="L1276" s="47" t="s">
        <v>530</v>
      </c>
      <c r="M1276" s="46" t="s">
        <v>807</v>
      </c>
      <c r="N1276" s="47" t="s">
        <v>808</v>
      </c>
      <c r="O1276" s="44" t="s">
        <v>263</v>
      </c>
      <c r="P1276" s="47" t="s">
        <v>531</v>
      </c>
      <c r="Q1276" s="48">
        <v>20000</v>
      </c>
      <c r="R1276" s="49" t="s">
        <v>4</v>
      </c>
      <c r="S1276" s="48" t="s">
        <v>4</v>
      </c>
      <c r="T1276" s="47" t="s">
        <v>525</v>
      </c>
    </row>
    <row r="1277" spans="1:20">
      <c r="A1277" s="46">
        <v>139820841428</v>
      </c>
      <c r="B1277" s="44" t="s">
        <v>517</v>
      </c>
      <c r="C1277" s="45">
        <v>46019</v>
      </c>
      <c r="D1277" s="46">
        <v>55549176878</v>
      </c>
      <c r="E1277" s="46">
        <v>2161360489936</v>
      </c>
      <c r="F1277" s="47" t="s">
        <v>518</v>
      </c>
      <c r="G1277" s="47" t="s">
        <v>519</v>
      </c>
      <c r="H1277" s="47" t="s">
        <v>4</v>
      </c>
      <c r="I1277" s="46" t="s">
        <v>4</v>
      </c>
      <c r="J1277" s="48">
        <v>1019.74</v>
      </c>
      <c r="K1277" s="47" t="s">
        <v>520</v>
      </c>
      <c r="L1277" s="47" t="s">
        <v>521</v>
      </c>
      <c r="M1277" s="46" t="s">
        <v>660</v>
      </c>
      <c r="N1277" s="47" t="s">
        <v>661</v>
      </c>
      <c r="O1277" s="44" t="s">
        <v>4</v>
      </c>
      <c r="P1277" s="47" t="s">
        <v>1084</v>
      </c>
      <c r="Q1277" s="48">
        <v>13400</v>
      </c>
      <c r="R1277" s="49" t="s">
        <v>4</v>
      </c>
      <c r="S1277" s="48" t="s">
        <v>4</v>
      </c>
      <c r="T1277" s="47" t="s">
        <v>525</v>
      </c>
    </row>
    <row r="1278" spans="1:20">
      <c r="A1278" s="46">
        <v>139820905374</v>
      </c>
      <c r="B1278" s="44" t="s">
        <v>517</v>
      </c>
      <c r="C1278" s="45">
        <v>46019</v>
      </c>
      <c r="D1278" s="46">
        <v>55549183830</v>
      </c>
      <c r="E1278" s="46">
        <v>2161194197247</v>
      </c>
      <c r="F1278" s="47" t="s">
        <v>529</v>
      </c>
      <c r="G1278" s="47" t="s">
        <v>519</v>
      </c>
      <c r="H1278" s="47" t="s">
        <v>4</v>
      </c>
      <c r="I1278" s="46" t="s">
        <v>4</v>
      </c>
      <c r="J1278" s="48">
        <v>393</v>
      </c>
      <c r="K1278" s="47" t="s">
        <v>520</v>
      </c>
      <c r="L1278" s="47" t="s">
        <v>530</v>
      </c>
      <c r="M1278" s="46" t="s">
        <v>807</v>
      </c>
      <c r="N1278" s="47" t="s">
        <v>808</v>
      </c>
      <c r="O1278" s="44" t="s">
        <v>263</v>
      </c>
      <c r="P1278" s="47" t="s">
        <v>531</v>
      </c>
      <c r="Q1278" s="48">
        <v>10000</v>
      </c>
      <c r="R1278" s="49" t="s">
        <v>4</v>
      </c>
      <c r="S1278" s="48" t="s">
        <v>4</v>
      </c>
      <c r="T1278" s="47" t="s">
        <v>525</v>
      </c>
    </row>
    <row r="1279" spans="1:20">
      <c r="A1279" s="46">
        <v>139174210059</v>
      </c>
      <c r="B1279" s="44" t="s">
        <v>517</v>
      </c>
      <c r="C1279" s="45">
        <v>46019</v>
      </c>
      <c r="D1279" s="46">
        <v>55549466160</v>
      </c>
      <c r="E1279" s="46">
        <v>2161198458947</v>
      </c>
      <c r="F1279" s="47" t="s">
        <v>562</v>
      </c>
      <c r="G1279" s="47" t="s">
        <v>519</v>
      </c>
      <c r="H1279" s="47" t="s">
        <v>4</v>
      </c>
      <c r="I1279" s="46" t="s">
        <v>4</v>
      </c>
      <c r="J1279" s="48">
        <v>380.5</v>
      </c>
      <c r="K1279" s="47" t="s">
        <v>520</v>
      </c>
      <c r="L1279" s="47" t="s">
        <v>521</v>
      </c>
      <c r="M1279" s="46" t="s">
        <v>660</v>
      </c>
      <c r="N1279" s="47" t="s">
        <v>661</v>
      </c>
      <c r="O1279" s="44" t="s">
        <v>4</v>
      </c>
      <c r="P1279" s="47" t="s">
        <v>574</v>
      </c>
      <c r="Q1279" s="48">
        <v>5000</v>
      </c>
      <c r="R1279" s="49" t="s">
        <v>4</v>
      </c>
      <c r="S1279" s="48" t="s">
        <v>4</v>
      </c>
      <c r="T1279" s="47" t="s">
        <v>525</v>
      </c>
    </row>
    <row r="1280" spans="1:20">
      <c r="A1280" s="46">
        <v>139174829827</v>
      </c>
      <c r="B1280" s="44" t="s">
        <v>517</v>
      </c>
      <c r="C1280" s="45">
        <v>46019</v>
      </c>
      <c r="D1280" s="46">
        <v>55549670771</v>
      </c>
      <c r="E1280" s="46">
        <v>2161202327153</v>
      </c>
      <c r="F1280" s="47" t="s">
        <v>526</v>
      </c>
      <c r="G1280" s="47" t="s">
        <v>519</v>
      </c>
      <c r="H1280" s="47" t="s">
        <v>4</v>
      </c>
      <c r="I1280" s="46" t="s">
        <v>4</v>
      </c>
      <c r="J1280" s="48">
        <v>47.53</v>
      </c>
      <c r="K1280" s="47" t="s">
        <v>520</v>
      </c>
      <c r="L1280" s="47" t="s">
        <v>521</v>
      </c>
      <c r="M1280" s="46" t="s">
        <v>660</v>
      </c>
      <c r="N1280" s="47" t="s">
        <v>661</v>
      </c>
      <c r="O1280" s="44" t="s">
        <v>4</v>
      </c>
      <c r="P1280" s="47" t="s">
        <v>527</v>
      </c>
      <c r="Q1280" s="48">
        <v>4900</v>
      </c>
      <c r="R1280" s="49" t="s">
        <v>4</v>
      </c>
      <c r="S1280" s="48" t="s">
        <v>4</v>
      </c>
      <c r="T1280" s="47" t="s">
        <v>4</v>
      </c>
    </row>
    <row r="1281" spans="1:20">
      <c r="A1281" s="46">
        <v>139174873593</v>
      </c>
      <c r="B1281" s="44" t="s">
        <v>517</v>
      </c>
      <c r="C1281" s="45">
        <v>46019</v>
      </c>
      <c r="D1281" s="46">
        <v>55549688278</v>
      </c>
      <c r="E1281" s="46">
        <v>2161368896886</v>
      </c>
      <c r="F1281" s="47" t="s">
        <v>518</v>
      </c>
      <c r="G1281" s="47" t="s">
        <v>519</v>
      </c>
      <c r="H1281" s="47" t="s">
        <v>4</v>
      </c>
      <c r="I1281" s="46" t="s">
        <v>4</v>
      </c>
      <c r="J1281" s="48">
        <v>97</v>
      </c>
      <c r="K1281" s="47" t="s">
        <v>520</v>
      </c>
      <c r="L1281" s="47" t="s">
        <v>521</v>
      </c>
      <c r="M1281" s="46" t="s">
        <v>807</v>
      </c>
      <c r="N1281" s="47" t="s">
        <v>808</v>
      </c>
      <c r="O1281" s="44" t="s">
        <v>4</v>
      </c>
      <c r="P1281" s="47" t="s">
        <v>619</v>
      </c>
      <c r="Q1281" s="48">
        <v>10000</v>
      </c>
      <c r="R1281" s="49" t="s">
        <v>4</v>
      </c>
      <c r="S1281" s="48" t="s">
        <v>4</v>
      </c>
      <c r="T1281" s="47" t="s">
        <v>525</v>
      </c>
    </row>
    <row r="1282" spans="1:20">
      <c r="A1282" s="46">
        <v>139175369981</v>
      </c>
      <c r="B1282" s="44" t="s">
        <v>517</v>
      </c>
      <c r="C1282" s="45">
        <v>46019</v>
      </c>
      <c r="D1282" s="46">
        <v>55549883211</v>
      </c>
      <c r="E1282" s="46">
        <v>2161205645773</v>
      </c>
      <c r="F1282" s="47" t="s">
        <v>526</v>
      </c>
      <c r="G1282" s="47" t="s">
        <v>519</v>
      </c>
      <c r="H1282" s="47" t="s">
        <v>4</v>
      </c>
      <c r="I1282" s="46" t="s">
        <v>4</v>
      </c>
      <c r="J1282" s="48">
        <v>71.78</v>
      </c>
      <c r="K1282" s="47" t="s">
        <v>520</v>
      </c>
      <c r="L1282" s="47" t="s">
        <v>521</v>
      </c>
      <c r="M1282" s="46" t="s">
        <v>660</v>
      </c>
      <c r="N1282" s="47" t="s">
        <v>661</v>
      </c>
      <c r="O1282" s="44" t="s">
        <v>4</v>
      </c>
      <c r="P1282" s="47" t="s">
        <v>527</v>
      </c>
      <c r="Q1282" s="48">
        <v>7400</v>
      </c>
      <c r="R1282" s="49" t="s">
        <v>4</v>
      </c>
      <c r="S1282" s="48" t="s">
        <v>4</v>
      </c>
      <c r="T1282" s="47" t="s">
        <v>4</v>
      </c>
    </row>
    <row r="1283" spans="1:20">
      <c r="A1283" s="46">
        <v>139176331131</v>
      </c>
      <c r="B1283" s="44" t="s">
        <v>517</v>
      </c>
      <c r="C1283" s="45">
        <v>46019</v>
      </c>
      <c r="D1283" s="46">
        <v>55550192512</v>
      </c>
      <c r="E1283" s="46">
        <v>2161211206033</v>
      </c>
      <c r="F1283" s="47" t="s">
        <v>518</v>
      </c>
      <c r="G1283" s="47" t="s">
        <v>519</v>
      </c>
      <c r="H1283" s="47" t="s">
        <v>4</v>
      </c>
      <c r="I1283" s="46" t="s">
        <v>4</v>
      </c>
      <c r="J1283" s="48">
        <v>135.80000000000001</v>
      </c>
      <c r="K1283" s="47" t="s">
        <v>520</v>
      </c>
      <c r="L1283" s="47" t="s">
        <v>521</v>
      </c>
      <c r="M1283" s="46" t="s">
        <v>807</v>
      </c>
      <c r="N1283" s="47" t="s">
        <v>808</v>
      </c>
      <c r="O1283" s="44" t="s">
        <v>4</v>
      </c>
      <c r="P1283" s="47" t="s">
        <v>817</v>
      </c>
      <c r="Q1283" s="48">
        <v>14000</v>
      </c>
      <c r="R1283" s="49" t="s">
        <v>4</v>
      </c>
      <c r="S1283" s="48" t="s">
        <v>4</v>
      </c>
      <c r="T1283" s="47" t="s">
        <v>525</v>
      </c>
    </row>
    <row r="1284" spans="1:20">
      <c r="A1284" s="46">
        <v>139825993870</v>
      </c>
      <c r="B1284" s="44" t="s">
        <v>517</v>
      </c>
      <c r="C1284" s="45">
        <v>46019</v>
      </c>
      <c r="D1284" s="46">
        <v>55551177813</v>
      </c>
      <c r="E1284" s="46">
        <v>2161227346247</v>
      </c>
      <c r="F1284" s="47" t="s">
        <v>529</v>
      </c>
      <c r="G1284" s="47" t="s">
        <v>519</v>
      </c>
      <c r="H1284" s="47" t="s">
        <v>4</v>
      </c>
      <c r="I1284" s="46" t="s">
        <v>4</v>
      </c>
      <c r="J1284" s="48">
        <v>1186.8599999999999</v>
      </c>
      <c r="K1284" s="47" t="s">
        <v>520</v>
      </c>
      <c r="L1284" s="47" t="s">
        <v>530</v>
      </c>
      <c r="M1284" s="46" t="s">
        <v>807</v>
      </c>
      <c r="N1284" s="47" t="s">
        <v>808</v>
      </c>
      <c r="O1284" s="44" t="s">
        <v>263</v>
      </c>
      <c r="P1284" s="47" t="s">
        <v>531</v>
      </c>
      <c r="Q1284" s="48">
        <v>30200</v>
      </c>
      <c r="R1284" s="49" t="s">
        <v>4</v>
      </c>
      <c r="S1284" s="48" t="s">
        <v>4</v>
      </c>
      <c r="T1284" s="47" t="s">
        <v>525</v>
      </c>
    </row>
    <row r="1285" spans="1:20">
      <c r="A1285" s="46">
        <v>139827276052</v>
      </c>
      <c r="B1285" s="44" t="s">
        <v>517</v>
      </c>
      <c r="C1285" s="45">
        <v>46019</v>
      </c>
      <c r="D1285" s="46">
        <v>55551669579</v>
      </c>
      <c r="E1285" s="46">
        <v>2161235591335</v>
      </c>
      <c r="F1285" s="47" t="s">
        <v>529</v>
      </c>
      <c r="G1285" s="47" t="s">
        <v>519</v>
      </c>
      <c r="H1285" s="47" t="s">
        <v>4</v>
      </c>
      <c r="I1285" s="46" t="s">
        <v>4</v>
      </c>
      <c r="J1285" s="48">
        <v>4990.5600000000004</v>
      </c>
      <c r="K1285" s="47" t="s">
        <v>520</v>
      </c>
      <c r="L1285" s="47" t="s">
        <v>530</v>
      </c>
      <c r="M1285" s="46" t="s">
        <v>807</v>
      </c>
      <c r="N1285" s="47" t="s">
        <v>808</v>
      </c>
      <c r="O1285" s="44" t="s">
        <v>263</v>
      </c>
      <c r="P1285" s="47" t="s">
        <v>531</v>
      </c>
      <c r="Q1285" s="48">
        <v>44400</v>
      </c>
      <c r="R1285" s="49" t="s">
        <v>4</v>
      </c>
      <c r="S1285" s="48" t="s">
        <v>4</v>
      </c>
      <c r="T1285" s="47" t="s">
        <v>525</v>
      </c>
    </row>
    <row r="1286" spans="1:20">
      <c r="A1286" s="46">
        <v>139181298385</v>
      </c>
      <c r="B1286" s="44" t="s">
        <v>517</v>
      </c>
      <c r="C1286" s="45">
        <v>46019</v>
      </c>
      <c r="D1286" s="46">
        <v>55552043375</v>
      </c>
      <c r="E1286" s="46">
        <v>2161409153924</v>
      </c>
      <c r="F1286" s="47" t="s">
        <v>529</v>
      </c>
      <c r="G1286" s="47" t="s">
        <v>519</v>
      </c>
      <c r="H1286" s="47" t="s">
        <v>4</v>
      </c>
      <c r="I1286" s="46" t="s">
        <v>4</v>
      </c>
      <c r="J1286" s="48">
        <v>3434.82</v>
      </c>
      <c r="K1286" s="47" t="s">
        <v>520</v>
      </c>
      <c r="L1286" s="47" t="s">
        <v>530</v>
      </c>
      <c r="M1286" s="46" t="s">
        <v>807</v>
      </c>
      <c r="N1286" s="47" t="s">
        <v>808</v>
      </c>
      <c r="O1286" s="44" t="s">
        <v>263</v>
      </c>
      <c r="P1286" s="47" t="s">
        <v>531</v>
      </c>
      <c r="Q1286" s="48">
        <v>87400</v>
      </c>
      <c r="R1286" s="49" t="s">
        <v>4</v>
      </c>
      <c r="S1286" s="48" t="s">
        <v>4</v>
      </c>
      <c r="T1286" s="47" t="s">
        <v>525</v>
      </c>
    </row>
    <row r="1287" spans="1:20">
      <c r="A1287" s="46">
        <v>139828941790</v>
      </c>
      <c r="B1287" s="44" t="s">
        <v>517</v>
      </c>
      <c r="C1287" s="45">
        <v>46019</v>
      </c>
      <c r="D1287" s="46">
        <v>55552276620</v>
      </c>
      <c r="E1287" s="46">
        <v>2161246031895</v>
      </c>
      <c r="F1287" s="47" t="s">
        <v>518</v>
      </c>
      <c r="G1287" s="47" t="s">
        <v>519</v>
      </c>
      <c r="H1287" s="47" t="s">
        <v>4</v>
      </c>
      <c r="I1287" s="46" t="s">
        <v>4</v>
      </c>
      <c r="J1287" s="48">
        <v>315.25</v>
      </c>
      <c r="K1287" s="47" t="s">
        <v>520</v>
      </c>
      <c r="L1287" s="47" t="s">
        <v>521</v>
      </c>
      <c r="M1287" s="46" t="s">
        <v>807</v>
      </c>
      <c r="N1287" s="47" t="s">
        <v>808</v>
      </c>
      <c r="O1287" s="44" t="s">
        <v>4</v>
      </c>
      <c r="P1287" s="47" t="s">
        <v>1085</v>
      </c>
      <c r="Q1287" s="48">
        <v>32500</v>
      </c>
      <c r="R1287" s="49" t="s">
        <v>4</v>
      </c>
      <c r="S1287" s="48" t="s">
        <v>4</v>
      </c>
      <c r="T1287" s="47" t="s">
        <v>525</v>
      </c>
    </row>
    <row r="1288" spans="1:20">
      <c r="A1288" s="46">
        <v>139182522797</v>
      </c>
      <c r="B1288" s="44" t="s">
        <v>517</v>
      </c>
      <c r="C1288" s="45">
        <v>46019</v>
      </c>
      <c r="D1288" s="46">
        <v>55552523986</v>
      </c>
      <c r="E1288" s="46">
        <v>2161250666889</v>
      </c>
      <c r="F1288" s="47" t="s">
        <v>526</v>
      </c>
      <c r="G1288" s="47" t="s">
        <v>519</v>
      </c>
      <c r="H1288" s="47" t="s">
        <v>4</v>
      </c>
      <c r="I1288" s="46" t="s">
        <v>4</v>
      </c>
      <c r="J1288" s="48">
        <v>143.56</v>
      </c>
      <c r="K1288" s="47" t="s">
        <v>520</v>
      </c>
      <c r="L1288" s="47" t="s">
        <v>521</v>
      </c>
      <c r="M1288" s="46" t="s">
        <v>807</v>
      </c>
      <c r="N1288" s="47" t="s">
        <v>808</v>
      </c>
      <c r="O1288" s="44" t="s">
        <v>4</v>
      </c>
      <c r="P1288" s="47" t="s">
        <v>527</v>
      </c>
      <c r="Q1288" s="48">
        <v>14800</v>
      </c>
      <c r="R1288" s="49" t="s">
        <v>4</v>
      </c>
      <c r="S1288" s="48" t="s">
        <v>4</v>
      </c>
      <c r="T1288" s="47" t="s">
        <v>4</v>
      </c>
    </row>
    <row r="1289" spans="1:20">
      <c r="A1289" s="46">
        <v>139829873234</v>
      </c>
      <c r="B1289" s="44" t="s">
        <v>517</v>
      </c>
      <c r="C1289" s="45">
        <v>46019</v>
      </c>
      <c r="D1289" s="46">
        <v>55552601475</v>
      </c>
      <c r="E1289" s="46">
        <v>2161251404891</v>
      </c>
      <c r="F1289" s="47" t="s">
        <v>518</v>
      </c>
      <c r="G1289" s="47" t="s">
        <v>519</v>
      </c>
      <c r="H1289" s="47" t="s">
        <v>4</v>
      </c>
      <c r="I1289" s="46" t="s">
        <v>4</v>
      </c>
      <c r="J1289" s="48">
        <v>529.62</v>
      </c>
      <c r="K1289" s="47" t="s">
        <v>520</v>
      </c>
      <c r="L1289" s="47" t="s">
        <v>521</v>
      </c>
      <c r="M1289" s="46" t="s">
        <v>807</v>
      </c>
      <c r="N1289" s="47" t="s">
        <v>808</v>
      </c>
      <c r="O1289" s="44" t="s">
        <v>4</v>
      </c>
      <c r="P1289" s="47" t="s">
        <v>1086</v>
      </c>
      <c r="Q1289" s="48">
        <v>54600</v>
      </c>
      <c r="R1289" s="49" t="s">
        <v>4</v>
      </c>
      <c r="S1289" s="48" t="s">
        <v>4</v>
      </c>
      <c r="T1289" s="47" t="s">
        <v>525</v>
      </c>
    </row>
    <row r="1290" spans="1:20">
      <c r="A1290" s="46">
        <v>139182797023</v>
      </c>
      <c r="B1290" s="44" t="s">
        <v>517</v>
      </c>
      <c r="C1290" s="45">
        <v>46019</v>
      </c>
      <c r="D1290" s="46">
        <v>55552667402</v>
      </c>
      <c r="E1290" s="46">
        <v>2161252593095</v>
      </c>
      <c r="F1290" s="47" t="s">
        <v>518</v>
      </c>
      <c r="G1290" s="47" t="s">
        <v>519</v>
      </c>
      <c r="H1290" s="47" t="s">
        <v>4</v>
      </c>
      <c r="I1290" s="46" t="s">
        <v>4</v>
      </c>
      <c r="J1290" s="48">
        <v>327.86</v>
      </c>
      <c r="K1290" s="47" t="s">
        <v>520</v>
      </c>
      <c r="L1290" s="47" t="s">
        <v>521</v>
      </c>
      <c r="M1290" s="46" t="s">
        <v>807</v>
      </c>
      <c r="N1290" s="47" t="s">
        <v>808</v>
      </c>
      <c r="O1290" s="44" t="s">
        <v>4</v>
      </c>
      <c r="P1290" s="47" t="s">
        <v>781</v>
      </c>
      <c r="Q1290" s="48">
        <v>33800</v>
      </c>
      <c r="R1290" s="49" t="s">
        <v>4</v>
      </c>
      <c r="S1290" s="48" t="s">
        <v>4</v>
      </c>
      <c r="T1290" s="47" t="s">
        <v>525</v>
      </c>
    </row>
    <row r="1291" spans="1:20">
      <c r="A1291" s="46">
        <v>139183086281</v>
      </c>
      <c r="B1291" s="44" t="s">
        <v>517</v>
      </c>
      <c r="C1291" s="45">
        <v>46019</v>
      </c>
      <c r="D1291" s="46">
        <v>55552728570</v>
      </c>
      <c r="E1291" s="46">
        <v>2161253869977</v>
      </c>
      <c r="F1291" s="47" t="s">
        <v>518</v>
      </c>
      <c r="G1291" s="47" t="s">
        <v>519</v>
      </c>
      <c r="H1291" s="47" t="s">
        <v>4</v>
      </c>
      <c r="I1291" s="46" t="s">
        <v>4</v>
      </c>
      <c r="J1291" s="48">
        <v>238.62</v>
      </c>
      <c r="K1291" s="47" t="s">
        <v>520</v>
      </c>
      <c r="L1291" s="47" t="s">
        <v>521</v>
      </c>
      <c r="M1291" s="46" t="s">
        <v>660</v>
      </c>
      <c r="N1291" s="47" t="s">
        <v>661</v>
      </c>
      <c r="O1291" s="44" t="s">
        <v>4</v>
      </c>
      <c r="P1291" s="47" t="s">
        <v>1087</v>
      </c>
      <c r="Q1291" s="48">
        <v>24600</v>
      </c>
      <c r="R1291" s="49" t="s">
        <v>4</v>
      </c>
      <c r="S1291" s="48" t="s">
        <v>4</v>
      </c>
      <c r="T1291" s="47" t="s">
        <v>525</v>
      </c>
    </row>
    <row r="1292" spans="1:20">
      <c r="A1292" s="46">
        <v>139183307389</v>
      </c>
      <c r="B1292" s="44" t="s">
        <v>517</v>
      </c>
      <c r="C1292" s="45">
        <v>46019</v>
      </c>
      <c r="D1292" s="46">
        <v>55552874502</v>
      </c>
      <c r="E1292" s="46">
        <v>2161422845452</v>
      </c>
      <c r="F1292" s="47" t="s">
        <v>518</v>
      </c>
      <c r="G1292" s="47" t="s">
        <v>519</v>
      </c>
      <c r="H1292" s="47" t="s">
        <v>4</v>
      </c>
      <c r="I1292" s="46" t="s">
        <v>4</v>
      </c>
      <c r="J1292" s="48">
        <v>235.71</v>
      </c>
      <c r="K1292" s="47" t="s">
        <v>520</v>
      </c>
      <c r="L1292" s="47" t="s">
        <v>521</v>
      </c>
      <c r="M1292" s="46" t="s">
        <v>660</v>
      </c>
      <c r="N1292" s="47" t="s">
        <v>661</v>
      </c>
      <c r="O1292" s="44" t="s">
        <v>4</v>
      </c>
      <c r="P1292" s="47" t="s">
        <v>1088</v>
      </c>
      <c r="Q1292" s="48">
        <v>24300</v>
      </c>
      <c r="R1292" s="49" t="s">
        <v>4</v>
      </c>
      <c r="S1292" s="48" t="s">
        <v>4</v>
      </c>
      <c r="T1292" s="47" t="s">
        <v>525</v>
      </c>
    </row>
    <row r="1293" spans="1:20">
      <c r="A1293" s="46">
        <v>139830848786</v>
      </c>
      <c r="B1293" s="44" t="s">
        <v>517</v>
      </c>
      <c r="C1293" s="45">
        <v>46019</v>
      </c>
      <c r="D1293" s="46">
        <v>55552956763</v>
      </c>
      <c r="E1293" s="46">
        <v>2161424368510</v>
      </c>
      <c r="F1293" s="47" t="s">
        <v>518</v>
      </c>
      <c r="G1293" s="47" t="s">
        <v>519</v>
      </c>
      <c r="H1293" s="47" t="s">
        <v>4</v>
      </c>
      <c r="I1293" s="46" t="s">
        <v>4</v>
      </c>
      <c r="J1293" s="48">
        <v>834.2</v>
      </c>
      <c r="K1293" s="47" t="s">
        <v>520</v>
      </c>
      <c r="L1293" s="47" t="s">
        <v>521</v>
      </c>
      <c r="M1293" s="46" t="s">
        <v>807</v>
      </c>
      <c r="N1293" s="47" t="s">
        <v>808</v>
      </c>
      <c r="O1293" s="44" t="s">
        <v>4</v>
      </c>
      <c r="P1293" s="47" t="s">
        <v>1089</v>
      </c>
      <c r="Q1293" s="48">
        <v>86000</v>
      </c>
      <c r="R1293" s="49" t="s">
        <v>4</v>
      </c>
      <c r="S1293" s="48" t="s">
        <v>4</v>
      </c>
      <c r="T1293" s="47" t="s">
        <v>525</v>
      </c>
    </row>
    <row r="1294" spans="1:20">
      <c r="A1294" s="46">
        <v>139184104301</v>
      </c>
      <c r="B1294" s="44" t="s">
        <v>517</v>
      </c>
      <c r="C1294" s="45">
        <v>46019</v>
      </c>
      <c r="D1294" s="46">
        <v>55553118945</v>
      </c>
      <c r="E1294" s="46">
        <v>2161427143874</v>
      </c>
      <c r="F1294" s="47" t="s">
        <v>529</v>
      </c>
      <c r="G1294" s="47" t="s">
        <v>519</v>
      </c>
      <c r="H1294" s="47" t="s">
        <v>4</v>
      </c>
      <c r="I1294" s="46" t="s">
        <v>4</v>
      </c>
      <c r="J1294" s="48">
        <v>1697.76</v>
      </c>
      <c r="K1294" s="47" t="s">
        <v>520</v>
      </c>
      <c r="L1294" s="47" t="s">
        <v>530</v>
      </c>
      <c r="M1294" s="46" t="s">
        <v>807</v>
      </c>
      <c r="N1294" s="47" t="s">
        <v>808</v>
      </c>
      <c r="O1294" s="44" t="s">
        <v>263</v>
      </c>
      <c r="P1294" s="47" t="s">
        <v>531</v>
      </c>
      <c r="Q1294" s="48">
        <v>43200</v>
      </c>
      <c r="R1294" s="49" t="s">
        <v>4</v>
      </c>
      <c r="S1294" s="48" t="s">
        <v>4</v>
      </c>
      <c r="T1294" s="47" t="s">
        <v>525</v>
      </c>
    </row>
    <row r="1295" spans="1:20">
      <c r="A1295" s="46">
        <v>139184358441</v>
      </c>
      <c r="B1295" s="44" t="s">
        <v>517</v>
      </c>
      <c r="C1295" s="45">
        <v>46019</v>
      </c>
      <c r="D1295" s="46">
        <v>55553241363</v>
      </c>
      <c r="E1295" s="46">
        <v>2161261803677</v>
      </c>
      <c r="F1295" s="47" t="s">
        <v>518</v>
      </c>
      <c r="G1295" s="47" t="s">
        <v>519</v>
      </c>
      <c r="H1295" s="47" t="s">
        <v>4</v>
      </c>
      <c r="I1295" s="46" t="s">
        <v>4</v>
      </c>
      <c r="J1295" s="48">
        <v>271.60000000000002</v>
      </c>
      <c r="K1295" s="47" t="s">
        <v>520</v>
      </c>
      <c r="L1295" s="47" t="s">
        <v>521</v>
      </c>
      <c r="M1295" s="46" t="s">
        <v>807</v>
      </c>
      <c r="N1295" s="47" t="s">
        <v>808</v>
      </c>
      <c r="O1295" s="44" t="s">
        <v>4</v>
      </c>
      <c r="P1295" s="47" t="s">
        <v>1090</v>
      </c>
      <c r="Q1295" s="48">
        <v>28000</v>
      </c>
      <c r="R1295" s="49" t="s">
        <v>4</v>
      </c>
      <c r="S1295" s="48" t="s">
        <v>4</v>
      </c>
      <c r="T1295" s="47" t="s">
        <v>525</v>
      </c>
    </row>
    <row r="1296" spans="1:20">
      <c r="A1296" s="46">
        <v>139832577514</v>
      </c>
      <c r="B1296" s="44" t="s">
        <v>517</v>
      </c>
      <c r="C1296" s="45">
        <v>46019</v>
      </c>
      <c r="D1296" s="46">
        <v>55553633258</v>
      </c>
      <c r="E1296" s="46">
        <v>2161268719585</v>
      </c>
      <c r="F1296" s="47" t="s">
        <v>526</v>
      </c>
      <c r="G1296" s="47" t="s">
        <v>519</v>
      </c>
      <c r="H1296" s="47" t="s">
        <v>4</v>
      </c>
      <c r="I1296" s="46" t="s">
        <v>4</v>
      </c>
      <c r="J1296" s="48">
        <v>345.32</v>
      </c>
      <c r="K1296" s="47" t="s">
        <v>520</v>
      </c>
      <c r="L1296" s="47" t="s">
        <v>521</v>
      </c>
      <c r="M1296" s="46" t="s">
        <v>807</v>
      </c>
      <c r="N1296" s="47" t="s">
        <v>808</v>
      </c>
      <c r="O1296" s="44" t="s">
        <v>4</v>
      </c>
      <c r="P1296" s="47" t="s">
        <v>527</v>
      </c>
      <c r="Q1296" s="48">
        <v>35600</v>
      </c>
      <c r="R1296" s="49" t="s">
        <v>4</v>
      </c>
      <c r="S1296" s="48" t="s">
        <v>4</v>
      </c>
      <c r="T1296" s="47" t="s">
        <v>4</v>
      </c>
    </row>
    <row r="1297" spans="1:20">
      <c r="A1297" s="46">
        <v>139832669638</v>
      </c>
      <c r="B1297" s="44" t="s">
        <v>517</v>
      </c>
      <c r="C1297" s="45">
        <v>46019</v>
      </c>
      <c r="D1297" s="46">
        <v>55553682029</v>
      </c>
      <c r="E1297" s="46">
        <v>2161436441390</v>
      </c>
      <c r="F1297" s="47" t="s">
        <v>562</v>
      </c>
      <c r="G1297" s="47" t="s">
        <v>519</v>
      </c>
      <c r="H1297" s="47" t="s">
        <v>4</v>
      </c>
      <c r="I1297" s="46" t="s">
        <v>4</v>
      </c>
      <c r="J1297" s="48">
        <v>878.57</v>
      </c>
      <c r="K1297" s="47" t="s">
        <v>520</v>
      </c>
      <c r="L1297" s="47" t="s">
        <v>521</v>
      </c>
      <c r="M1297" s="46" t="s">
        <v>807</v>
      </c>
      <c r="N1297" s="47" t="s">
        <v>808</v>
      </c>
      <c r="O1297" s="44" t="s">
        <v>4</v>
      </c>
      <c r="P1297" s="47" t="s">
        <v>563</v>
      </c>
      <c r="Q1297" s="48">
        <v>53900</v>
      </c>
      <c r="R1297" s="49" t="s">
        <v>4</v>
      </c>
      <c r="S1297" s="48" t="s">
        <v>4</v>
      </c>
      <c r="T1297" s="47" t="s">
        <v>525</v>
      </c>
    </row>
    <row r="1298" spans="1:20">
      <c r="A1298" s="46">
        <v>139186007717</v>
      </c>
      <c r="B1298" s="44" t="s">
        <v>517</v>
      </c>
      <c r="C1298" s="45">
        <v>46019</v>
      </c>
      <c r="D1298" s="46">
        <v>55553946720</v>
      </c>
      <c r="E1298" s="46">
        <v>2161440527458</v>
      </c>
      <c r="F1298" s="47" t="s">
        <v>518</v>
      </c>
      <c r="G1298" s="47" t="s">
        <v>519</v>
      </c>
      <c r="H1298" s="47" t="s">
        <v>4</v>
      </c>
      <c r="I1298" s="46" t="s">
        <v>4</v>
      </c>
      <c r="J1298" s="48">
        <v>407.4</v>
      </c>
      <c r="K1298" s="47" t="s">
        <v>520</v>
      </c>
      <c r="L1298" s="47" t="s">
        <v>521</v>
      </c>
      <c r="M1298" s="46" t="s">
        <v>807</v>
      </c>
      <c r="N1298" s="47" t="s">
        <v>808</v>
      </c>
      <c r="O1298" s="44" t="s">
        <v>4</v>
      </c>
      <c r="P1298" s="47" t="s">
        <v>1091</v>
      </c>
      <c r="Q1298" s="48">
        <v>42000</v>
      </c>
      <c r="R1298" s="49" t="s">
        <v>4</v>
      </c>
      <c r="S1298" s="48" t="s">
        <v>4</v>
      </c>
      <c r="T1298" s="47" t="s">
        <v>525</v>
      </c>
    </row>
    <row r="1299" spans="1:20">
      <c r="A1299" s="46">
        <v>139834422234</v>
      </c>
      <c r="B1299" s="44" t="s">
        <v>517</v>
      </c>
      <c r="C1299" s="45">
        <v>46019</v>
      </c>
      <c r="D1299" s="46">
        <v>55554326309</v>
      </c>
      <c r="E1299" s="46">
        <v>2161279546371</v>
      </c>
      <c r="F1299" s="47" t="s">
        <v>518</v>
      </c>
      <c r="G1299" s="47" t="s">
        <v>519</v>
      </c>
      <c r="H1299" s="47" t="s">
        <v>4</v>
      </c>
      <c r="I1299" s="46" t="s">
        <v>4</v>
      </c>
      <c r="J1299" s="48">
        <v>97</v>
      </c>
      <c r="K1299" s="47" t="s">
        <v>520</v>
      </c>
      <c r="L1299" s="47" t="s">
        <v>521</v>
      </c>
      <c r="M1299" s="46" t="s">
        <v>660</v>
      </c>
      <c r="N1299" s="47" t="s">
        <v>661</v>
      </c>
      <c r="O1299" s="44" t="s">
        <v>4</v>
      </c>
      <c r="P1299" s="47" t="s">
        <v>1092</v>
      </c>
      <c r="Q1299" s="48">
        <v>10000</v>
      </c>
      <c r="R1299" s="49" t="s">
        <v>4</v>
      </c>
      <c r="S1299" s="48" t="s">
        <v>4</v>
      </c>
      <c r="T1299" s="47" t="s">
        <v>525</v>
      </c>
    </row>
    <row r="1300" spans="1:20">
      <c r="A1300" s="46">
        <v>139187061995</v>
      </c>
      <c r="B1300" s="44" t="s">
        <v>517</v>
      </c>
      <c r="C1300" s="45">
        <v>46019</v>
      </c>
      <c r="D1300" s="46">
        <v>55554375700</v>
      </c>
      <c r="E1300" s="46">
        <v>2161280309003</v>
      </c>
      <c r="F1300" s="47" t="s">
        <v>529</v>
      </c>
      <c r="G1300" s="47" t="s">
        <v>519</v>
      </c>
      <c r="H1300" s="47" t="s">
        <v>4</v>
      </c>
      <c r="I1300" s="46" t="s">
        <v>4</v>
      </c>
      <c r="J1300" s="48">
        <v>1096.47</v>
      </c>
      <c r="K1300" s="47" t="s">
        <v>520</v>
      </c>
      <c r="L1300" s="47" t="s">
        <v>530</v>
      </c>
      <c r="M1300" s="46" t="s">
        <v>807</v>
      </c>
      <c r="N1300" s="47" t="s">
        <v>808</v>
      </c>
      <c r="O1300" s="44" t="s">
        <v>263</v>
      </c>
      <c r="P1300" s="47" t="s">
        <v>531</v>
      </c>
      <c r="Q1300" s="48">
        <v>27900</v>
      </c>
      <c r="R1300" s="49" t="s">
        <v>4</v>
      </c>
      <c r="S1300" s="48" t="s">
        <v>4</v>
      </c>
      <c r="T1300" s="47" t="s">
        <v>525</v>
      </c>
    </row>
    <row r="1301" spans="1:20">
      <c r="A1301" s="46">
        <v>139834672452</v>
      </c>
      <c r="B1301" s="44" t="s">
        <v>517</v>
      </c>
      <c r="C1301" s="45">
        <v>46019</v>
      </c>
      <c r="D1301" s="46">
        <v>55554413415</v>
      </c>
      <c r="E1301" s="46">
        <v>2161281079433</v>
      </c>
      <c r="F1301" s="47" t="s">
        <v>518</v>
      </c>
      <c r="G1301" s="47" t="s">
        <v>519</v>
      </c>
      <c r="H1301" s="47" t="s">
        <v>4</v>
      </c>
      <c r="I1301" s="46" t="s">
        <v>4</v>
      </c>
      <c r="J1301" s="48">
        <v>390.91</v>
      </c>
      <c r="K1301" s="47" t="s">
        <v>520</v>
      </c>
      <c r="L1301" s="47" t="s">
        <v>521</v>
      </c>
      <c r="M1301" s="46" t="s">
        <v>660</v>
      </c>
      <c r="N1301" s="47" t="s">
        <v>661</v>
      </c>
      <c r="O1301" s="44" t="s">
        <v>4</v>
      </c>
      <c r="P1301" s="47" t="s">
        <v>1093</v>
      </c>
      <c r="Q1301" s="48">
        <v>40300</v>
      </c>
      <c r="R1301" s="49" t="s">
        <v>4</v>
      </c>
      <c r="S1301" s="48" t="s">
        <v>4</v>
      </c>
      <c r="T1301" s="47" t="s">
        <v>525</v>
      </c>
    </row>
    <row r="1302" spans="1:20">
      <c r="A1302" s="46">
        <v>139188540317</v>
      </c>
      <c r="B1302" s="44" t="s">
        <v>517</v>
      </c>
      <c r="C1302" s="45">
        <v>46020</v>
      </c>
      <c r="D1302" s="46">
        <v>55554908702</v>
      </c>
      <c r="E1302" s="46">
        <v>2161290067741</v>
      </c>
      <c r="F1302" s="47" t="s">
        <v>518</v>
      </c>
      <c r="G1302" s="47" t="s">
        <v>519</v>
      </c>
      <c r="H1302" s="47" t="s">
        <v>4</v>
      </c>
      <c r="I1302" s="46" t="s">
        <v>4</v>
      </c>
      <c r="J1302" s="48">
        <v>366.66</v>
      </c>
      <c r="K1302" s="47" t="s">
        <v>520</v>
      </c>
      <c r="L1302" s="47" t="s">
        <v>521</v>
      </c>
      <c r="M1302" s="46" t="s">
        <v>807</v>
      </c>
      <c r="N1302" s="47" t="s">
        <v>808</v>
      </c>
      <c r="O1302" s="44" t="s">
        <v>4</v>
      </c>
      <c r="P1302" s="47" t="s">
        <v>1094</v>
      </c>
      <c r="Q1302" s="48">
        <v>37800</v>
      </c>
      <c r="R1302" s="49" t="s">
        <v>4</v>
      </c>
      <c r="S1302" s="48" t="s">
        <v>4</v>
      </c>
      <c r="T1302" s="47" t="s">
        <v>525</v>
      </c>
    </row>
    <row r="1303" spans="1:20">
      <c r="A1303" s="46">
        <v>139188415481</v>
      </c>
      <c r="B1303" s="44" t="s">
        <v>517</v>
      </c>
      <c r="C1303" s="45">
        <v>46020</v>
      </c>
      <c r="D1303" s="46">
        <v>55554935695</v>
      </c>
      <c r="E1303" s="46">
        <v>2161457732782</v>
      </c>
      <c r="F1303" s="47" t="s">
        <v>518</v>
      </c>
      <c r="G1303" s="47" t="s">
        <v>519</v>
      </c>
      <c r="H1303" s="47" t="s">
        <v>4</v>
      </c>
      <c r="I1303" s="46" t="s">
        <v>4</v>
      </c>
      <c r="J1303" s="48">
        <v>526.71</v>
      </c>
      <c r="K1303" s="47" t="s">
        <v>520</v>
      </c>
      <c r="L1303" s="47" t="s">
        <v>521</v>
      </c>
      <c r="M1303" s="46" t="s">
        <v>807</v>
      </c>
      <c r="N1303" s="47" t="s">
        <v>808</v>
      </c>
      <c r="O1303" s="44" t="s">
        <v>4</v>
      </c>
      <c r="P1303" s="47" t="s">
        <v>1095</v>
      </c>
      <c r="Q1303" s="48">
        <v>54300</v>
      </c>
      <c r="R1303" s="49" t="s">
        <v>4</v>
      </c>
      <c r="S1303" s="48" t="s">
        <v>4</v>
      </c>
      <c r="T1303" s="47" t="s">
        <v>525</v>
      </c>
    </row>
    <row r="1304" spans="1:20">
      <c r="A1304" s="46">
        <v>139836291978</v>
      </c>
      <c r="B1304" s="44" t="s">
        <v>517</v>
      </c>
      <c r="C1304" s="45">
        <v>46020</v>
      </c>
      <c r="D1304" s="46">
        <v>55555149122</v>
      </c>
      <c r="E1304" s="46">
        <v>2161464045802</v>
      </c>
      <c r="F1304" s="47" t="s">
        <v>518</v>
      </c>
      <c r="G1304" s="47" t="s">
        <v>519</v>
      </c>
      <c r="H1304" s="47" t="s">
        <v>4</v>
      </c>
      <c r="I1304" s="46" t="s">
        <v>4</v>
      </c>
      <c r="J1304" s="48">
        <v>370.54</v>
      </c>
      <c r="K1304" s="47" t="s">
        <v>520</v>
      </c>
      <c r="L1304" s="47" t="s">
        <v>521</v>
      </c>
      <c r="M1304" s="46" t="s">
        <v>807</v>
      </c>
      <c r="N1304" s="47" t="s">
        <v>808</v>
      </c>
      <c r="O1304" s="44" t="s">
        <v>4</v>
      </c>
      <c r="P1304" s="47" t="s">
        <v>1096</v>
      </c>
      <c r="Q1304" s="48">
        <v>38200</v>
      </c>
      <c r="R1304" s="49" t="s">
        <v>4</v>
      </c>
      <c r="S1304" s="48" t="s">
        <v>4</v>
      </c>
      <c r="T1304" s="47" t="s">
        <v>525</v>
      </c>
    </row>
    <row r="1305" spans="1:20">
      <c r="A1305" s="46">
        <v>139836502702</v>
      </c>
      <c r="B1305" s="44" t="s">
        <v>517</v>
      </c>
      <c r="C1305" s="45">
        <v>46020</v>
      </c>
      <c r="D1305" s="46">
        <v>55555150114</v>
      </c>
      <c r="E1305" s="46">
        <v>2161464136980</v>
      </c>
      <c r="F1305" s="47" t="s">
        <v>518</v>
      </c>
      <c r="G1305" s="47" t="s">
        <v>519</v>
      </c>
      <c r="H1305" s="47" t="s">
        <v>4</v>
      </c>
      <c r="I1305" s="46" t="s">
        <v>4</v>
      </c>
      <c r="J1305" s="48">
        <v>395.76</v>
      </c>
      <c r="K1305" s="47" t="s">
        <v>520</v>
      </c>
      <c r="L1305" s="47" t="s">
        <v>521</v>
      </c>
      <c r="M1305" s="46" t="s">
        <v>660</v>
      </c>
      <c r="N1305" s="47" t="s">
        <v>661</v>
      </c>
      <c r="O1305" s="44" t="s">
        <v>4</v>
      </c>
      <c r="P1305" s="47" t="s">
        <v>1097</v>
      </c>
      <c r="Q1305" s="48">
        <v>40800</v>
      </c>
      <c r="R1305" s="49" t="s">
        <v>4</v>
      </c>
      <c r="S1305" s="48" t="s">
        <v>4</v>
      </c>
      <c r="T1305" s="47" t="s">
        <v>525</v>
      </c>
    </row>
    <row r="1306" spans="1:20">
      <c r="A1306" s="46">
        <v>139836675072</v>
      </c>
      <c r="B1306" s="44" t="s">
        <v>517</v>
      </c>
      <c r="C1306" s="45">
        <v>46020</v>
      </c>
      <c r="D1306" s="46">
        <v>55555254380</v>
      </c>
      <c r="E1306" s="46">
        <v>2161465932832</v>
      </c>
      <c r="F1306" s="47" t="s">
        <v>518</v>
      </c>
      <c r="G1306" s="47" t="s">
        <v>519</v>
      </c>
      <c r="H1306" s="47" t="s">
        <v>4</v>
      </c>
      <c r="I1306" s="46" t="s">
        <v>4</v>
      </c>
      <c r="J1306" s="48">
        <v>484.03</v>
      </c>
      <c r="K1306" s="47" t="s">
        <v>520</v>
      </c>
      <c r="L1306" s="47" t="s">
        <v>521</v>
      </c>
      <c r="M1306" s="46" t="s">
        <v>660</v>
      </c>
      <c r="N1306" s="47" t="s">
        <v>661</v>
      </c>
      <c r="O1306" s="44" t="s">
        <v>4</v>
      </c>
      <c r="P1306" s="47" t="s">
        <v>1098</v>
      </c>
      <c r="Q1306" s="48">
        <v>49900</v>
      </c>
      <c r="R1306" s="49" t="s">
        <v>4</v>
      </c>
      <c r="S1306" s="48" t="s">
        <v>4</v>
      </c>
      <c r="T1306" s="47" t="s">
        <v>525</v>
      </c>
    </row>
    <row r="1307" spans="1:20">
      <c r="A1307" s="46">
        <v>139189628517</v>
      </c>
      <c r="B1307" s="44" t="s">
        <v>517</v>
      </c>
      <c r="C1307" s="45">
        <v>46020</v>
      </c>
      <c r="D1307" s="46">
        <v>55555307527</v>
      </c>
      <c r="E1307" s="46">
        <v>2161467072732</v>
      </c>
      <c r="F1307" s="47" t="s">
        <v>518</v>
      </c>
      <c r="G1307" s="47" t="s">
        <v>519</v>
      </c>
      <c r="H1307" s="47" t="s">
        <v>4</v>
      </c>
      <c r="I1307" s="46" t="s">
        <v>4</v>
      </c>
      <c r="J1307" s="48">
        <v>194</v>
      </c>
      <c r="K1307" s="47" t="s">
        <v>520</v>
      </c>
      <c r="L1307" s="47" t="s">
        <v>521</v>
      </c>
      <c r="M1307" s="46" t="s">
        <v>807</v>
      </c>
      <c r="N1307" s="47" t="s">
        <v>808</v>
      </c>
      <c r="O1307" s="44" t="s">
        <v>4</v>
      </c>
      <c r="P1307" s="47" t="s">
        <v>1099</v>
      </c>
      <c r="Q1307" s="48">
        <v>20000</v>
      </c>
      <c r="R1307" s="49" t="s">
        <v>4</v>
      </c>
      <c r="S1307" s="48" t="s">
        <v>4</v>
      </c>
      <c r="T1307" s="47" t="s">
        <v>525</v>
      </c>
    </row>
    <row r="1308" spans="1:20">
      <c r="A1308" s="46">
        <v>139837986428</v>
      </c>
      <c r="B1308" s="44" t="s">
        <v>517</v>
      </c>
      <c r="C1308" s="45">
        <v>46020</v>
      </c>
      <c r="D1308" s="46">
        <v>55555623267</v>
      </c>
      <c r="E1308" s="46">
        <v>2161475848168</v>
      </c>
      <c r="F1308" s="47" t="s">
        <v>529</v>
      </c>
      <c r="G1308" s="47" t="s">
        <v>519</v>
      </c>
      <c r="H1308" s="47" t="s">
        <v>4</v>
      </c>
      <c r="I1308" s="46" t="s">
        <v>4</v>
      </c>
      <c r="J1308" s="48">
        <v>393</v>
      </c>
      <c r="K1308" s="47" t="s">
        <v>520</v>
      </c>
      <c r="L1308" s="47" t="s">
        <v>530</v>
      </c>
      <c r="M1308" s="46" t="s">
        <v>807</v>
      </c>
      <c r="N1308" s="47" t="s">
        <v>808</v>
      </c>
      <c r="O1308" s="44" t="s">
        <v>263</v>
      </c>
      <c r="P1308" s="47" t="s">
        <v>531</v>
      </c>
      <c r="Q1308" s="48">
        <v>10000</v>
      </c>
      <c r="R1308" s="49" t="s">
        <v>4</v>
      </c>
      <c r="S1308" s="48" t="s">
        <v>4</v>
      </c>
      <c r="T1308" s="47" t="s">
        <v>525</v>
      </c>
    </row>
    <row r="1309" spans="1:20">
      <c r="A1309" s="46">
        <v>139191028607</v>
      </c>
      <c r="B1309" s="44" t="s">
        <v>517</v>
      </c>
      <c r="C1309" s="45">
        <v>46020</v>
      </c>
      <c r="D1309" s="46">
        <v>55555716387</v>
      </c>
      <c r="E1309" s="46">
        <v>2161311026259</v>
      </c>
      <c r="F1309" s="47" t="s">
        <v>529</v>
      </c>
      <c r="G1309" s="47" t="s">
        <v>519</v>
      </c>
      <c r="H1309" s="47" t="s">
        <v>4</v>
      </c>
      <c r="I1309" s="46" t="s">
        <v>4</v>
      </c>
      <c r="J1309" s="48">
        <v>15121.07</v>
      </c>
      <c r="K1309" s="47" t="s">
        <v>520</v>
      </c>
      <c r="L1309" s="47" t="s">
        <v>530</v>
      </c>
      <c r="M1309" s="46" t="s">
        <v>807</v>
      </c>
      <c r="N1309" s="47" t="s">
        <v>808</v>
      </c>
      <c r="O1309" s="44" t="s">
        <v>263</v>
      </c>
      <c r="P1309" s="47" t="s">
        <v>531</v>
      </c>
      <c r="Q1309" s="48">
        <v>198700</v>
      </c>
      <c r="R1309" s="49" t="s">
        <v>4</v>
      </c>
      <c r="S1309" s="48" t="s">
        <v>4</v>
      </c>
      <c r="T1309" s="47" t="s">
        <v>525</v>
      </c>
    </row>
    <row r="1310" spans="1:20">
      <c r="A1310" s="46">
        <v>139838247870</v>
      </c>
      <c r="B1310" s="44" t="s">
        <v>517</v>
      </c>
      <c r="C1310" s="45">
        <v>46020</v>
      </c>
      <c r="D1310" s="46">
        <v>55555770454</v>
      </c>
      <c r="E1310" s="46">
        <v>2161479812456</v>
      </c>
      <c r="F1310" s="47" t="s">
        <v>529</v>
      </c>
      <c r="G1310" s="47" t="s">
        <v>519</v>
      </c>
      <c r="H1310" s="47" t="s">
        <v>4</v>
      </c>
      <c r="I1310" s="46" t="s">
        <v>4</v>
      </c>
      <c r="J1310" s="48">
        <v>412.65</v>
      </c>
      <c r="K1310" s="47" t="s">
        <v>520</v>
      </c>
      <c r="L1310" s="47" t="s">
        <v>530</v>
      </c>
      <c r="M1310" s="46" t="s">
        <v>807</v>
      </c>
      <c r="N1310" s="47" t="s">
        <v>808</v>
      </c>
      <c r="O1310" s="44" t="s">
        <v>263</v>
      </c>
      <c r="P1310" s="47" t="s">
        <v>531</v>
      </c>
      <c r="Q1310" s="48">
        <v>10500</v>
      </c>
      <c r="R1310" s="49" t="s">
        <v>4</v>
      </c>
      <c r="S1310" s="48" t="s">
        <v>4</v>
      </c>
      <c r="T1310" s="47" t="s">
        <v>525</v>
      </c>
    </row>
    <row r="1311" spans="1:20">
      <c r="A1311" s="46">
        <v>139191376159</v>
      </c>
      <c r="B1311" s="44" t="s">
        <v>517</v>
      </c>
      <c r="C1311" s="45">
        <v>46020</v>
      </c>
      <c r="D1311" s="46">
        <v>55555805648</v>
      </c>
      <c r="E1311" s="46">
        <v>2161480622084</v>
      </c>
      <c r="F1311" s="47" t="s">
        <v>518</v>
      </c>
      <c r="G1311" s="47" t="s">
        <v>519</v>
      </c>
      <c r="H1311" s="47" t="s">
        <v>4</v>
      </c>
      <c r="I1311" s="46" t="s">
        <v>4</v>
      </c>
      <c r="J1311" s="48">
        <v>285.18</v>
      </c>
      <c r="K1311" s="47" t="s">
        <v>520</v>
      </c>
      <c r="L1311" s="47" t="s">
        <v>521</v>
      </c>
      <c r="M1311" s="46" t="s">
        <v>807</v>
      </c>
      <c r="N1311" s="47" t="s">
        <v>808</v>
      </c>
      <c r="O1311" s="44" t="s">
        <v>4</v>
      </c>
      <c r="P1311" s="47" t="s">
        <v>1100</v>
      </c>
      <c r="Q1311" s="48">
        <v>29400</v>
      </c>
      <c r="R1311" s="49" t="s">
        <v>4</v>
      </c>
      <c r="S1311" s="48" t="s">
        <v>4</v>
      </c>
      <c r="T1311" s="47" t="s">
        <v>525</v>
      </c>
    </row>
    <row r="1312" spans="1:20">
      <c r="A1312" s="46">
        <v>139191318807</v>
      </c>
      <c r="B1312" s="44" t="s">
        <v>517</v>
      </c>
      <c r="C1312" s="45">
        <v>46020</v>
      </c>
      <c r="D1312" s="46">
        <v>55555835387</v>
      </c>
      <c r="E1312" s="46">
        <v>2161314100387</v>
      </c>
      <c r="F1312" s="47" t="s">
        <v>529</v>
      </c>
      <c r="G1312" s="47" t="s">
        <v>519</v>
      </c>
      <c r="H1312" s="47" t="s">
        <v>4</v>
      </c>
      <c r="I1312" s="46" t="s">
        <v>4</v>
      </c>
      <c r="J1312" s="48">
        <v>1384.7</v>
      </c>
      <c r="K1312" s="47" t="s">
        <v>520</v>
      </c>
      <c r="L1312" s="47" t="s">
        <v>530</v>
      </c>
      <c r="M1312" s="46" t="s">
        <v>807</v>
      </c>
      <c r="N1312" s="47" t="s">
        <v>808</v>
      </c>
      <c r="O1312" s="44" t="s">
        <v>263</v>
      </c>
      <c r="P1312" s="47" t="s">
        <v>531</v>
      </c>
      <c r="Q1312" s="48">
        <v>30500</v>
      </c>
      <c r="R1312" s="49" t="s">
        <v>4</v>
      </c>
      <c r="S1312" s="48" t="s">
        <v>4</v>
      </c>
      <c r="T1312" s="47" t="s">
        <v>525</v>
      </c>
    </row>
    <row r="1313" spans="1:20">
      <c r="A1313" s="46">
        <v>139191239891</v>
      </c>
      <c r="B1313" s="44" t="s">
        <v>517</v>
      </c>
      <c r="C1313" s="45">
        <v>46020</v>
      </c>
      <c r="D1313" s="46">
        <v>55555874407</v>
      </c>
      <c r="E1313" s="46">
        <v>2161314832557</v>
      </c>
      <c r="F1313" s="47" t="s">
        <v>518</v>
      </c>
      <c r="G1313" s="47" t="s">
        <v>519</v>
      </c>
      <c r="H1313" s="47" t="s">
        <v>4</v>
      </c>
      <c r="I1313" s="46" t="s">
        <v>4</v>
      </c>
      <c r="J1313" s="48">
        <v>155.19999999999999</v>
      </c>
      <c r="K1313" s="47" t="s">
        <v>520</v>
      </c>
      <c r="L1313" s="47" t="s">
        <v>521</v>
      </c>
      <c r="M1313" s="46" t="s">
        <v>807</v>
      </c>
      <c r="N1313" s="47" t="s">
        <v>808</v>
      </c>
      <c r="O1313" s="44" t="s">
        <v>4</v>
      </c>
      <c r="P1313" s="47" t="s">
        <v>1010</v>
      </c>
      <c r="Q1313" s="48">
        <v>16000</v>
      </c>
      <c r="R1313" s="49" t="s">
        <v>4</v>
      </c>
      <c r="S1313" s="48" t="s">
        <v>4</v>
      </c>
      <c r="T1313" s="47" t="s">
        <v>525</v>
      </c>
    </row>
    <row r="1314" spans="1:20">
      <c r="A1314" s="46">
        <v>139441467593</v>
      </c>
      <c r="B1314" s="44" t="s">
        <v>517</v>
      </c>
      <c r="C1314" s="45">
        <v>46021</v>
      </c>
      <c r="D1314" s="46">
        <v>55643364262</v>
      </c>
      <c r="E1314" s="46">
        <v>2163219587218</v>
      </c>
      <c r="F1314" s="47" t="s">
        <v>529</v>
      </c>
      <c r="G1314" s="47" t="s">
        <v>519</v>
      </c>
      <c r="H1314" s="47" t="s">
        <v>4</v>
      </c>
      <c r="I1314" s="46" t="s">
        <v>4</v>
      </c>
      <c r="J1314" s="48">
        <v>1147.56</v>
      </c>
      <c r="K1314" s="47" t="s">
        <v>520</v>
      </c>
      <c r="L1314" s="47" t="s">
        <v>530</v>
      </c>
      <c r="M1314" s="46" t="s">
        <v>807</v>
      </c>
      <c r="N1314" s="47" t="s">
        <v>808</v>
      </c>
      <c r="O1314" s="44" t="s">
        <v>263</v>
      </c>
      <c r="P1314" s="47" t="s">
        <v>531</v>
      </c>
      <c r="Q1314" s="48">
        <v>29200</v>
      </c>
      <c r="R1314" s="49" t="s">
        <v>4</v>
      </c>
      <c r="S1314" s="48" t="s">
        <v>4</v>
      </c>
      <c r="T1314" s="47" t="s">
        <v>525</v>
      </c>
    </row>
    <row r="1315" spans="1:20">
      <c r="A1315" s="46">
        <v>139447802567</v>
      </c>
      <c r="B1315" s="44" t="s">
        <v>517</v>
      </c>
      <c r="C1315" s="45">
        <v>46021</v>
      </c>
      <c r="D1315" s="46">
        <v>55645534229</v>
      </c>
      <c r="E1315" s="46">
        <v>2163258141156</v>
      </c>
      <c r="F1315" s="47" t="s">
        <v>518</v>
      </c>
      <c r="G1315" s="47" t="s">
        <v>519</v>
      </c>
      <c r="H1315" s="47" t="s">
        <v>4</v>
      </c>
      <c r="I1315" s="46" t="s">
        <v>4</v>
      </c>
      <c r="J1315" s="48">
        <v>145.5</v>
      </c>
      <c r="K1315" s="47" t="s">
        <v>520</v>
      </c>
      <c r="L1315" s="47" t="s">
        <v>521</v>
      </c>
      <c r="M1315" s="46" t="s">
        <v>807</v>
      </c>
      <c r="N1315" s="47" t="s">
        <v>808</v>
      </c>
      <c r="O1315" s="44" t="s">
        <v>4</v>
      </c>
      <c r="P1315" s="47" t="s">
        <v>914</v>
      </c>
      <c r="Q1315" s="48">
        <v>15000</v>
      </c>
      <c r="R1315" s="49" t="s">
        <v>4</v>
      </c>
      <c r="S1315" s="48" t="s">
        <v>4</v>
      </c>
      <c r="T1315" s="47" t="s">
        <v>525</v>
      </c>
    </row>
    <row r="1316" spans="1:20">
      <c r="A1316" s="46">
        <v>140096941494</v>
      </c>
      <c r="B1316" s="44" t="s">
        <v>517</v>
      </c>
      <c r="C1316" s="45">
        <v>46021</v>
      </c>
      <c r="D1316" s="46">
        <v>55646025133</v>
      </c>
      <c r="E1316" s="46">
        <v>2163266212316</v>
      </c>
      <c r="F1316" s="47" t="s">
        <v>529</v>
      </c>
      <c r="G1316" s="47" t="s">
        <v>519</v>
      </c>
      <c r="H1316" s="47" t="s">
        <v>4</v>
      </c>
      <c r="I1316" s="46" t="s">
        <v>4</v>
      </c>
      <c r="J1316" s="48">
        <v>1556.28</v>
      </c>
      <c r="K1316" s="47" t="s">
        <v>520</v>
      </c>
      <c r="L1316" s="47" t="s">
        <v>530</v>
      </c>
      <c r="M1316" s="46" t="s">
        <v>807</v>
      </c>
      <c r="N1316" s="47" t="s">
        <v>808</v>
      </c>
      <c r="O1316" s="44" t="s">
        <v>263</v>
      </c>
      <c r="P1316" s="47" t="s">
        <v>531</v>
      </c>
      <c r="Q1316" s="48">
        <v>39600</v>
      </c>
      <c r="R1316" s="49" t="s">
        <v>4</v>
      </c>
      <c r="S1316" s="48" t="s">
        <v>4</v>
      </c>
      <c r="T1316" s="47" t="s">
        <v>525</v>
      </c>
    </row>
    <row r="1317" spans="1:20">
      <c r="A1317" s="46">
        <v>139450291447</v>
      </c>
      <c r="B1317" s="44" t="s">
        <v>517</v>
      </c>
      <c r="C1317" s="45">
        <v>46021</v>
      </c>
      <c r="D1317" s="46">
        <v>55646473733</v>
      </c>
      <c r="E1317" s="46">
        <v>2163274815830</v>
      </c>
      <c r="F1317" s="47" t="s">
        <v>526</v>
      </c>
      <c r="G1317" s="47" t="s">
        <v>519</v>
      </c>
      <c r="H1317" s="47" t="s">
        <v>4</v>
      </c>
      <c r="I1317" s="46" t="s">
        <v>4</v>
      </c>
      <c r="J1317" s="48">
        <v>97</v>
      </c>
      <c r="K1317" s="47" t="s">
        <v>520</v>
      </c>
      <c r="L1317" s="47" t="s">
        <v>521</v>
      </c>
      <c r="M1317" s="46" t="s">
        <v>807</v>
      </c>
      <c r="N1317" s="47" t="s">
        <v>808</v>
      </c>
      <c r="O1317" s="44" t="s">
        <v>4</v>
      </c>
      <c r="P1317" s="47" t="s">
        <v>527</v>
      </c>
      <c r="Q1317" s="48">
        <v>10000</v>
      </c>
      <c r="R1317" s="49" t="s">
        <v>4</v>
      </c>
      <c r="S1317" s="48" t="s">
        <v>4</v>
      </c>
      <c r="T1317" s="47" t="s">
        <v>4</v>
      </c>
    </row>
    <row r="1318" spans="1:20">
      <c r="A1318" s="46">
        <v>140102435218</v>
      </c>
      <c r="B1318" s="44" t="s">
        <v>517</v>
      </c>
      <c r="C1318" s="45">
        <v>46021</v>
      </c>
      <c r="D1318" s="46">
        <v>55647914642</v>
      </c>
      <c r="E1318" s="46">
        <v>2163300254198</v>
      </c>
      <c r="F1318" s="47" t="s">
        <v>529</v>
      </c>
      <c r="G1318" s="47" t="s">
        <v>519</v>
      </c>
      <c r="H1318" s="47" t="s">
        <v>4</v>
      </c>
      <c r="I1318" s="46" t="s">
        <v>4</v>
      </c>
      <c r="J1318" s="48">
        <v>770.28</v>
      </c>
      <c r="K1318" s="47" t="s">
        <v>520</v>
      </c>
      <c r="L1318" s="47" t="s">
        <v>530</v>
      </c>
      <c r="M1318" s="46" t="s">
        <v>807</v>
      </c>
      <c r="N1318" s="47" t="s">
        <v>808</v>
      </c>
      <c r="O1318" s="44" t="s">
        <v>263</v>
      </c>
      <c r="P1318" s="47" t="s">
        <v>531</v>
      </c>
      <c r="Q1318" s="48">
        <v>19600</v>
      </c>
      <c r="R1318" s="49" t="s">
        <v>4</v>
      </c>
      <c r="S1318" s="48" t="s">
        <v>4</v>
      </c>
      <c r="T1318" s="47" t="s">
        <v>525</v>
      </c>
    </row>
    <row r="1319" spans="1:20">
      <c r="A1319" s="46">
        <v>140105601398</v>
      </c>
      <c r="B1319" s="44" t="s">
        <v>517</v>
      </c>
      <c r="C1319" s="45">
        <v>46021</v>
      </c>
      <c r="D1319" s="46">
        <v>55648985503</v>
      </c>
      <c r="E1319" s="46">
        <v>2163321058268</v>
      </c>
      <c r="F1319" s="47" t="s">
        <v>518</v>
      </c>
      <c r="G1319" s="47" t="s">
        <v>519</v>
      </c>
      <c r="H1319" s="47" t="s">
        <v>4</v>
      </c>
      <c r="I1319" s="46" t="s">
        <v>4</v>
      </c>
      <c r="J1319" s="48">
        <v>349.2</v>
      </c>
      <c r="K1319" s="47" t="s">
        <v>520</v>
      </c>
      <c r="L1319" s="47" t="s">
        <v>521</v>
      </c>
      <c r="M1319" s="46" t="s">
        <v>807</v>
      </c>
      <c r="N1319" s="47" t="s">
        <v>808</v>
      </c>
      <c r="O1319" s="44" t="s">
        <v>4</v>
      </c>
      <c r="P1319" s="47" t="s">
        <v>1101</v>
      </c>
      <c r="Q1319" s="48">
        <v>36000</v>
      </c>
      <c r="R1319" s="49" t="s">
        <v>4</v>
      </c>
      <c r="S1319" s="48" t="s">
        <v>4</v>
      </c>
      <c r="T1319" s="47" t="s">
        <v>525</v>
      </c>
    </row>
    <row r="1320" spans="1:20">
      <c r="A1320" s="46">
        <v>139459696295</v>
      </c>
      <c r="B1320" s="44" t="s">
        <v>517</v>
      </c>
      <c r="C1320" s="45">
        <v>46021</v>
      </c>
      <c r="D1320" s="46">
        <v>55649684640</v>
      </c>
      <c r="E1320" s="46">
        <v>2163165743023</v>
      </c>
      <c r="F1320" s="47" t="s">
        <v>529</v>
      </c>
      <c r="G1320" s="47" t="s">
        <v>519</v>
      </c>
      <c r="H1320" s="47" t="s">
        <v>4</v>
      </c>
      <c r="I1320" s="46" t="s">
        <v>4</v>
      </c>
      <c r="J1320" s="48">
        <v>801.72</v>
      </c>
      <c r="K1320" s="47" t="s">
        <v>520</v>
      </c>
      <c r="L1320" s="47" t="s">
        <v>530</v>
      </c>
      <c r="M1320" s="46" t="s">
        <v>807</v>
      </c>
      <c r="N1320" s="47" t="s">
        <v>808</v>
      </c>
      <c r="O1320" s="44" t="s">
        <v>263</v>
      </c>
      <c r="P1320" s="47" t="s">
        <v>531</v>
      </c>
      <c r="Q1320" s="48">
        <v>20400</v>
      </c>
      <c r="R1320" s="49" t="s">
        <v>4</v>
      </c>
      <c r="S1320" s="48" t="s">
        <v>4</v>
      </c>
      <c r="T1320" s="47" t="s">
        <v>525</v>
      </c>
    </row>
    <row r="1321" spans="1:20">
      <c r="A1321" s="46">
        <v>139460219937</v>
      </c>
      <c r="B1321" s="44" t="s">
        <v>517</v>
      </c>
      <c r="C1321" s="45">
        <v>46021</v>
      </c>
      <c r="D1321" s="46">
        <v>55649916529</v>
      </c>
      <c r="E1321" s="46">
        <v>2163339461710</v>
      </c>
      <c r="F1321" s="47" t="s">
        <v>518</v>
      </c>
      <c r="G1321" s="47" t="s">
        <v>519</v>
      </c>
      <c r="H1321" s="47" t="s">
        <v>4</v>
      </c>
      <c r="I1321" s="46" t="s">
        <v>4</v>
      </c>
      <c r="J1321" s="48">
        <v>48.5</v>
      </c>
      <c r="K1321" s="47" t="s">
        <v>520</v>
      </c>
      <c r="L1321" s="47" t="s">
        <v>521</v>
      </c>
      <c r="M1321" s="46" t="s">
        <v>807</v>
      </c>
      <c r="N1321" s="47" t="s">
        <v>808</v>
      </c>
      <c r="O1321" s="44" t="s">
        <v>4</v>
      </c>
      <c r="P1321" s="47" t="s">
        <v>1102</v>
      </c>
      <c r="Q1321" s="48">
        <v>5000</v>
      </c>
      <c r="R1321" s="49" t="s">
        <v>4</v>
      </c>
      <c r="S1321" s="48" t="s">
        <v>4</v>
      </c>
      <c r="T1321" s="47" t="s">
        <v>525</v>
      </c>
    </row>
    <row r="1322" spans="1:20">
      <c r="A1322" s="46">
        <v>140108556622</v>
      </c>
      <c r="B1322" s="44" t="s">
        <v>517</v>
      </c>
      <c r="C1322" s="45">
        <v>46021</v>
      </c>
      <c r="D1322" s="46">
        <v>55649977182</v>
      </c>
      <c r="E1322" s="46">
        <v>2163171970031</v>
      </c>
      <c r="F1322" s="47" t="s">
        <v>526</v>
      </c>
      <c r="G1322" s="47" t="s">
        <v>519</v>
      </c>
      <c r="H1322" s="47" t="s">
        <v>4</v>
      </c>
      <c r="I1322" s="46" t="s">
        <v>4</v>
      </c>
      <c r="J1322" s="48">
        <v>58.2</v>
      </c>
      <c r="K1322" s="47" t="s">
        <v>520</v>
      </c>
      <c r="L1322" s="47" t="s">
        <v>521</v>
      </c>
      <c r="M1322" s="46" t="s">
        <v>807</v>
      </c>
      <c r="N1322" s="47" t="s">
        <v>808</v>
      </c>
      <c r="O1322" s="44" t="s">
        <v>4</v>
      </c>
      <c r="P1322" s="47" t="s">
        <v>527</v>
      </c>
      <c r="Q1322" s="48">
        <v>6000</v>
      </c>
      <c r="R1322" s="49" t="s">
        <v>4</v>
      </c>
      <c r="S1322" s="48" t="s">
        <v>4</v>
      </c>
      <c r="T1322" s="47" t="s">
        <v>4</v>
      </c>
    </row>
    <row r="1323" spans="1:20">
      <c r="A1323" s="46">
        <v>140110342078</v>
      </c>
      <c r="B1323" s="44" t="s">
        <v>517</v>
      </c>
      <c r="C1323" s="45">
        <v>46021</v>
      </c>
      <c r="D1323" s="46">
        <v>55650626605</v>
      </c>
      <c r="E1323" s="46">
        <v>2163185500363</v>
      </c>
      <c r="F1323" s="47" t="s">
        <v>526</v>
      </c>
      <c r="G1323" s="47" t="s">
        <v>519</v>
      </c>
      <c r="H1323" s="47" t="s">
        <v>4</v>
      </c>
      <c r="I1323" s="46" t="s">
        <v>4</v>
      </c>
      <c r="J1323" s="48">
        <v>191.09</v>
      </c>
      <c r="K1323" s="47" t="s">
        <v>520</v>
      </c>
      <c r="L1323" s="47" t="s">
        <v>521</v>
      </c>
      <c r="M1323" s="46" t="s">
        <v>807</v>
      </c>
      <c r="N1323" s="47" t="s">
        <v>808</v>
      </c>
      <c r="O1323" s="44" t="s">
        <v>4</v>
      </c>
      <c r="P1323" s="47" t="s">
        <v>527</v>
      </c>
      <c r="Q1323" s="48">
        <v>19700</v>
      </c>
      <c r="R1323" s="49" t="s">
        <v>4</v>
      </c>
      <c r="S1323" s="48" t="s">
        <v>4</v>
      </c>
      <c r="T1323" s="47" t="s">
        <v>4</v>
      </c>
    </row>
    <row r="1324" spans="1:20">
      <c r="A1324" s="46">
        <v>140111554838</v>
      </c>
      <c r="B1324" s="44" t="s">
        <v>517</v>
      </c>
      <c r="C1324" s="45">
        <v>46021</v>
      </c>
      <c r="D1324" s="46">
        <v>55650974479</v>
      </c>
      <c r="E1324" s="46">
        <v>2163361299308</v>
      </c>
      <c r="F1324" s="47" t="s">
        <v>518</v>
      </c>
      <c r="G1324" s="47" t="s">
        <v>519</v>
      </c>
      <c r="H1324" s="47" t="s">
        <v>4</v>
      </c>
      <c r="I1324" s="46" t="s">
        <v>4</v>
      </c>
      <c r="J1324" s="48">
        <v>161.99</v>
      </c>
      <c r="K1324" s="47" t="s">
        <v>520</v>
      </c>
      <c r="L1324" s="47" t="s">
        <v>521</v>
      </c>
      <c r="M1324" s="46" t="s">
        <v>807</v>
      </c>
      <c r="N1324" s="47" t="s">
        <v>808</v>
      </c>
      <c r="O1324" s="44" t="s">
        <v>4</v>
      </c>
      <c r="P1324" s="47" t="s">
        <v>1103</v>
      </c>
      <c r="Q1324" s="48">
        <v>16700</v>
      </c>
      <c r="R1324" s="49" t="s">
        <v>4</v>
      </c>
      <c r="S1324" s="48" t="s">
        <v>4</v>
      </c>
      <c r="T1324" s="47" t="s">
        <v>525</v>
      </c>
    </row>
    <row r="1325" spans="1:20">
      <c r="A1325" s="46">
        <v>139464638853</v>
      </c>
      <c r="B1325" s="44" t="s">
        <v>517</v>
      </c>
      <c r="C1325" s="45">
        <v>46021</v>
      </c>
      <c r="D1325" s="46">
        <v>55651342615</v>
      </c>
      <c r="E1325" s="46">
        <v>2163200994635</v>
      </c>
      <c r="F1325" s="47" t="s">
        <v>518</v>
      </c>
      <c r="G1325" s="47" t="s">
        <v>519</v>
      </c>
      <c r="H1325" s="47" t="s">
        <v>4</v>
      </c>
      <c r="I1325" s="46" t="s">
        <v>4</v>
      </c>
      <c r="J1325" s="48">
        <v>1400.24</v>
      </c>
      <c r="K1325" s="47" t="s">
        <v>520</v>
      </c>
      <c r="L1325" s="47" t="s">
        <v>521</v>
      </c>
      <c r="M1325" s="46" t="s">
        <v>807</v>
      </c>
      <c r="N1325" s="47" t="s">
        <v>808</v>
      </c>
      <c r="O1325" s="44" t="s">
        <v>4</v>
      </c>
      <c r="P1325" s="47" t="s">
        <v>1104</v>
      </c>
      <c r="Q1325" s="48">
        <v>18400</v>
      </c>
      <c r="R1325" s="49" t="s">
        <v>4</v>
      </c>
      <c r="S1325" s="48" t="s">
        <v>4</v>
      </c>
      <c r="T1325" s="47" t="s">
        <v>525</v>
      </c>
    </row>
    <row r="1326" spans="1:20">
      <c r="A1326" s="46">
        <v>139465107537</v>
      </c>
      <c r="B1326" s="44" t="s">
        <v>517</v>
      </c>
      <c r="C1326" s="45">
        <v>46021</v>
      </c>
      <c r="D1326" s="46">
        <v>55651518575</v>
      </c>
      <c r="E1326" s="46">
        <v>2163373762180</v>
      </c>
      <c r="F1326" s="47" t="s">
        <v>518</v>
      </c>
      <c r="G1326" s="47" t="s">
        <v>519</v>
      </c>
      <c r="H1326" s="47" t="s">
        <v>4</v>
      </c>
      <c r="I1326" s="46" t="s">
        <v>4</v>
      </c>
      <c r="J1326" s="48">
        <v>97</v>
      </c>
      <c r="K1326" s="47" t="s">
        <v>520</v>
      </c>
      <c r="L1326" s="47" t="s">
        <v>521</v>
      </c>
      <c r="M1326" s="46" t="s">
        <v>807</v>
      </c>
      <c r="N1326" s="47" t="s">
        <v>808</v>
      </c>
      <c r="O1326" s="44" t="s">
        <v>4</v>
      </c>
      <c r="P1326" s="47" t="s">
        <v>789</v>
      </c>
      <c r="Q1326" s="48">
        <v>10000</v>
      </c>
      <c r="R1326" s="49" t="s">
        <v>4</v>
      </c>
      <c r="S1326" s="48" t="s">
        <v>4</v>
      </c>
      <c r="T1326" s="47" t="s">
        <v>525</v>
      </c>
    </row>
    <row r="1327" spans="1:20">
      <c r="A1327" s="46">
        <v>140113726872</v>
      </c>
      <c r="B1327" s="44" t="s">
        <v>517</v>
      </c>
      <c r="C1327" s="45">
        <v>46021</v>
      </c>
      <c r="D1327" s="46">
        <v>55651688978</v>
      </c>
      <c r="E1327" s="46">
        <v>2163377466992</v>
      </c>
      <c r="F1327" s="47" t="s">
        <v>518</v>
      </c>
      <c r="G1327" s="47" t="s">
        <v>519</v>
      </c>
      <c r="H1327" s="47" t="s">
        <v>4</v>
      </c>
      <c r="I1327" s="46" t="s">
        <v>4</v>
      </c>
      <c r="J1327" s="48">
        <v>97</v>
      </c>
      <c r="K1327" s="47" t="s">
        <v>520</v>
      </c>
      <c r="L1327" s="47" t="s">
        <v>521</v>
      </c>
      <c r="M1327" s="46" t="s">
        <v>807</v>
      </c>
      <c r="N1327" s="47" t="s">
        <v>808</v>
      </c>
      <c r="O1327" s="44" t="s">
        <v>4</v>
      </c>
      <c r="P1327" s="47" t="s">
        <v>1105</v>
      </c>
      <c r="Q1327" s="48">
        <v>10000</v>
      </c>
      <c r="R1327" s="49" t="s">
        <v>4</v>
      </c>
      <c r="S1327" s="48" t="s">
        <v>4</v>
      </c>
      <c r="T1327" s="47" t="s">
        <v>525</v>
      </c>
    </row>
    <row r="1328" spans="1:20">
      <c r="A1328" s="46">
        <v>139466162181</v>
      </c>
      <c r="B1328" s="44" t="s">
        <v>517</v>
      </c>
      <c r="C1328" s="45">
        <v>46021</v>
      </c>
      <c r="D1328" s="46">
        <v>55651820476</v>
      </c>
      <c r="E1328" s="46">
        <v>2163380549904</v>
      </c>
      <c r="F1328" s="47" t="s">
        <v>518</v>
      </c>
      <c r="G1328" s="47" t="s">
        <v>519</v>
      </c>
      <c r="H1328" s="47" t="s">
        <v>4</v>
      </c>
      <c r="I1328" s="46" t="s">
        <v>4</v>
      </c>
      <c r="J1328" s="48">
        <v>194</v>
      </c>
      <c r="K1328" s="47" t="s">
        <v>520</v>
      </c>
      <c r="L1328" s="47" t="s">
        <v>521</v>
      </c>
      <c r="M1328" s="46" t="s">
        <v>807</v>
      </c>
      <c r="N1328" s="47" t="s">
        <v>808</v>
      </c>
      <c r="O1328" s="44" t="s">
        <v>4</v>
      </c>
      <c r="P1328" s="47" t="s">
        <v>1066</v>
      </c>
      <c r="Q1328" s="48">
        <v>20000</v>
      </c>
      <c r="R1328" s="49" t="s">
        <v>4</v>
      </c>
      <c r="S1328" s="48" t="s">
        <v>4</v>
      </c>
      <c r="T1328" s="47" t="s">
        <v>525</v>
      </c>
    </row>
    <row r="1329" spans="1:20">
      <c r="A1329" s="46">
        <v>140115445908</v>
      </c>
      <c r="B1329" s="44" t="s">
        <v>517</v>
      </c>
      <c r="C1329" s="45">
        <v>46021</v>
      </c>
      <c r="D1329" s="46">
        <v>55652335660</v>
      </c>
      <c r="E1329" s="46">
        <v>2163391964642</v>
      </c>
      <c r="F1329" s="47" t="s">
        <v>562</v>
      </c>
      <c r="G1329" s="47" t="s">
        <v>519</v>
      </c>
      <c r="H1329" s="47" t="s">
        <v>4</v>
      </c>
      <c r="I1329" s="46" t="s">
        <v>4</v>
      </c>
      <c r="J1329" s="48">
        <v>179.3</v>
      </c>
      <c r="K1329" s="47" t="s">
        <v>520</v>
      </c>
      <c r="L1329" s="47" t="s">
        <v>521</v>
      </c>
      <c r="M1329" s="46" t="s">
        <v>807</v>
      </c>
      <c r="N1329" s="47" t="s">
        <v>808</v>
      </c>
      <c r="O1329" s="44" t="s">
        <v>4</v>
      </c>
      <c r="P1329" s="47" t="s">
        <v>563</v>
      </c>
      <c r="Q1329" s="48">
        <v>11000</v>
      </c>
      <c r="R1329" s="49" t="s">
        <v>4</v>
      </c>
      <c r="S1329" s="48" t="s">
        <v>4</v>
      </c>
      <c r="T1329" s="47" t="s">
        <v>525</v>
      </c>
    </row>
    <row r="1330" spans="1:20">
      <c r="A1330" s="46">
        <v>140115663656</v>
      </c>
      <c r="B1330" s="44" t="s">
        <v>517</v>
      </c>
      <c r="C1330" s="45">
        <v>46021</v>
      </c>
      <c r="D1330" s="46">
        <v>55652392352</v>
      </c>
      <c r="E1330" s="46">
        <v>2163224567949</v>
      </c>
      <c r="F1330" s="47" t="s">
        <v>529</v>
      </c>
      <c r="G1330" s="47" t="s">
        <v>519</v>
      </c>
      <c r="H1330" s="47" t="s">
        <v>4</v>
      </c>
      <c r="I1330" s="46" t="s">
        <v>4</v>
      </c>
      <c r="J1330" s="48">
        <v>393</v>
      </c>
      <c r="K1330" s="47" t="s">
        <v>520</v>
      </c>
      <c r="L1330" s="47" t="s">
        <v>530</v>
      </c>
      <c r="M1330" s="46" t="s">
        <v>807</v>
      </c>
      <c r="N1330" s="47" t="s">
        <v>808</v>
      </c>
      <c r="O1330" s="44" t="s">
        <v>263</v>
      </c>
      <c r="P1330" s="47" t="s">
        <v>531</v>
      </c>
      <c r="Q1330" s="48">
        <v>10000</v>
      </c>
      <c r="R1330" s="49" t="s">
        <v>4</v>
      </c>
      <c r="S1330" s="48" t="s">
        <v>4</v>
      </c>
      <c r="T1330" s="47" t="s">
        <v>525</v>
      </c>
    </row>
    <row r="1331" spans="1:20">
      <c r="A1331" s="46">
        <v>140116601668</v>
      </c>
      <c r="B1331" s="44" t="s">
        <v>517</v>
      </c>
      <c r="C1331" s="45">
        <v>46021</v>
      </c>
      <c r="D1331" s="46">
        <v>55652694016</v>
      </c>
      <c r="E1331" s="46">
        <v>2163400262764</v>
      </c>
      <c r="F1331" s="47" t="s">
        <v>529</v>
      </c>
      <c r="G1331" s="47" t="s">
        <v>519</v>
      </c>
      <c r="H1331" s="47" t="s">
        <v>4</v>
      </c>
      <c r="I1331" s="46" t="s">
        <v>4</v>
      </c>
      <c r="J1331" s="48">
        <v>889.84</v>
      </c>
      <c r="K1331" s="47" t="s">
        <v>520</v>
      </c>
      <c r="L1331" s="47" t="s">
        <v>530</v>
      </c>
      <c r="M1331" s="46" t="s">
        <v>807</v>
      </c>
      <c r="N1331" s="47" t="s">
        <v>808</v>
      </c>
      <c r="O1331" s="44" t="s">
        <v>263</v>
      </c>
      <c r="P1331" s="47" t="s">
        <v>531</v>
      </c>
      <c r="Q1331" s="48">
        <v>19600</v>
      </c>
      <c r="R1331" s="49" t="s">
        <v>4</v>
      </c>
      <c r="S1331" s="48" t="s">
        <v>4</v>
      </c>
      <c r="T1331" s="47" t="s">
        <v>525</v>
      </c>
    </row>
    <row r="1332" spans="1:20">
      <c r="A1332" s="46">
        <v>140116779156</v>
      </c>
      <c r="B1332" s="44" t="s">
        <v>517</v>
      </c>
      <c r="C1332" s="45">
        <v>46021</v>
      </c>
      <c r="D1332" s="46">
        <v>55652777773</v>
      </c>
      <c r="E1332" s="46">
        <v>2163401245692</v>
      </c>
      <c r="F1332" s="47" t="s">
        <v>526</v>
      </c>
      <c r="G1332" s="47" t="s">
        <v>519</v>
      </c>
      <c r="H1332" s="47" t="s">
        <v>4</v>
      </c>
      <c r="I1332" s="46" t="s">
        <v>4</v>
      </c>
      <c r="J1332" s="48">
        <v>93.12</v>
      </c>
      <c r="K1332" s="47" t="s">
        <v>520</v>
      </c>
      <c r="L1332" s="47" t="s">
        <v>521</v>
      </c>
      <c r="M1332" s="46" t="s">
        <v>807</v>
      </c>
      <c r="N1332" s="47" t="s">
        <v>808</v>
      </c>
      <c r="O1332" s="44" t="s">
        <v>4</v>
      </c>
      <c r="P1332" s="47" t="s">
        <v>527</v>
      </c>
      <c r="Q1332" s="48">
        <v>9600</v>
      </c>
      <c r="R1332" s="49" t="s">
        <v>4</v>
      </c>
      <c r="S1332" s="48" t="s">
        <v>4</v>
      </c>
      <c r="T1332" s="47" t="s">
        <v>4</v>
      </c>
    </row>
    <row r="1333" spans="1:20">
      <c r="A1333" s="46">
        <v>140117650322</v>
      </c>
      <c r="B1333" s="44" t="s">
        <v>517</v>
      </c>
      <c r="C1333" s="45">
        <v>46021</v>
      </c>
      <c r="D1333" s="46">
        <v>55653016613</v>
      </c>
      <c r="E1333" s="46">
        <v>2163238019781</v>
      </c>
      <c r="F1333" s="47" t="s">
        <v>562</v>
      </c>
      <c r="G1333" s="47" t="s">
        <v>519</v>
      </c>
      <c r="H1333" s="47" t="s">
        <v>4</v>
      </c>
      <c r="I1333" s="46" t="s">
        <v>4</v>
      </c>
      <c r="J1333" s="48">
        <v>203.75</v>
      </c>
      <c r="K1333" s="47" t="s">
        <v>520</v>
      </c>
      <c r="L1333" s="47" t="s">
        <v>521</v>
      </c>
      <c r="M1333" s="46" t="s">
        <v>807</v>
      </c>
      <c r="N1333" s="47" t="s">
        <v>808</v>
      </c>
      <c r="O1333" s="44" t="s">
        <v>4</v>
      </c>
      <c r="P1333" s="47" t="s">
        <v>563</v>
      </c>
      <c r="Q1333" s="48">
        <v>12500</v>
      </c>
      <c r="R1333" s="49" t="s">
        <v>4</v>
      </c>
      <c r="S1333" s="48" t="s">
        <v>4</v>
      </c>
      <c r="T1333" s="47" t="s">
        <v>525</v>
      </c>
    </row>
    <row r="1334" spans="1:20">
      <c r="A1334" s="46">
        <v>139469521293</v>
      </c>
      <c r="B1334" s="44" t="s">
        <v>517</v>
      </c>
      <c r="C1334" s="45">
        <v>46021</v>
      </c>
      <c r="D1334" s="46">
        <v>55653040467</v>
      </c>
      <c r="E1334" s="46">
        <v>2163407677940</v>
      </c>
      <c r="F1334" s="47" t="s">
        <v>518</v>
      </c>
      <c r="G1334" s="47" t="s">
        <v>519</v>
      </c>
      <c r="H1334" s="47" t="s">
        <v>4</v>
      </c>
      <c r="I1334" s="46" t="s">
        <v>4</v>
      </c>
      <c r="J1334" s="48">
        <v>419.04</v>
      </c>
      <c r="K1334" s="47" t="s">
        <v>520</v>
      </c>
      <c r="L1334" s="47" t="s">
        <v>521</v>
      </c>
      <c r="M1334" s="46" t="s">
        <v>807</v>
      </c>
      <c r="N1334" s="47" t="s">
        <v>808</v>
      </c>
      <c r="O1334" s="44" t="s">
        <v>4</v>
      </c>
      <c r="P1334" s="47" t="s">
        <v>769</v>
      </c>
      <c r="Q1334" s="48">
        <v>43200</v>
      </c>
      <c r="R1334" s="49" t="s">
        <v>4</v>
      </c>
      <c r="S1334" s="48" t="s">
        <v>4</v>
      </c>
      <c r="T1334" s="47" t="s">
        <v>525</v>
      </c>
    </row>
    <row r="1335" spans="1:20">
      <c r="A1335" s="46">
        <v>139472364079</v>
      </c>
      <c r="B1335" s="44" t="s">
        <v>517</v>
      </c>
      <c r="C1335" s="45">
        <v>46021</v>
      </c>
      <c r="D1335" s="46">
        <v>55654037141</v>
      </c>
      <c r="E1335" s="46">
        <v>2163261175911</v>
      </c>
      <c r="F1335" s="47" t="s">
        <v>529</v>
      </c>
      <c r="G1335" s="47" t="s">
        <v>519</v>
      </c>
      <c r="H1335" s="47" t="s">
        <v>4</v>
      </c>
      <c r="I1335" s="46" t="s">
        <v>4</v>
      </c>
      <c r="J1335" s="48">
        <v>393</v>
      </c>
      <c r="K1335" s="47" t="s">
        <v>520</v>
      </c>
      <c r="L1335" s="47" t="s">
        <v>530</v>
      </c>
      <c r="M1335" s="46" t="s">
        <v>807</v>
      </c>
      <c r="N1335" s="47" t="s">
        <v>808</v>
      </c>
      <c r="O1335" s="44" t="s">
        <v>263</v>
      </c>
      <c r="P1335" s="47" t="s">
        <v>531</v>
      </c>
      <c r="Q1335" s="48">
        <v>10000</v>
      </c>
      <c r="R1335" s="49" t="s">
        <v>4</v>
      </c>
      <c r="S1335" s="48" t="s">
        <v>4</v>
      </c>
      <c r="T1335" s="47" t="s">
        <v>525</v>
      </c>
    </row>
    <row r="1336" spans="1:20">
      <c r="A1336" s="46">
        <v>139472867537</v>
      </c>
      <c r="B1336" s="44" t="s">
        <v>517</v>
      </c>
      <c r="C1336" s="45">
        <v>46021</v>
      </c>
      <c r="D1336" s="46">
        <v>55654179843</v>
      </c>
      <c r="E1336" s="46">
        <v>2163264584131</v>
      </c>
      <c r="F1336" s="47" t="s">
        <v>526</v>
      </c>
      <c r="G1336" s="47" t="s">
        <v>519</v>
      </c>
      <c r="H1336" s="47" t="s">
        <v>4</v>
      </c>
      <c r="I1336" s="46" t="s">
        <v>4</v>
      </c>
      <c r="J1336" s="48">
        <v>281.3</v>
      </c>
      <c r="K1336" s="47" t="s">
        <v>520</v>
      </c>
      <c r="L1336" s="47" t="s">
        <v>521</v>
      </c>
      <c r="M1336" s="46" t="s">
        <v>807</v>
      </c>
      <c r="N1336" s="47" t="s">
        <v>808</v>
      </c>
      <c r="O1336" s="44" t="s">
        <v>4</v>
      </c>
      <c r="P1336" s="47" t="s">
        <v>527</v>
      </c>
      <c r="Q1336" s="48">
        <v>29000</v>
      </c>
      <c r="R1336" s="49" t="s">
        <v>4</v>
      </c>
      <c r="S1336" s="48" t="s">
        <v>4</v>
      </c>
      <c r="T1336" s="47" t="s">
        <v>4</v>
      </c>
    </row>
    <row r="1337" spans="1:20">
      <c r="A1337" s="46">
        <v>139473304409</v>
      </c>
      <c r="B1337" s="44" t="s">
        <v>517</v>
      </c>
      <c r="C1337" s="45">
        <v>46021</v>
      </c>
      <c r="D1337" s="46">
        <v>55654271578</v>
      </c>
      <c r="E1337" s="46">
        <v>2163435870500</v>
      </c>
      <c r="F1337" s="47" t="s">
        <v>529</v>
      </c>
      <c r="G1337" s="47" t="s">
        <v>519</v>
      </c>
      <c r="H1337" s="47" t="s">
        <v>4</v>
      </c>
      <c r="I1337" s="46" t="s">
        <v>4</v>
      </c>
      <c r="J1337" s="48">
        <v>294.75</v>
      </c>
      <c r="K1337" s="47" t="s">
        <v>520</v>
      </c>
      <c r="L1337" s="47" t="s">
        <v>530</v>
      </c>
      <c r="M1337" s="46" t="s">
        <v>807</v>
      </c>
      <c r="N1337" s="47" t="s">
        <v>808</v>
      </c>
      <c r="O1337" s="44" t="s">
        <v>263</v>
      </c>
      <c r="P1337" s="47" t="s">
        <v>531</v>
      </c>
      <c r="Q1337" s="48">
        <v>7500</v>
      </c>
      <c r="R1337" s="49" t="s">
        <v>4</v>
      </c>
      <c r="S1337" s="48" t="s">
        <v>4</v>
      </c>
      <c r="T1337" s="47" t="s">
        <v>525</v>
      </c>
    </row>
    <row r="1338" spans="1:20">
      <c r="A1338" s="46">
        <v>140122127434</v>
      </c>
      <c r="B1338" s="44" t="s">
        <v>517</v>
      </c>
      <c r="C1338" s="45">
        <v>46021</v>
      </c>
      <c r="D1338" s="46">
        <v>55654573670</v>
      </c>
      <c r="E1338" s="46">
        <v>2163274257207</v>
      </c>
      <c r="F1338" s="47" t="s">
        <v>529</v>
      </c>
      <c r="G1338" s="47" t="s">
        <v>519</v>
      </c>
      <c r="H1338" s="47" t="s">
        <v>4</v>
      </c>
      <c r="I1338" s="46" t="s">
        <v>4</v>
      </c>
      <c r="J1338" s="48">
        <v>196.5</v>
      </c>
      <c r="K1338" s="47" t="s">
        <v>520</v>
      </c>
      <c r="L1338" s="47" t="s">
        <v>530</v>
      </c>
      <c r="M1338" s="46" t="s">
        <v>807</v>
      </c>
      <c r="N1338" s="47" t="s">
        <v>808</v>
      </c>
      <c r="O1338" s="44" t="s">
        <v>263</v>
      </c>
      <c r="P1338" s="47" t="s">
        <v>531</v>
      </c>
      <c r="Q1338" s="48">
        <v>5000</v>
      </c>
      <c r="R1338" s="49" t="s">
        <v>4</v>
      </c>
      <c r="S1338" s="48" t="s">
        <v>4</v>
      </c>
      <c r="T1338" s="47" t="s">
        <v>525</v>
      </c>
    </row>
    <row r="1339" spans="1:20">
      <c r="A1339" s="46">
        <v>139474299533</v>
      </c>
      <c r="B1339" s="44" t="s">
        <v>517</v>
      </c>
      <c r="C1339" s="45">
        <v>46021</v>
      </c>
      <c r="D1339" s="46">
        <v>55654662339</v>
      </c>
      <c r="E1339" s="46">
        <v>2163445095698</v>
      </c>
      <c r="F1339" s="47" t="s">
        <v>529</v>
      </c>
      <c r="G1339" s="47" t="s">
        <v>519</v>
      </c>
      <c r="H1339" s="47" t="s">
        <v>4</v>
      </c>
      <c r="I1339" s="46" t="s">
        <v>4</v>
      </c>
      <c r="J1339" s="48">
        <v>196.5</v>
      </c>
      <c r="K1339" s="47" t="s">
        <v>520</v>
      </c>
      <c r="L1339" s="47" t="s">
        <v>530</v>
      </c>
      <c r="M1339" s="46" t="s">
        <v>807</v>
      </c>
      <c r="N1339" s="47" t="s">
        <v>808</v>
      </c>
      <c r="O1339" s="44" t="s">
        <v>263</v>
      </c>
      <c r="P1339" s="47" t="s">
        <v>531</v>
      </c>
      <c r="Q1339" s="48">
        <v>5000</v>
      </c>
      <c r="R1339" s="49" t="s">
        <v>4</v>
      </c>
      <c r="S1339" s="48" t="s">
        <v>4</v>
      </c>
      <c r="T1339" s="47" t="s">
        <v>525</v>
      </c>
    </row>
    <row r="1340" spans="1:20">
      <c r="A1340" s="46">
        <v>139474831259</v>
      </c>
      <c r="B1340" s="44" t="s">
        <v>517</v>
      </c>
      <c r="C1340" s="45">
        <v>46021</v>
      </c>
      <c r="D1340" s="46">
        <v>55654833927</v>
      </c>
      <c r="E1340" s="46">
        <v>2163280025047</v>
      </c>
      <c r="F1340" s="47" t="s">
        <v>526</v>
      </c>
      <c r="G1340" s="47" t="s">
        <v>519</v>
      </c>
      <c r="H1340" s="47" t="s">
        <v>4</v>
      </c>
      <c r="I1340" s="46" t="s">
        <v>4</v>
      </c>
      <c r="J1340" s="48">
        <v>97</v>
      </c>
      <c r="K1340" s="47" t="s">
        <v>520</v>
      </c>
      <c r="L1340" s="47" t="s">
        <v>521</v>
      </c>
      <c r="M1340" s="46" t="s">
        <v>807</v>
      </c>
      <c r="N1340" s="47" t="s">
        <v>808</v>
      </c>
      <c r="O1340" s="44" t="s">
        <v>4</v>
      </c>
      <c r="P1340" s="47" t="s">
        <v>527</v>
      </c>
      <c r="Q1340" s="48">
        <v>10000</v>
      </c>
      <c r="R1340" s="49" t="s">
        <v>4</v>
      </c>
      <c r="S1340" s="48" t="s">
        <v>4</v>
      </c>
      <c r="T1340" s="47" t="s">
        <v>4</v>
      </c>
    </row>
    <row r="1341" spans="1:20">
      <c r="A1341" s="46">
        <v>139474889257</v>
      </c>
      <c r="B1341" s="44" t="s">
        <v>517</v>
      </c>
      <c r="C1341" s="45">
        <v>46021</v>
      </c>
      <c r="D1341" s="46">
        <v>55654885498</v>
      </c>
      <c r="E1341" s="46">
        <v>2163449265960</v>
      </c>
      <c r="F1341" s="47" t="s">
        <v>518</v>
      </c>
      <c r="G1341" s="47" t="s">
        <v>519</v>
      </c>
      <c r="H1341" s="47" t="s">
        <v>4</v>
      </c>
      <c r="I1341" s="46" t="s">
        <v>4</v>
      </c>
      <c r="J1341" s="48">
        <v>271.60000000000002</v>
      </c>
      <c r="K1341" s="47" t="s">
        <v>520</v>
      </c>
      <c r="L1341" s="47" t="s">
        <v>521</v>
      </c>
      <c r="M1341" s="46" t="s">
        <v>807</v>
      </c>
      <c r="N1341" s="47" t="s">
        <v>808</v>
      </c>
      <c r="O1341" s="44" t="s">
        <v>4</v>
      </c>
      <c r="P1341" s="47" t="s">
        <v>1106</v>
      </c>
      <c r="Q1341" s="48">
        <v>28000</v>
      </c>
      <c r="R1341" s="49" t="s">
        <v>4</v>
      </c>
      <c r="S1341" s="48" t="s">
        <v>4</v>
      </c>
      <c r="T1341" s="47" t="s">
        <v>525</v>
      </c>
    </row>
    <row r="1342" spans="1:20">
      <c r="A1342" s="46">
        <v>139475371877</v>
      </c>
      <c r="B1342" s="44" t="s">
        <v>517</v>
      </c>
      <c r="C1342" s="45">
        <v>46021</v>
      </c>
      <c r="D1342" s="46">
        <v>55655059122</v>
      </c>
      <c r="E1342" s="46">
        <v>2163284135329</v>
      </c>
      <c r="F1342" s="47" t="s">
        <v>518</v>
      </c>
      <c r="G1342" s="47" t="s">
        <v>519</v>
      </c>
      <c r="H1342" s="47" t="s">
        <v>4</v>
      </c>
      <c r="I1342" s="46" t="s">
        <v>4</v>
      </c>
      <c r="J1342" s="48">
        <v>72.75</v>
      </c>
      <c r="K1342" s="47" t="s">
        <v>520</v>
      </c>
      <c r="L1342" s="47" t="s">
        <v>521</v>
      </c>
      <c r="M1342" s="46" t="s">
        <v>807</v>
      </c>
      <c r="N1342" s="47" t="s">
        <v>808</v>
      </c>
      <c r="O1342" s="44" t="s">
        <v>4</v>
      </c>
      <c r="P1342" s="47" t="s">
        <v>1107</v>
      </c>
      <c r="Q1342" s="48">
        <v>7500</v>
      </c>
      <c r="R1342" s="49" t="s">
        <v>4</v>
      </c>
      <c r="S1342" s="48" t="s">
        <v>4</v>
      </c>
      <c r="T1342" s="47" t="s">
        <v>525</v>
      </c>
    </row>
    <row r="1343" spans="1:20">
      <c r="A1343" s="46">
        <v>139476022875</v>
      </c>
      <c r="B1343" s="44" t="s">
        <v>517</v>
      </c>
      <c r="C1343" s="45">
        <v>46021</v>
      </c>
      <c r="D1343" s="46">
        <v>55655224075</v>
      </c>
      <c r="E1343" s="46">
        <v>2163287982453</v>
      </c>
      <c r="F1343" s="47" t="s">
        <v>518</v>
      </c>
      <c r="G1343" s="47" t="s">
        <v>519</v>
      </c>
      <c r="H1343" s="47" t="s">
        <v>4</v>
      </c>
      <c r="I1343" s="46" t="s">
        <v>4</v>
      </c>
      <c r="J1343" s="48">
        <v>46.56</v>
      </c>
      <c r="K1343" s="47" t="s">
        <v>520</v>
      </c>
      <c r="L1343" s="47" t="s">
        <v>521</v>
      </c>
      <c r="M1343" s="46" t="s">
        <v>807</v>
      </c>
      <c r="N1343" s="47" t="s">
        <v>808</v>
      </c>
      <c r="O1343" s="44" t="s">
        <v>4</v>
      </c>
      <c r="P1343" s="47" t="s">
        <v>1108</v>
      </c>
      <c r="Q1343" s="48">
        <v>4800</v>
      </c>
      <c r="R1343" s="49" t="s">
        <v>4</v>
      </c>
      <c r="S1343" s="48" t="s">
        <v>4</v>
      </c>
      <c r="T1343" s="47" t="s">
        <v>525</v>
      </c>
    </row>
    <row r="1344" spans="1:20">
      <c r="A1344" s="46">
        <v>139476163297</v>
      </c>
      <c r="B1344" s="44" t="s">
        <v>517</v>
      </c>
      <c r="C1344" s="45">
        <v>46021</v>
      </c>
      <c r="D1344" s="46">
        <v>55655293164</v>
      </c>
      <c r="E1344" s="46">
        <v>2163289344403</v>
      </c>
      <c r="F1344" s="47" t="s">
        <v>518</v>
      </c>
      <c r="G1344" s="47" t="s">
        <v>519</v>
      </c>
      <c r="H1344" s="47" t="s">
        <v>4</v>
      </c>
      <c r="I1344" s="46" t="s">
        <v>4</v>
      </c>
      <c r="J1344" s="48">
        <v>309.7</v>
      </c>
      <c r="K1344" s="47" t="s">
        <v>520</v>
      </c>
      <c r="L1344" s="47" t="s">
        <v>521</v>
      </c>
      <c r="M1344" s="46" t="s">
        <v>807</v>
      </c>
      <c r="N1344" s="47" t="s">
        <v>808</v>
      </c>
      <c r="O1344" s="44" t="s">
        <v>4</v>
      </c>
      <c r="P1344" s="47" t="s">
        <v>1109</v>
      </c>
      <c r="Q1344" s="48">
        <v>19000</v>
      </c>
      <c r="R1344" s="49" t="s">
        <v>4</v>
      </c>
      <c r="S1344" s="48" t="s">
        <v>4</v>
      </c>
      <c r="T1344" s="47" t="s">
        <v>525</v>
      </c>
    </row>
    <row r="1345" spans="1:20">
      <c r="A1345" s="46">
        <v>139476380341</v>
      </c>
      <c r="B1345" s="44" t="s">
        <v>517</v>
      </c>
      <c r="C1345" s="45">
        <v>46021</v>
      </c>
      <c r="D1345" s="46">
        <v>55655354937</v>
      </c>
      <c r="E1345" s="46">
        <v>2163459078126</v>
      </c>
      <c r="F1345" s="47" t="s">
        <v>518</v>
      </c>
      <c r="G1345" s="47" t="s">
        <v>519</v>
      </c>
      <c r="H1345" s="47" t="s">
        <v>4</v>
      </c>
      <c r="I1345" s="46" t="s">
        <v>4</v>
      </c>
      <c r="J1345" s="48">
        <v>145.5</v>
      </c>
      <c r="K1345" s="47" t="s">
        <v>520</v>
      </c>
      <c r="L1345" s="47" t="s">
        <v>521</v>
      </c>
      <c r="M1345" s="46" t="s">
        <v>807</v>
      </c>
      <c r="N1345" s="47" t="s">
        <v>808</v>
      </c>
      <c r="O1345" s="44" t="s">
        <v>4</v>
      </c>
      <c r="P1345" s="47" t="s">
        <v>1110</v>
      </c>
      <c r="Q1345" s="48">
        <v>15000</v>
      </c>
      <c r="R1345" s="49" t="s">
        <v>4</v>
      </c>
      <c r="S1345" s="48" t="s">
        <v>4</v>
      </c>
      <c r="T1345" s="47" t="s">
        <v>525</v>
      </c>
    </row>
    <row r="1346" spans="1:20">
      <c r="A1346" s="46">
        <v>139476781595</v>
      </c>
      <c r="B1346" s="44" t="s">
        <v>517</v>
      </c>
      <c r="C1346" s="45">
        <v>46021</v>
      </c>
      <c r="D1346" s="46">
        <v>55655537336</v>
      </c>
      <c r="E1346" s="46">
        <v>2163462827778</v>
      </c>
      <c r="F1346" s="47" t="s">
        <v>518</v>
      </c>
      <c r="G1346" s="47" t="s">
        <v>519</v>
      </c>
      <c r="H1346" s="47" t="s">
        <v>4</v>
      </c>
      <c r="I1346" s="46" t="s">
        <v>4</v>
      </c>
      <c r="J1346" s="48">
        <v>97</v>
      </c>
      <c r="K1346" s="47" t="s">
        <v>520</v>
      </c>
      <c r="L1346" s="47" t="s">
        <v>521</v>
      </c>
      <c r="M1346" s="46" t="s">
        <v>807</v>
      </c>
      <c r="N1346" s="47" t="s">
        <v>808</v>
      </c>
      <c r="O1346" s="44" t="s">
        <v>4</v>
      </c>
      <c r="P1346" s="47" t="s">
        <v>883</v>
      </c>
      <c r="Q1346" s="48">
        <v>10000</v>
      </c>
      <c r="R1346" s="49" t="s">
        <v>4</v>
      </c>
      <c r="S1346" s="48" t="s">
        <v>4</v>
      </c>
      <c r="T1346" s="47" t="s">
        <v>525</v>
      </c>
    </row>
    <row r="1347" spans="1:20">
      <c r="A1347" s="46">
        <v>140124952752</v>
      </c>
      <c r="B1347" s="44" t="s">
        <v>517</v>
      </c>
      <c r="C1347" s="45">
        <v>46021</v>
      </c>
      <c r="D1347" s="46">
        <v>55655556397</v>
      </c>
      <c r="E1347" s="46">
        <v>2163294255971</v>
      </c>
      <c r="F1347" s="47" t="s">
        <v>518</v>
      </c>
      <c r="G1347" s="47" t="s">
        <v>519</v>
      </c>
      <c r="H1347" s="47" t="s">
        <v>4</v>
      </c>
      <c r="I1347" s="46" t="s">
        <v>4</v>
      </c>
      <c r="J1347" s="48">
        <v>309.43</v>
      </c>
      <c r="K1347" s="47" t="s">
        <v>520</v>
      </c>
      <c r="L1347" s="47" t="s">
        <v>521</v>
      </c>
      <c r="M1347" s="46" t="s">
        <v>807</v>
      </c>
      <c r="N1347" s="47" t="s">
        <v>808</v>
      </c>
      <c r="O1347" s="44" t="s">
        <v>4</v>
      </c>
      <c r="P1347" s="47" t="s">
        <v>1111</v>
      </c>
      <c r="Q1347" s="48">
        <v>31900</v>
      </c>
      <c r="R1347" s="49" t="s">
        <v>4</v>
      </c>
      <c r="S1347" s="48" t="s">
        <v>4</v>
      </c>
      <c r="T1347" s="47" t="s">
        <v>525</v>
      </c>
    </row>
    <row r="1348" spans="1:20">
      <c r="A1348" s="46">
        <v>140125689836</v>
      </c>
      <c r="B1348" s="44" t="s">
        <v>517</v>
      </c>
      <c r="C1348" s="45">
        <v>46021</v>
      </c>
      <c r="D1348" s="46">
        <v>55655827953</v>
      </c>
      <c r="E1348" s="46">
        <v>2163468733152</v>
      </c>
      <c r="F1348" s="47" t="s">
        <v>529</v>
      </c>
      <c r="G1348" s="47" t="s">
        <v>519</v>
      </c>
      <c r="H1348" s="47" t="s">
        <v>4</v>
      </c>
      <c r="I1348" s="46" t="s">
        <v>4</v>
      </c>
      <c r="J1348" s="48">
        <v>314.39999999999998</v>
      </c>
      <c r="K1348" s="47" t="s">
        <v>520</v>
      </c>
      <c r="L1348" s="47" t="s">
        <v>530</v>
      </c>
      <c r="M1348" s="46" t="s">
        <v>807</v>
      </c>
      <c r="N1348" s="47" t="s">
        <v>808</v>
      </c>
      <c r="O1348" s="44" t="s">
        <v>263</v>
      </c>
      <c r="P1348" s="47" t="s">
        <v>531</v>
      </c>
      <c r="Q1348" s="48">
        <v>8000</v>
      </c>
      <c r="R1348" s="49" t="s">
        <v>4</v>
      </c>
      <c r="S1348" s="48" t="s">
        <v>4</v>
      </c>
      <c r="T1348" s="47" t="s">
        <v>525</v>
      </c>
    </row>
    <row r="1349" spans="1:20">
      <c r="A1349" s="46">
        <v>139478121971</v>
      </c>
      <c r="B1349" s="44" t="s">
        <v>517</v>
      </c>
      <c r="C1349" s="45">
        <v>46021</v>
      </c>
      <c r="D1349" s="46">
        <v>55656025189</v>
      </c>
      <c r="E1349" s="46">
        <v>2163303217809</v>
      </c>
      <c r="F1349" s="47" t="s">
        <v>518</v>
      </c>
      <c r="G1349" s="47" t="s">
        <v>519</v>
      </c>
      <c r="H1349" s="47" t="s">
        <v>4</v>
      </c>
      <c r="I1349" s="46" t="s">
        <v>4</v>
      </c>
      <c r="J1349" s="48">
        <v>70.81</v>
      </c>
      <c r="K1349" s="47" t="s">
        <v>520</v>
      </c>
      <c r="L1349" s="47" t="s">
        <v>521</v>
      </c>
      <c r="M1349" s="46" t="s">
        <v>807</v>
      </c>
      <c r="N1349" s="47" t="s">
        <v>808</v>
      </c>
      <c r="O1349" s="44" t="s">
        <v>4</v>
      </c>
      <c r="P1349" s="47" t="s">
        <v>1112</v>
      </c>
      <c r="Q1349" s="48">
        <v>7300</v>
      </c>
      <c r="R1349" s="49" t="s">
        <v>4</v>
      </c>
      <c r="S1349" s="48" t="s">
        <v>4</v>
      </c>
      <c r="T1349" s="47" t="s">
        <v>525</v>
      </c>
    </row>
    <row r="1350" spans="1:20">
      <c r="A1350" s="46">
        <v>140126690492</v>
      </c>
      <c r="B1350" s="44" t="s">
        <v>517</v>
      </c>
      <c r="C1350" s="45">
        <v>46021</v>
      </c>
      <c r="D1350" s="46">
        <v>55656130784</v>
      </c>
      <c r="E1350" s="46">
        <v>2163304958231</v>
      </c>
      <c r="F1350" s="47" t="s">
        <v>518</v>
      </c>
      <c r="G1350" s="47" t="s">
        <v>519</v>
      </c>
      <c r="H1350" s="47" t="s">
        <v>4</v>
      </c>
      <c r="I1350" s="46" t="s">
        <v>4</v>
      </c>
      <c r="J1350" s="48">
        <v>72.75</v>
      </c>
      <c r="K1350" s="47" t="s">
        <v>520</v>
      </c>
      <c r="L1350" s="47" t="s">
        <v>521</v>
      </c>
      <c r="M1350" s="46" t="s">
        <v>807</v>
      </c>
      <c r="N1350" s="47" t="s">
        <v>808</v>
      </c>
      <c r="O1350" s="44" t="s">
        <v>4</v>
      </c>
      <c r="P1350" s="47" t="s">
        <v>1113</v>
      </c>
      <c r="Q1350" s="48">
        <v>7500</v>
      </c>
      <c r="R1350" s="49" t="s">
        <v>4</v>
      </c>
      <c r="S1350" s="48" t="s">
        <v>4</v>
      </c>
      <c r="T1350" s="47" t="s">
        <v>525</v>
      </c>
    </row>
    <row r="1351" spans="1:20">
      <c r="A1351" s="46">
        <v>139478863041</v>
      </c>
      <c r="B1351" s="44" t="s">
        <v>517</v>
      </c>
      <c r="C1351" s="45">
        <v>46021</v>
      </c>
      <c r="D1351" s="46">
        <v>55656243171</v>
      </c>
      <c r="E1351" s="46">
        <v>2163307103845</v>
      </c>
      <c r="F1351" s="47" t="s">
        <v>518</v>
      </c>
      <c r="G1351" s="47" t="s">
        <v>519</v>
      </c>
      <c r="H1351" s="47" t="s">
        <v>4</v>
      </c>
      <c r="I1351" s="46" t="s">
        <v>4</v>
      </c>
      <c r="J1351" s="48">
        <v>466.57</v>
      </c>
      <c r="K1351" s="47" t="s">
        <v>520</v>
      </c>
      <c r="L1351" s="47" t="s">
        <v>521</v>
      </c>
      <c r="M1351" s="46" t="s">
        <v>807</v>
      </c>
      <c r="N1351" s="47" t="s">
        <v>808</v>
      </c>
      <c r="O1351" s="44" t="s">
        <v>4</v>
      </c>
      <c r="P1351" s="47" t="s">
        <v>1114</v>
      </c>
      <c r="Q1351" s="48">
        <v>48100</v>
      </c>
      <c r="R1351" s="49" t="s">
        <v>4</v>
      </c>
      <c r="S1351" s="48" t="s">
        <v>4</v>
      </c>
      <c r="T1351" s="47" t="s">
        <v>525</v>
      </c>
    </row>
    <row r="1352" spans="1:20">
      <c r="A1352" s="46">
        <v>140126955086</v>
      </c>
      <c r="B1352" s="44" t="s">
        <v>517</v>
      </c>
      <c r="C1352" s="45">
        <v>46021</v>
      </c>
      <c r="D1352" s="46">
        <v>55656273942</v>
      </c>
      <c r="E1352" s="46">
        <v>2163307563201</v>
      </c>
      <c r="F1352" s="47" t="s">
        <v>526</v>
      </c>
      <c r="G1352" s="47" t="s">
        <v>519</v>
      </c>
      <c r="H1352" s="47" t="s">
        <v>4</v>
      </c>
      <c r="I1352" s="46" t="s">
        <v>4</v>
      </c>
      <c r="J1352" s="48">
        <v>404.49</v>
      </c>
      <c r="K1352" s="47" t="s">
        <v>520</v>
      </c>
      <c r="L1352" s="47" t="s">
        <v>521</v>
      </c>
      <c r="M1352" s="46" t="s">
        <v>807</v>
      </c>
      <c r="N1352" s="47" t="s">
        <v>808</v>
      </c>
      <c r="O1352" s="44" t="s">
        <v>4</v>
      </c>
      <c r="P1352" s="47" t="s">
        <v>527</v>
      </c>
      <c r="Q1352" s="48">
        <v>41700</v>
      </c>
      <c r="R1352" s="49" t="s">
        <v>4</v>
      </c>
      <c r="S1352" s="48" t="s">
        <v>4</v>
      </c>
      <c r="T1352" s="47" t="s">
        <v>4</v>
      </c>
    </row>
    <row r="1353" spans="1:20">
      <c r="A1353" s="46">
        <v>139479170537</v>
      </c>
      <c r="B1353" s="44" t="s">
        <v>517</v>
      </c>
      <c r="C1353" s="45">
        <v>46021</v>
      </c>
      <c r="D1353" s="46">
        <v>55656325963</v>
      </c>
      <c r="E1353" s="46">
        <v>2163477213418</v>
      </c>
      <c r="F1353" s="47" t="s">
        <v>529</v>
      </c>
      <c r="G1353" s="47" t="s">
        <v>519</v>
      </c>
      <c r="H1353" s="47" t="s">
        <v>4</v>
      </c>
      <c r="I1353" s="46" t="s">
        <v>4</v>
      </c>
      <c r="J1353" s="48">
        <v>1470.96</v>
      </c>
      <c r="K1353" s="47" t="s">
        <v>520</v>
      </c>
      <c r="L1353" s="47" t="s">
        <v>530</v>
      </c>
      <c r="M1353" s="46" t="s">
        <v>807</v>
      </c>
      <c r="N1353" s="47" t="s">
        <v>808</v>
      </c>
      <c r="O1353" s="44" t="s">
        <v>263</v>
      </c>
      <c r="P1353" s="47" t="s">
        <v>531</v>
      </c>
      <c r="Q1353" s="48">
        <v>32400</v>
      </c>
      <c r="R1353" s="49" t="s">
        <v>4</v>
      </c>
      <c r="S1353" s="48" t="s">
        <v>4</v>
      </c>
      <c r="T1353" s="47" t="s">
        <v>525</v>
      </c>
    </row>
    <row r="1354" spans="1:20">
      <c r="A1354" s="46">
        <v>140127339266</v>
      </c>
      <c r="B1354" s="44" t="s">
        <v>517</v>
      </c>
      <c r="C1354" s="45">
        <v>46021</v>
      </c>
      <c r="D1354" s="46">
        <v>55656428865</v>
      </c>
      <c r="E1354" s="46">
        <v>2163310157443</v>
      </c>
      <c r="F1354" s="47" t="s">
        <v>529</v>
      </c>
      <c r="G1354" s="47" t="s">
        <v>519</v>
      </c>
      <c r="H1354" s="47" t="s">
        <v>4</v>
      </c>
      <c r="I1354" s="46" t="s">
        <v>4</v>
      </c>
      <c r="J1354" s="48">
        <v>217.92</v>
      </c>
      <c r="K1354" s="47" t="s">
        <v>520</v>
      </c>
      <c r="L1354" s="47" t="s">
        <v>530</v>
      </c>
      <c r="M1354" s="46" t="s">
        <v>807</v>
      </c>
      <c r="N1354" s="47" t="s">
        <v>808</v>
      </c>
      <c r="O1354" s="44" t="s">
        <v>263</v>
      </c>
      <c r="P1354" s="47" t="s">
        <v>531</v>
      </c>
      <c r="Q1354" s="48">
        <v>4800</v>
      </c>
      <c r="R1354" s="49" t="s">
        <v>4</v>
      </c>
      <c r="S1354" s="48" t="s">
        <v>4</v>
      </c>
      <c r="T1354" s="47" t="s">
        <v>525</v>
      </c>
    </row>
    <row r="1355" spans="1:20">
      <c r="A1355" s="46">
        <v>140128375658</v>
      </c>
      <c r="B1355" s="44" t="s">
        <v>517</v>
      </c>
      <c r="C1355" s="45">
        <v>46022</v>
      </c>
      <c r="D1355" s="46">
        <v>55656827349</v>
      </c>
      <c r="E1355" s="46">
        <v>2163316687291</v>
      </c>
      <c r="F1355" s="47" t="s">
        <v>518</v>
      </c>
      <c r="G1355" s="47" t="s">
        <v>519</v>
      </c>
      <c r="H1355" s="47" t="s">
        <v>4</v>
      </c>
      <c r="I1355" s="46" t="s">
        <v>4</v>
      </c>
      <c r="J1355" s="48">
        <v>83.42</v>
      </c>
      <c r="K1355" s="47" t="s">
        <v>520</v>
      </c>
      <c r="L1355" s="47" t="s">
        <v>521</v>
      </c>
      <c r="M1355" s="46" t="s">
        <v>807</v>
      </c>
      <c r="N1355" s="47" t="s">
        <v>808</v>
      </c>
      <c r="O1355" s="44" t="s">
        <v>4</v>
      </c>
      <c r="P1355" s="47" t="s">
        <v>1115</v>
      </c>
      <c r="Q1355" s="48">
        <v>8600</v>
      </c>
      <c r="R1355" s="49" t="s">
        <v>4</v>
      </c>
      <c r="S1355" s="48" t="s">
        <v>4</v>
      </c>
      <c r="T1355" s="47" t="s">
        <v>525</v>
      </c>
    </row>
    <row r="1356" spans="1:20">
      <c r="A1356" s="46">
        <v>139480783565</v>
      </c>
      <c r="B1356" s="44" t="s">
        <v>517</v>
      </c>
      <c r="C1356" s="45">
        <v>46022</v>
      </c>
      <c r="D1356" s="46">
        <v>55656972630</v>
      </c>
      <c r="E1356" s="46">
        <v>2163488380904</v>
      </c>
      <c r="F1356" s="47" t="s">
        <v>518</v>
      </c>
      <c r="G1356" s="47" t="s">
        <v>519</v>
      </c>
      <c r="H1356" s="47" t="s">
        <v>4</v>
      </c>
      <c r="I1356" s="46" t="s">
        <v>4</v>
      </c>
      <c r="J1356" s="48">
        <v>97</v>
      </c>
      <c r="K1356" s="47" t="s">
        <v>520</v>
      </c>
      <c r="L1356" s="47" t="s">
        <v>521</v>
      </c>
      <c r="M1356" s="46" t="s">
        <v>807</v>
      </c>
      <c r="N1356" s="47" t="s">
        <v>808</v>
      </c>
      <c r="O1356" s="44" t="s">
        <v>4</v>
      </c>
      <c r="P1356" s="47" t="s">
        <v>1113</v>
      </c>
      <c r="Q1356" s="48">
        <v>10000</v>
      </c>
      <c r="R1356" s="49" t="s">
        <v>4</v>
      </c>
      <c r="S1356" s="48" t="s">
        <v>4</v>
      </c>
      <c r="T1356" s="47" t="s">
        <v>525</v>
      </c>
    </row>
    <row r="1357" spans="1:20">
      <c r="A1357" s="46">
        <v>140129124980</v>
      </c>
      <c r="B1357" s="44" t="s">
        <v>517</v>
      </c>
      <c r="C1357" s="45">
        <v>46022</v>
      </c>
      <c r="D1357" s="46">
        <v>55657078729</v>
      </c>
      <c r="E1357" s="46">
        <v>2163489803674</v>
      </c>
      <c r="F1357" s="47" t="s">
        <v>529</v>
      </c>
      <c r="G1357" s="47" t="s">
        <v>519</v>
      </c>
      <c r="H1357" s="47" t="s">
        <v>4</v>
      </c>
      <c r="I1357" s="46" t="s">
        <v>4</v>
      </c>
      <c r="J1357" s="48">
        <v>432.3</v>
      </c>
      <c r="K1357" s="47" t="s">
        <v>520</v>
      </c>
      <c r="L1357" s="47" t="s">
        <v>530</v>
      </c>
      <c r="M1357" s="46" t="s">
        <v>807</v>
      </c>
      <c r="N1357" s="47" t="s">
        <v>808</v>
      </c>
      <c r="O1357" s="44" t="s">
        <v>263</v>
      </c>
      <c r="P1357" s="47" t="s">
        <v>531</v>
      </c>
      <c r="Q1357" s="48">
        <v>11000</v>
      </c>
      <c r="R1357" s="49" t="s">
        <v>4</v>
      </c>
      <c r="S1357" s="48" t="s">
        <v>4</v>
      </c>
      <c r="T1357" s="47" t="s">
        <v>525</v>
      </c>
    </row>
    <row r="1358" spans="1:20">
      <c r="A1358" s="46">
        <v>139481099341</v>
      </c>
      <c r="B1358" s="44" t="s">
        <v>517</v>
      </c>
      <c r="C1358" s="45">
        <v>46022</v>
      </c>
      <c r="D1358" s="46">
        <v>55657092771</v>
      </c>
      <c r="E1358" s="46">
        <v>2163490462270</v>
      </c>
      <c r="F1358" s="47" t="s">
        <v>529</v>
      </c>
      <c r="G1358" s="47" t="s">
        <v>519</v>
      </c>
      <c r="H1358" s="47" t="s">
        <v>4</v>
      </c>
      <c r="I1358" s="46" t="s">
        <v>4</v>
      </c>
      <c r="J1358" s="48">
        <v>196.5</v>
      </c>
      <c r="K1358" s="47" t="s">
        <v>520</v>
      </c>
      <c r="L1358" s="47" t="s">
        <v>530</v>
      </c>
      <c r="M1358" s="46" t="s">
        <v>807</v>
      </c>
      <c r="N1358" s="47" t="s">
        <v>808</v>
      </c>
      <c r="O1358" s="44" t="s">
        <v>263</v>
      </c>
      <c r="P1358" s="47" t="s">
        <v>531</v>
      </c>
      <c r="Q1358" s="48">
        <v>5000</v>
      </c>
      <c r="R1358" s="49" t="s">
        <v>4</v>
      </c>
      <c r="S1358" s="48" t="s">
        <v>4</v>
      </c>
      <c r="T1358" s="47" t="s">
        <v>525</v>
      </c>
    </row>
    <row r="1359" spans="1:20">
      <c r="A1359" s="46">
        <v>140129225334</v>
      </c>
      <c r="B1359" s="44" t="s">
        <v>517</v>
      </c>
      <c r="C1359" s="45">
        <v>46022</v>
      </c>
      <c r="D1359" s="46">
        <v>55657123756</v>
      </c>
      <c r="E1359" s="46">
        <v>2163322080459</v>
      </c>
      <c r="F1359" s="47" t="s">
        <v>529</v>
      </c>
      <c r="G1359" s="47" t="s">
        <v>519</v>
      </c>
      <c r="H1359" s="47" t="s">
        <v>4</v>
      </c>
      <c r="I1359" s="46" t="s">
        <v>4</v>
      </c>
      <c r="J1359" s="48">
        <v>196.5</v>
      </c>
      <c r="K1359" s="47" t="s">
        <v>520</v>
      </c>
      <c r="L1359" s="47" t="s">
        <v>530</v>
      </c>
      <c r="M1359" s="46" t="s">
        <v>807</v>
      </c>
      <c r="N1359" s="47" t="s">
        <v>808</v>
      </c>
      <c r="O1359" s="44" t="s">
        <v>263</v>
      </c>
      <c r="P1359" s="47" t="s">
        <v>531</v>
      </c>
      <c r="Q1359" s="48">
        <v>5000</v>
      </c>
      <c r="R1359" s="49" t="s">
        <v>4</v>
      </c>
      <c r="S1359" s="48" t="s">
        <v>4</v>
      </c>
      <c r="T1359" s="47" t="s">
        <v>525</v>
      </c>
    </row>
    <row r="1360" spans="1:20">
      <c r="A1360" s="46">
        <v>140129793484</v>
      </c>
      <c r="B1360" s="44" t="s">
        <v>517</v>
      </c>
      <c r="C1360" s="45">
        <v>46022</v>
      </c>
      <c r="D1360" s="46">
        <v>55657374868</v>
      </c>
      <c r="E1360" s="46">
        <v>2163325557957</v>
      </c>
      <c r="F1360" s="47" t="s">
        <v>518</v>
      </c>
      <c r="G1360" s="47" t="s">
        <v>519</v>
      </c>
      <c r="H1360" s="47" t="s">
        <v>4</v>
      </c>
      <c r="I1360" s="46" t="s">
        <v>4</v>
      </c>
      <c r="J1360" s="48">
        <v>76.63</v>
      </c>
      <c r="K1360" s="47" t="s">
        <v>520</v>
      </c>
      <c r="L1360" s="47" t="s">
        <v>521</v>
      </c>
      <c r="M1360" s="46" t="s">
        <v>807</v>
      </c>
      <c r="N1360" s="47" t="s">
        <v>808</v>
      </c>
      <c r="O1360" s="44" t="s">
        <v>4</v>
      </c>
      <c r="P1360" s="47" t="s">
        <v>1116</v>
      </c>
      <c r="Q1360" s="48">
        <v>7900</v>
      </c>
      <c r="R1360" s="49" t="s">
        <v>4</v>
      </c>
      <c r="S1360" s="48" t="s">
        <v>4</v>
      </c>
      <c r="T1360" s="47" t="s">
        <v>525</v>
      </c>
    </row>
    <row r="1361" spans="1:20">
      <c r="A1361" s="46">
        <v>139482482409</v>
      </c>
      <c r="B1361" s="44" t="s">
        <v>517</v>
      </c>
      <c r="C1361" s="45">
        <v>46022</v>
      </c>
      <c r="D1361" s="46">
        <v>55657589812</v>
      </c>
      <c r="E1361" s="46">
        <v>2163498527602</v>
      </c>
      <c r="F1361" s="47" t="s">
        <v>526</v>
      </c>
      <c r="G1361" s="47" t="s">
        <v>519</v>
      </c>
      <c r="H1361" s="47" t="s">
        <v>4</v>
      </c>
      <c r="I1361" s="46" t="s">
        <v>4</v>
      </c>
      <c r="J1361" s="48">
        <v>48.5</v>
      </c>
      <c r="K1361" s="47" t="s">
        <v>520</v>
      </c>
      <c r="L1361" s="47" t="s">
        <v>521</v>
      </c>
      <c r="M1361" s="46" t="s">
        <v>807</v>
      </c>
      <c r="N1361" s="47" t="s">
        <v>808</v>
      </c>
      <c r="O1361" s="44" t="s">
        <v>4</v>
      </c>
      <c r="P1361" s="47" t="s">
        <v>527</v>
      </c>
      <c r="Q1361" s="48">
        <v>5000</v>
      </c>
      <c r="R1361" s="49" t="s">
        <v>4</v>
      </c>
      <c r="S1361" s="48" t="s">
        <v>4</v>
      </c>
      <c r="T1361" s="47" t="s">
        <v>4</v>
      </c>
    </row>
    <row r="1362" spans="1:20">
      <c r="A1362" s="46">
        <v>139482363759</v>
      </c>
      <c r="B1362" s="44" t="s">
        <v>517</v>
      </c>
      <c r="C1362" s="45">
        <v>46022</v>
      </c>
      <c r="D1362" s="46">
        <v>55657625487</v>
      </c>
      <c r="E1362" s="46">
        <v>2163329931103</v>
      </c>
      <c r="F1362" s="47" t="s">
        <v>518</v>
      </c>
      <c r="G1362" s="47" t="s">
        <v>519</v>
      </c>
      <c r="H1362" s="47" t="s">
        <v>4</v>
      </c>
      <c r="I1362" s="46" t="s">
        <v>4</v>
      </c>
      <c r="J1362" s="48">
        <v>53.35</v>
      </c>
      <c r="K1362" s="47" t="s">
        <v>520</v>
      </c>
      <c r="L1362" s="47" t="s">
        <v>521</v>
      </c>
      <c r="M1362" s="46" t="s">
        <v>807</v>
      </c>
      <c r="N1362" s="47" t="s">
        <v>808</v>
      </c>
      <c r="O1362" s="44" t="s">
        <v>4</v>
      </c>
      <c r="P1362" s="47" t="s">
        <v>1117</v>
      </c>
      <c r="Q1362" s="48">
        <v>5500</v>
      </c>
      <c r="R1362" s="49" t="s">
        <v>4</v>
      </c>
      <c r="S1362" s="48" t="s">
        <v>4</v>
      </c>
      <c r="T1362" s="47" t="s">
        <v>525</v>
      </c>
    </row>
    <row r="1363" spans="1:20">
      <c r="A1363" s="46">
        <v>140130674408</v>
      </c>
      <c r="B1363" s="44" t="s">
        <v>517</v>
      </c>
      <c r="C1363" s="45">
        <v>46022</v>
      </c>
      <c r="D1363" s="46">
        <v>55657658096</v>
      </c>
      <c r="E1363" s="46">
        <v>2163330525127</v>
      </c>
      <c r="F1363" s="47" t="s">
        <v>518</v>
      </c>
      <c r="G1363" s="47" t="s">
        <v>519</v>
      </c>
      <c r="H1363" s="47" t="s">
        <v>4</v>
      </c>
      <c r="I1363" s="46" t="s">
        <v>4</v>
      </c>
      <c r="J1363" s="48">
        <v>47.53</v>
      </c>
      <c r="K1363" s="47" t="s">
        <v>520</v>
      </c>
      <c r="L1363" s="47" t="s">
        <v>521</v>
      </c>
      <c r="M1363" s="46" t="s">
        <v>807</v>
      </c>
      <c r="N1363" s="47" t="s">
        <v>808</v>
      </c>
      <c r="O1363" s="44" t="s">
        <v>4</v>
      </c>
      <c r="P1363" s="47" t="s">
        <v>1118</v>
      </c>
      <c r="Q1363" s="48">
        <v>4900</v>
      </c>
      <c r="R1363" s="49" t="s">
        <v>4</v>
      </c>
      <c r="S1363" s="48" t="s">
        <v>4</v>
      </c>
      <c r="T1363" s="47" t="s">
        <v>525</v>
      </c>
    </row>
    <row r="1364" spans="1:20">
      <c r="A1364" s="46">
        <v>139483078587</v>
      </c>
      <c r="B1364" s="44" t="s">
        <v>517</v>
      </c>
      <c r="C1364" s="45">
        <v>46022</v>
      </c>
      <c r="D1364" s="46">
        <v>55657822606</v>
      </c>
      <c r="E1364" s="46">
        <v>2163502463962</v>
      </c>
      <c r="F1364" s="47" t="s">
        <v>529</v>
      </c>
      <c r="G1364" s="47" t="s">
        <v>519</v>
      </c>
      <c r="H1364" s="47" t="s">
        <v>4</v>
      </c>
      <c r="I1364" s="46" t="s">
        <v>4</v>
      </c>
      <c r="J1364" s="48">
        <v>958.92</v>
      </c>
      <c r="K1364" s="47" t="s">
        <v>520</v>
      </c>
      <c r="L1364" s="47" t="s">
        <v>530</v>
      </c>
      <c r="M1364" s="46" t="s">
        <v>807</v>
      </c>
      <c r="N1364" s="47" t="s">
        <v>808</v>
      </c>
      <c r="O1364" s="44" t="s">
        <v>263</v>
      </c>
      <c r="P1364" s="47" t="s">
        <v>531</v>
      </c>
      <c r="Q1364" s="48">
        <v>24400</v>
      </c>
      <c r="R1364" s="49" t="s">
        <v>4</v>
      </c>
      <c r="S1364" s="48" t="s">
        <v>4</v>
      </c>
      <c r="T1364" s="47" t="s">
        <v>525</v>
      </c>
    </row>
    <row r="1365" spans="1:20">
      <c r="A1365" s="46">
        <v>139483146433</v>
      </c>
      <c r="B1365" s="44" t="s">
        <v>517</v>
      </c>
      <c r="C1365" s="45">
        <v>46022</v>
      </c>
      <c r="D1365" s="46">
        <v>55657842965</v>
      </c>
      <c r="E1365" s="46">
        <v>2163334000023</v>
      </c>
      <c r="F1365" s="47" t="s">
        <v>518</v>
      </c>
      <c r="G1365" s="47" t="s">
        <v>519</v>
      </c>
      <c r="H1365" s="47" t="s">
        <v>4</v>
      </c>
      <c r="I1365" s="46" t="s">
        <v>4</v>
      </c>
      <c r="J1365" s="48">
        <v>468.51</v>
      </c>
      <c r="K1365" s="47" t="s">
        <v>520</v>
      </c>
      <c r="L1365" s="47" t="s">
        <v>521</v>
      </c>
      <c r="M1365" s="46" t="s">
        <v>807</v>
      </c>
      <c r="N1365" s="47" t="s">
        <v>808</v>
      </c>
      <c r="O1365" s="44" t="s">
        <v>4</v>
      </c>
      <c r="P1365" s="47" t="s">
        <v>1119</v>
      </c>
      <c r="Q1365" s="48">
        <v>48300</v>
      </c>
      <c r="R1365" s="49" t="s">
        <v>4</v>
      </c>
      <c r="S1365" s="48" t="s">
        <v>4</v>
      </c>
      <c r="T1365" s="47" t="s">
        <v>525</v>
      </c>
    </row>
    <row r="1366" spans="1:20">
      <c r="A1366" s="46">
        <v>139483278643</v>
      </c>
      <c r="B1366" s="44" t="s">
        <v>517</v>
      </c>
      <c r="C1366" s="45">
        <v>46022</v>
      </c>
      <c r="D1366" s="46">
        <v>55657900288</v>
      </c>
      <c r="E1366" s="46">
        <v>2163503965418</v>
      </c>
      <c r="F1366" s="47" t="s">
        <v>529</v>
      </c>
      <c r="G1366" s="47" t="s">
        <v>519</v>
      </c>
      <c r="H1366" s="47" t="s">
        <v>4</v>
      </c>
      <c r="I1366" s="46" t="s">
        <v>4</v>
      </c>
      <c r="J1366" s="48">
        <v>340.5</v>
      </c>
      <c r="K1366" s="47" t="s">
        <v>520</v>
      </c>
      <c r="L1366" s="47" t="s">
        <v>530</v>
      </c>
      <c r="M1366" s="46" t="s">
        <v>807</v>
      </c>
      <c r="N1366" s="47" t="s">
        <v>808</v>
      </c>
      <c r="O1366" s="44" t="s">
        <v>263</v>
      </c>
      <c r="P1366" s="47" t="s">
        <v>531</v>
      </c>
      <c r="Q1366" s="48">
        <v>7500</v>
      </c>
      <c r="R1366" s="49" t="s">
        <v>4</v>
      </c>
      <c r="S1366" s="48" t="s">
        <v>4</v>
      </c>
      <c r="T1366" s="47" t="s">
        <v>525</v>
      </c>
    </row>
    <row r="1367" spans="1:20">
      <c r="A1367" s="46">
        <v>139483492351</v>
      </c>
      <c r="B1367" s="44" t="s">
        <v>517</v>
      </c>
      <c r="C1367" s="45">
        <v>46022</v>
      </c>
      <c r="D1367" s="46">
        <v>55657989812</v>
      </c>
      <c r="E1367" s="46">
        <v>2163335930437</v>
      </c>
      <c r="F1367" s="47" t="s">
        <v>529</v>
      </c>
      <c r="G1367" s="47" t="s">
        <v>519</v>
      </c>
      <c r="H1367" s="47" t="s">
        <v>4</v>
      </c>
      <c r="I1367" s="46" t="s">
        <v>4</v>
      </c>
      <c r="J1367" s="48">
        <v>432.3</v>
      </c>
      <c r="K1367" s="47" t="s">
        <v>520</v>
      </c>
      <c r="L1367" s="47" t="s">
        <v>530</v>
      </c>
      <c r="M1367" s="46" t="s">
        <v>807</v>
      </c>
      <c r="N1367" s="47" t="s">
        <v>808</v>
      </c>
      <c r="O1367" s="44" t="s">
        <v>263</v>
      </c>
      <c r="P1367" s="47" t="s">
        <v>531</v>
      </c>
      <c r="Q1367" s="48">
        <v>11000</v>
      </c>
      <c r="R1367" s="49" t="s">
        <v>4</v>
      </c>
      <c r="S1367" s="48" t="s">
        <v>4</v>
      </c>
      <c r="T1367" s="47" t="s">
        <v>525</v>
      </c>
    </row>
    <row r="1368" spans="1:20">
      <c r="A1368" s="46">
        <v>139483449131</v>
      </c>
      <c r="B1368" s="44" t="s">
        <v>517</v>
      </c>
      <c r="C1368" s="45">
        <v>46022</v>
      </c>
      <c r="D1368" s="46">
        <v>55657993923</v>
      </c>
      <c r="E1368" s="46">
        <v>2163505406126</v>
      </c>
      <c r="F1368" s="47" t="s">
        <v>562</v>
      </c>
      <c r="G1368" s="47" t="s">
        <v>519</v>
      </c>
      <c r="H1368" s="47" t="s">
        <v>4</v>
      </c>
      <c r="I1368" s="46" t="s">
        <v>4</v>
      </c>
      <c r="J1368" s="48">
        <v>78.239999999999995</v>
      </c>
      <c r="K1368" s="47" t="s">
        <v>520</v>
      </c>
      <c r="L1368" s="47" t="s">
        <v>521</v>
      </c>
      <c r="M1368" s="46" t="s">
        <v>807</v>
      </c>
      <c r="N1368" s="47" t="s">
        <v>808</v>
      </c>
      <c r="O1368" s="44" t="s">
        <v>4</v>
      </c>
      <c r="P1368" s="47" t="s">
        <v>739</v>
      </c>
      <c r="Q1368" s="48">
        <v>4800</v>
      </c>
      <c r="R1368" s="49" t="s">
        <v>4</v>
      </c>
      <c r="S1368" s="48" t="s">
        <v>4</v>
      </c>
      <c r="T1368" s="47" t="s">
        <v>525</v>
      </c>
    </row>
    <row r="1369" spans="1:20">
      <c r="A1369" s="46">
        <v>139483504133</v>
      </c>
      <c r="B1369" s="44" t="s">
        <v>517</v>
      </c>
      <c r="C1369" s="45">
        <v>46022</v>
      </c>
      <c r="D1369" s="46">
        <v>55657995058</v>
      </c>
      <c r="E1369" s="46">
        <v>2163504622920</v>
      </c>
      <c r="F1369" s="47" t="s">
        <v>518</v>
      </c>
      <c r="G1369" s="47" t="s">
        <v>519</v>
      </c>
      <c r="H1369" s="47" t="s">
        <v>4</v>
      </c>
      <c r="I1369" s="46" t="s">
        <v>4</v>
      </c>
      <c r="J1369" s="48">
        <v>76.63</v>
      </c>
      <c r="K1369" s="47" t="s">
        <v>520</v>
      </c>
      <c r="L1369" s="47" t="s">
        <v>521</v>
      </c>
      <c r="M1369" s="46" t="s">
        <v>807</v>
      </c>
      <c r="N1369" s="47" t="s">
        <v>808</v>
      </c>
      <c r="O1369" s="44" t="s">
        <v>4</v>
      </c>
      <c r="P1369" s="47" t="s">
        <v>1120</v>
      </c>
      <c r="Q1369" s="48">
        <v>7900</v>
      </c>
      <c r="R1369" s="49" t="s">
        <v>4</v>
      </c>
      <c r="S1369" s="48" t="s">
        <v>4</v>
      </c>
      <c r="T1369" s="47" t="s">
        <v>525</v>
      </c>
    </row>
    <row r="1370" spans="1:20">
      <c r="A1370" s="46">
        <v>140132323268</v>
      </c>
      <c r="B1370" s="44" t="s">
        <v>517</v>
      </c>
      <c r="C1370" s="45">
        <v>46022</v>
      </c>
      <c r="D1370" s="46">
        <v>55658352961</v>
      </c>
      <c r="E1370" s="46">
        <v>2163511632392</v>
      </c>
      <c r="F1370" s="47" t="s">
        <v>518</v>
      </c>
      <c r="G1370" s="47" t="s">
        <v>519</v>
      </c>
      <c r="H1370" s="47" t="s">
        <v>4</v>
      </c>
      <c r="I1370" s="46" t="s">
        <v>4</v>
      </c>
      <c r="J1370" s="48">
        <v>175.57</v>
      </c>
      <c r="K1370" s="47" t="s">
        <v>520</v>
      </c>
      <c r="L1370" s="47" t="s">
        <v>521</v>
      </c>
      <c r="M1370" s="46" t="s">
        <v>807</v>
      </c>
      <c r="N1370" s="47" t="s">
        <v>808</v>
      </c>
      <c r="O1370" s="44" t="s">
        <v>4</v>
      </c>
      <c r="P1370" s="47" t="s">
        <v>1121</v>
      </c>
      <c r="Q1370" s="48">
        <v>18100</v>
      </c>
      <c r="R1370" s="49" t="s">
        <v>4</v>
      </c>
      <c r="S1370" s="48" t="s">
        <v>4</v>
      </c>
      <c r="T1370" s="47" t="s">
        <v>525</v>
      </c>
    </row>
    <row r="1371" spans="1:20">
      <c r="A1371" s="46">
        <v>139484535079</v>
      </c>
      <c r="B1371" s="44" t="s">
        <v>517</v>
      </c>
      <c r="C1371" s="45">
        <v>46022</v>
      </c>
      <c r="D1371" s="46">
        <v>55658422102</v>
      </c>
      <c r="E1371" s="46">
        <v>2163344650797</v>
      </c>
      <c r="F1371" s="47" t="s">
        <v>518</v>
      </c>
      <c r="G1371" s="47" t="s">
        <v>519</v>
      </c>
      <c r="H1371" s="47" t="s">
        <v>4</v>
      </c>
      <c r="I1371" s="46" t="s">
        <v>4</v>
      </c>
      <c r="J1371" s="48">
        <v>234.74</v>
      </c>
      <c r="K1371" s="47" t="s">
        <v>520</v>
      </c>
      <c r="L1371" s="47" t="s">
        <v>521</v>
      </c>
      <c r="M1371" s="46" t="s">
        <v>807</v>
      </c>
      <c r="N1371" s="47" t="s">
        <v>808</v>
      </c>
      <c r="O1371" s="44" t="s">
        <v>4</v>
      </c>
      <c r="P1371" s="47" t="s">
        <v>1122</v>
      </c>
      <c r="Q1371" s="48">
        <v>24200</v>
      </c>
      <c r="R1371" s="49" t="s">
        <v>4</v>
      </c>
      <c r="S1371" s="48" t="s">
        <v>4</v>
      </c>
      <c r="T1371" s="47" t="s">
        <v>525</v>
      </c>
    </row>
    <row r="1372" spans="1:20">
      <c r="A1372" s="46">
        <v>140132565856</v>
      </c>
      <c r="B1372" s="44" t="s">
        <v>517</v>
      </c>
      <c r="C1372" s="45">
        <v>46022</v>
      </c>
      <c r="D1372" s="46">
        <v>55658478829</v>
      </c>
      <c r="E1372" s="46">
        <v>2163514441712</v>
      </c>
      <c r="F1372" s="47" t="s">
        <v>526</v>
      </c>
      <c r="G1372" s="47" t="s">
        <v>519</v>
      </c>
      <c r="H1372" s="47" t="s">
        <v>4</v>
      </c>
      <c r="I1372" s="46" t="s">
        <v>4</v>
      </c>
      <c r="J1372" s="48">
        <v>101.85</v>
      </c>
      <c r="K1372" s="47" t="s">
        <v>520</v>
      </c>
      <c r="L1372" s="47" t="s">
        <v>521</v>
      </c>
      <c r="M1372" s="46" t="s">
        <v>807</v>
      </c>
      <c r="N1372" s="47" t="s">
        <v>808</v>
      </c>
      <c r="O1372" s="44" t="s">
        <v>4</v>
      </c>
      <c r="P1372" s="47" t="s">
        <v>527</v>
      </c>
      <c r="Q1372" s="48">
        <v>10500</v>
      </c>
      <c r="R1372" s="49" t="s">
        <v>4</v>
      </c>
      <c r="S1372" s="48" t="s">
        <v>4</v>
      </c>
      <c r="T1372" s="47" t="s">
        <v>4</v>
      </c>
    </row>
    <row r="1373" spans="1:20">
      <c r="A1373" s="46">
        <v>140132858928</v>
      </c>
      <c r="B1373" s="44" t="s">
        <v>517</v>
      </c>
      <c r="C1373" s="45">
        <v>46022</v>
      </c>
      <c r="D1373" s="46">
        <v>55658557701</v>
      </c>
      <c r="E1373" s="46">
        <v>2163515746634</v>
      </c>
      <c r="F1373" s="47" t="s">
        <v>562</v>
      </c>
      <c r="G1373" s="47" t="s">
        <v>519</v>
      </c>
      <c r="H1373" s="47" t="s">
        <v>4</v>
      </c>
      <c r="I1373" s="46" t="s">
        <v>4</v>
      </c>
      <c r="J1373" s="48">
        <v>489</v>
      </c>
      <c r="K1373" s="47" t="s">
        <v>520</v>
      </c>
      <c r="L1373" s="47" t="s">
        <v>521</v>
      </c>
      <c r="M1373" s="46" t="s">
        <v>807</v>
      </c>
      <c r="N1373" s="47" t="s">
        <v>808</v>
      </c>
      <c r="O1373" s="44" t="s">
        <v>4</v>
      </c>
      <c r="P1373" s="47" t="s">
        <v>739</v>
      </c>
      <c r="Q1373" s="48">
        <v>30000</v>
      </c>
      <c r="R1373" s="49" t="s">
        <v>4</v>
      </c>
      <c r="S1373" s="48" t="s">
        <v>4</v>
      </c>
      <c r="T1373" s="47" t="s">
        <v>525</v>
      </c>
    </row>
    <row r="1374" spans="1:20">
      <c r="A1374" s="46">
        <v>140132881300</v>
      </c>
      <c r="B1374" s="44" t="s">
        <v>517</v>
      </c>
      <c r="C1374" s="45">
        <v>46022</v>
      </c>
      <c r="D1374" s="46">
        <v>55658588586</v>
      </c>
      <c r="E1374" s="46">
        <v>2163347649641</v>
      </c>
      <c r="F1374" s="47" t="s">
        <v>518</v>
      </c>
      <c r="G1374" s="47" t="s">
        <v>519</v>
      </c>
      <c r="H1374" s="47" t="s">
        <v>4</v>
      </c>
      <c r="I1374" s="46" t="s">
        <v>4</v>
      </c>
      <c r="J1374" s="48">
        <v>158.11000000000001</v>
      </c>
      <c r="K1374" s="47" t="s">
        <v>520</v>
      </c>
      <c r="L1374" s="47" t="s">
        <v>521</v>
      </c>
      <c r="M1374" s="46" t="s">
        <v>807</v>
      </c>
      <c r="N1374" s="47" t="s">
        <v>808</v>
      </c>
      <c r="O1374" s="44" t="s">
        <v>4</v>
      </c>
      <c r="P1374" s="47" t="s">
        <v>1123</v>
      </c>
      <c r="Q1374" s="48">
        <v>16300</v>
      </c>
      <c r="R1374" s="49" t="s">
        <v>4</v>
      </c>
      <c r="S1374" s="48" t="s">
        <v>4</v>
      </c>
      <c r="T1374" s="47" t="s">
        <v>525</v>
      </c>
    </row>
    <row r="1375" spans="1:20">
      <c r="A1375" s="46">
        <v>139484972295</v>
      </c>
      <c r="B1375" s="44" t="s">
        <v>517</v>
      </c>
      <c r="C1375" s="45">
        <v>46022</v>
      </c>
      <c r="D1375" s="46">
        <v>55658616739</v>
      </c>
      <c r="E1375" s="46">
        <v>2163348186355</v>
      </c>
      <c r="F1375" s="47" t="s">
        <v>562</v>
      </c>
      <c r="G1375" s="47" t="s">
        <v>519</v>
      </c>
      <c r="H1375" s="47" t="s">
        <v>4</v>
      </c>
      <c r="I1375" s="46" t="s">
        <v>4</v>
      </c>
      <c r="J1375" s="48">
        <v>523.23</v>
      </c>
      <c r="K1375" s="47" t="s">
        <v>520</v>
      </c>
      <c r="L1375" s="47" t="s">
        <v>521</v>
      </c>
      <c r="M1375" s="46" t="s">
        <v>807</v>
      </c>
      <c r="N1375" s="47" t="s">
        <v>808</v>
      </c>
      <c r="O1375" s="44" t="s">
        <v>4</v>
      </c>
      <c r="P1375" s="47" t="s">
        <v>739</v>
      </c>
      <c r="Q1375" s="48">
        <v>32100</v>
      </c>
      <c r="R1375" s="49" t="s">
        <v>4</v>
      </c>
      <c r="S1375" s="48" t="s">
        <v>4</v>
      </c>
      <c r="T1375" s="47" t="s">
        <v>525</v>
      </c>
    </row>
    <row r="1376" spans="1:20">
      <c r="A1376" s="46">
        <v>140133204838</v>
      </c>
      <c r="B1376" s="44" t="s">
        <v>517</v>
      </c>
      <c r="C1376" s="45">
        <v>46022</v>
      </c>
      <c r="D1376" s="46">
        <v>55658693335</v>
      </c>
      <c r="E1376" s="46">
        <v>2163350369417</v>
      </c>
      <c r="F1376" s="47" t="s">
        <v>518</v>
      </c>
      <c r="G1376" s="47" t="s">
        <v>519</v>
      </c>
      <c r="H1376" s="47" t="s">
        <v>4</v>
      </c>
      <c r="I1376" s="46" t="s">
        <v>4</v>
      </c>
      <c r="J1376" s="48">
        <v>76.63</v>
      </c>
      <c r="K1376" s="47" t="s">
        <v>520</v>
      </c>
      <c r="L1376" s="47" t="s">
        <v>521</v>
      </c>
      <c r="M1376" s="46" t="s">
        <v>807</v>
      </c>
      <c r="N1376" s="47" t="s">
        <v>808</v>
      </c>
      <c r="O1376" s="44" t="s">
        <v>4</v>
      </c>
      <c r="P1376" s="47" t="s">
        <v>1116</v>
      </c>
      <c r="Q1376" s="48">
        <v>7900</v>
      </c>
      <c r="R1376" s="49" t="s">
        <v>4</v>
      </c>
      <c r="S1376" s="48" t="s">
        <v>4</v>
      </c>
      <c r="T1376" s="47" t="s">
        <v>525</v>
      </c>
    </row>
    <row r="1377" spans="1:20">
      <c r="A1377" s="46">
        <v>139485340871</v>
      </c>
      <c r="B1377" s="44" t="s">
        <v>517</v>
      </c>
      <c r="C1377" s="45">
        <v>46022</v>
      </c>
      <c r="D1377" s="46">
        <v>55658798981</v>
      </c>
      <c r="E1377" s="46">
        <v>2163352277907</v>
      </c>
      <c r="F1377" s="47" t="s">
        <v>529</v>
      </c>
      <c r="G1377" s="47" t="s">
        <v>519</v>
      </c>
      <c r="H1377" s="47" t="s">
        <v>4</v>
      </c>
      <c r="I1377" s="46" t="s">
        <v>4</v>
      </c>
      <c r="J1377" s="48">
        <v>98.25</v>
      </c>
      <c r="K1377" s="47" t="s">
        <v>520</v>
      </c>
      <c r="L1377" s="47" t="s">
        <v>530</v>
      </c>
      <c r="M1377" s="46" t="s">
        <v>807</v>
      </c>
      <c r="N1377" s="47" t="s">
        <v>808</v>
      </c>
      <c r="O1377" s="44" t="s">
        <v>263</v>
      </c>
      <c r="P1377" s="47" t="s">
        <v>531</v>
      </c>
      <c r="Q1377" s="48">
        <v>2500</v>
      </c>
      <c r="R1377" s="49" t="s">
        <v>4</v>
      </c>
      <c r="S1377" s="48" t="s">
        <v>4</v>
      </c>
      <c r="T1377" s="47" t="s">
        <v>525</v>
      </c>
    </row>
    <row r="1378" spans="1:20">
      <c r="A1378" s="46">
        <v>139485632399</v>
      </c>
      <c r="B1378" s="44" t="s">
        <v>517</v>
      </c>
      <c r="C1378" s="45">
        <v>46022</v>
      </c>
      <c r="D1378" s="46">
        <v>55658906424</v>
      </c>
      <c r="E1378" s="46">
        <v>2163355104895</v>
      </c>
      <c r="F1378" s="47" t="s">
        <v>529</v>
      </c>
      <c r="G1378" s="47" t="s">
        <v>519</v>
      </c>
      <c r="H1378" s="47" t="s">
        <v>4</v>
      </c>
      <c r="I1378" s="46" t="s">
        <v>4</v>
      </c>
      <c r="J1378" s="48">
        <v>408.72</v>
      </c>
      <c r="K1378" s="47" t="s">
        <v>520</v>
      </c>
      <c r="L1378" s="47" t="s">
        <v>530</v>
      </c>
      <c r="M1378" s="46" t="s">
        <v>807</v>
      </c>
      <c r="N1378" s="47" t="s">
        <v>808</v>
      </c>
      <c r="O1378" s="44" t="s">
        <v>263</v>
      </c>
      <c r="P1378" s="47" t="s">
        <v>531</v>
      </c>
      <c r="Q1378" s="48">
        <v>10400</v>
      </c>
      <c r="R1378" s="49" t="s">
        <v>4</v>
      </c>
      <c r="S1378" s="48" t="s">
        <v>4</v>
      </c>
      <c r="T1378" s="47" t="s">
        <v>525</v>
      </c>
    </row>
    <row r="1379" spans="1:20">
      <c r="A1379" s="46">
        <v>139485756335</v>
      </c>
      <c r="B1379" s="44" t="s">
        <v>517</v>
      </c>
      <c r="C1379" s="45">
        <v>46022</v>
      </c>
      <c r="D1379" s="46">
        <v>55658933171</v>
      </c>
      <c r="E1379" s="46">
        <v>2163356206047</v>
      </c>
      <c r="F1379" s="47" t="s">
        <v>518</v>
      </c>
      <c r="G1379" s="47" t="s">
        <v>519</v>
      </c>
      <c r="H1379" s="47" t="s">
        <v>4</v>
      </c>
      <c r="I1379" s="46" t="s">
        <v>4</v>
      </c>
      <c r="J1379" s="48">
        <v>257.05</v>
      </c>
      <c r="K1379" s="47" t="s">
        <v>520</v>
      </c>
      <c r="L1379" s="47" t="s">
        <v>521</v>
      </c>
      <c r="M1379" s="46" t="s">
        <v>807</v>
      </c>
      <c r="N1379" s="47" t="s">
        <v>808</v>
      </c>
      <c r="O1379" s="44" t="s">
        <v>4</v>
      </c>
      <c r="P1379" s="47" t="s">
        <v>1124</v>
      </c>
      <c r="Q1379" s="48">
        <v>26500</v>
      </c>
      <c r="R1379" s="49" t="s">
        <v>4</v>
      </c>
      <c r="S1379" s="48" t="s">
        <v>4</v>
      </c>
      <c r="T1379" s="47" t="s">
        <v>525</v>
      </c>
    </row>
    <row r="1380" spans="1:20">
      <c r="A1380" s="46">
        <v>139485607001</v>
      </c>
      <c r="B1380" s="44" t="s">
        <v>517</v>
      </c>
      <c r="C1380" s="45">
        <v>46022</v>
      </c>
      <c r="D1380" s="46">
        <v>55658936347</v>
      </c>
      <c r="E1380" s="46">
        <v>2163524731302</v>
      </c>
      <c r="F1380" s="47" t="s">
        <v>529</v>
      </c>
      <c r="G1380" s="47" t="s">
        <v>519</v>
      </c>
      <c r="H1380" s="47" t="s">
        <v>4</v>
      </c>
      <c r="I1380" s="46" t="s">
        <v>4</v>
      </c>
      <c r="J1380" s="48">
        <v>1648.02</v>
      </c>
      <c r="K1380" s="47" t="s">
        <v>520</v>
      </c>
      <c r="L1380" s="47" t="s">
        <v>530</v>
      </c>
      <c r="M1380" s="46" t="s">
        <v>807</v>
      </c>
      <c r="N1380" s="47" t="s">
        <v>808</v>
      </c>
      <c r="O1380" s="44" t="s">
        <v>263</v>
      </c>
      <c r="P1380" s="47" t="s">
        <v>531</v>
      </c>
      <c r="Q1380" s="48">
        <v>36300</v>
      </c>
      <c r="R1380" s="49" t="s">
        <v>4</v>
      </c>
      <c r="S1380" s="48" t="s">
        <v>4</v>
      </c>
      <c r="T1380" s="47" t="s">
        <v>525</v>
      </c>
    </row>
    <row r="1381" spans="1:20">
      <c r="A1381" s="46">
        <v>140133653336</v>
      </c>
      <c r="B1381" s="44" t="s">
        <v>517</v>
      </c>
      <c r="C1381" s="45">
        <v>46022</v>
      </c>
      <c r="D1381" s="46">
        <v>55658941376</v>
      </c>
      <c r="E1381" s="46">
        <v>2163356194097</v>
      </c>
      <c r="F1381" s="47" t="s">
        <v>518</v>
      </c>
      <c r="G1381" s="47" t="s">
        <v>519</v>
      </c>
      <c r="H1381" s="47" t="s">
        <v>4</v>
      </c>
      <c r="I1381" s="46" t="s">
        <v>4</v>
      </c>
      <c r="J1381" s="48">
        <v>143.56</v>
      </c>
      <c r="K1381" s="47" t="s">
        <v>520</v>
      </c>
      <c r="L1381" s="47" t="s">
        <v>521</v>
      </c>
      <c r="M1381" s="46" t="s">
        <v>807</v>
      </c>
      <c r="N1381" s="47" t="s">
        <v>808</v>
      </c>
      <c r="O1381" s="44" t="s">
        <v>4</v>
      </c>
      <c r="P1381" s="47" t="s">
        <v>1113</v>
      </c>
      <c r="Q1381" s="48">
        <v>14800</v>
      </c>
      <c r="R1381" s="49" t="s">
        <v>4</v>
      </c>
      <c r="S1381" s="48" t="s">
        <v>4</v>
      </c>
      <c r="T1381" s="47" t="s">
        <v>525</v>
      </c>
    </row>
    <row r="1382" spans="1:20">
      <c r="A1382" s="46">
        <v>140133896184</v>
      </c>
      <c r="B1382" s="44" t="s">
        <v>517</v>
      </c>
      <c r="C1382" s="45">
        <v>46022</v>
      </c>
      <c r="D1382" s="46">
        <v>55658996071</v>
      </c>
      <c r="E1382" s="46">
        <v>2163525623600</v>
      </c>
      <c r="F1382" s="47" t="s">
        <v>529</v>
      </c>
      <c r="G1382" s="47" t="s">
        <v>519</v>
      </c>
      <c r="H1382" s="47" t="s">
        <v>4</v>
      </c>
      <c r="I1382" s="46" t="s">
        <v>4</v>
      </c>
      <c r="J1382" s="48">
        <v>5216.46</v>
      </c>
      <c r="K1382" s="47" t="s">
        <v>520</v>
      </c>
      <c r="L1382" s="47" t="s">
        <v>530</v>
      </c>
      <c r="M1382" s="46" t="s">
        <v>807</v>
      </c>
      <c r="N1382" s="47" t="s">
        <v>808</v>
      </c>
      <c r="O1382" s="44" t="s">
        <v>263</v>
      </c>
      <c r="P1382" s="47" t="s">
        <v>531</v>
      </c>
      <c r="Q1382" s="48">
        <v>114900</v>
      </c>
      <c r="R1382" s="49" t="s">
        <v>4</v>
      </c>
      <c r="S1382" s="48" t="s">
        <v>4</v>
      </c>
      <c r="T1382" s="47" t="s">
        <v>525</v>
      </c>
    </row>
    <row r="1383" spans="1:20">
      <c r="A1383" s="46">
        <v>140133763234</v>
      </c>
      <c r="B1383" s="44" t="s">
        <v>517</v>
      </c>
      <c r="C1383" s="45">
        <v>46022</v>
      </c>
      <c r="D1383" s="46">
        <v>55659000347</v>
      </c>
      <c r="E1383" s="46">
        <v>2163526028758</v>
      </c>
      <c r="F1383" s="47" t="s">
        <v>518</v>
      </c>
      <c r="G1383" s="47" t="s">
        <v>519</v>
      </c>
      <c r="H1383" s="47" t="s">
        <v>4</v>
      </c>
      <c r="I1383" s="46" t="s">
        <v>4</v>
      </c>
      <c r="J1383" s="48">
        <v>186.24</v>
      </c>
      <c r="K1383" s="47" t="s">
        <v>520</v>
      </c>
      <c r="L1383" s="47" t="s">
        <v>521</v>
      </c>
      <c r="M1383" s="46" t="s">
        <v>807</v>
      </c>
      <c r="N1383" s="47" t="s">
        <v>808</v>
      </c>
      <c r="O1383" s="44" t="s">
        <v>4</v>
      </c>
      <c r="P1383" s="47" t="s">
        <v>1125</v>
      </c>
      <c r="Q1383" s="48">
        <v>19200</v>
      </c>
      <c r="R1383" s="49" t="s">
        <v>4</v>
      </c>
      <c r="S1383" s="48" t="s">
        <v>4</v>
      </c>
      <c r="T1383" s="47" t="s">
        <v>525</v>
      </c>
    </row>
    <row r="1384" spans="1:20">
      <c r="A1384" s="46">
        <v>140133910726</v>
      </c>
      <c r="B1384" s="44" t="s">
        <v>517</v>
      </c>
      <c r="C1384" s="45">
        <v>46022</v>
      </c>
      <c r="D1384" s="46">
        <v>55659039092</v>
      </c>
      <c r="E1384" s="46">
        <v>2163357845833</v>
      </c>
      <c r="F1384" s="47" t="s">
        <v>518</v>
      </c>
      <c r="G1384" s="47" t="s">
        <v>519</v>
      </c>
      <c r="H1384" s="47" t="s">
        <v>4</v>
      </c>
      <c r="I1384" s="46" t="s">
        <v>4</v>
      </c>
      <c r="J1384" s="48">
        <v>142.59</v>
      </c>
      <c r="K1384" s="47" t="s">
        <v>520</v>
      </c>
      <c r="L1384" s="47" t="s">
        <v>521</v>
      </c>
      <c r="M1384" s="46" t="s">
        <v>807</v>
      </c>
      <c r="N1384" s="47" t="s">
        <v>808</v>
      </c>
      <c r="O1384" s="44" t="s">
        <v>4</v>
      </c>
      <c r="P1384" s="47" t="s">
        <v>1126</v>
      </c>
      <c r="Q1384" s="48">
        <v>14700</v>
      </c>
      <c r="R1384" s="49" t="s">
        <v>4</v>
      </c>
      <c r="S1384" s="48" t="s">
        <v>4</v>
      </c>
      <c r="T1384" s="47" t="s">
        <v>525</v>
      </c>
    </row>
    <row r="1385" spans="1:20">
      <c r="A1385" s="46">
        <v>139485908731</v>
      </c>
      <c r="B1385" s="44" t="s">
        <v>517</v>
      </c>
      <c r="C1385" s="45">
        <v>46022</v>
      </c>
      <c r="D1385" s="46">
        <v>55659053968</v>
      </c>
      <c r="E1385" s="46">
        <v>2163527380380</v>
      </c>
      <c r="F1385" s="47" t="s">
        <v>518</v>
      </c>
      <c r="G1385" s="47" t="s">
        <v>519</v>
      </c>
      <c r="H1385" s="47" t="s">
        <v>4</v>
      </c>
      <c r="I1385" s="46" t="s">
        <v>4</v>
      </c>
      <c r="J1385" s="48">
        <v>789.58</v>
      </c>
      <c r="K1385" s="47" t="s">
        <v>520</v>
      </c>
      <c r="L1385" s="47" t="s">
        <v>521</v>
      </c>
      <c r="M1385" s="46" t="s">
        <v>807</v>
      </c>
      <c r="N1385" s="47" t="s">
        <v>808</v>
      </c>
      <c r="O1385" s="44" t="s">
        <v>4</v>
      </c>
      <c r="P1385" s="47" t="s">
        <v>720</v>
      </c>
      <c r="Q1385" s="48">
        <v>81400</v>
      </c>
      <c r="R1385" s="49" t="s">
        <v>4</v>
      </c>
      <c r="S1385" s="48" t="s">
        <v>4</v>
      </c>
      <c r="T1385" s="47" t="s">
        <v>525</v>
      </c>
    </row>
    <row r="1386" spans="1:20">
      <c r="A1386" s="46">
        <v>140133907214</v>
      </c>
      <c r="B1386" s="44" t="s">
        <v>517</v>
      </c>
      <c r="C1386" s="45">
        <v>46022</v>
      </c>
      <c r="D1386" s="46">
        <v>55659077048</v>
      </c>
      <c r="E1386" s="46">
        <v>2163358735837</v>
      </c>
      <c r="F1386" s="47" t="s">
        <v>518</v>
      </c>
      <c r="G1386" s="47" t="s">
        <v>519</v>
      </c>
      <c r="H1386" s="47" t="s">
        <v>4</v>
      </c>
      <c r="I1386" s="46" t="s">
        <v>4</v>
      </c>
      <c r="J1386" s="48">
        <v>93.12</v>
      </c>
      <c r="K1386" s="47" t="s">
        <v>520</v>
      </c>
      <c r="L1386" s="47" t="s">
        <v>521</v>
      </c>
      <c r="M1386" s="46" t="s">
        <v>807</v>
      </c>
      <c r="N1386" s="47" t="s">
        <v>808</v>
      </c>
      <c r="O1386" s="44" t="s">
        <v>4</v>
      </c>
      <c r="P1386" s="47" t="s">
        <v>1108</v>
      </c>
      <c r="Q1386" s="48">
        <v>9600</v>
      </c>
      <c r="R1386" s="49" t="s">
        <v>4</v>
      </c>
      <c r="S1386" s="48" t="s">
        <v>4</v>
      </c>
      <c r="T1386" s="47" t="s">
        <v>525</v>
      </c>
    </row>
    <row r="1387" spans="1:20">
      <c r="A1387" s="46">
        <v>139485954691</v>
      </c>
      <c r="B1387" s="44" t="s">
        <v>517</v>
      </c>
      <c r="C1387" s="45">
        <v>46022</v>
      </c>
      <c r="D1387" s="46">
        <v>55659081727</v>
      </c>
      <c r="E1387" s="46">
        <v>2163358601703</v>
      </c>
      <c r="F1387" s="47" t="s">
        <v>518</v>
      </c>
      <c r="G1387" s="47" t="s">
        <v>519</v>
      </c>
      <c r="H1387" s="47" t="s">
        <v>4</v>
      </c>
      <c r="I1387" s="46" t="s">
        <v>4</v>
      </c>
      <c r="J1387" s="48">
        <v>72.75</v>
      </c>
      <c r="K1387" s="47" t="s">
        <v>520</v>
      </c>
      <c r="L1387" s="47" t="s">
        <v>521</v>
      </c>
      <c r="M1387" s="46" t="s">
        <v>807</v>
      </c>
      <c r="N1387" s="47" t="s">
        <v>808</v>
      </c>
      <c r="O1387" s="44" t="s">
        <v>4</v>
      </c>
      <c r="P1387" s="47" t="s">
        <v>1127</v>
      </c>
      <c r="Q1387" s="48">
        <v>7500</v>
      </c>
      <c r="R1387" s="49" t="s">
        <v>4</v>
      </c>
      <c r="S1387" s="48" t="s">
        <v>4</v>
      </c>
      <c r="T1387" s="47" t="s">
        <v>525</v>
      </c>
    </row>
    <row r="1388" spans="1:20">
      <c r="A1388" s="46">
        <v>139486142195</v>
      </c>
      <c r="B1388" s="44" t="s">
        <v>517</v>
      </c>
      <c r="C1388" s="45">
        <v>46022</v>
      </c>
      <c r="D1388" s="46">
        <v>55659092739</v>
      </c>
      <c r="E1388" s="46">
        <v>2163359998011</v>
      </c>
      <c r="F1388" s="47" t="s">
        <v>518</v>
      </c>
      <c r="G1388" s="47" t="s">
        <v>519</v>
      </c>
      <c r="H1388" s="47" t="s">
        <v>4</v>
      </c>
      <c r="I1388" s="46" t="s">
        <v>4</v>
      </c>
      <c r="J1388" s="48">
        <v>389.94</v>
      </c>
      <c r="K1388" s="47" t="s">
        <v>520</v>
      </c>
      <c r="L1388" s="47" t="s">
        <v>521</v>
      </c>
      <c r="M1388" s="46" t="s">
        <v>807</v>
      </c>
      <c r="N1388" s="47" t="s">
        <v>808</v>
      </c>
      <c r="O1388" s="44" t="s">
        <v>4</v>
      </c>
      <c r="P1388" s="47" t="s">
        <v>1128</v>
      </c>
      <c r="Q1388" s="48">
        <v>40200</v>
      </c>
      <c r="R1388" s="49" t="s">
        <v>4</v>
      </c>
      <c r="S1388" s="48" t="s">
        <v>4</v>
      </c>
      <c r="T1388" s="47" t="s">
        <v>525</v>
      </c>
    </row>
    <row r="1389" spans="1:20">
      <c r="A1389" s="46">
        <v>140133989406</v>
      </c>
      <c r="B1389" s="44" t="s">
        <v>517</v>
      </c>
      <c r="C1389" s="45">
        <v>46022</v>
      </c>
      <c r="D1389" s="46">
        <v>55659102573</v>
      </c>
      <c r="E1389" s="46">
        <v>2163528492012</v>
      </c>
      <c r="F1389" s="47" t="s">
        <v>518</v>
      </c>
      <c r="G1389" s="47" t="s">
        <v>519</v>
      </c>
      <c r="H1389" s="47" t="s">
        <v>4</v>
      </c>
      <c r="I1389" s="46" t="s">
        <v>4</v>
      </c>
      <c r="J1389" s="48">
        <v>815.77</v>
      </c>
      <c r="K1389" s="47" t="s">
        <v>520</v>
      </c>
      <c r="L1389" s="47" t="s">
        <v>521</v>
      </c>
      <c r="M1389" s="46" t="s">
        <v>807</v>
      </c>
      <c r="N1389" s="47" t="s">
        <v>808</v>
      </c>
      <c r="O1389" s="44" t="s">
        <v>4</v>
      </c>
      <c r="P1389" s="47" t="s">
        <v>1129</v>
      </c>
      <c r="Q1389" s="48">
        <v>84100</v>
      </c>
      <c r="R1389" s="49" t="s">
        <v>4</v>
      </c>
      <c r="S1389" s="48" t="s">
        <v>4</v>
      </c>
      <c r="T1389" s="47" t="s">
        <v>525</v>
      </c>
    </row>
    <row r="1390" spans="1:20">
      <c r="A1390" s="46">
        <v>139486182203</v>
      </c>
      <c r="B1390" s="44" t="s">
        <v>517</v>
      </c>
      <c r="C1390" s="45">
        <v>46022</v>
      </c>
      <c r="D1390" s="46">
        <v>55659120840</v>
      </c>
      <c r="E1390" s="46">
        <v>2163529194918</v>
      </c>
      <c r="F1390" s="47" t="s">
        <v>518</v>
      </c>
      <c r="G1390" s="47" t="s">
        <v>519</v>
      </c>
      <c r="H1390" s="47" t="s">
        <v>4</v>
      </c>
      <c r="I1390" s="46" t="s">
        <v>4</v>
      </c>
      <c r="J1390" s="48">
        <v>354.05</v>
      </c>
      <c r="K1390" s="47" t="s">
        <v>520</v>
      </c>
      <c r="L1390" s="47" t="s">
        <v>521</v>
      </c>
      <c r="M1390" s="46" t="s">
        <v>807</v>
      </c>
      <c r="N1390" s="47" t="s">
        <v>808</v>
      </c>
      <c r="O1390" s="44" t="s">
        <v>4</v>
      </c>
      <c r="P1390" s="47" t="s">
        <v>1130</v>
      </c>
      <c r="Q1390" s="48">
        <v>36500</v>
      </c>
      <c r="R1390" s="49" t="s">
        <v>4</v>
      </c>
      <c r="S1390" s="48" t="s">
        <v>4</v>
      </c>
      <c r="T1390" s="47" t="s">
        <v>525</v>
      </c>
    </row>
    <row r="1391" spans="1:20">
      <c r="A1391" s="46">
        <v>140134110924</v>
      </c>
      <c r="B1391" s="44" t="s">
        <v>517</v>
      </c>
      <c r="C1391" s="45">
        <v>46022</v>
      </c>
      <c r="D1391" s="46">
        <v>55659155796</v>
      </c>
      <c r="E1391" s="46">
        <v>2163529726456</v>
      </c>
      <c r="F1391" s="47" t="s">
        <v>529</v>
      </c>
      <c r="G1391" s="47" t="s">
        <v>519</v>
      </c>
      <c r="H1391" s="47" t="s">
        <v>4</v>
      </c>
      <c r="I1391" s="46" t="s">
        <v>4</v>
      </c>
      <c r="J1391" s="48">
        <v>196.5</v>
      </c>
      <c r="K1391" s="47" t="s">
        <v>520</v>
      </c>
      <c r="L1391" s="47" t="s">
        <v>530</v>
      </c>
      <c r="M1391" s="46" t="s">
        <v>807</v>
      </c>
      <c r="N1391" s="47" t="s">
        <v>808</v>
      </c>
      <c r="O1391" s="44" t="s">
        <v>263</v>
      </c>
      <c r="P1391" s="47" t="s">
        <v>531</v>
      </c>
      <c r="Q1391" s="48">
        <v>5000</v>
      </c>
      <c r="R1391" s="49" t="s">
        <v>4</v>
      </c>
      <c r="S1391" s="48" t="s">
        <v>4</v>
      </c>
      <c r="T1391" s="47" t="s">
        <v>525</v>
      </c>
    </row>
    <row r="1392" spans="1:20">
      <c r="A1392" s="46">
        <v>140134031710</v>
      </c>
      <c r="B1392" s="44" t="s">
        <v>517</v>
      </c>
      <c r="C1392" s="45">
        <v>46022</v>
      </c>
      <c r="D1392" s="46">
        <v>55659158683</v>
      </c>
      <c r="E1392" s="46">
        <v>2163529733754</v>
      </c>
      <c r="F1392" s="47" t="s">
        <v>518</v>
      </c>
      <c r="G1392" s="47" t="s">
        <v>519</v>
      </c>
      <c r="H1392" s="47" t="s">
        <v>4</v>
      </c>
      <c r="I1392" s="46" t="s">
        <v>4</v>
      </c>
      <c r="J1392" s="48">
        <v>47.53</v>
      </c>
      <c r="K1392" s="47" t="s">
        <v>520</v>
      </c>
      <c r="L1392" s="47" t="s">
        <v>521</v>
      </c>
      <c r="M1392" s="46" t="s">
        <v>807</v>
      </c>
      <c r="N1392" s="47" t="s">
        <v>808</v>
      </c>
      <c r="O1392" s="44" t="s">
        <v>4</v>
      </c>
      <c r="P1392" s="47" t="s">
        <v>1126</v>
      </c>
      <c r="Q1392" s="48">
        <v>4900</v>
      </c>
      <c r="R1392" s="49" t="s">
        <v>4</v>
      </c>
      <c r="S1392" s="48" t="s">
        <v>4</v>
      </c>
      <c r="T1392" s="47" t="s">
        <v>525</v>
      </c>
    </row>
    <row r="1393" spans="1:20">
      <c r="A1393" s="46">
        <v>139486025795</v>
      </c>
      <c r="B1393" s="44" t="s">
        <v>517</v>
      </c>
      <c r="C1393" s="45">
        <v>46022</v>
      </c>
      <c r="D1393" s="46">
        <v>55659161610</v>
      </c>
      <c r="E1393" s="46">
        <v>2163361311237</v>
      </c>
      <c r="F1393" s="47" t="s">
        <v>518</v>
      </c>
      <c r="G1393" s="47" t="s">
        <v>519</v>
      </c>
      <c r="H1393" s="47" t="s">
        <v>4</v>
      </c>
      <c r="I1393" s="46" t="s">
        <v>4</v>
      </c>
      <c r="J1393" s="48">
        <v>122.22</v>
      </c>
      <c r="K1393" s="47" t="s">
        <v>520</v>
      </c>
      <c r="L1393" s="47" t="s">
        <v>521</v>
      </c>
      <c r="M1393" s="46" t="s">
        <v>807</v>
      </c>
      <c r="N1393" s="47" t="s">
        <v>808</v>
      </c>
      <c r="O1393" s="44" t="s">
        <v>4</v>
      </c>
      <c r="P1393" s="47" t="s">
        <v>1131</v>
      </c>
      <c r="Q1393" s="48">
        <v>12600</v>
      </c>
      <c r="R1393" s="49" t="s">
        <v>4</v>
      </c>
      <c r="S1393" s="48" t="s">
        <v>4</v>
      </c>
      <c r="T1393" s="47" t="s">
        <v>525</v>
      </c>
    </row>
    <row r="1394" spans="1:20">
      <c r="A1394" s="46">
        <v>139486246871</v>
      </c>
      <c r="B1394" s="44" t="s">
        <v>517</v>
      </c>
      <c r="C1394" s="45">
        <v>46022</v>
      </c>
      <c r="D1394" s="46">
        <v>55659173133</v>
      </c>
      <c r="E1394" s="46">
        <v>2163530863902</v>
      </c>
      <c r="F1394" s="47" t="s">
        <v>518</v>
      </c>
      <c r="G1394" s="47" t="s">
        <v>519</v>
      </c>
      <c r="H1394" s="47" t="s">
        <v>4</v>
      </c>
      <c r="I1394" s="46" t="s">
        <v>4</v>
      </c>
      <c r="J1394" s="48">
        <v>77.599999999999994</v>
      </c>
      <c r="K1394" s="47" t="s">
        <v>520</v>
      </c>
      <c r="L1394" s="47" t="s">
        <v>521</v>
      </c>
      <c r="M1394" s="46" t="s">
        <v>807</v>
      </c>
      <c r="N1394" s="47" t="s">
        <v>808</v>
      </c>
      <c r="O1394" s="44" t="s">
        <v>4</v>
      </c>
      <c r="P1394" s="47" t="s">
        <v>1132</v>
      </c>
      <c r="Q1394" s="48">
        <v>8000</v>
      </c>
      <c r="R1394" s="49" t="s">
        <v>4</v>
      </c>
      <c r="S1394" s="48" t="s">
        <v>4</v>
      </c>
      <c r="T1394" s="47" t="s">
        <v>525</v>
      </c>
    </row>
    <row r="1395" spans="1:20">
      <c r="A1395" s="46">
        <v>140134313280</v>
      </c>
      <c r="B1395" s="44" t="s">
        <v>517</v>
      </c>
      <c r="C1395" s="45">
        <v>46022</v>
      </c>
      <c r="D1395" s="46">
        <v>55659201947</v>
      </c>
      <c r="E1395" s="46">
        <v>2163362742117</v>
      </c>
      <c r="F1395" s="47" t="s">
        <v>518</v>
      </c>
      <c r="G1395" s="47" t="s">
        <v>519</v>
      </c>
      <c r="H1395" s="47" t="s">
        <v>4</v>
      </c>
      <c r="I1395" s="46" t="s">
        <v>4</v>
      </c>
      <c r="J1395" s="48">
        <v>389.94</v>
      </c>
      <c r="K1395" s="47" t="s">
        <v>520</v>
      </c>
      <c r="L1395" s="47" t="s">
        <v>521</v>
      </c>
      <c r="M1395" s="46" t="s">
        <v>807</v>
      </c>
      <c r="N1395" s="47" t="s">
        <v>808</v>
      </c>
      <c r="O1395" s="44" t="s">
        <v>4</v>
      </c>
      <c r="P1395" s="47" t="s">
        <v>1133</v>
      </c>
      <c r="Q1395" s="48">
        <v>40200</v>
      </c>
      <c r="R1395" s="49" t="s">
        <v>4</v>
      </c>
      <c r="S1395" s="48" t="s">
        <v>4</v>
      </c>
      <c r="T1395" s="47" t="s">
        <v>525</v>
      </c>
    </row>
    <row r="1396" spans="1:20">
      <c r="A1396" s="46">
        <v>139486404629</v>
      </c>
      <c r="B1396" s="44" t="s">
        <v>517</v>
      </c>
      <c r="C1396" s="45">
        <v>46022</v>
      </c>
      <c r="D1396" s="46">
        <v>55659239914</v>
      </c>
      <c r="E1396" s="46">
        <v>2163363405987</v>
      </c>
      <c r="F1396" s="47" t="s">
        <v>518</v>
      </c>
      <c r="G1396" s="47" t="s">
        <v>519</v>
      </c>
      <c r="H1396" s="47" t="s">
        <v>4</v>
      </c>
      <c r="I1396" s="46" t="s">
        <v>4</v>
      </c>
      <c r="J1396" s="48">
        <v>32.979999999999997</v>
      </c>
      <c r="K1396" s="47" t="s">
        <v>520</v>
      </c>
      <c r="L1396" s="47" t="s">
        <v>521</v>
      </c>
      <c r="M1396" s="46" t="s">
        <v>807</v>
      </c>
      <c r="N1396" s="47" t="s">
        <v>808</v>
      </c>
      <c r="O1396" s="44" t="s">
        <v>4</v>
      </c>
      <c r="P1396" s="47" t="s">
        <v>1134</v>
      </c>
      <c r="Q1396" s="48">
        <v>3400</v>
      </c>
      <c r="R1396" s="49" t="s">
        <v>4</v>
      </c>
      <c r="S1396" s="48" t="s">
        <v>4</v>
      </c>
      <c r="T1396" s="47" t="s">
        <v>525</v>
      </c>
    </row>
    <row r="1397" spans="1:20">
      <c r="A1397" s="46">
        <v>140134432862</v>
      </c>
      <c r="B1397" s="44" t="s">
        <v>517</v>
      </c>
      <c r="C1397" s="45">
        <v>46022</v>
      </c>
      <c r="D1397" s="46">
        <v>55659265559</v>
      </c>
      <c r="E1397" s="46">
        <v>2163363259775</v>
      </c>
      <c r="F1397" s="47" t="s">
        <v>529</v>
      </c>
      <c r="G1397" s="47" t="s">
        <v>519</v>
      </c>
      <c r="H1397" s="47" t="s">
        <v>4</v>
      </c>
      <c r="I1397" s="46" t="s">
        <v>4</v>
      </c>
      <c r="J1397" s="48">
        <v>18225.95</v>
      </c>
      <c r="K1397" s="47" t="s">
        <v>520</v>
      </c>
      <c r="L1397" s="47" t="s">
        <v>530</v>
      </c>
      <c r="M1397" s="46" t="s">
        <v>807</v>
      </c>
      <c r="N1397" s="47" t="s">
        <v>808</v>
      </c>
      <c r="O1397" s="44" t="s">
        <v>263</v>
      </c>
      <c r="P1397" s="47" t="s">
        <v>531</v>
      </c>
      <c r="Q1397" s="48">
        <v>239500</v>
      </c>
      <c r="R1397" s="49" t="s">
        <v>4</v>
      </c>
      <c r="S1397" s="48" t="s">
        <v>4</v>
      </c>
      <c r="T1397" s="47" t="s">
        <v>525</v>
      </c>
    </row>
    <row r="1398" spans="1:20">
      <c r="A1398" s="46">
        <v>139486393553</v>
      </c>
      <c r="B1398" s="44" t="s">
        <v>517</v>
      </c>
      <c r="C1398" s="45">
        <v>46022</v>
      </c>
      <c r="D1398" s="46">
        <v>55659296474</v>
      </c>
      <c r="E1398" s="46">
        <v>2163364197633</v>
      </c>
      <c r="F1398" s="47" t="s">
        <v>518</v>
      </c>
      <c r="G1398" s="47" t="s">
        <v>519</v>
      </c>
      <c r="H1398" s="47" t="s">
        <v>4</v>
      </c>
      <c r="I1398" s="46" t="s">
        <v>4</v>
      </c>
      <c r="J1398" s="48">
        <v>36.86</v>
      </c>
      <c r="K1398" s="47" t="s">
        <v>520</v>
      </c>
      <c r="L1398" s="47" t="s">
        <v>521</v>
      </c>
      <c r="M1398" s="46" t="s">
        <v>807</v>
      </c>
      <c r="N1398" s="47" t="s">
        <v>808</v>
      </c>
      <c r="O1398" s="44" t="s">
        <v>4</v>
      </c>
      <c r="P1398" s="47" t="s">
        <v>1132</v>
      </c>
      <c r="Q1398" s="48">
        <v>3800</v>
      </c>
      <c r="R1398" s="49" t="s">
        <v>4</v>
      </c>
      <c r="S1398" s="48" t="s">
        <v>4</v>
      </c>
      <c r="T1398" s="47" t="s">
        <v>525</v>
      </c>
    </row>
    <row r="1399" spans="1:20">
      <c r="A1399" s="46"/>
      <c r="B1399" s="44"/>
      <c r="C1399" s="45"/>
      <c r="D1399" s="46"/>
      <c r="E1399" s="46"/>
      <c r="F1399" s="47"/>
      <c r="G1399" s="47"/>
      <c r="H1399" s="47"/>
      <c r="I1399" s="46"/>
      <c r="J1399" s="48"/>
      <c r="K1399" s="47"/>
      <c r="L1399" s="47"/>
      <c r="M1399" s="46"/>
      <c r="N1399" s="47"/>
      <c r="O1399" s="44"/>
      <c r="P1399" s="47"/>
      <c r="Q1399" s="48"/>
      <c r="R1399" s="49"/>
      <c r="S1399" s="48"/>
      <c r="T1399" s="47"/>
    </row>
    <row r="1400" spans="1:20">
      <c r="A1400" s="46"/>
      <c r="B1400" s="44"/>
      <c r="C1400" s="45"/>
      <c r="D1400" s="46"/>
      <c r="E1400" s="46"/>
      <c r="F1400" s="47"/>
      <c r="G1400" s="47"/>
      <c r="H1400" s="47"/>
      <c r="I1400" s="46"/>
      <c r="J1400" s="60">
        <f>SUM(J9:J1399)</f>
        <v>945094.35000000114</v>
      </c>
      <c r="K1400" s="47"/>
      <c r="L1400" s="47"/>
      <c r="M1400" s="46"/>
      <c r="N1400" s="47"/>
      <c r="O1400" s="44"/>
      <c r="P1400" s="47"/>
      <c r="Q1400" s="60">
        <f>SUM(Q9:Q1399)</f>
        <v>38114586</v>
      </c>
      <c r="R1400" s="49"/>
      <c r="S1400" s="48"/>
      <c r="T1400" s="47"/>
    </row>
    <row r="1401" spans="1:20">
      <c r="A1401" s="46"/>
      <c r="B1401" s="44"/>
      <c r="C1401" s="45"/>
      <c r="D1401" s="46"/>
      <c r="E1401" s="46"/>
      <c r="F1401" s="47"/>
      <c r="G1401" s="47"/>
      <c r="H1401" s="47"/>
      <c r="I1401" s="46"/>
      <c r="J1401" s="48"/>
      <c r="K1401" s="47"/>
      <c r="L1401" s="47"/>
      <c r="M1401" s="46"/>
      <c r="N1401" s="47"/>
      <c r="O1401" s="44"/>
      <c r="P1401" s="47"/>
      <c r="Q1401" s="48"/>
      <c r="R1401" s="49"/>
      <c r="S1401" s="48"/>
      <c r="T1401" s="47"/>
    </row>
    <row r="1402" spans="1:20">
      <c r="A1402" s="46"/>
      <c r="B1402" s="44"/>
      <c r="C1402" s="45"/>
      <c r="D1402" s="46"/>
      <c r="E1402" s="46"/>
      <c r="F1402" s="47"/>
      <c r="G1402" s="47"/>
      <c r="H1402" s="47"/>
      <c r="I1402" s="46"/>
      <c r="J1402" s="48"/>
      <c r="K1402" s="47"/>
      <c r="L1402" s="47"/>
      <c r="M1402" s="46"/>
      <c r="N1402" s="47"/>
      <c r="O1402" s="44"/>
      <c r="P1402" s="47"/>
      <c r="Q1402" s="48"/>
      <c r="R1402" s="49"/>
      <c r="S1402" s="48"/>
      <c r="T1402" s="47"/>
    </row>
    <row r="1403" spans="1:20">
      <c r="A1403" s="46"/>
      <c r="B1403" s="44"/>
      <c r="C1403" s="45"/>
      <c r="D1403" s="46"/>
      <c r="E1403" s="46"/>
      <c r="F1403" s="47"/>
      <c r="G1403" s="47"/>
      <c r="H1403" s="47"/>
      <c r="I1403" s="46"/>
      <c r="J1403" s="48"/>
      <c r="K1403" s="47"/>
      <c r="L1403" s="47"/>
      <c r="M1403" s="46"/>
      <c r="N1403" s="47"/>
      <c r="O1403" s="44"/>
      <c r="P1403" s="47"/>
      <c r="Q1403" s="48"/>
      <c r="R1403" s="49"/>
      <c r="S1403" s="48"/>
      <c r="T1403" s="47"/>
    </row>
    <row r="1404" spans="1:20">
      <c r="A1404" s="46"/>
      <c r="B1404" s="44"/>
      <c r="C1404" s="45"/>
      <c r="D1404" s="46"/>
      <c r="E1404" s="46"/>
      <c r="F1404" s="47"/>
      <c r="G1404" s="47"/>
      <c r="H1404" s="47"/>
      <c r="I1404" s="46"/>
      <c r="J1404" s="48"/>
      <c r="K1404" s="47"/>
      <c r="L1404" s="47"/>
      <c r="M1404" s="46"/>
      <c r="N1404" s="47"/>
      <c r="O1404" s="44"/>
      <c r="P1404" s="47"/>
      <c r="Q1404" s="48"/>
      <c r="R1404" s="49"/>
      <c r="S1404" s="48"/>
      <c r="T1404" s="47"/>
    </row>
    <row r="1405" spans="1:20">
      <c r="A1405" s="46"/>
      <c r="B1405" s="44"/>
      <c r="C1405" s="45"/>
      <c r="D1405" s="46"/>
      <c r="E1405" s="46"/>
      <c r="F1405" s="47"/>
      <c r="G1405" s="47"/>
      <c r="H1405" s="47"/>
      <c r="I1405" s="46"/>
      <c r="J1405" s="48"/>
      <c r="K1405" s="47"/>
      <c r="L1405" s="47"/>
      <c r="M1405" s="46"/>
      <c r="N1405" s="47"/>
      <c r="O1405" s="44"/>
      <c r="P1405" s="47"/>
      <c r="Q1405" s="48"/>
      <c r="R1405" s="49"/>
      <c r="S1405" s="48"/>
      <c r="T1405" s="47"/>
    </row>
    <row r="1406" spans="1:20">
      <c r="A1406" s="46"/>
      <c r="B1406" s="44"/>
      <c r="C1406" s="45"/>
      <c r="D1406" s="46"/>
      <c r="E1406" s="46"/>
      <c r="F1406" s="47"/>
      <c r="G1406" s="47"/>
      <c r="H1406" s="47"/>
      <c r="I1406" s="46"/>
      <c r="J1406" s="48"/>
      <c r="K1406" s="47"/>
      <c r="L1406" s="47"/>
      <c r="M1406" s="46"/>
      <c r="N1406" s="47"/>
      <c r="O1406" s="44"/>
      <c r="P1406" s="47"/>
      <c r="Q1406" s="48"/>
      <c r="R1406" s="49"/>
      <c r="S1406" s="48"/>
      <c r="T1406" s="47"/>
    </row>
    <row r="1407" spans="1:20">
      <c r="A1407" s="46"/>
      <c r="B1407" s="44"/>
      <c r="C1407" s="45"/>
      <c r="D1407" s="46"/>
      <c r="E1407" s="46"/>
      <c r="F1407" s="47"/>
      <c r="G1407" s="47"/>
      <c r="H1407" s="47"/>
      <c r="I1407" s="46"/>
      <c r="J1407" s="48"/>
      <c r="K1407" s="47"/>
      <c r="L1407" s="47"/>
      <c r="M1407" s="46"/>
      <c r="N1407" s="47"/>
      <c r="O1407" s="44"/>
      <c r="P1407" s="47"/>
      <c r="Q1407" s="48"/>
      <c r="R1407" s="49"/>
      <c r="S1407" s="48"/>
      <c r="T1407" s="47"/>
    </row>
    <row r="1408" spans="1:20">
      <c r="A1408" s="46"/>
      <c r="B1408" s="44"/>
      <c r="C1408" s="45"/>
      <c r="D1408" s="46"/>
      <c r="E1408" s="46"/>
      <c r="F1408" s="47"/>
      <c r="G1408" s="47"/>
      <c r="H1408" s="47"/>
      <c r="I1408" s="46"/>
      <c r="J1408" s="48"/>
      <c r="K1408" s="47"/>
      <c r="L1408" s="47"/>
      <c r="M1408" s="46"/>
      <c r="N1408" s="47"/>
      <c r="O1408" s="44"/>
      <c r="P1408" s="47"/>
      <c r="Q1408" s="48"/>
      <c r="R1408" s="49"/>
      <c r="S1408" s="48"/>
      <c r="T1408" s="47"/>
    </row>
    <row r="1409" spans="1:20">
      <c r="A1409" s="46"/>
      <c r="B1409" s="44"/>
      <c r="C1409" s="45"/>
      <c r="D1409" s="46"/>
      <c r="E1409" s="46"/>
      <c r="F1409" s="47"/>
      <c r="G1409" s="47"/>
      <c r="H1409" s="47"/>
      <c r="I1409" s="46"/>
      <c r="J1409" s="48"/>
      <c r="K1409" s="47"/>
      <c r="L1409" s="47"/>
      <c r="M1409" s="46"/>
      <c r="N1409" s="47"/>
      <c r="O1409" s="44"/>
      <c r="P1409" s="47"/>
      <c r="Q1409" s="48"/>
      <c r="R1409" s="49"/>
      <c r="S1409" s="48"/>
      <c r="T1409" s="47"/>
    </row>
    <row r="1410" spans="1:20">
      <c r="A1410" s="46"/>
      <c r="B1410" s="44"/>
      <c r="C1410" s="45"/>
      <c r="D1410" s="46"/>
      <c r="E1410" s="46"/>
      <c r="F1410" s="47"/>
      <c r="G1410" s="47"/>
      <c r="H1410" s="47"/>
      <c r="I1410" s="46"/>
      <c r="J1410" s="48"/>
      <c r="K1410" s="47"/>
      <c r="L1410" s="47"/>
      <c r="M1410" s="46"/>
      <c r="N1410" s="47"/>
      <c r="O1410" s="44"/>
      <c r="P1410" s="47"/>
      <c r="Q1410" s="48"/>
      <c r="R1410" s="49"/>
      <c r="S1410" s="48"/>
      <c r="T1410" s="47"/>
    </row>
    <row r="1411" spans="1:20">
      <c r="A1411" s="46"/>
      <c r="B1411" s="44"/>
      <c r="C1411" s="45"/>
      <c r="D1411" s="46"/>
      <c r="E1411" s="46"/>
      <c r="F1411" s="47"/>
      <c r="G1411" s="47"/>
      <c r="H1411" s="47"/>
      <c r="I1411" s="46"/>
      <c r="J1411" s="48"/>
      <c r="K1411" s="47"/>
      <c r="L1411" s="47"/>
      <c r="M1411" s="46"/>
      <c r="N1411" s="47"/>
      <c r="O1411" s="44"/>
      <c r="P1411" s="47"/>
      <c r="Q1411" s="48"/>
      <c r="R1411" s="49"/>
      <c r="S1411" s="48"/>
      <c r="T1411" s="47"/>
    </row>
    <row r="1412" spans="1:20">
      <c r="A1412" s="46"/>
      <c r="B1412" s="44"/>
      <c r="C1412" s="45"/>
      <c r="D1412" s="46"/>
      <c r="E1412" s="46"/>
      <c r="F1412" s="47"/>
      <c r="G1412" s="47"/>
      <c r="H1412" s="47"/>
      <c r="I1412" s="46"/>
      <c r="J1412" s="48"/>
      <c r="K1412" s="47"/>
      <c r="L1412" s="47"/>
      <c r="M1412" s="46"/>
      <c r="N1412" s="47"/>
      <c r="O1412" s="44"/>
      <c r="P1412" s="47"/>
      <c r="Q1412" s="48"/>
      <c r="R1412" s="49"/>
      <c r="S1412" s="48"/>
      <c r="T1412" s="47"/>
    </row>
    <row r="1413" spans="1:20">
      <c r="A1413" s="46"/>
      <c r="B1413" s="44"/>
      <c r="C1413" s="45"/>
      <c r="D1413" s="46"/>
      <c r="E1413" s="46"/>
      <c r="F1413" s="47"/>
      <c r="G1413" s="47"/>
      <c r="H1413" s="47"/>
      <c r="I1413" s="46"/>
      <c r="J1413" s="48"/>
      <c r="K1413" s="47"/>
      <c r="L1413" s="47"/>
      <c r="M1413" s="46"/>
      <c r="N1413" s="47"/>
      <c r="O1413" s="44"/>
      <c r="P1413" s="47"/>
      <c r="Q1413" s="48"/>
      <c r="R1413" s="49"/>
      <c r="S1413" s="48"/>
      <c r="T1413" s="47"/>
    </row>
    <row r="1414" spans="1:20">
      <c r="A1414" s="46">
        <v>139674490539</v>
      </c>
      <c r="B1414" s="44" t="s">
        <v>517</v>
      </c>
      <c r="C1414" s="45">
        <v>46023</v>
      </c>
      <c r="D1414" s="46">
        <v>55726034933</v>
      </c>
      <c r="E1414" s="46">
        <v>2164544329063</v>
      </c>
      <c r="F1414" s="47" t="s">
        <v>529</v>
      </c>
      <c r="G1414" s="47" t="s">
        <v>519</v>
      </c>
      <c r="H1414" s="47" t="s">
        <v>4</v>
      </c>
      <c r="I1414" s="46" t="s">
        <v>4</v>
      </c>
      <c r="J1414" s="48">
        <v>385.14</v>
      </c>
      <c r="K1414" s="47" t="s">
        <v>520</v>
      </c>
      <c r="L1414" s="47" t="s">
        <v>530</v>
      </c>
      <c r="M1414" s="46" t="s">
        <v>660</v>
      </c>
      <c r="N1414" s="47" t="s">
        <v>661</v>
      </c>
      <c r="O1414" s="44" t="s">
        <v>263</v>
      </c>
      <c r="P1414" s="47" t="s">
        <v>531</v>
      </c>
      <c r="Q1414" s="48">
        <v>11270</v>
      </c>
      <c r="R1414" s="49" t="s">
        <v>4</v>
      </c>
      <c r="S1414" s="48" t="s">
        <v>4</v>
      </c>
      <c r="T1414" s="47" t="s">
        <v>525</v>
      </c>
    </row>
    <row r="1415" spans="1:20">
      <c r="A1415" s="46">
        <v>140322974568</v>
      </c>
      <c r="B1415" s="44" t="s">
        <v>517</v>
      </c>
      <c r="C1415" s="45">
        <v>46023</v>
      </c>
      <c r="D1415" s="46">
        <v>55726053580</v>
      </c>
      <c r="E1415" s="46">
        <v>2164714783496</v>
      </c>
      <c r="F1415" s="47" t="s">
        <v>518</v>
      </c>
      <c r="G1415" s="47" t="s">
        <v>519</v>
      </c>
      <c r="H1415" s="47" t="s">
        <v>4</v>
      </c>
      <c r="I1415" s="46" t="s">
        <v>4</v>
      </c>
      <c r="J1415" s="48">
        <v>149.38</v>
      </c>
      <c r="K1415" s="47" t="s">
        <v>520</v>
      </c>
      <c r="L1415" s="47" t="s">
        <v>521</v>
      </c>
      <c r="M1415" s="46" t="s">
        <v>660</v>
      </c>
      <c r="N1415" s="47" t="s">
        <v>661</v>
      </c>
      <c r="O1415" s="44" t="s">
        <v>4</v>
      </c>
      <c r="P1415" s="47" t="s">
        <v>1135</v>
      </c>
      <c r="Q1415" s="48">
        <v>15400</v>
      </c>
      <c r="R1415" s="49" t="s">
        <v>4</v>
      </c>
      <c r="S1415" s="48" t="s">
        <v>4</v>
      </c>
      <c r="T1415" s="47" t="s">
        <v>525</v>
      </c>
    </row>
    <row r="1416" spans="1:20">
      <c r="A1416" s="46">
        <v>139675063189</v>
      </c>
      <c r="B1416" s="44" t="s">
        <v>517</v>
      </c>
      <c r="C1416" s="45">
        <v>46023</v>
      </c>
      <c r="D1416" s="46">
        <v>55726230707</v>
      </c>
      <c r="E1416" s="46">
        <v>2164547830957</v>
      </c>
      <c r="F1416" s="47" t="s">
        <v>529</v>
      </c>
      <c r="G1416" s="47" t="s">
        <v>519</v>
      </c>
      <c r="H1416" s="47" t="s">
        <v>4</v>
      </c>
      <c r="I1416" s="46" t="s">
        <v>4</v>
      </c>
      <c r="J1416" s="48">
        <v>539.52</v>
      </c>
      <c r="K1416" s="47" t="s">
        <v>520</v>
      </c>
      <c r="L1416" s="47" t="s">
        <v>530</v>
      </c>
      <c r="M1416" s="46" t="s">
        <v>660</v>
      </c>
      <c r="N1416" s="47" t="s">
        <v>661</v>
      </c>
      <c r="O1416" s="44" t="s">
        <v>263</v>
      </c>
      <c r="P1416" s="47" t="s">
        <v>531</v>
      </c>
      <c r="Q1416" s="48">
        <v>4800</v>
      </c>
      <c r="R1416" s="49" t="s">
        <v>4</v>
      </c>
      <c r="S1416" s="48" t="s">
        <v>4</v>
      </c>
      <c r="T1416" s="47" t="s">
        <v>525</v>
      </c>
    </row>
    <row r="1417" spans="1:20">
      <c r="A1417" s="46">
        <v>140329848944</v>
      </c>
      <c r="B1417" s="44" t="s">
        <v>517</v>
      </c>
      <c r="C1417" s="45">
        <v>46023</v>
      </c>
      <c r="D1417" s="46">
        <v>55728543385</v>
      </c>
      <c r="E1417" s="46">
        <v>2164587748469</v>
      </c>
      <c r="F1417" s="47" t="s">
        <v>526</v>
      </c>
      <c r="G1417" s="47" t="s">
        <v>519</v>
      </c>
      <c r="H1417" s="47" t="s">
        <v>4</v>
      </c>
      <c r="I1417" s="46" t="s">
        <v>4</v>
      </c>
      <c r="J1417" s="48">
        <v>472.39</v>
      </c>
      <c r="K1417" s="47" t="s">
        <v>520</v>
      </c>
      <c r="L1417" s="47" t="s">
        <v>521</v>
      </c>
      <c r="M1417" s="46" t="s">
        <v>660</v>
      </c>
      <c r="N1417" s="47" t="s">
        <v>661</v>
      </c>
      <c r="O1417" s="44" t="s">
        <v>4</v>
      </c>
      <c r="P1417" s="47" t="s">
        <v>527</v>
      </c>
      <c r="Q1417" s="48">
        <v>48700</v>
      </c>
      <c r="R1417" s="49" t="s">
        <v>4</v>
      </c>
      <c r="S1417" s="48" t="s">
        <v>4</v>
      </c>
      <c r="T1417" s="47" t="s">
        <v>4</v>
      </c>
    </row>
    <row r="1418" spans="1:20">
      <c r="A1418" s="46">
        <v>140330093604</v>
      </c>
      <c r="B1418" s="44" t="s">
        <v>517</v>
      </c>
      <c r="C1418" s="45">
        <v>46023</v>
      </c>
      <c r="D1418" s="46">
        <v>55728696052</v>
      </c>
      <c r="E1418" s="46">
        <v>2164759590890</v>
      </c>
      <c r="F1418" s="47" t="s">
        <v>526</v>
      </c>
      <c r="G1418" s="47" t="s">
        <v>519</v>
      </c>
      <c r="H1418" s="47" t="s">
        <v>4</v>
      </c>
      <c r="I1418" s="46" t="s">
        <v>4</v>
      </c>
      <c r="J1418" s="48">
        <v>549.99</v>
      </c>
      <c r="K1418" s="47" t="s">
        <v>520</v>
      </c>
      <c r="L1418" s="47" t="s">
        <v>521</v>
      </c>
      <c r="M1418" s="46" t="s">
        <v>660</v>
      </c>
      <c r="N1418" s="47" t="s">
        <v>661</v>
      </c>
      <c r="O1418" s="44" t="s">
        <v>4</v>
      </c>
      <c r="P1418" s="47" t="s">
        <v>527</v>
      </c>
      <c r="Q1418" s="48">
        <v>56700</v>
      </c>
      <c r="R1418" s="49" t="s">
        <v>4</v>
      </c>
      <c r="S1418" s="48" t="s">
        <v>4</v>
      </c>
      <c r="T1418" s="47" t="s">
        <v>4</v>
      </c>
    </row>
    <row r="1419" spans="1:20">
      <c r="A1419" s="46">
        <v>140331251824</v>
      </c>
      <c r="B1419" s="44" t="s">
        <v>517</v>
      </c>
      <c r="C1419" s="45">
        <v>46023</v>
      </c>
      <c r="D1419" s="46">
        <v>55729101518</v>
      </c>
      <c r="E1419" s="46">
        <v>2164597197163</v>
      </c>
      <c r="F1419" s="47" t="s">
        <v>518</v>
      </c>
      <c r="G1419" s="47" t="s">
        <v>519</v>
      </c>
      <c r="H1419" s="47" t="s">
        <v>4</v>
      </c>
      <c r="I1419" s="46" t="s">
        <v>4</v>
      </c>
      <c r="J1419" s="48">
        <v>282.27</v>
      </c>
      <c r="K1419" s="47" t="s">
        <v>520</v>
      </c>
      <c r="L1419" s="47" t="s">
        <v>521</v>
      </c>
      <c r="M1419" s="46" t="s">
        <v>660</v>
      </c>
      <c r="N1419" s="47" t="s">
        <v>661</v>
      </c>
      <c r="O1419" s="44" t="s">
        <v>4</v>
      </c>
      <c r="P1419" s="47" t="s">
        <v>1136</v>
      </c>
      <c r="Q1419" s="48">
        <v>29100</v>
      </c>
      <c r="R1419" s="49" t="s">
        <v>4</v>
      </c>
      <c r="S1419" s="48" t="s">
        <v>4</v>
      </c>
      <c r="T1419" s="47" t="s">
        <v>525</v>
      </c>
    </row>
    <row r="1420" spans="1:20">
      <c r="A1420" s="46">
        <v>139683275929</v>
      </c>
      <c r="B1420" s="44" t="s">
        <v>517</v>
      </c>
      <c r="C1420" s="45">
        <v>46023</v>
      </c>
      <c r="D1420" s="46">
        <v>55729237940</v>
      </c>
      <c r="E1420" s="46">
        <v>2164768901860</v>
      </c>
      <c r="F1420" s="47" t="s">
        <v>518</v>
      </c>
      <c r="G1420" s="47" t="s">
        <v>519</v>
      </c>
      <c r="H1420" s="47" t="s">
        <v>4</v>
      </c>
      <c r="I1420" s="46" t="s">
        <v>4</v>
      </c>
      <c r="J1420" s="48">
        <v>355.99</v>
      </c>
      <c r="K1420" s="47" t="s">
        <v>520</v>
      </c>
      <c r="L1420" s="47" t="s">
        <v>521</v>
      </c>
      <c r="M1420" s="46" t="s">
        <v>660</v>
      </c>
      <c r="N1420" s="47" t="s">
        <v>661</v>
      </c>
      <c r="O1420" s="44" t="s">
        <v>4</v>
      </c>
      <c r="P1420" s="47" t="s">
        <v>1063</v>
      </c>
      <c r="Q1420" s="48">
        <v>36700</v>
      </c>
      <c r="R1420" s="49" t="s">
        <v>4</v>
      </c>
      <c r="S1420" s="48" t="s">
        <v>4</v>
      </c>
      <c r="T1420" s="47" t="s">
        <v>525</v>
      </c>
    </row>
    <row r="1421" spans="1:20">
      <c r="A1421" s="46">
        <v>139685345517</v>
      </c>
      <c r="B1421" s="44" t="s">
        <v>517</v>
      </c>
      <c r="C1421" s="45">
        <v>46023</v>
      </c>
      <c r="D1421" s="46">
        <v>55729987954</v>
      </c>
      <c r="E1421" s="46">
        <v>2164611727879</v>
      </c>
      <c r="F1421" s="47" t="s">
        <v>562</v>
      </c>
      <c r="G1421" s="47" t="s">
        <v>519</v>
      </c>
      <c r="H1421" s="47" t="s">
        <v>4</v>
      </c>
      <c r="I1421" s="46" t="s">
        <v>4</v>
      </c>
      <c r="J1421" s="48">
        <v>7785.03</v>
      </c>
      <c r="K1421" s="47" t="s">
        <v>520</v>
      </c>
      <c r="L1421" s="47" t="s">
        <v>521</v>
      </c>
      <c r="M1421" s="46" t="s">
        <v>660</v>
      </c>
      <c r="N1421" s="47" t="s">
        <v>661</v>
      </c>
      <c r="O1421" s="44" t="s">
        <v>4</v>
      </c>
      <c r="P1421" s="47" t="s">
        <v>574</v>
      </c>
      <c r="Q1421" s="48">
        <v>102300</v>
      </c>
      <c r="R1421" s="49" t="s">
        <v>4</v>
      </c>
      <c r="S1421" s="48" t="s">
        <v>4</v>
      </c>
      <c r="T1421" s="47" t="s">
        <v>525</v>
      </c>
    </row>
    <row r="1422" spans="1:20">
      <c r="A1422" s="46">
        <v>139685780693</v>
      </c>
      <c r="B1422" s="44" t="s">
        <v>517</v>
      </c>
      <c r="C1422" s="45">
        <v>46023</v>
      </c>
      <c r="D1422" s="46">
        <v>55730158274</v>
      </c>
      <c r="E1422" s="46">
        <v>2164784461854</v>
      </c>
      <c r="F1422" s="47" t="s">
        <v>518</v>
      </c>
      <c r="G1422" s="47" t="s">
        <v>519</v>
      </c>
      <c r="H1422" s="47" t="s">
        <v>4</v>
      </c>
      <c r="I1422" s="46" t="s">
        <v>4</v>
      </c>
      <c r="J1422" s="48">
        <v>289.06</v>
      </c>
      <c r="K1422" s="47" t="s">
        <v>520</v>
      </c>
      <c r="L1422" s="47" t="s">
        <v>521</v>
      </c>
      <c r="M1422" s="46" t="s">
        <v>660</v>
      </c>
      <c r="N1422" s="47" t="s">
        <v>661</v>
      </c>
      <c r="O1422" s="44" t="s">
        <v>4</v>
      </c>
      <c r="P1422" s="47" t="s">
        <v>539</v>
      </c>
      <c r="Q1422" s="48">
        <v>29800</v>
      </c>
      <c r="R1422" s="49" t="s">
        <v>4</v>
      </c>
      <c r="S1422" s="48" t="s">
        <v>4</v>
      </c>
      <c r="T1422" s="47" t="s">
        <v>525</v>
      </c>
    </row>
    <row r="1423" spans="1:20">
      <c r="A1423" s="46">
        <v>140334130078</v>
      </c>
      <c r="B1423" s="44" t="s">
        <v>517</v>
      </c>
      <c r="C1423" s="45">
        <v>46023</v>
      </c>
      <c r="D1423" s="46">
        <v>55730171306</v>
      </c>
      <c r="E1423" s="46">
        <v>2164784859100</v>
      </c>
      <c r="F1423" s="47" t="s">
        <v>529</v>
      </c>
      <c r="G1423" s="47" t="s">
        <v>519</v>
      </c>
      <c r="H1423" s="47" t="s">
        <v>4</v>
      </c>
      <c r="I1423" s="46" t="s">
        <v>4</v>
      </c>
      <c r="J1423" s="48">
        <v>1385.02</v>
      </c>
      <c r="K1423" s="47" t="s">
        <v>520</v>
      </c>
      <c r="L1423" s="47" t="s">
        <v>530</v>
      </c>
      <c r="M1423" s="46" t="s">
        <v>660</v>
      </c>
      <c r="N1423" s="47" t="s">
        <v>661</v>
      </c>
      <c r="O1423" s="44" t="s">
        <v>263</v>
      </c>
      <c r="P1423" s="47" t="s">
        <v>531</v>
      </c>
      <c r="Q1423" s="48">
        <v>18200</v>
      </c>
      <c r="R1423" s="49" t="s">
        <v>4</v>
      </c>
      <c r="S1423" s="48" t="s">
        <v>4</v>
      </c>
      <c r="T1423" s="47" t="s">
        <v>525</v>
      </c>
    </row>
    <row r="1424" spans="1:20">
      <c r="A1424" s="46">
        <v>140335555596</v>
      </c>
      <c r="B1424" s="44" t="s">
        <v>517</v>
      </c>
      <c r="C1424" s="45">
        <v>46023</v>
      </c>
      <c r="D1424" s="46">
        <v>55730738738</v>
      </c>
      <c r="E1424" s="46">
        <v>2164794280166</v>
      </c>
      <c r="F1424" s="47" t="s">
        <v>518</v>
      </c>
      <c r="G1424" s="47" t="s">
        <v>519</v>
      </c>
      <c r="H1424" s="47" t="s">
        <v>4</v>
      </c>
      <c r="I1424" s="46" t="s">
        <v>4</v>
      </c>
      <c r="J1424" s="48">
        <v>49.96</v>
      </c>
      <c r="K1424" s="47" t="s">
        <v>520</v>
      </c>
      <c r="L1424" s="47" t="s">
        <v>521</v>
      </c>
      <c r="M1424" s="46" t="s">
        <v>660</v>
      </c>
      <c r="N1424" s="47" t="s">
        <v>661</v>
      </c>
      <c r="O1424" s="44" t="s">
        <v>4</v>
      </c>
      <c r="P1424" s="47" t="s">
        <v>1137</v>
      </c>
      <c r="Q1424" s="48">
        <v>5150</v>
      </c>
      <c r="R1424" s="49" t="s">
        <v>4</v>
      </c>
      <c r="S1424" s="48" t="s">
        <v>4</v>
      </c>
      <c r="T1424" s="47" t="s">
        <v>525</v>
      </c>
    </row>
    <row r="1425" spans="1:20">
      <c r="A1425" s="46">
        <v>139687590567</v>
      </c>
      <c r="B1425" s="44" t="s">
        <v>517</v>
      </c>
      <c r="C1425" s="45">
        <v>46023</v>
      </c>
      <c r="D1425" s="46">
        <v>55730871026</v>
      </c>
      <c r="E1425" s="46">
        <v>2164626450445</v>
      </c>
      <c r="F1425" s="47" t="s">
        <v>518</v>
      </c>
      <c r="G1425" s="47" t="s">
        <v>519</v>
      </c>
      <c r="H1425" s="47" t="s">
        <v>4</v>
      </c>
      <c r="I1425" s="46" t="s">
        <v>4</v>
      </c>
      <c r="J1425" s="48">
        <v>306.52</v>
      </c>
      <c r="K1425" s="47" t="s">
        <v>520</v>
      </c>
      <c r="L1425" s="47" t="s">
        <v>521</v>
      </c>
      <c r="M1425" s="46" t="s">
        <v>660</v>
      </c>
      <c r="N1425" s="47" t="s">
        <v>661</v>
      </c>
      <c r="O1425" s="44" t="s">
        <v>4</v>
      </c>
      <c r="P1425" s="47" t="s">
        <v>1138</v>
      </c>
      <c r="Q1425" s="48">
        <v>31600</v>
      </c>
      <c r="R1425" s="49" t="s">
        <v>4</v>
      </c>
      <c r="S1425" s="48" t="s">
        <v>4</v>
      </c>
      <c r="T1425" s="47" t="s">
        <v>525</v>
      </c>
    </row>
    <row r="1426" spans="1:20">
      <c r="A1426" s="46">
        <v>140336078546</v>
      </c>
      <c r="B1426" s="44" t="s">
        <v>517</v>
      </c>
      <c r="C1426" s="45">
        <v>46023</v>
      </c>
      <c r="D1426" s="46">
        <v>55730893334</v>
      </c>
      <c r="E1426" s="46">
        <v>2164797319210</v>
      </c>
      <c r="F1426" s="47" t="s">
        <v>518</v>
      </c>
      <c r="G1426" s="47" t="s">
        <v>519</v>
      </c>
      <c r="H1426" s="47" t="s">
        <v>4</v>
      </c>
      <c r="I1426" s="46" t="s">
        <v>4</v>
      </c>
      <c r="J1426" s="48">
        <v>323.01</v>
      </c>
      <c r="K1426" s="47" t="s">
        <v>520</v>
      </c>
      <c r="L1426" s="47" t="s">
        <v>521</v>
      </c>
      <c r="M1426" s="46" t="s">
        <v>660</v>
      </c>
      <c r="N1426" s="47" t="s">
        <v>661</v>
      </c>
      <c r="O1426" s="44" t="s">
        <v>4</v>
      </c>
      <c r="P1426" s="47" t="s">
        <v>1139</v>
      </c>
      <c r="Q1426" s="48">
        <v>33300</v>
      </c>
      <c r="R1426" s="49" t="s">
        <v>4</v>
      </c>
      <c r="S1426" s="48" t="s">
        <v>4</v>
      </c>
      <c r="T1426" s="47" t="s">
        <v>525</v>
      </c>
    </row>
    <row r="1427" spans="1:20">
      <c r="A1427" s="46">
        <v>140336317404</v>
      </c>
      <c r="B1427" s="44" t="s">
        <v>517</v>
      </c>
      <c r="C1427" s="45">
        <v>46023</v>
      </c>
      <c r="D1427" s="46">
        <v>55731034010</v>
      </c>
      <c r="E1427" s="46">
        <v>2164629460741</v>
      </c>
      <c r="F1427" s="47" t="s">
        <v>518</v>
      </c>
      <c r="G1427" s="47" t="s">
        <v>519</v>
      </c>
      <c r="H1427" s="47" t="s">
        <v>4</v>
      </c>
      <c r="I1427" s="46" t="s">
        <v>4</v>
      </c>
      <c r="J1427" s="48">
        <v>695.98</v>
      </c>
      <c r="K1427" s="47" t="s">
        <v>520</v>
      </c>
      <c r="L1427" s="47" t="s">
        <v>521</v>
      </c>
      <c r="M1427" s="46" t="s">
        <v>660</v>
      </c>
      <c r="N1427" s="47" t="s">
        <v>661</v>
      </c>
      <c r="O1427" s="44" t="s">
        <v>4</v>
      </c>
      <c r="P1427" s="47" t="s">
        <v>1140</v>
      </c>
      <c r="Q1427" s="48">
        <v>71750</v>
      </c>
      <c r="R1427" s="49" t="s">
        <v>4</v>
      </c>
      <c r="S1427" s="48" t="s">
        <v>4</v>
      </c>
      <c r="T1427" s="47" t="s">
        <v>525</v>
      </c>
    </row>
    <row r="1428" spans="1:20">
      <c r="A1428" s="46">
        <v>139689575073</v>
      </c>
      <c r="B1428" s="44" t="s">
        <v>517</v>
      </c>
      <c r="C1428" s="45">
        <v>46023</v>
      </c>
      <c r="D1428" s="46">
        <v>55731706318</v>
      </c>
      <c r="E1428" s="46">
        <v>2164639847179</v>
      </c>
      <c r="F1428" s="47" t="s">
        <v>526</v>
      </c>
      <c r="G1428" s="47" t="s">
        <v>519</v>
      </c>
      <c r="H1428" s="47" t="s">
        <v>4</v>
      </c>
      <c r="I1428" s="46" t="s">
        <v>4</v>
      </c>
      <c r="J1428" s="48">
        <v>189.15</v>
      </c>
      <c r="K1428" s="47" t="s">
        <v>520</v>
      </c>
      <c r="L1428" s="47" t="s">
        <v>521</v>
      </c>
      <c r="M1428" s="46" t="s">
        <v>660</v>
      </c>
      <c r="N1428" s="47" t="s">
        <v>661</v>
      </c>
      <c r="O1428" s="44" t="s">
        <v>4</v>
      </c>
      <c r="P1428" s="47" t="s">
        <v>527</v>
      </c>
      <c r="Q1428" s="48">
        <v>19500</v>
      </c>
      <c r="R1428" s="49" t="s">
        <v>4</v>
      </c>
      <c r="S1428" s="48" t="s">
        <v>4</v>
      </c>
      <c r="T1428" s="47" t="s">
        <v>4</v>
      </c>
    </row>
    <row r="1429" spans="1:20">
      <c r="A1429" s="46">
        <v>140338074366</v>
      </c>
      <c r="B1429" s="44" t="s">
        <v>517</v>
      </c>
      <c r="C1429" s="45">
        <v>46023</v>
      </c>
      <c r="D1429" s="46">
        <v>55731756318</v>
      </c>
      <c r="E1429" s="46">
        <v>2164810788436</v>
      </c>
      <c r="F1429" s="47" t="s">
        <v>518</v>
      </c>
      <c r="G1429" s="47" t="s">
        <v>519</v>
      </c>
      <c r="H1429" s="47" t="s">
        <v>4</v>
      </c>
      <c r="I1429" s="46" t="s">
        <v>4</v>
      </c>
      <c r="J1429" s="48">
        <v>736.23</v>
      </c>
      <c r="K1429" s="47" t="s">
        <v>520</v>
      </c>
      <c r="L1429" s="47" t="s">
        <v>521</v>
      </c>
      <c r="M1429" s="46" t="s">
        <v>660</v>
      </c>
      <c r="N1429" s="47" t="s">
        <v>661</v>
      </c>
      <c r="O1429" s="44" t="s">
        <v>4</v>
      </c>
      <c r="P1429" s="47" t="s">
        <v>1141</v>
      </c>
      <c r="Q1429" s="48">
        <v>75900</v>
      </c>
      <c r="R1429" s="49" t="s">
        <v>4</v>
      </c>
      <c r="S1429" s="48" t="s">
        <v>4</v>
      </c>
      <c r="T1429" s="47" t="s">
        <v>525</v>
      </c>
    </row>
    <row r="1430" spans="1:20">
      <c r="A1430" s="46">
        <v>139690459503</v>
      </c>
      <c r="B1430" s="44" t="s">
        <v>517</v>
      </c>
      <c r="C1430" s="45">
        <v>46024</v>
      </c>
      <c r="D1430" s="46">
        <v>55732093492</v>
      </c>
      <c r="E1430" s="46">
        <v>2164816242486</v>
      </c>
      <c r="F1430" s="47" t="s">
        <v>529</v>
      </c>
      <c r="G1430" s="47" t="s">
        <v>519</v>
      </c>
      <c r="H1430" s="47" t="s">
        <v>4</v>
      </c>
      <c r="I1430" s="46" t="s">
        <v>4</v>
      </c>
      <c r="J1430" s="48">
        <v>2943.57</v>
      </c>
      <c r="K1430" s="47" t="s">
        <v>520</v>
      </c>
      <c r="L1430" s="47" t="s">
        <v>530</v>
      </c>
      <c r="M1430" s="46" t="s">
        <v>660</v>
      </c>
      <c r="N1430" s="47" t="s">
        <v>661</v>
      </c>
      <c r="O1430" s="44" t="s">
        <v>263</v>
      </c>
      <c r="P1430" s="47" t="s">
        <v>531</v>
      </c>
      <c r="Q1430" s="48">
        <v>74900</v>
      </c>
      <c r="R1430" s="49" t="s">
        <v>4</v>
      </c>
      <c r="S1430" s="48" t="s">
        <v>4</v>
      </c>
      <c r="T1430" s="47" t="s">
        <v>525</v>
      </c>
    </row>
    <row r="1431" spans="1:20">
      <c r="A1431" s="46">
        <v>140339768284</v>
      </c>
      <c r="B1431" s="44" t="s">
        <v>517</v>
      </c>
      <c r="C1431" s="45">
        <v>46024</v>
      </c>
      <c r="D1431" s="46">
        <v>55732604464</v>
      </c>
      <c r="E1431" s="46">
        <v>2164653196931</v>
      </c>
      <c r="F1431" s="47" t="s">
        <v>562</v>
      </c>
      <c r="G1431" s="47" t="s">
        <v>519</v>
      </c>
      <c r="H1431" s="47" t="s">
        <v>4</v>
      </c>
      <c r="I1431" s="46" t="s">
        <v>4</v>
      </c>
      <c r="J1431" s="48">
        <v>656.89</v>
      </c>
      <c r="K1431" s="47" t="s">
        <v>520</v>
      </c>
      <c r="L1431" s="47" t="s">
        <v>521</v>
      </c>
      <c r="M1431" s="46" t="s">
        <v>660</v>
      </c>
      <c r="N1431" s="47" t="s">
        <v>661</v>
      </c>
      <c r="O1431" s="44" t="s">
        <v>4</v>
      </c>
      <c r="P1431" s="47" t="s">
        <v>1142</v>
      </c>
      <c r="Q1431" s="48">
        <v>40300</v>
      </c>
      <c r="R1431" s="49" t="s">
        <v>4</v>
      </c>
      <c r="S1431" s="48" t="s">
        <v>4</v>
      </c>
      <c r="T1431" s="47" t="s">
        <v>525</v>
      </c>
    </row>
    <row r="1432" spans="1:20">
      <c r="A1432" s="46">
        <v>140342604072</v>
      </c>
      <c r="B1432" s="44" t="s">
        <v>517</v>
      </c>
      <c r="C1432" s="45">
        <v>46024</v>
      </c>
      <c r="D1432" s="46">
        <v>55734727286</v>
      </c>
      <c r="E1432" s="46">
        <v>2164681194751</v>
      </c>
      <c r="F1432" s="47" t="s">
        <v>529</v>
      </c>
      <c r="G1432" s="47" t="s">
        <v>519</v>
      </c>
      <c r="H1432" s="47" t="s">
        <v>4</v>
      </c>
      <c r="I1432" s="46" t="s">
        <v>4</v>
      </c>
      <c r="J1432" s="48">
        <v>5659.9</v>
      </c>
      <c r="K1432" s="47" t="s">
        <v>520</v>
      </c>
      <c r="L1432" s="47" t="s">
        <v>530</v>
      </c>
      <c r="M1432" s="46" t="s">
        <v>660</v>
      </c>
      <c r="N1432" s="47" t="s">
        <v>661</v>
      </c>
      <c r="O1432" s="44" t="s">
        <v>263</v>
      </c>
      <c r="P1432" s="47" t="s">
        <v>531</v>
      </c>
      <c r="Q1432" s="48">
        <v>50355</v>
      </c>
      <c r="R1432" s="49" t="s">
        <v>4</v>
      </c>
      <c r="S1432" s="48" t="s">
        <v>4</v>
      </c>
      <c r="T1432" s="47" t="s">
        <v>525</v>
      </c>
    </row>
    <row r="1433" spans="1:20">
      <c r="A1433" s="46">
        <v>140343228422</v>
      </c>
      <c r="B1433" s="44" t="s">
        <v>517</v>
      </c>
      <c r="C1433" s="45">
        <v>46024</v>
      </c>
      <c r="D1433" s="46">
        <v>55734999711</v>
      </c>
      <c r="E1433" s="46">
        <v>2164855828160</v>
      </c>
      <c r="F1433" s="47" t="s">
        <v>526</v>
      </c>
      <c r="G1433" s="47" t="s">
        <v>519</v>
      </c>
      <c r="H1433" s="47" t="s">
        <v>4</v>
      </c>
      <c r="I1433" s="46" t="s">
        <v>4</v>
      </c>
      <c r="J1433" s="48">
        <v>88.27</v>
      </c>
      <c r="K1433" s="47" t="s">
        <v>520</v>
      </c>
      <c r="L1433" s="47" t="s">
        <v>521</v>
      </c>
      <c r="M1433" s="46" t="s">
        <v>660</v>
      </c>
      <c r="N1433" s="47" t="s">
        <v>661</v>
      </c>
      <c r="O1433" s="44" t="s">
        <v>4</v>
      </c>
      <c r="P1433" s="47" t="s">
        <v>527</v>
      </c>
      <c r="Q1433" s="48">
        <v>9100</v>
      </c>
      <c r="R1433" s="49" t="s">
        <v>4</v>
      </c>
      <c r="S1433" s="48" t="s">
        <v>4</v>
      </c>
      <c r="T1433" s="47" t="s">
        <v>4</v>
      </c>
    </row>
    <row r="1434" spans="1:20">
      <c r="A1434" s="46">
        <v>140343607708</v>
      </c>
      <c r="B1434" s="44" t="s">
        <v>517</v>
      </c>
      <c r="C1434" s="45">
        <v>46024</v>
      </c>
      <c r="D1434" s="46">
        <v>55735242937</v>
      </c>
      <c r="E1434" s="46">
        <v>2164861287962</v>
      </c>
      <c r="F1434" s="47" t="s">
        <v>518</v>
      </c>
      <c r="G1434" s="47" t="s">
        <v>519</v>
      </c>
      <c r="H1434" s="47" t="s">
        <v>4</v>
      </c>
      <c r="I1434" s="46" t="s">
        <v>4</v>
      </c>
      <c r="J1434" s="48">
        <v>182.36</v>
      </c>
      <c r="K1434" s="47" t="s">
        <v>520</v>
      </c>
      <c r="L1434" s="47" t="s">
        <v>521</v>
      </c>
      <c r="M1434" s="46" t="s">
        <v>660</v>
      </c>
      <c r="N1434" s="47" t="s">
        <v>661</v>
      </c>
      <c r="O1434" s="44" t="s">
        <v>4</v>
      </c>
      <c r="P1434" s="47" t="s">
        <v>1143</v>
      </c>
      <c r="Q1434" s="48">
        <v>18800</v>
      </c>
      <c r="R1434" s="49" t="s">
        <v>4</v>
      </c>
      <c r="S1434" s="48" t="s">
        <v>4</v>
      </c>
      <c r="T1434" s="47" t="s">
        <v>525</v>
      </c>
    </row>
    <row r="1435" spans="1:20">
      <c r="A1435" s="46">
        <v>140343783402</v>
      </c>
      <c r="B1435" s="44" t="s">
        <v>517</v>
      </c>
      <c r="C1435" s="45">
        <v>46024</v>
      </c>
      <c r="D1435" s="46">
        <v>55735290681</v>
      </c>
      <c r="E1435" s="46">
        <v>2164862047248</v>
      </c>
      <c r="F1435" s="47" t="s">
        <v>518</v>
      </c>
      <c r="G1435" s="47" t="s">
        <v>519</v>
      </c>
      <c r="H1435" s="47" t="s">
        <v>4</v>
      </c>
      <c r="I1435" s="46" t="s">
        <v>4</v>
      </c>
      <c r="J1435" s="48">
        <v>46.56</v>
      </c>
      <c r="K1435" s="47" t="s">
        <v>520</v>
      </c>
      <c r="L1435" s="47" t="s">
        <v>521</v>
      </c>
      <c r="M1435" s="46" t="s">
        <v>660</v>
      </c>
      <c r="N1435" s="47" t="s">
        <v>661</v>
      </c>
      <c r="O1435" s="44" t="s">
        <v>4</v>
      </c>
      <c r="P1435" s="47" t="s">
        <v>1144</v>
      </c>
      <c r="Q1435" s="48">
        <v>4800</v>
      </c>
      <c r="R1435" s="49" t="s">
        <v>4</v>
      </c>
      <c r="S1435" s="48" t="s">
        <v>4</v>
      </c>
      <c r="T1435" s="47" t="s">
        <v>525</v>
      </c>
    </row>
    <row r="1436" spans="1:20">
      <c r="A1436" s="46">
        <v>140343759664</v>
      </c>
      <c r="B1436" s="44" t="s">
        <v>517</v>
      </c>
      <c r="C1436" s="45">
        <v>46024</v>
      </c>
      <c r="D1436" s="46">
        <v>55735304300</v>
      </c>
      <c r="E1436" s="46">
        <v>2164692397179</v>
      </c>
      <c r="F1436" s="47" t="s">
        <v>529</v>
      </c>
      <c r="G1436" s="47" t="s">
        <v>519</v>
      </c>
      <c r="H1436" s="47" t="s">
        <v>4</v>
      </c>
      <c r="I1436" s="46" t="s">
        <v>4</v>
      </c>
      <c r="J1436" s="48">
        <v>393</v>
      </c>
      <c r="K1436" s="47" t="s">
        <v>520</v>
      </c>
      <c r="L1436" s="47" t="s">
        <v>530</v>
      </c>
      <c r="M1436" s="46" t="s">
        <v>660</v>
      </c>
      <c r="N1436" s="47" t="s">
        <v>661</v>
      </c>
      <c r="O1436" s="44" t="s">
        <v>263</v>
      </c>
      <c r="P1436" s="47" t="s">
        <v>531</v>
      </c>
      <c r="Q1436" s="48">
        <v>10000</v>
      </c>
      <c r="R1436" s="49" t="s">
        <v>4</v>
      </c>
      <c r="S1436" s="48" t="s">
        <v>4</v>
      </c>
      <c r="T1436" s="47" t="s">
        <v>525</v>
      </c>
    </row>
    <row r="1437" spans="1:20">
      <c r="A1437" s="46">
        <v>140344342372</v>
      </c>
      <c r="B1437" s="44" t="s">
        <v>517</v>
      </c>
      <c r="C1437" s="45">
        <v>46024</v>
      </c>
      <c r="D1437" s="46">
        <v>55735444738</v>
      </c>
      <c r="E1437" s="46">
        <v>2164696615971</v>
      </c>
      <c r="F1437" s="47" t="s">
        <v>526</v>
      </c>
      <c r="G1437" s="47" t="s">
        <v>519</v>
      </c>
      <c r="H1437" s="47" t="s">
        <v>4</v>
      </c>
      <c r="I1437" s="46" t="s">
        <v>4</v>
      </c>
      <c r="J1437" s="48">
        <v>46.56</v>
      </c>
      <c r="K1437" s="47" t="s">
        <v>520</v>
      </c>
      <c r="L1437" s="47" t="s">
        <v>521</v>
      </c>
      <c r="M1437" s="46" t="s">
        <v>660</v>
      </c>
      <c r="N1437" s="47" t="s">
        <v>661</v>
      </c>
      <c r="O1437" s="44" t="s">
        <v>4</v>
      </c>
      <c r="P1437" s="47" t="s">
        <v>527</v>
      </c>
      <c r="Q1437" s="48">
        <v>4800</v>
      </c>
      <c r="R1437" s="49" t="s">
        <v>4</v>
      </c>
      <c r="S1437" s="48" t="s">
        <v>4</v>
      </c>
      <c r="T1437" s="47" t="s">
        <v>4</v>
      </c>
    </row>
    <row r="1438" spans="1:20">
      <c r="A1438" s="46">
        <v>139802327095</v>
      </c>
      <c r="B1438" s="44" t="s">
        <v>517</v>
      </c>
      <c r="C1438" s="45">
        <v>46024</v>
      </c>
      <c r="D1438" s="46">
        <v>55775280204</v>
      </c>
      <c r="E1438" s="46">
        <v>2165431554285</v>
      </c>
      <c r="F1438" s="47" t="s">
        <v>518</v>
      </c>
      <c r="G1438" s="47" t="s">
        <v>519</v>
      </c>
      <c r="H1438" s="47" t="s">
        <v>4</v>
      </c>
      <c r="I1438" s="46" t="s">
        <v>4</v>
      </c>
      <c r="J1438" s="48">
        <v>198.85</v>
      </c>
      <c r="K1438" s="47" t="s">
        <v>520</v>
      </c>
      <c r="L1438" s="47" t="s">
        <v>521</v>
      </c>
      <c r="M1438" s="46" t="s">
        <v>660</v>
      </c>
      <c r="N1438" s="47" t="s">
        <v>661</v>
      </c>
      <c r="O1438" s="44" t="s">
        <v>4</v>
      </c>
      <c r="P1438" s="47" t="s">
        <v>1145</v>
      </c>
      <c r="Q1438" s="48">
        <v>20500</v>
      </c>
      <c r="R1438" s="49" t="s">
        <v>4</v>
      </c>
      <c r="S1438" s="48" t="s">
        <v>4</v>
      </c>
      <c r="T1438" s="47" t="s">
        <v>525</v>
      </c>
    </row>
    <row r="1439" spans="1:20">
      <c r="A1439" s="46">
        <v>139808069929</v>
      </c>
      <c r="B1439" s="44" t="s">
        <v>517</v>
      </c>
      <c r="C1439" s="45">
        <v>46024</v>
      </c>
      <c r="D1439" s="46">
        <v>55777563175</v>
      </c>
      <c r="E1439" s="46">
        <v>2165642471072</v>
      </c>
      <c r="F1439" s="47" t="s">
        <v>529</v>
      </c>
      <c r="G1439" s="47" t="s">
        <v>519</v>
      </c>
      <c r="H1439" s="47" t="s">
        <v>4</v>
      </c>
      <c r="I1439" s="46" t="s">
        <v>4</v>
      </c>
      <c r="J1439" s="48">
        <v>2534.13</v>
      </c>
      <c r="K1439" s="47" t="s">
        <v>520</v>
      </c>
      <c r="L1439" s="47" t="s">
        <v>530</v>
      </c>
      <c r="M1439" s="46" t="s">
        <v>660</v>
      </c>
      <c r="N1439" s="47" t="s">
        <v>661</v>
      </c>
      <c r="O1439" s="44" t="s">
        <v>263</v>
      </c>
      <c r="P1439" s="47" t="s">
        <v>531</v>
      </c>
      <c r="Q1439" s="48">
        <v>36630</v>
      </c>
      <c r="R1439" s="49" t="s">
        <v>4</v>
      </c>
      <c r="S1439" s="48" t="s">
        <v>4</v>
      </c>
      <c r="T1439" s="47" t="s">
        <v>525</v>
      </c>
    </row>
    <row r="1440" spans="1:20">
      <c r="A1440" s="46">
        <v>140460392974</v>
      </c>
      <c r="B1440" s="44" t="s">
        <v>517</v>
      </c>
      <c r="C1440" s="45">
        <v>46024</v>
      </c>
      <c r="D1440" s="46">
        <v>55778795012</v>
      </c>
      <c r="E1440" s="46">
        <v>2165666194236</v>
      </c>
      <c r="F1440" s="47" t="s">
        <v>529</v>
      </c>
      <c r="G1440" s="47" t="s">
        <v>519</v>
      </c>
      <c r="H1440" s="47" t="s">
        <v>4</v>
      </c>
      <c r="I1440" s="46" t="s">
        <v>4</v>
      </c>
      <c r="J1440" s="48">
        <v>1776.36</v>
      </c>
      <c r="K1440" s="47" t="s">
        <v>520</v>
      </c>
      <c r="L1440" s="47" t="s">
        <v>530</v>
      </c>
      <c r="M1440" s="46" t="s">
        <v>660</v>
      </c>
      <c r="N1440" s="47" t="s">
        <v>661</v>
      </c>
      <c r="O1440" s="44" t="s">
        <v>263</v>
      </c>
      <c r="P1440" s="47" t="s">
        <v>531</v>
      </c>
      <c r="Q1440" s="48">
        <v>45200</v>
      </c>
      <c r="R1440" s="49" t="s">
        <v>4</v>
      </c>
      <c r="S1440" s="48" t="s">
        <v>4</v>
      </c>
      <c r="T1440" s="47" t="s">
        <v>525</v>
      </c>
    </row>
    <row r="1441" spans="1:20">
      <c r="A1441" s="46">
        <v>139811751527</v>
      </c>
      <c r="B1441" s="44" t="s">
        <v>517</v>
      </c>
      <c r="C1441" s="45">
        <v>46024</v>
      </c>
      <c r="D1441" s="46">
        <v>55778908585</v>
      </c>
      <c r="E1441" s="46">
        <v>2165668549742</v>
      </c>
      <c r="F1441" s="47" t="s">
        <v>518</v>
      </c>
      <c r="G1441" s="47" t="s">
        <v>519</v>
      </c>
      <c r="H1441" s="47" t="s">
        <v>4</v>
      </c>
      <c r="I1441" s="46" t="s">
        <v>4</v>
      </c>
      <c r="J1441" s="48">
        <v>164.9</v>
      </c>
      <c r="K1441" s="47" t="s">
        <v>520</v>
      </c>
      <c r="L1441" s="47" t="s">
        <v>521</v>
      </c>
      <c r="M1441" s="46" t="s">
        <v>807</v>
      </c>
      <c r="N1441" s="47" t="s">
        <v>808</v>
      </c>
      <c r="O1441" s="44" t="s">
        <v>4</v>
      </c>
      <c r="P1441" s="47" t="s">
        <v>1146</v>
      </c>
      <c r="Q1441" s="48">
        <v>17000</v>
      </c>
      <c r="R1441" s="49" t="s">
        <v>4</v>
      </c>
      <c r="S1441" s="48" t="s">
        <v>4</v>
      </c>
      <c r="T1441" s="47" t="s">
        <v>525</v>
      </c>
    </row>
    <row r="1442" spans="1:20">
      <c r="A1442" s="46">
        <v>139815543447</v>
      </c>
      <c r="B1442" s="44" t="s">
        <v>517</v>
      </c>
      <c r="C1442" s="45">
        <v>46024</v>
      </c>
      <c r="D1442" s="46">
        <v>55780377040</v>
      </c>
      <c r="E1442" s="46">
        <v>2165527939613</v>
      </c>
      <c r="F1442" s="47" t="s">
        <v>518</v>
      </c>
      <c r="G1442" s="47" t="s">
        <v>519</v>
      </c>
      <c r="H1442" s="47" t="s">
        <v>4</v>
      </c>
      <c r="I1442" s="46" t="s">
        <v>4</v>
      </c>
      <c r="J1442" s="48">
        <v>46.56</v>
      </c>
      <c r="K1442" s="47" t="s">
        <v>520</v>
      </c>
      <c r="L1442" s="47" t="s">
        <v>521</v>
      </c>
      <c r="M1442" s="46" t="s">
        <v>807</v>
      </c>
      <c r="N1442" s="47" t="s">
        <v>808</v>
      </c>
      <c r="O1442" s="44" t="s">
        <v>4</v>
      </c>
      <c r="P1442" s="47" t="s">
        <v>1147</v>
      </c>
      <c r="Q1442" s="48">
        <v>4800</v>
      </c>
      <c r="R1442" s="49" t="s">
        <v>4</v>
      </c>
      <c r="S1442" s="48" t="s">
        <v>4</v>
      </c>
      <c r="T1442" s="47" t="s">
        <v>525</v>
      </c>
    </row>
    <row r="1443" spans="1:20">
      <c r="A1443" s="46">
        <v>140465124356</v>
      </c>
      <c r="B1443" s="44" t="s">
        <v>517</v>
      </c>
      <c r="C1443" s="45">
        <v>46024</v>
      </c>
      <c r="D1443" s="46">
        <v>55780565485</v>
      </c>
      <c r="E1443" s="46">
        <v>2165702856766</v>
      </c>
      <c r="F1443" s="47" t="s">
        <v>529</v>
      </c>
      <c r="G1443" s="47" t="s">
        <v>519</v>
      </c>
      <c r="H1443" s="47" t="s">
        <v>4</v>
      </c>
      <c r="I1443" s="46" t="s">
        <v>4</v>
      </c>
      <c r="J1443" s="48">
        <v>385.14</v>
      </c>
      <c r="K1443" s="47" t="s">
        <v>520</v>
      </c>
      <c r="L1443" s="47" t="s">
        <v>530</v>
      </c>
      <c r="M1443" s="46" t="s">
        <v>807</v>
      </c>
      <c r="N1443" s="47" t="s">
        <v>808</v>
      </c>
      <c r="O1443" s="44" t="s">
        <v>263</v>
      </c>
      <c r="P1443" s="47" t="s">
        <v>531</v>
      </c>
      <c r="Q1443" s="48">
        <v>9800</v>
      </c>
      <c r="R1443" s="49" t="s">
        <v>4</v>
      </c>
      <c r="S1443" s="48" t="s">
        <v>4</v>
      </c>
      <c r="T1443" s="47" t="s">
        <v>525</v>
      </c>
    </row>
    <row r="1444" spans="1:20">
      <c r="A1444" s="46">
        <v>139818186685</v>
      </c>
      <c r="B1444" s="44" t="s">
        <v>517</v>
      </c>
      <c r="C1444" s="45">
        <v>46024</v>
      </c>
      <c r="D1444" s="46">
        <v>55781351416</v>
      </c>
      <c r="E1444" s="46">
        <v>2165548431325</v>
      </c>
      <c r="F1444" s="47" t="s">
        <v>529</v>
      </c>
      <c r="G1444" s="47" t="s">
        <v>519</v>
      </c>
      <c r="H1444" s="47" t="s">
        <v>4</v>
      </c>
      <c r="I1444" s="46" t="s">
        <v>4</v>
      </c>
      <c r="J1444" s="48">
        <v>1636.15</v>
      </c>
      <c r="K1444" s="47" t="s">
        <v>520</v>
      </c>
      <c r="L1444" s="47" t="s">
        <v>530</v>
      </c>
      <c r="M1444" s="46" t="s">
        <v>807</v>
      </c>
      <c r="N1444" s="47" t="s">
        <v>808</v>
      </c>
      <c r="O1444" s="44" t="s">
        <v>263</v>
      </c>
      <c r="P1444" s="47" t="s">
        <v>531</v>
      </c>
      <c r="Q1444" s="48">
        <v>21500</v>
      </c>
      <c r="R1444" s="49" t="s">
        <v>4</v>
      </c>
      <c r="S1444" s="48" t="s">
        <v>4</v>
      </c>
      <c r="T1444" s="47" t="s">
        <v>525</v>
      </c>
    </row>
    <row r="1445" spans="1:20">
      <c r="A1445" s="46">
        <v>139818909697</v>
      </c>
      <c r="B1445" s="44" t="s">
        <v>517</v>
      </c>
      <c r="C1445" s="45">
        <v>46024</v>
      </c>
      <c r="D1445" s="46">
        <v>55781670393</v>
      </c>
      <c r="E1445" s="46">
        <v>2165726028224</v>
      </c>
      <c r="F1445" s="47" t="s">
        <v>518</v>
      </c>
      <c r="G1445" s="47" t="s">
        <v>519</v>
      </c>
      <c r="H1445" s="47" t="s">
        <v>4</v>
      </c>
      <c r="I1445" s="46" t="s">
        <v>4</v>
      </c>
      <c r="J1445" s="48">
        <v>343.38</v>
      </c>
      <c r="K1445" s="47" t="s">
        <v>520</v>
      </c>
      <c r="L1445" s="47" t="s">
        <v>521</v>
      </c>
      <c r="M1445" s="46" t="s">
        <v>807</v>
      </c>
      <c r="N1445" s="47" t="s">
        <v>808</v>
      </c>
      <c r="O1445" s="44" t="s">
        <v>4</v>
      </c>
      <c r="P1445" s="47" t="s">
        <v>1148</v>
      </c>
      <c r="Q1445" s="48">
        <v>35400</v>
      </c>
      <c r="R1445" s="49" t="s">
        <v>4</v>
      </c>
      <c r="S1445" s="48" t="s">
        <v>4</v>
      </c>
      <c r="T1445" s="47" t="s">
        <v>525</v>
      </c>
    </row>
    <row r="1446" spans="1:20">
      <c r="A1446" s="46">
        <v>139819108001</v>
      </c>
      <c r="B1446" s="44" t="s">
        <v>517</v>
      </c>
      <c r="C1446" s="45">
        <v>46024</v>
      </c>
      <c r="D1446" s="46">
        <v>55781743870</v>
      </c>
      <c r="E1446" s="46">
        <v>2165556847271</v>
      </c>
      <c r="F1446" s="47" t="s">
        <v>518</v>
      </c>
      <c r="G1446" s="47" t="s">
        <v>519</v>
      </c>
      <c r="H1446" s="47" t="s">
        <v>4</v>
      </c>
      <c r="I1446" s="46" t="s">
        <v>4</v>
      </c>
      <c r="J1446" s="48">
        <v>309.43</v>
      </c>
      <c r="K1446" s="47" t="s">
        <v>520</v>
      </c>
      <c r="L1446" s="47" t="s">
        <v>521</v>
      </c>
      <c r="M1446" s="46" t="s">
        <v>807</v>
      </c>
      <c r="N1446" s="47" t="s">
        <v>808</v>
      </c>
      <c r="O1446" s="44" t="s">
        <v>4</v>
      </c>
      <c r="P1446" s="47" t="s">
        <v>1149</v>
      </c>
      <c r="Q1446" s="48">
        <v>31900</v>
      </c>
      <c r="R1446" s="49" t="s">
        <v>4</v>
      </c>
      <c r="S1446" s="48" t="s">
        <v>4</v>
      </c>
      <c r="T1446" s="47" t="s">
        <v>525</v>
      </c>
    </row>
    <row r="1447" spans="1:20">
      <c r="A1447" s="46">
        <v>139819183879</v>
      </c>
      <c r="B1447" s="44" t="s">
        <v>517</v>
      </c>
      <c r="C1447" s="45">
        <v>46024</v>
      </c>
      <c r="D1447" s="46">
        <v>55781796540</v>
      </c>
      <c r="E1447" s="46">
        <v>2165557526445</v>
      </c>
      <c r="F1447" s="47" t="s">
        <v>518</v>
      </c>
      <c r="G1447" s="47" t="s">
        <v>519</v>
      </c>
      <c r="H1447" s="47" t="s">
        <v>4</v>
      </c>
      <c r="I1447" s="46" t="s">
        <v>4</v>
      </c>
      <c r="J1447" s="48">
        <v>138.71</v>
      </c>
      <c r="K1447" s="47" t="s">
        <v>520</v>
      </c>
      <c r="L1447" s="47" t="s">
        <v>521</v>
      </c>
      <c r="M1447" s="46" t="s">
        <v>660</v>
      </c>
      <c r="N1447" s="47" t="s">
        <v>661</v>
      </c>
      <c r="O1447" s="44" t="s">
        <v>4</v>
      </c>
      <c r="P1447" s="47" t="s">
        <v>1150</v>
      </c>
      <c r="Q1447" s="48">
        <v>14300</v>
      </c>
      <c r="R1447" s="49" t="s">
        <v>4</v>
      </c>
      <c r="S1447" s="48" t="s">
        <v>4</v>
      </c>
      <c r="T1447" s="47" t="s">
        <v>525</v>
      </c>
    </row>
    <row r="1448" spans="1:20">
      <c r="A1448" s="46">
        <v>140469314358</v>
      </c>
      <c r="B1448" s="44" t="s">
        <v>517</v>
      </c>
      <c r="C1448" s="45">
        <v>46024</v>
      </c>
      <c r="D1448" s="46">
        <v>55782191777</v>
      </c>
      <c r="E1448" s="46">
        <v>2165566098975</v>
      </c>
      <c r="F1448" s="47" t="s">
        <v>518</v>
      </c>
      <c r="G1448" s="47" t="s">
        <v>519</v>
      </c>
      <c r="H1448" s="47" t="s">
        <v>4</v>
      </c>
      <c r="I1448" s="46" t="s">
        <v>4</v>
      </c>
      <c r="J1448" s="48">
        <v>638.26</v>
      </c>
      <c r="K1448" s="47" t="s">
        <v>520</v>
      </c>
      <c r="L1448" s="47" t="s">
        <v>521</v>
      </c>
      <c r="M1448" s="46" t="s">
        <v>807</v>
      </c>
      <c r="N1448" s="47" t="s">
        <v>808</v>
      </c>
      <c r="O1448" s="44" t="s">
        <v>4</v>
      </c>
      <c r="P1448" s="47" t="s">
        <v>720</v>
      </c>
      <c r="Q1448" s="48">
        <v>65800</v>
      </c>
      <c r="R1448" s="49" t="s">
        <v>4</v>
      </c>
      <c r="S1448" s="48" t="s">
        <v>4</v>
      </c>
      <c r="T1448" s="47" t="s">
        <v>525</v>
      </c>
    </row>
    <row r="1449" spans="1:20">
      <c r="A1449" s="46">
        <v>139820752471</v>
      </c>
      <c r="B1449" s="44" t="s">
        <v>517</v>
      </c>
      <c r="C1449" s="45">
        <v>46024</v>
      </c>
      <c r="D1449" s="46">
        <v>55782353740</v>
      </c>
      <c r="E1449" s="46">
        <v>2165740058016</v>
      </c>
      <c r="F1449" s="47" t="s">
        <v>529</v>
      </c>
      <c r="G1449" s="47" t="s">
        <v>519</v>
      </c>
      <c r="H1449" s="47" t="s">
        <v>4</v>
      </c>
      <c r="I1449" s="46" t="s">
        <v>4</v>
      </c>
      <c r="J1449" s="48">
        <v>1811.73</v>
      </c>
      <c r="K1449" s="47" t="s">
        <v>520</v>
      </c>
      <c r="L1449" s="47" t="s">
        <v>530</v>
      </c>
      <c r="M1449" s="46" t="s">
        <v>660</v>
      </c>
      <c r="N1449" s="47" t="s">
        <v>661</v>
      </c>
      <c r="O1449" s="44" t="s">
        <v>263</v>
      </c>
      <c r="P1449" s="47" t="s">
        <v>531</v>
      </c>
      <c r="Q1449" s="48">
        <v>46100</v>
      </c>
      <c r="R1449" s="49" t="s">
        <v>4</v>
      </c>
      <c r="S1449" s="48" t="s">
        <v>4</v>
      </c>
      <c r="T1449" s="47" t="s">
        <v>525</v>
      </c>
    </row>
    <row r="1450" spans="1:20">
      <c r="A1450" s="46">
        <v>140471837430</v>
      </c>
      <c r="B1450" s="44" t="s">
        <v>517</v>
      </c>
      <c r="C1450" s="45">
        <v>46024</v>
      </c>
      <c r="D1450" s="46">
        <v>55783246669</v>
      </c>
      <c r="E1450" s="46">
        <v>2165587400167</v>
      </c>
      <c r="F1450" s="47" t="s">
        <v>518</v>
      </c>
      <c r="G1450" s="47" t="s">
        <v>519</v>
      </c>
      <c r="H1450" s="47" t="s">
        <v>4</v>
      </c>
      <c r="I1450" s="46" t="s">
        <v>4</v>
      </c>
      <c r="J1450" s="48">
        <v>503.43</v>
      </c>
      <c r="K1450" s="47" t="s">
        <v>520</v>
      </c>
      <c r="L1450" s="47" t="s">
        <v>521</v>
      </c>
      <c r="M1450" s="46" t="s">
        <v>660</v>
      </c>
      <c r="N1450" s="47" t="s">
        <v>661</v>
      </c>
      <c r="O1450" s="44" t="s">
        <v>4</v>
      </c>
      <c r="P1450" s="47" t="s">
        <v>1151</v>
      </c>
      <c r="Q1450" s="48">
        <v>51900</v>
      </c>
      <c r="R1450" s="49" t="s">
        <v>4</v>
      </c>
      <c r="S1450" s="48" t="s">
        <v>4</v>
      </c>
      <c r="T1450" s="47" t="s">
        <v>525</v>
      </c>
    </row>
    <row r="1451" spans="1:20">
      <c r="A1451" s="46">
        <v>139823881151</v>
      </c>
      <c r="B1451" s="44" t="s">
        <v>517</v>
      </c>
      <c r="C1451" s="45">
        <v>46024</v>
      </c>
      <c r="D1451" s="46">
        <v>55783620752</v>
      </c>
      <c r="E1451" s="46">
        <v>2165765523362</v>
      </c>
      <c r="F1451" s="47" t="s">
        <v>518</v>
      </c>
      <c r="G1451" s="47" t="s">
        <v>519</v>
      </c>
      <c r="H1451" s="47" t="s">
        <v>4</v>
      </c>
      <c r="I1451" s="46" t="s">
        <v>4</v>
      </c>
      <c r="J1451" s="48">
        <v>415.16</v>
      </c>
      <c r="K1451" s="47" t="s">
        <v>520</v>
      </c>
      <c r="L1451" s="47" t="s">
        <v>521</v>
      </c>
      <c r="M1451" s="46" t="s">
        <v>807</v>
      </c>
      <c r="N1451" s="47" t="s">
        <v>808</v>
      </c>
      <c r="O1451" s="44" t="s">
        <v>4</v>
      </c>
      <c r="P1451" s="47" t="s">
        <v>1152</v>
      </c>
      <c r="Q1451" s="48">
        <v>42800</v>
      </c>
      <c r="R1451" s="49" t="s">
        <v>4</v>
      </c>
      <c r="S1451" s="48" t="s">
        <v>4</v>
      </c>
      <c r="T1451" s="47" t="s">
        <v>525</v>
      </c>
    </row>
    <row r="1452" spans="1:20">
      <c r="A1452" s="46">
        <v>139824049493</v>
      </c>
      <c r="B1452" s="44" t="s">
        <v>517</v>
      </c>
      <c r="C1452" s="45">
        <v>46024</v>
      </c>
      <c r="D1452" s="46">
        <v>55783703898</v>
      </c>
      <c r="E1452" s="46">
        <v>2165596402639</v>
      </c>
      <c r="F1452" s="47" t="s">
        <v>518</v>
      </c>
      <c r="G1452" s="47" t="s">
        <v>519</v>
      </c>
      <c r="H1452" s="47" t="s">
        <v>4</v>
      </c>
      <c r="I1452" s="46" t="s">
        <v>4</v>
      </c>
      <c r="J1452" s="48">
        <v>218.25</v>
      </c>
      <c r="K1452" s="47" t="s">
        <v>520</v>
      </c>
      <c r="L1452" s="47" t="s">
        <v>521</v>
      </c>
      <c r="M1452" s="46" t="s">
        <v>807</v>
      </c>
      <c r="N1452" s="47" t="s">
        <v>808</v>
      </c>
      <c r="O1452" s="44" t="s">
        <v>4</v>
      </c>
      <c r="P1452" s="47" t="s">
        <v>1153</v>
      </c>
      <c r="Q1452" s="48">
        <v>22500</v>
      </c>
      <c r="R1452" s="49" t="s">
        <v>4</v>
      </c>
      <c r="S1452" s="48" t="s">
        <v>4</v>
      </c>
      <c r="T1452" s="47" t="s">
        <v>525</v>
      </c>
    </row>
    <row r="1453" spans="1:20">
      <c r="A1453" s="46">
        <v>140473080774</v>
      </c>
      <c r="B1453" s="44" t="s">
        <v>517</v>
      </c>
      <c r="C1453" s="45">
        <v>46024</v>
      </c>
      <c r="D1453" s="46">
        <v>55783739619</v>
      </c>
      <c r="E1453" s="46">
        <v>2165767589808</v>
      </c>
      <c r="F1453" s="47" t="s">
        <v>518</v>
      </c>
      <c r="G1453" s="47" t="s">
        <v>519</v>
      </c>
      <c r="H1453" s="47" t="s">
        <v>4</v>
      </c>
      <c r="I1453" s="46" t="s">
        <v>4</v>
      </c>
      <c r="J1453" s="48">
        <v>768.24</v>
      </c>
      <c r="K1453" s="47" t="s">
        <v>520</v>
      </c>
      <c r="L1453" s="47" t="s">
        <v>521</v>
      </c>
      <c r="M1453" s="46" t="s">
        <v>807</v>
      </c>
      <c r="N1453" s="47" t="s">
        <v>808</v>
      </c>
      <c r="O1453" s="44" t="s">
        <v>4</v>
      </c>
      <c r="P1453" s="47" t="s">
        <v>1154</v>
      </c>
      <c r="Q1453" s="48">
        <v>79200</v>
      </c>
      <c r="R1453" s="49" t="s">
        <v>4</v>
      </c>
      <c r="S1453" s="48" t="s">
        <v>4</v>
      </c>
      <c r="T1453" s="47" t="s">
        <v>525</v>
      </c>
    </row>
    <row r="1454" spans="1:20">
      <c r="A1454" s="46">
        <v>140473161866</v>
      </c>
      <c r="B1454" s="44" t="s">
        <v>517</v>
      </c>
      <c r="C1454" s="45">
        <v>46024</v>
      </c>
      <c r="D1454" s="46">
        <v>55783798297</v>
      </c>
      <c r="E1454" s="46">
        <v>2165768864000</v>
      </c>
      <c r="F1454" s="47" t="s">
        <v>518</v>
      </c>
      <c r="G1454" s="47" t="s">
        <v>519</v>
      </c>
      <c r="H1454" s="47" t="s">
        <v>4</v>
      </c>
      <c r="I1454" s="46" t="s">
        <v>4</v>
      </c>
      <c r="J1454" s="48">
        <v>1112.5899999999999</v>
      </c>
      <c r="K1454" s="47" t="s">
        <v>520</v>
      </c>
      <c r="L1454" s="47" t="s">
        <v>521</v>
      </c>
      <c r="M1454" s="46" t="s">
        <v>807</v>
      </c>
      <c r="N1454" s="47" t="s">
        <v>808</v>
      </c>
      <c r="O1454" s="44" t="s">
        <v>4</v>
      </c>
      <c r="P1454" s="47" t="s">
        <v>1155</v>
      </c>
      <c r="Q1454" s="48">
        <v>114700</v>
      </c>
      <c r="R1454" s="49" t="s">
        <v>4</v>
      </c>
      <c r="S1454" s="48" t="s">
        <v>4</v>
      </c>
      <c r="T1454" s="47" t="s">
        <v>525</v>
      </c>
    </row>
    <row r="1455" spans="1:20">
      <c r="A1455" s="46">
        <v>139824539439</v>
      </c>
      <c r="B1455" s="44" t="s">
        <v>517</v>
      </c>
      <c r="C1455" s="45">
        <v>46024</v>
      </c>
      <c r="D1455" s="46">
        <v>55783903871</v>
      </c>
      <c r="E1455" s="46">
        <v>2165771023564</v>
      </c>
      <c r="F1455" s="47" t="s">
        <v>518</v>
      </c>
      <c r="G1455" s="47" t="s">
        <v>519</v>
      </c>
      <c r="H1455" s="47" t="s">
        <v>4</v>
      </c>
      <c r="I1455" s="46" t="s">
        <v>4</v>
      </c>
      <c r="J1455" s="48">
        <v>152.29</v>
      </c>
      <c r="K1455" s="47" t="s">
        <v>520</v>
      </c>
      <c r="L1455" s="47" t="s">
        <v>521</v>
      </c>
      <c r="M1455" s="46" t="s">
        <v>807</v>
      </c>
      <c r="N1455" s="47" t="s">
        <v>808</v>
      </c>
      <c r="O1455" s="44" t="s">
        <v>4</v>
      </c>
      <c r="P1455" s="47" t="s">
        <v>1156</v>
      </c>
      <c r="Q1455" s="48">
        <v>15700</v>
      </c>
      <c r="R1455" s="49" t="s">
        <v>4</v>
      </c>
      <c r="S1455" s="48" t="s">
        <v>4</v>
      </c>
      <c r="T1455" s="47" t="s">
        <v>525</v>
      </c>
    </row>
    <row r="1456" spans="1:20">
      <c r="A1456" s="46">
        <v>139824669207</v>
      </c>
      <c r="B1456" s="44" t="s">
        <v>517</v>
      </c>
      <c r="C1456" s="45">
        <v>46024</v>
      </c>
      <c r="D1456" s="46">
        <v>55783946675</v>
      </c>
      <c r="E1456" s="46">
        <v>2165601148275</v>
      </c>
      <c r="F1456" s="47" t="s">
        <v>529</v>
      </c>
      <c r="G1456" s="47" t="s">
        <v>519</v>
      </c>
      <c r="H1456" s="47" t="s">
        <v>4</v>
      </c>
      <c r="I1456" s="46" t="s">
        <v>4</v>
      </c>
      <c r="J1456" s="48">
        <v>3081.12</v>
      </c>
      <c r="K1456" s="47" t="s">
        <v>520</v>
      </c>
      <c r="L1456" s="47" t="s">
        <v>530</v>
      </c>
      <c r="M1456" s="46" t="s">
        <v>807</v>
      </c>
      <c r="N1456" s="47" t="s">
        <v>808</v>
      </c>
      <c r="O1456" s="44" t="s">
        <v>263</v>
      </c>
      <c r="P1456" s="47" t="s">
        <v>531</v>
      </c>
      <c r="Q1456" s="48">
        <v>78400</v>
      </c>
      <c r="R1456" s="49" t="s">
        <v>4</v>
      </c>
      <c r="S1456" s="48" t="s">
        <v>4</v>
      </c>
      <c r="T1456" s="47" t="s">
        <v>525</v>
      </c>
    </row>
    <row r="1457" spans="1:20">
      <c r="A1457" s="46">
        <v>140473612712</v>
      </c>
      <c r="B1457" s="44" t="s">
        <v>517</v>
      </c>
      <c r="C1457" s="45">
        <v>46024</v>
      </c>
      <c r="D1457" s="46">
        <v>55783966272</v>
      </c>
      <c r="E1457" s="46">
        <v>2165771902644</v>
      </c>
      <c r="F1457" s="47" t="s">
        <v>518</v>
      </c>
      <c r="G1457" s="47" t="s">
        <v>519</v>
      </c>
      <c r="H1457" s="47" t="s">
        <v>4</v>
      </c>
      <c r="I1457" s="46" t="s">
        <v>4</v>
      </c>
      <c r="J1457" s="48">
        <v>477.24</v>
      </c>
      <c r="K1457" s="47" t="s">
        <v>520</v>
      </c>
      <c r="L1457" s="47" t="s">
        <v>521</v>
      </c>
      <c r="M1457" s="46" t="s">
        <v>660</v>
      </c>
      <c r="N1457" s="47" t="s">
        <v>661</v>
      </c>
      <c r="O1457" s="44" t="s">
        <v>4</v>
      </c>
      <c r="P1457" s="47" t="s">
        <v>1157</v>
      </c>
      <c r="Q1457" s="48">
        <v>49200</v>
      </c>
      <c r="R1457" s="49" t="s">
        <v>4</v>
      </c>
      <c r="S1457" s="48" t="s">
        <v>4</v>
      </c>
      <c r="T1457" s="47" t="s">
        <v>525</v>
      </c>
    </row>
    <row r="1458" spans="1:20">
      <c r="A1458" s="46">
        <v>139825310171</v>
      </c>
      <c r="B1458" s="44" t="s">
        <v>517</v>
      </c>
      <c r="C1458" s="45">
        <v>46024</v>
      </c>
      <c r="D1458" s="46">
        <v>55784202839</v>
      </c>
      <c r="E1458" s="46">
        <v>2165776658364</v>
      </c>
      <c r="F1458" s="47" t="s">
        <v>518</v>
      </c>
      <c r="G1458" s="47" t="s">
        <v>519</v>
      </c>
      <c r="H1458" s="47" t="s">
        <v>4</v>
      </c>
      <c r="I1458" s="46" t="s">
        <v>4</v>
      </c>
      <c r="J1458" s="48">
        <v>1925.33</v>
      </c>
      <c r="K1458" s="47" t="s">
        <v>520</v>
      </c>
      <c r="L1458" s="47" t="s">
        <v>521</v>
      </c>
      <c r="M1458" s="46" t="s">
        <v>660</v>
      </c>
      <c r="N1458" s="47" t="s">
        <v>661</v>
      </c>
      <c r="O1458" s="44" t="s">
        <v>4</v>
      </c>
      <c r="P1458" s="47" t="s">
        <v>1158</v>
      </c>
      <c r="Q1458" s="48">
        <v>25300</v>
      </c>
      <c r="R1458" s="49" t="s">
        <v>4</v>
      </c>
      <c r="S1458" s="48" t="s">
        <v>4</v>
      </c>
      <c r="T1458" s="47" t="s">
        <v>525</v>
      </c>
    </row>
    <row r="1459" spans="1:20">
      <c r="A1459" s="46">
        <v>139825235973</v>
      </c>
      <c r="B1459" s="44" t="s">
        <v>517</v>
      </c>
      <c r="C1459" s="45">
        <v>46024</v>
      </c>
      <c r="D1459" s="46">
        <v>55784228564</v>
      </c>
      <c r="E1459" s="46">
        <v>2165606238833</v>
      </c>
      <c r="F1459" s="47" t="s">
        <v>518</v>
      </c>
      <c r="G1459" s="47" t="s">
        <v>519</v>
      </c>
      <c r="H1459" s="47" t="s">
        <v>4</v>
      </c>
      <c r="I1459" s="46" t="s">
        <v>4</v>
      </c>
      <c r="J1459" s="48">
        <v>643.11</v>
      </c>
      <c r="K1459" s="47" t="s">
        <v>520</v>
      </c>
      <c r="L1459" s="47" t="s">
        <v>521</v>
      </c>
      <c r="M1459" s="46" t="s">
        <v>807</v>
      </c>
      <c r="N1459" s="47" t="s">
        <v>808</v>
      </c>
      <c r="O1459" s="44" t="s">
        <v>4</v>
      </c>
      <c r="P1459" s="47" t="s">
        <v>1159</v>
      </c>
      <c r="Q1459" s="48">
        <v>66300</v>
      </c>
      <c r="R1459" s="49" t="s">
        <v>4</v>
      </c>
      <c r="S1459" s="48" t="s">
        <v>4</v>
      </c>
      <c r="T1459" s="47" t="s">
        <v>525</v>
      </c>
    </row>
    <row r="1460" spans="1:20">
      <c r="A1460" s="46">
        <v>140474350040</v>
      </c>
      <c r="B1460" s="44" t="s">
        <v>517</v>
      </c>
      <c r="C1460" s="45">
        <v>46024</v>
      </c>
      <c r="D1460" s="46">
        <v>55784292367</v>
      </c>
      <c r="E1460" s="46">
        <v>2165778148212</v>
      </c>
      <c r="F1460" s="47" t="s">
        <v>529</v>
      </c>
      <c r="G1460" s="47" t="s">
        <v>519</v>
      </c>
      <c r="H1460" s="47" t="s">
        <v>4</v>
      </c>
      <c r="I1460" s="46" t="s">
        <v>4</v>
      </c>
      <c r="J1460" s="48">
        <v>249.7</v>
      </c>
      <c r="K1460" s="47" t="s">
        <v>520</v>
      </c>
      <c r="L1460" s="47" t="s">
        <v>530</v>
      </c>
      <c r="M1460" s="46" t="s">
        <v>807</v>
      </c>
      <c r="N1460" s="47" t="s">
        <v>808</v>
      </c>
      <c r="O1460" s="44" t="s">
        <v>263</v>
      </c>
      <c r="P1460" s="47" t="s">
        <v>531</v>
      </c>
      <c r="Q1460" s="48">
        <v>5500</v>
      </c>
      <c r="R1460" s="49" t="s">
        <v>4</v>
      </c>
      <c r="S1460" s="48" t="s">
        <v>4</v>
      </c>
      <c r="T1460" s="47" t="s">
        <v>525</v>
      </c>
    </row>
    <row r="1461" spans="1:20">
      <c r="A1461" s="46">
        <v>140475369730</v>
      </c>
      <c r="B1461" s="44" t="s">
        <v>517</v>
      </c>
      <c r="C1461" s="45">
        <v>46025</v>
      </c>
      <c r="D1461" s="46">
        <v>55784759575</v>
      </c>
      <c r="E1461" s="46">
        <v>2165785136302</v>
      </c>
      <c r="F1461" s="47" t="s">
        <v>518</v>
      </c>
      <c r="G1461" s="47" t="s">
        <v>519</v>
      </c>
      <c r="H1461" s="47" t="s">
        <v>4</v>
      </c>
      <c r="I1461" s="46" t="s">
        <v>4</v>
      </c>
      <c r="J1461" s="48">
        <v>1658.98</v>
      </c>
      <c r="K1461" s="47" t="s">
        <v>520</v>
      </c>
      <c r="L1461" s="47" t="s">
        <v>521</v>
      </c>
      <c r="M1461" s="46" t="s">
        <v>807</v>
      </c>
      <c r="N1461" s="47" t="s">
        <v>808</v>
      </c>
      <c r="O1461" s="44" t="s">
        <v>4</v>
      </c>
      <c r="P1461" s="47" t="s">
        <v>1160</v>
      </c>
      <c r="Q1461" s="48">
        <v>21800</v>
      </c>
      <c r="R1461" s="49" t="s">
        <v>4</v>
      </c>
      <c r="S1461" s="48" t="s">
        <v>4</v>
      </c>
      <c r="T1461" s="47" t="s">
        <v>525</v>
      </c>
    </row>
    <row r="1462" spans="1:20">
      <c r="A1462" s="46">
        <v>139826622701</v>
      </c>
      <c r="B1462" s="44" t="s">
        <v>517</v>
      </c>
      <c r="C1462" s="45">
        <v>46025</v>
      </c>
      <c r="D1462" s="46">
        <v>55784790631</v>
      </c>
      <c r="E1462" s="46">
        <v>2165785725600</v>
      </c>
      <c r="F1462" s="47" t="s">
        <v>518</v>
      </c>
      <c r="G1462" s="47" t="s">
        <v>519</v>
      </c>
      <c r="H1462" s="47" t="s">
        <v>4</v>
      </c>
      <c r="I1462" s="46" t="s">
        <v>4</v>
      </c>
      <c r="J1462" s="48">
        <v>1803.57</v>
      </c>
      <c r="K1462" s="47" t="s">
        <v>520</v>
      </c>
      <c r="L1462" s="47" t="s">
        <v>521</v>
      </c>
      <c r="M1462" s="46" t="s">
        <v>807</v>
      </c>
      <c r="N1462" s="47" t="s">
        <v>808</v>
      </c>
      <c r="O1462" s="44" t="s">
        <v>4</v>
      </c>
      <c r="P1462" s="47" t="s">
        <v>1161</v>
      </c>
      <c r="Q1462" s="48">
        <v>23700</v>
      </c>
      <c r="R1462" s="49" t="s">
        <v>4</v>
      </c>
      <c r="S1462" s="48" t="s">
        <v>4</v>
      </c>
      <c r="T1462" s="47" t="s">
        <v>525</v>
      </c>
    </row>
    <row r="1463" spans="1:20">
      <c r="A1463" s="46">
        <v>140475655736</v>
      </c>
      <c r="B1463" s="44" t="s">
        <v>517</v>
      </c>
      <c r="C1463" s="45">
        <v>46025</v>
      </c>
      <c r="D1463" s="46">
        <v>55784867688</v>
      </c>
      <c r="E1463" s="46">
        <v>2165786815320</v>
      </c>
      <c r="F1463" s="47" t="s">
        <v>529</v>
      </c>
      <c r="G1463" s="47" t="s">
        <v>519</v>
      </c>
      <c r="H1463" s="47" t="s">
        <v>4</v>
      </c>
      <c r="I1463" s="46" t="s">
        <v>4</v>
      </c>
      <c r="J1463" s="48">
        <v>2534.85</v>
      </c>
      <c r="K1463" s="47" t="s">
        <v>520</v>
      </c>
      <c r="L1463" s="47" t="s">
        <v>530</v>
      </c>
      <c r="M1463" s="46" t="s">
        <v>660</v>
      </c>
      <c r="N1463" s="47" t="s">
        <v>661</v>
      </c>
      <c r="O1463" s="44" t="s">
        <v>263</v>
      </c>
      <c r="P1463" s="47" t="s">
        <v>531</v>
      </c>
      <c r="Q1463" s="48">
        <v>64500</v>
      </c>
      <c r="R1463" s="49" t="s">
        <v>4</v>
      </c>
      <c r="S1463" s="48" t="s">
        <v>4</v>
      </c>
      <c r="T1463" s="47" t="s">
        <v>525</v>
      </c>
    </row>
    <row r="1464" spans="1:20">
      <c r="A1464" s="46">
        <v>140475845762</v>
      </c>
      <c r="B1464" s="44" t="s">
        <v>517</v>
      </c>
      <c r="C1464" s="45">
        <v>46025</v>
      </c>
      <c r="D1464" s="46">
        <v>55784956757</v>
      </c>
      <c r="E1464" s="46">
        <v>2165788192024</v>
      </c>
      <c r="F1464" s="47" t="s">
        <v>518</v>
      </c>
      <c r="G1464" s="47" t="s">
        <v>519</v>
      </c>
      <c r="H1464" s="47" t="s">
        <v>4</v>
      </c>
      <c r="I1464" s="46" t="s">
        <v>4</v>
      </c>
      <c r="J1464" s="48">
        <v>95.06</v>
      </c>
      <c r="K1464" s="47" t="s">
        <v>520</v>
      </c>
      <c r="L1464" s="47" t="s">
        <v>521</v>
      </c>
      <c r="M1464" s="46" t="s">
        <v>807</v>
      </c>
      <c r="N1464" s="47" t="s">
        <v>808</v>
      </c>
      <c r="O1464" s="44" t="s">
        <v>4</v>
      </c>
      <c r="P1464" s="47" t="s">
        <v>1162</v>
      </c>
      <c r="Q1464" s="48">
        <v>9800</v>
      </c>
      <c r="R1464" s="49" t="s">
        <v>4</v>
      </c>
      <c r="S1464" s="48" t="s">
        <v>4</v>
      </c>
      <c r="T1464" s="47" t="s">
        <v>525</v>
      </c>
    </row>
    <row r="1465" spans="1:20">
      <c r="A1465" s="46">
        <v>140476191042</v>
      </c>
      <c r="B1465" s="44" t="s">
        <v>517</v>
      </c>
      <c r="C1465" s="45">
        <v>46025</v>
      </c>
      <c r="D1465" s="46">
        <v>55785078095</v>
      </c>
      <c r="E1465" s="46">
        <v>2165619301711</v>
      </c>
      <c r="F1465" s="47" t="s">
        <v>529</v>
      </c>
      <c r="G1465" s="47" t="s">
        <v>519</v>
      </c>
      <c r="H1465" s="47" t="s">
        <v>4</v>
      </c>
      <c r="I1465" s="46" t="s">
        <v>4</v>
      </c>
      <c r="J1465" s="48">
        <v>2035.74</v>
      </c>
      <c r="K1465" s="47" t="s">
        <v>520</v>
      </c>
      <c r="L1465" s="47" t="s">
        <v>530</v>
      </c>
      <c r="M1465" s="46" t="s">
        <v>660</v>
      </c>
      <c r="N1465" s="47" t="s">
        <v>661</v>
      </c>
      <c r="O1465" s="44" t="s">
        <v>263</v>
      </c>
      <c r="P1465" s="47" t="s">
        <v>531</v>
      </c>
      <c r="Q1465" s="48">
        <v>51800</v>
      </c>
      <c r="R1465" s="49" t="s">
        <v>4</v>
      </c>
      <c r="S1465" s="48" t="s">
        <v>4</v>
      </c>
      <c r="T1465" s="47" t="s">
        <v>525</v>
      </c>
    </row>
    <row r="1466" spans="1:20">
      <c r="A1466" s="46">
        <v>140476558666</v>
      </c>
      <c r="B1466" s="44" t="s">
        <v>517</v>
      </c>
      <c r="C1466" s="45">
        <v>46025</v>
      </c>
      <c r="D1466" s="46">
        <v>55785218384</v>
      </c>
      <c r="E1466" s="46">
        <v>2165621469745</v>
      </c>
      <c r="F1466" s="47" t="s">
        <v>526</v>
      </c>
      <c r="G1466" s="47" t="s">
        <v>519</v>
      </c>
      <c r="H1466" s="47" t="s">
        <v>4</v>
      </c>
      <c r="I1466" s="46" t="s">
        <v>4</v>
      </c>
      <c r="J1466" s="48">
        <v>378.3</v>
      </c>
      <c r="K1466" s="47" t="s">
        <v>520</v>
      </c>
      <c r="L1466" s="47" t="s">
        <v>521</v>
      </c>
      <c r="M1466" s="46" t="s">
        <v>660</v>
      </c>
      <c r="N1466" s="47" t="s">
        <v>661</v>
      </c>
      <c r="O1466" s="44" t="s">
        <v>4</v>
      </c>
      <c r="P1466" s="47" t="s">
        <v>527</v>
      </c>
      <c r="Q1466" s="48">
        <v>39000</v>
      </c>
      <c r="R1466" s="49" t="s">
        <v>4</v>
      </c>
      <c r="S1466" s="48" t="s">
        <v>4</v>
      </c>
      <c r="T1466" s="47" t="s">
        <v>4</v>
      </c>
    </row>
    <row r="1467" spans="1:20">
      <c r="A1467" s="46">
        <v>140476684652</v>
      </c>
      <c r="B1467" s="44" t="s">
        <v>517</v>
      </c>
      <c r="C1467" s="45">
        <v>46025</v>
      </c>
      <c r="D1467" s="46">
        <v>55785274849</v>
      </c>
      <c r="E1467" s="46">
        <v>2165793060678</v>
      </c>
      <c r="F1467" s="47" t="s">
        <v>518</v>
      </c>
      <c r="G1467" s="47" t="s">
        <v>519</v>
      </c>
      <c r="H1467" s="47" t="s">
        <v>4</v>
      </c>
      <c r="I1467" s="46" t="s">
        <v>4</v>
      </c>
      <c r="J1467" s="48">
        <v>480.15</v>
      </c>
      <c r="K1467" s="47" t="s">
        <v>520</v>
      </c>
      <c r="L1467" s="47" t="s">
        <v>521</v>
      </c>
      <c r="M1467" s="46" t="s">
        <v>660</v>
      </c>
      <c r="N1467" s="47" t="s">
        <v>661</v>
      </c>
      <c r="O1467" s="44" t="s">
        <v>4</v>
      </c>
      <c r="P1467" s="47" t="s">
        <v>1163</v>
      </c>
      <c r="Q1467" s="48">
        <v>49500</v>
      </c>
      <c r="R1467" s="49" t="s">
        <v>4</v>
      </c>
      <c r="S1467" s="48" t="s">
        <v>4</v>
      </c>
      <c r="T1467" s="47" t="s">
        <v>525</v>
      </c>
    </row>
    <row r="1468" spans="1:20">
      <c r="A1468" s="46">
        <v>139828741087</v>
      </c>
      <c r="B1468" s="44" t="s">
        <v>517</v>
      </c>
      <c r="C1468" s="45">
        <v>46025</v>
      </c>
      <c r="D1468" s="46">
        <v>55785744452</v>
      </c>
      <c r="E1468" s="46">
        <v>2165629173895</v>
      </c>
      <c r="F1468" s="47" t="s">
        <v>518</v>
      </c>
      <c r="G1468" s="47" t="s">
        <v>519</v>
      </c>
      <c r="H1468" s="47" t="s">
        <v>4</v>
      </c>
      <c r="I1468" s="46" t="s">
        <v>4</v>
      </c>
      <c r="J1468" s="48">
        <v>97</v>
      </c>
      <c r="K1468" s="47" t="s">
        <v>520</v>
      </c>
      <c r="L1468" s="47" t="s">
        <v>521</v>
      </c>
      <c r="M1468" s="46" t="s">
        <v>807</v>
      </c>
      <c r="N1468" s="47" t="s">
        <v>808</v>
      </c>
      <c r="O1468" s="44" t="s">
        <v>4</v>
      </c>
      <c r="P1468" s="47" t="s">
        <v>1164</v>
      </c>
      <c r="Q1468" s="48">
        <v>10000</v>
      </c>
      <c r="R1468" s="49" t="s">
        <v>4</v>
      </c>
      <c r="S1468" s="48" t="s">
        <v>4</v>
      </c>
      <c r="T1468" s="47" t="s">
        <v>525</v>
      </c>
    </row>
    <row r="1469" spans="1:20">
      <c r="A1469" s="46">
        <v>139828918363</v>
      </c>
      <c r="B1469" s="44" t="s">
        <v>517</v>
      </c>
      <c r="C1469" s="45">
        <v>46025</v>
      </c>
      <c r="D1469" s="46">
        <v>55785790837</v>
      </c>
      <c r="E1469" s="46">
        <v>2165629978089</v>
      </c>
      <c r="F1469" s="47" t="s">
        <v>529</v>
      </c>
      <c r="G1469" s="47" t="s">
        <v>519</v>
      </c>
      <c r="H1469" s="47" t="s">
        <v>4</v>
      </c>
      <c r="I1469" s="46" t="s">
        <v>4</v>
      </c>
      <c r="J1469" s="48">
        <v>774.21</v>
      </c>
      <c r="K1469" s="47" t="s">
        <v>520</v>
      </c>
      <c r="L1469" s="47" t="s">
        <v>530</v>
      </c>
      <c r="M1469" s="46" t="s">
        <v>807</v>
      </c>
      <c r="N1469" s="47" t="s">
        <v>808</v>
      </c>
      <c r="O1469" s="44" t="s">
        <v>263</v>
      </c>
      <c r="P1469" s="47" t="s">
        <v>531</v>
      </c>
      <c r="Q1469" s="48">
        <v>19700</v>
      </c>
      <c r="R1469" s="49" t="s">
        <v>4</v>
      </c>
      <c r="S1469" s="48" t="s">
        <v>4</v>
      </c>
      <c r="T1469" s="47" t="s">
        <v>525</v>
      </c>
    </row>
    <row r="1470" spans="1:20">
      <c r="A1470" s="46">
        <v>140477709654</v>
      </c>
      <c r="B1470" s="44" t="s">
        <v>517</v>
      </c>
      <c r="C1470" s="45">
        <v>46025</v>
      </c>
      <c r="D1470" s="46">
        <v>55785794445</v>
      </c>
      <c r="E1470" s="46">
        <v>2165800265590</v>
      </c>
      <c r="F1470" s="47" t="s">
        <v>518</v>
      </c>
      <c r="G1470" s="47" t="s">
        <v>519</v>
      </c>
      <c r="H1470" s="47" t="s">
        <v>4</v>
      </c>
      <c r="I1470" s="46" t="s">
        <v>4</v>
      </c>
      <c r="J1470" s="48">
        <v>239.59</v>
      </c>
      <c r="K1470" s="47" t="s">
        <v>520</v>
      </c>
      <c r="L1470" s="47" t="s">
        <v>521</v>
      </c>
      <c r="M1470" s="46" t="s">
        <v>807</v>
      </c>
      <c r="N1470" s="47" t="s">
        <v>808</v>
      </c>
      <c r="O1470" s="44" t="s">
        <v>4</v>
      </c>
      <c r="P1470" s="47" t="s">
        <v>554</v>
      </c>
      <c r="Q1470" s="48">
        <v>24700</v>
      </c>
      <c r="R1470" s="49" t="s">
        <v>4</v>
      </c>
      <c r="S1470" s="48" t="s">
        <v>4</v>
      </c>
      <c r="T1470" s="47" t="s">
        <v>525</v>
      </c>
    </row>
    <row r="1471" spans="1:20">
      <c r="A1471" s="46">
        <v>139828952797</v>
      </c>
      <c r="B1471" s="44" t="s">
        <v>517</v>
      </c>
      <c r="C1471" s="45">
        <v>46025</v>
      </c>
      <c r="D1471" s="46">
        <v>55785812208</v>
      </c>
      <c r="E1471" s="46">
        <v>2165630699519</v>
      </c>
      <c r="F1471" s="47" t="s">
        <v>518</v>
      </c>
      <c r="G1471" s="47" t="s">
        <v>519</v>
      </c>
      <c r="H1471" s="47" t="s">
        <v>4</v>
      </c>
      <c r="I1471" s="46" t="s">
        <v>4</v>
      </c>
      <c r="J1471" s="48">
        <v>645.04999999999995</v>
      </c>
      <c r="K1471" s="47" t="s">
        <v>520</v>
      </c>
      <c r="L1471" s="47" t="s">
        <v>521</v>
      </c>
      <c r="M1471" s="46" t="s">
        <v>660</v>
      </c>
      <c r="N1471" s="47" t="s">
        <v>661</v>
      </c>
      <c r="O1471" s="44" t="s">
        <v>4</v>
      </c>
      <c r="P1471" s="47" t="s">
        <v>1165</v>
      </c>
      <c r="Q1471" s="48">
        <v>66500</v>
      </c>
      <c r="R1471" s="49" t="s">
        <v>4</v>
      </c>
      <c r="S1471" s="48" t="s">
        <v>4</v>
      </c>
      <c r="T1471" s="47" t="s">
        <v>525</v>
      </c>
    </row>
    <row r="1472" spans="1:20">
      <c r="A1472" s="46">
        <v>139828973615</v>
      </c>
      <c r="B1472" s="44" t="s">
        <v>517</v>
      </c>
      <c r="C1472" s="45">
        <v>46025</v>
      </c>
      <c r="D1472" s="46">
        <v>55785880034</v>
      </c>
      <c r="E1472" s="46">
        <v>2165801765996</v>
      </c>
      <c r="F1472" s="47" t="s">
        <v>529</v>
      </c>
      <c r="G1472" s="47" t="s">
        <v>519</v>
      </c>
      <c r="H1472" s="47" t="s">
        <v>4</v>
      </c>
      <c r="I1472" s="46" t="s">
        <v>4</v>
      </c>
      <c r="J1472" s="48">
        <v>1080.75</v>
      </c>
      <c r="K1472" s="47" t="s">
        <v>520</v>
      </c>
      <c r="L1472" s="47" t="s">
        <v>530</v>
      </c>
      <c r="M1472" s="46" t="s">
        <v>807</v>
      </c>
      <c r="N1472" s="47" t="s">
        <v>808</v>
      </c>
      <c r="O1472" s="44" t="s">
        <v>263</v>
      </c>
      <c r="P1472" s="47" t="s">
        <v>531</v>
      </c>
      <c r="Q1472" s="48">
        <v>27500</v>
      </c>
      <c r="R1472" s="49" t="s">
        <v>4</v>
      </c>
      <c r="S1472" s="48" t="s">
        <v>4</v>
      </c>
      <c r="T1472" s="47" t="s">
        <v>525</v>
      </c>
    </row>
    <row r="1473" spans="1:20">
      <c r="A1473" s="46">
        <v>139829340049</v>
      </c>
      <c r="B1473" s="44" t="s">
        <v>517</v>
      </c>
      <c r="C1473" s="45">
        <v>46025</v>
      </c>
      <c r="D1473" s="46">
        <v>55786043247</v>
      </c>
      <c r="E1473" s="46">
        <v>2165633652229</v>
      </c>
      <c r="F1473" s="47" t="s">
        <v>518</v>
      </c>
      <c r="G1473" s="47" t="s">
        <v>519</v>
      </c>
      <c r="H1473" s="47" t="s">
        <v>4</v>
      </c>
      <c r="I1473" s="46" t="s">
        <v>4</v>
      </c>
      <c r="J1473" s="48">
        <v>941.87</v>
      </c>
      <c r="K1473" s="47" t="s">
        <v>520</v>
      </c>
      <c r="L1473" s="47" t="s">
        <v>521</v>
      </c>
      <c r="M1473" s="46" t="s">
        <v>807</v>
      </c>
      <c r="N1473" s="47" t="s">
        <v>808</v>
      </c>
      <c r="O1473" s="44" t="s">
        <v>4</v>
      </c>
      <c r="P1473" s="47" t="s">
        <v>1166</v>
      </c>
      <c r="Q1473" s="48">
        <v>97100</v>
      </c>
      <c r="R1473" s="49" t="s">
        <v>4</v>
      </c>
      <c r="S1473" s="48" t="s">
        <v>4</v>
      </c>
      <c r="T1473" s="47" t="s">
        <v>525</v>
      </c>
    </row>
    <row r="1474" spans="1:20">
      <c r="A1474" s="46">
        <v>139829449045</v>
      </c>
      <c r="B1474" s="44" t="s">
        <v>517</v>
      </c>
      <c r="C1474" s="45">
        <v>46025</v>
      </c>
      <c r="D1474" s="46">
        <v>55786087632</v>
      </c>
      <c r="E1474" s="46">
        <v>2165633978741</v>
      </c>
      <c r="F1474" s="47" t="s">
        <v>526</v>
      </c>
      <c r="G1474" s="47" t="s">
        <v>519</v>
      </c>
      <c r="H1474" s="47" t="s">
        <v>4</v>
      </c>
      <c r="I1474" s="46" t="s">
        <v>4</v>
      </c>
      <c r="J1474" s="48">
        <v>1266.82</v>
      </c>
      <c r="K1474" s="47" t="s">
        <v>520</v>
      </c>
      <c r="L1474" s="47" t="s">
        <v>521</v>
      </c>
      <c r="M1474" s="46" t="s">
        <v>807</v>
      </c>
      <c r="N1474" s="47" t="s">
        <v>808</v>
      </c>
      <c r="O1474" s="44" t="s">
        <v>4</v>
      </c>
      <c r="P1474" s="47" t="s">
        <v>527</v>
      </c>
      <c r="Q1474" s="48">
        <v>130600</v>
      </c>
      <c r="R1474" s="49" t="s">
        <v>4</v>
      </c>
      <c r="S1474" s="48" t="s">
        <v>4</v>
      </c>
      <c r="T1474" s="47" t="s">
        <v>4</v>
      </c>
    </row>
    <row r="1475" spans="1:20">
      <c r="A1475" s="46">
        <v>140478710238</v>
      </c>
      <c r="B1475" s="44" t="s">
        <v>517</v>
      </c>
      <c r="C1475" s="45">
        <v>46025</v>
      </c>
      <c r="D1475" s="46">
        <v>55786193202</v>
      </c>
      <c r="E1475" s="46">
        <v>2165806478912</v>
      </c>
      <c r="F1475" s="47" t="s">
        <v>518</v>
      </c>
      <c r="G1475" s="47" t="s">
        <v>519</v>
      </c>
      <c r="H1475" s="47" t="s">
        <v>4</v>
      </c>
      <c r="I1475" s="46" t="s">
        <v>4</v>
      </c>
      <c r="J1475" s="48">
        <v>506.34</v>
      </c>
      <c r="K1475" s="47" t="s">
        <v>520</v>
      </c>
      <c r="L1475" s="47" t="s">
        <v>521</v>
      </c>
      <c r="M1475" s="46" t="s">
        <v>807</v>
      </c>
      <c r="N1475" s="47" t="s">
        <v>808</v>
      </c>
      <c r="O1475" s="44" t="s">
        <v>4</v>
      </c>
      <c r="P1475" s="47" t="s">
        <v>1167</v>
      </c>
      <c r="Q1475" s="48">
        <v>52200</v>
      </c>
      <c r="R1475" s="49" t="s">
        <v>4</v>
      </c>
      <c r="S1475" s="48" t="s">
        <v>4</v>
      </c>
      <c r="T1475" s="47" t="s">
        <v>525</v>
      </c>
    </row>
    <row r="1476" spans="1:20">
      <c r="A1476" s="46">
        <v>140478601032</v>
      </c>
      <c r="B1476" s="44" t="s">
        <v>517</v>
      </c>
      <c r="C1476" s="45">
        <v>46025</v>
      </c>
      <c r="D1476" s="46">
        <v>55786209918</v>
      </c>
      <c r="E1476" s="46">
        <v>2165635333333</v>
      </c>
      <c r="F1476" s="47" t="s">
        <v>526</v>
      </c>
      <c r="G1476" s="47" t="s">
        <v>519</v>
      </c>
      <c r="H1476" s="47" t="s">
        <v>4</v>
      </c>
      <c r="I1476" s="46" t="s">
        <v>4</v>
      </c>
      <c r="J1476" s="48">
        <v>236.68</v>
      </c>
      <c r="K1476" s="47" t="s">
        <v>520</v>
      </c>
      <c r="L1476" s="47" t="s">
        <v>521</v>
      </c>
      <c r="M1476" s="46" t="s">
        <v>807</v>
      </c>
      <c r="N1476" s="47" t="s">
        <v>808</v>
      </c>
      <c r="O1476" s="44" t="s">
        <v>4</v>
      </c>
      <c r="P1476" s="47" t="s">
        <v>527</v>
      </c>
      <c r="Q1476" s="48">
        <v>24400</v>
      </c>
      <c r="R1476" s="49" t="s">
        <v>4</v>
      </c>
      <c r="S1476" s="48" t="s">
        <v>4</v>
      </c>
      <c r="T1476" s="47" t="s">
        <v>4</v>
      </c>
    </row>
    <row r="1477" spans="1:20">
      <c r="A1477" s="46">
        <v>140478782816</v>
      </c>
      <c r="B1477" s="44" t="s">
        <v>517</v>
      </c>
      <c r="C1477" s="45">
        <v>46025</v>
      </c>
      <c r="D1477" s="46">
        <v>55786254308</v>
      </c>
      <c r="E1477" s="46">
        <v>2165636498689</v>
      </c>
      <c r="F1477" s="47" t="s">
        <v>529</v>
      </c>
      <c r="G1477" s="47" t="s">
        <v>569</v>
      </c>
      <c r="H1477" s="47" t="s">
        <v>570</v>
      </c>
      <c r="I1477" s="46" t="s">
        <v>4</v>
      </c>
      <c r="J1477" s="48">
        <v>671.92</v>
      </c>
      <c r="K1477" s="47" t="s">
        <v>520</v>
      </c>
      <c r="L1477" s="47" t="s">
        <v>530</v>
      </c>
      <c r="M1477" s="46" t="s">
        <v>807</v>
      </c>
      <c r="N1477" s="47" t="s">
        <v>808</v>
      </c>
      <c r="O1477" s="44" t="s">
        <v>263</v>
      </c>
      <c r="P1477" s="47" t="s">
        <v>531</v>
      </c>
      <c r="Q1477" s="48">
        <v>17020</v>
      </c>
      <c r="R1477" s="49" t="s">
        <v>4</v>
      </c>
      <c r="S1477" s="48" t="s">
        <v>4</v>
      </c>
      <c r="T1477" s="47" t="s">
        <v>525</v>
      </c>
    </row>
    <row r="1478" spans="1:20">
      <c r="A1478" s="46">
        <v>140478687758</v>
      </c>
      <c r="B1478" s="44" t="s">
        <v>517</v>
      </c>
      <c r="C1478" s="45">
        <v>46025</v>
      </c>
      <c r="D1478" s="46">
        <v>55786266676</v>
      </c>
      <c r="E1478" s="46">
        <v>2165806980652</v>
      </c>
      <c r="F1478" s="47" t="s">
        <v>529</v>
      </c>
      <c r="G1478" s="47" t="s">
        <v>519</v>
      </c>
      <c r="H1478" s="47" t="s">
        <v>4</v>
      </c>
      <c r="I1478" s="46" t="s">
        <v>4</v>
      </c>
      <c r="J1478" s="48">
        <v>5836.87</v>
      </c>
      <c r="K1478" s="47" t="s">
        <v>520</v>
      </c>
      <c r="L1478" s="47" t="s">
        <v>530</v>
      </c>
      <c r="M1478" s="46" t="s">
        <v>807</v>
      </c>
      <c r="N1478" s="47" t="s">
        <v>808</v>
      </c>
      <c r="O1478" s="44" t="s">
        <v>263</v>
      </c>
      <c r="P1478" s="47" t="s">
        <v>531</v>
      </c>
      <c r="Q1478" s="48">
        <v>76700</v>
      </c>
      <c r="R1478" s="49" t="s">
        <v>4</v>
      </c>
      <c r="S1478" s="48" t="s">
        <v>4</v>
      </c>
      <c r="T1478" s="47" t="s">
        <v>525</v>
      </c>
    </row>
    <row r="1479" spans="1:20">
      <c r="A1479" s="46">
        <v>140478799384</v>
      </c>
      <c r="B1479" s="44" t="s">
        <v>517</v>
      </c>
      <c r="C1479" s="45">
        <v>46025</v>
      </c>
      <c r="D1479" s="46">
        <v>55786290292</v>
      </c>
      <c r="E1479" s="46">
        <v>2165636580961</v>
      </c>
      <c r="F1479" s="47" t="s">
        <v>529</v>
      </c>
      <c r="G1479" s="47" t="s">
        <v>519</v>
      </c>
      <c r="H1479" s="47" t="s">
        <v>4</v>
      </c>
      <c r="I1479" s="46" t="s">
        <v>4</v>
      </c>
      <c r="J1479" s="48">
        <v>671.92</v>
      </c>
      <c r="K1479" s="47" t="s">
        <v>520</v>
      </c>
      <c r="L1479" s="47" t="s">
        <v>530</v>
      </c>
      <c r="M1479" s="46" t="s">
        <v>807</v>
      </c>
      <c r="N1479" s="47" t="s">
        <v>808</v>
      </c>
      <c r="O1479" s="44" t="s">
        <v>263</v>
      </c>
      <c r="P1479" s="47" t="s">
        <v>531</v>
      </c>
      <c r="Q1479" s="48">
        <v>14800</v>
      </c>
      <c r="R1479" s="49" t="s">
        <v>4</v>
      </c>
      <c r="S1479" s="48" t="s">
        <v>4</v>
      </c>
      <c r="T1479" s="47" t="s">
        <v>525</v>
      </c>
    </row>
    <row r="1480" spans="1:20">
      <c r="A1480" s="46">
        <v>140478782816</v>
      </c>
      <c r="B1480" s="44" t="s">
        <v>517</v>
      </c>
      <c r="C1480" s="45">
        <v>46025</v>
      </c>
      <c r="D1480" s="46">
        <v>55786297292</v>
      </c>
      <c r="E1480" s="46">
        <v>2165636705271</v>
      </c>
      <c r="F1480" s="47" t="s">
        <v>571</v>
      </c>
      <c r="G1480" s="47" t="s">
        <v>569</v>
      </c>
      <c r="H1480" s="47" t="s">
        <v>4</v>
      </c>
      <c r="I1480" s="46">
        <v>55786254308</v>
      </c>
      <c r="J1480" s="48">
        <v>-671.92</v>
      </c>
      <c r="K1480" s="47" t="s">
        <v>520</v>
      </c>
      <c r="L1480" s="47" t="s">
        <v>530</v>
      </c>
      <c r="M1480" s="46" t="s">
        <v>807</v>
      </c>
      <c r="N1480" s="47" t="s">
        <v>808</v>
      </c>
      <c r="O1480" s="44" t="s">
        <v>263</v>
      </c>
      <c r="P1480" s="47" t="s">
        <v>531</v>
      </c>
      <c r="Q1480" s="48">
        <v>17020</v>
      </c>
      <c r="R1480" s="49" t="s">
        <v>4</v>
      </c>
      <c r="S1480" s="48" t="s">
        <v>4</v>
      </c>
      <c r="T1480" s="47" t="s">
        <v>4</v>
      </c>
    </row>
    <row r="1481" spans="1:20">
      <c r="A1481" s="46">
        <v>140479295932</v>
      </c>
      <c r="B1481" s="44" t="s">
        <v>517</v>
      </c>
      <c r="C1481" s="45">
        <v>46025</v>
      </c>
      <c r="D1481" s="46">
        <v>55786559691</v>
      </c>
      <c r="E1481" s="46">
        <v>2165640342375</v>
      </c>
      <c r="F1481" s="47" t="s">
        <v>518</v>
      </c>
      <c r="G1481" s="47" t="s">
        <v>519</v>
      </c>
      <c r="H1481" s="47" t="s">
        <v>4</v>
      </c>
      <c r="I1481" s="46" t="s">
        <v>4</v>
      </c>
      <c r="J1481" s="48">
        <v>345.32</v>
      </c>
      <c r="K1481" s="47" t="s">
        <v>520</v>
      </c>
      <c r="L1481" s="47" t="s">
        <v>521</v>
      </c>
      <c r="M1481" s="46" t="s">
        <v>807</v>
      </c>
      <c r="N1481" s="47" t="s">
        <v>808</v>
      </c>
      <c r="O1481" s="44" t="s">
        <v>4</v>
      </c>
      <c r="P1481" s="47" t="s">
        <v>1168</v>
      </c>
      <c r="Q1481" s="48">
        <v>35600</v>
      </c>
      <c r="R1481" s="49" t="s">
        <v>4</v>
      </c>
      <c r="S1481" s="48" t="s">
        <v>4</v>
      </c>
      <c r="T1481" s="47" t="s">
        <v>525</v>
      </c>
    </row>
    <row r="1482" spans="1:20">
      <c r="A1482" s="46">
        <v>139830614707</v>
      </c>
      <c r="B1482" s="44" t="s">
        <v>517</v>
      </c>
      <c r="C1482" s="45">
        <v>46025</v>
      </c>
      <c r="D1482" s="46">
        <v>55786655934</v>
      </c>
      <c r="E1482" s="46">
        <v>2165811916358</v>
      </c>
      <c r="F1482" s="47" t="s">
        <v>518</v>
      </c>
      <c r="G1482" s="47" t="s">
        <v>519</v>
      </c>
      <c r="H1482" s="47" t="s">
        <v>4</v>
      </c>
      <c r="I1482" s="46" t="s">
        <v>4</v>
      </c>
      <c r="J1482" s="48">
        <v>198.85</v>
      </c>
      <c r="K1482" s="47" t="s">
        <v>520</v>
      </c>
      <c r="L1482" s="47" t="s">
        <v>521</v>
      </c>
      <c r="M1482" s="46" t="s">
        <v>807</v>
      </c>
      <c r="N1482" s="47" t="s">
        <v>808</v>
      </c>
      <c r="O1482" s="44" t="s">
        <v>4</v>
      </c>
      <c r="P1482" s="47" t="s">
        <v>971</v>
      </c>
      <c r="Q1482" s="48">
        <v>20500</v>
      </c>
      <c r="R1482" s="49" t="s">
        <v>4</v>
      </c>
      <c r="S1482" s="48" t="s">
        <v>4</v>
      </c>
      <c r="T1482" s="47" t="s">
        <v>525</v>
      </c>
    </row>
    <row r="1483" spans="1:20">
      <c r="A1483" s="46">
        <v>140480558594</v>
      </c>
      <c r="B1483" s="44" t="s">
        <v>517</v>
      </c>
      <c r="C1483" s="45">
        <v>46025</v>
      </c>
      <c r="D1483" s="46">
        <v>55787159092</v>
      </c>
      <c r="E1483" s="46">
        <v>2165818600588</v>
      </c>
      <c r="F1483" s="47" t="s">
        <v>529</v>
      </c>
      <c r="G1483" s="47" t="s">
        <v>519</v>
      </c>
      <c r="H1483" s="47" t="s">
        <v>4</v>
      </c>
      <c r="I1483" s="46" t="s">
        <v>4</v>
      </c>
      <c r="J1483" s="48">
        <v>581.64</v>
      </c>
      <c r="K1483" s="47" t="s">
        <v>520</v>
      </c>
      <c r="L1483" s="47" t="s">
        <v>530</v>
      </c>
      <c r="M1483" s="46" t="s">
        <v>807</v>
      </c>
      <c r="N1483" s="47" t="s">
        <v>808</v>
      </c>
      <c r="O1483" s="44" t="s">
        <v>263</v>
      </c>
      <c r="P1483" s="47" t="s">
        <v>531</v>
      </c>
      <c r="Q1483" s="48">
        <v>14800</v>
      </c>
      <c r="R1483" s="49" t="s">
        <v>4</v>
      </c>
      <c r="S1483" s="48" t="s">
        <v>4</v>
      </c>
      <c r="T1483" s="47" t="s">
        <v>525</v>
      </c>
    </row>
    <row r="1484" spans="1:20">
      <c r="A1484" s="46">
        <v>139831648949</v>
      </c>
      <c r="B1484" s="44" t="s">
        <v>517</v>
      </c>
      <c r="C1484" s="45">
        <v>46025</v>
      </c>
      <c r="D1484" s="46">
        <v>55787176530</v>
      </c>
      <c r="E1484" s="46">
        <v>2165818860662</v>
      </c>
      <c r="F1484" s="47" t="s">
        <v>518</v>
      </c>
      <c r="G1484" s="47" t="s">
        <v>519</v>
      </c>
      <c r="H1484" s="47" t="s">
        <v>4</v>
      </c>
      <c r="I1484" s="46" t="s">
        <v>4</v>
      </c>
      <c r="J1484" s="48">
        <v>221.16</v>
      </c>
      <c r="K1484" s="47" t="s">
        <v>520</v>
      </c>
      <c r="L1484" s="47" t="s">
        <v>521</v>
      </c>
      <c r="M1484" s="46" t="s">
        <v>660</v>
      </c>
      <c r="N1484" s="47" t="s">
        <v>661</v>
      </c>
      <c r="O1484" s="44" t="s">
        <v>4</v>
      </c>
      <c r="P1484" s="47" t="s">
        <v>1169</v>
      </c>
      <c r="Q1484" s="48">
        <v>22800</v>
      </c>
      <c r="R1484" s="49" t="s">
        <v>4</v>
      </c>
      <c r="S1484" s="48" t="s">
        <v>4</v>
      </c>
      <c r="T1484" s="47" t="s">
        <v>525</v>
      </c>
    </row>
    <row r="1485" spans="1:20">
      <c r="A1485" s="46">
        <v>140480587056</v>
      </c>
      <c r="B1485" s="44" t="s">
        <v>517</v>
      </c>
      <c r="C1485" s="45">
        <v>46025</v>
      </c>
      <c r="D1485" s="46">
        <v>55787180747</v>
      </c>
      <c r="E1485" s="46">
        <v>2165648271575</v>
      </c>
      <c r="F1485" s="47" t="s">
        <v>529</v>
      </c>
      <c r="G1485" s="47" t="s">
        <v>519</v>
      </c>
      <c r="H1485" s="47" t="s">
        <v>4</v>
      </c>
      <c r="I1485" s="46" t="s">
        <v>4</v>
      </c>
      <c r="J1485" s="48">
        <v>2884.62</v>
      </c>
      <c r="K1485" s="47" t="s">
        <v>520</v>
      </c>
      <c r="L1485" s="47" t="s">
        <v>530</v>
      </c>
      <c r="M1485" s="46" t="s">
        <v>807</v>
      </c>
      <c r="N1485" s="47" t="s">
        <v>808</v>
      </c>
      <c r="O1485" s="44" t="s">
        <v>263</v>
      </c>
      <c r="P1485" s="47" t="s">
        <v>531</v>
      </c>
      <c r="Q1485" s="48">
        <v>73400</v>
      </c>
      <c r="R1485" s="49" t="s">
        <v>4</v>
      </c>
      <c r="S1485" s="48" t="s">
        <v>4</v>
      </c>
      <c r="T1485" s="47" t="s">
        <v>525</v>
      </c>
    </row>
    <row r="1486" spans="1:20">
      <c r="A1486" s="46">
        <v>140481198188</v>
      </c>
      <c r="B1486" s="44" t="s">
        <v>517</v>
      </c>
      <c r="C1486" s="45">
        <v>46025</v>
      </c>
      <c r="D1486" s="46">
        <v>55787468730</v>
      </c>
      <c r="E1486" s="46">
        <v>2165651690663</v>
      </c>
      <c r="F1486" s="47" t="s">
        <v>518</v>
      </c>
      <c r="G1486" s="47" t="s">
        <v>519</v>
      </c>
      <c r="H1486" s="47" t="s">
        <v>4</v>
      </c>
      <c r="I1486" s="46" t="s">
        <v>4</v>
      </c>
      <c r="J1486" s="48">
        <v>325.92</v>
      </c>
      <c r="K1486" s="47" t="s">
        <v>520</v>
      </c>
      <c r="L1486" s="47" t="s">
        <v>521</v>
      </c>
      <c r="M1486" s="46" t="s">
        <v>807</v>
      </c>
      <c r="N1486" s="47" t="s">
        <v>808</v>
      </c>
      <c r="O1486" s="44" t="s">
        <v>4</v>
      </c>
      <c r="P1486" s="47" t="s">
        <v>1170</v>
      </c>
      <c r="Q1486" s="48">
        <v>33600</v>
      </c>
      <c r="R1486" s="49" t="s">
        <v>4</v>
      </c>
      <c r="S1486" s="48" t="s">
        <v>4</v>
      </c>
      <c r="T1486" s="47" t="s">
        <v>525</v>
      </c>
    </row>
    <row r="1487" spans="1:20">
      <c r="A1487" s="46">
        <v>140481135926</v>
      </c>
      <c r="B1487" s="44" t="s">
        <v>517</v>
      </c>
      <c r="C1487" s="45">
        <v>46025</v>
      </c>
      <c r="D1487" s="46">
        <v>55787501020</v>
      </c>
      <c r="E1487" s="46">
        <v>2165822741980</v>
      </c>
      <c r="F1487" s="47" t="s">
        <v>518</v>
      </c>
      <c r="G1487" s="47" t="s">
        <v>519</v>
      </c>
      <c r="H1487" s="47" t="s">
        <v>4</v>
      </c>
      <c r="I1487" s="46" t="s">
        <v>4</v>
      </c>
      <c r="J1487" s="48">
        <v>866.21</v>
      </c>
      <c r="K1487" s="47" t="s">
        <v>520</v>
      </c>
      <c r="L1487" s="47" t="s">
        <v>521</v>
      </c>
      <c r="M1487" s="46" t="s">
        <v>807</v>
      </c>
      <c r="N1487" s="47" t="s">
        <v>808</v>
      </c>
      <c r="O1487" s="44" t="s">
        <v>4</v>
      </c>
      <c r="P1487" s="47" t="s">
        <v>1171</v>
      </c>
      <c r="Q1487" s="48">
        <v>89300</v>
      </c>
      <c r="R1487" s="49" t="s">
        <v>4</v>
      </c>
      <c r="S1487" s="48" t="s">
        <v>4</v>
      </c>
      <c r="T1487" s="47" t="s">
        <v>525</v>
      </c>
    </row>
    <row r="1488" spans="1:20">
      <c r="A1488" s="46">
        <v>140481335938</v>
      </c>
      <c r="B1488" s="44" t="s">
        <v>517</v>
      </c>
      <c r="C1488" s="45">
        <v>46025</v>
      </c>
      <c r="D1488" s="46">
        <v>55787600131</v>
      </c>
      <c r="E1488" s="46">
        <v>2165653511181</v>
      </c>
      <c r="F1488" s="47" t="s">
        <v>518</v>
      </c>
      <c r="G1488" s="47" t="s">
        <v>519</v>
      </c>
      <c r="H1488" s="47" t="s">
        <v>4</v>
      </c>
      <c r="I1488" s="46" t="s">
        <v>4</v>
      </c>
      <c r="J1488" s="48">
        <v>48.5</v>
      </c>
      <c r="K1488" s="47" t="s">
        <v>520</v>
      </c>
      <c r="L1488" s="47" t="s">
        <v>521</v>
      </c>
      <c r="M1488" s="46" t="s">
        <v>660</v>
      </c>
      <c r="N1488" s="47" t="s">
        <v>661</v>
      </c>
      <c r="O1488" s="44" t="s">
        <v>4</v>
      </c>
      <c r="P1488" s="47" t="s">
        <v>1172</v>
      </c>
      <c r="Q1488" s="48">
        <v>5000</v>
      </c>
      <c r="R1488" s="49" t="s">
        <v>4</v>
      </c>
      <c r="S1488" s="48" t="s">
        <v>4</v>
      </c>
      <c r="T1488" s="47" t="s">
        <v>525</v>
      </c>
    </row>
    <row r="1489" spans="1:20">
      <c r="A1489" s="46">
        <v>140481518138</v>
      </c>
      <c r="B1489" s="44" t="s">
        <v>517</v>
      </c>
      <c r="C1489" s="45">
        <v>46025</v>
      </c>
      <c r="D1489" s="46">
        <v>55787631251</v>
      </c>
      <c r="E1489" s="46">
        <v>2165654060399</v>
      </c>
      <c r="F1489" s="47" t="s">
        <v>518</v>
      </c>
      <c r="G1489" s="47" t="s">
        <v>519</v>
      </c>
      <c r="H1489" s="47" t="s">
        <v>4</v>
      </c>
      <c r="I1489" s="46" t="s">
        <v>4</v>
      </c>
      <c r="J1489" s="48">
        <v>182.36</v>
      </c>
      <c r="K1489" s="47" t="s">
        <v>520</v>
      </c>
      <c r="L1489" s="47" t="s">
        <v>521</v>
      </c>
      <c r="M1489" s="46" t="s">
        <v>807</v>
      </c>
      <c r="N1489" s="47" t="s">
        <v>808</v>
      </c>
      <c r="O1489" s="44" t="s">
        <v>4</v>
      </c>
      <c r="P1489" s="47" t="s">
        <v>1173</v>
      </c>
      <c r="Q1489" s="48">
        <v>18800</v>
      </c>
      <c r="R1489" s="49" t="s">
        <v>4</v>
      </c>
      <c r="S1489" s="48" t="s">
        <v>4</v>
      </c>
      <c r="T1489" s="47" t="s">
        <v>525</v>
      </c>
    </row>
    <row r="1490" spans="1:20">
      <c r="A1490" s="46">
        <v>139832822689</v>
      </c>
      <c r="B1490" s="44" t="s">
        <v>517</v>
      </c>
      <c r="C1490" s="45">
        <v>46025</v>
      </c>
      <c r="D1490" s="46">
        <v>55787776275</v>
      </c>
      <c r="E1490" s="46">
        <v>2165826649912</v>
      </c>
      <c r="F1490" s="47" t="s">
        <v>518</v>
      </c>
      <c r="G1490" s="47" t="s">
        <v>519</v>
      </c>
      <c r="H1490" s="47" t="s">
        <v>4</v>
      </c>
      <c r="I1490" s="46" t="s">
        <v>4</v>
      </c>
      <c r="J1490" s="48">
        <v>202.73</v>
      </c>
      <c r="K1490" s="47" t="s">
        <v>520</v>
      </c>
      <c r="L1490" s="47" t="s">
        <v>521</v>
      </c>
      <c r="M1490" s="46" t="s">
        <v>660</v>
      </c>
      <c r="N1490" s="47" t="s">
        <v>661</v>
      </c>
      <c r="O1490" s="44" t="s">
        <v>4</v>
      </c>
      <c r="P1490" s="47" t="s">
        <v>772</v>
      </c>
      <c r="Q1490" s="48">
        <v>20900</v>
      </c>
      <c r="R1490" s="49" t="s">
        <v>4</v>
      </c>
      <c r="S1490" s="48" t="s">
        <v>4</v>
      </c>
      <c r="T1490" s="47" t="s">
        <v>525</v>
      </c>
    </row>
    <row r="1491" spans="1:20">
      <c r="A1491" s="46">
        <v>139832848359</v>
      </c>
      <c r="B1491" s="44" t="s">
        <v>517</v>
      </c>
      <c r="C1491" s="45">
        <v>46025</v>
      </c>
      <c r="D1491" s="46">
        <v>55787786015</v>
      </c>
      <c r="E1491" s="46">
        <v>2165655868197</v>
      </c>
      <c r="F1491" s="47" t="s">
        <v>529</v>
      </c>
      <c r="G1491" s="47" t="s">
        <v>519</v>
      </c>
      <c r="H1491" s="47" t="s">
        <v>4</v>
      </c>
      <c r="I1491" s="46" t="s">
        <v>4</v>
      </c>
      <c r="J1491" s="48">
        <v>1171.1400000000001</v>
      </c>
      <c r="K1491" s="47" t="s">
        <v>520</v>
      </c>
      <c r="L1491" s="47" t="s">
        <v>530</v>
      </c>
      <c r="M1491" s="46" t="s">
        <v>807</v>
      </c>
      <c r="N1491" s="47" t="s">
        <v>808</v>
      </c>
      <c r="O1491" s="44" t="s">
        <v>263</v>
      </c>
      <c r="P1491" s="47" t="s">
        <v>531</v>
      </c>
      <c r="Q1491" s="48">
        <v>29800</v>
      </c>
      <c r="R1491" s="49" t="s">
        <v>4</v>
      </c>
      <c r="S1491" s="48" t="s">
        <v>4</v>
      </c>
      <c r="T1491" s="47" t="s">
        <v>525</v>
      </c>
    </row>
    <row r="1492" spans="1:20">
      <c r="A1492" s="46">
        <v>139832944477</v>
      </c>
      <c r="B1492" s="44" t="s">
        <v>517</v>
      </c>
      <c r="C1492" s="45">
        <v>46025</v>
      </c>
      <c r="D1492" s="46">
        <v>55787793446</v>
      </c>
      <c r="E1492" s="46">
        <v>2165827347916</v>
      </c>
      <c r="F1492" s="47" t="s">
        <v>518</v>
      </c>
      <c r="G1492" s="47" t="s">
        <v>519</v>
      </c>
      <c r="H1492" s="47" t="s">
        <v>4</v>
      </c>
      <c r="I1492" s="46" t="s">
        <v>4</v>
      </c>
      <c r="J1492" s="48">
        <v>155.19999999999999</v>
      </c>
      <c r="K1492" s="47" t="s">
        <v>520</v>
      </c>
      <c r="L1492" s="47" t="s">
        <v>521</v>
      </c>
      <c r="M1492" s="46" t="s">
        <v>807</v>
      </c>
      <c r="N1492" s="47" t="s">
        <v>808</v>
      </c>
      <c r="O1492" s="44" t="s">
        <v>4</v>
      </c>
      <c r="P1492" s="47" t="s">
        <v>640</v>
      </c>
      <c r="Q1492" s="48">
        <v>16000</v>
      </c>
      <c r="R1492" s="49" t="s">
        <v>4</v>
      </c>
      <c r="S1492" s="48" t="s">
        <v>4</v>
      </c>
      <c r="T1492" s="47" t="s">
        <v>525</v>
      </c>
    </row>
    <row r="1493" spans="1:20">
      <c r="A1493" s="46">
        <v>140481921024</v>
      </c>
      <c r="B1493" s="44" t="s">
        <v>517</v>
      </c>
      <c r="C1493" s="45">
        <v>46025</v>
      </c>
      <c r="D1493" s="46">
        <v>55787873728</v>
      </c>
      <c r="E1493" s="46">
        <v>2165828039292</v>
      </c>
      <c r="F1493" s="47" t="s">
        <v>518</v>
      </c>
      <c r="G1493" s="47" t="s">
        <v>519</v>
      </c>
      <c r="H1493" s="47" t="s">
        <v>4</v>
      </c>
      <c r="I1493" s="46" t="s">
        <v>4</v>
      </c>
      <c r="J1493" s="48">
        <v>503.43</v>
      </c>
      <c r="K1493" s="47" t="s">
        <v>520</v>
      </c>
      <c r="L1493" s="47" t="s">
        <v>521</v>
      </c>
      <c r="M1493" s="46" t="s">
        <v>807</v>
      </c>
      <c r="N1493" s="47" t="s">
        <v>808</v>
      </c>
      <c r="O1493" s="44" t="s">
        <v>4</v>
      </c>
      <c r="P1493" s="47" t="s">
        <v>1174</v>
      </c>
      <c r="Q1493" s="48">
        <v>51900</v>
      </c>
      <c r="R1493" s="49" t="s">
        <v>4</v>
      </c>
      <c r="S1493" s="48" t="s">
        <v>4</v>
      </c>
      <c r="T1493" s="47" t="s">
        <v>525</v>
      </c>
    </row>
    <row r="1494" spans="1:20">
      <c r="A1494" s="46">
        <v>139833191943</v>
      </c>
      <c r="B1494" s="44" t="s">
        <v>517</v>
      </c>
      <c r="C1494" s="45">
        <v>46025</v>
      </c>
      <c r="D1494" s="46">
        <v>55787998742</v>
      </c>
      <c r="E1494" s="46">
        <v>2165658728783</v>
      </c>
      <c r="F1494" s="47" t="s">
        <v>529</v>
      </c>
      <c r="G1494" s="47" t="s">
        <v>519</v>
      </c>
      <c r="H1494" s="47" t="s">
        <v>4</v>
      </c>
      <c r="I1494" s="46" t="s">
        <v>4</v>
      </c>
      <c r="J1494" s="48">
        <v>358.66</v>
      </c>
      <c r="K1494" s="47" t="s">
        <v>520</v>
      </c>
      <c r="L1494" s="47" t="s">
        <v>530</v>
      </c>
      <c r="M1494" s="46" t="s">
        <v>807</v>
      </c>
      <c r="N1494" s="47" t="s">
        <v>808</v>
      </c>
      <c r="O1494" s="44" t="s">
        <v>263</v>
      </c>
      <c r="P1494" s="47" t="s">
        <v>531</v>
      </c>
      <c r="Q1494" s="48">
        <v>7900</v>
      </c>
      <c r="R1494" s="49" t="s">
        <v>4</v>
      </c>
      <c r="S1494" s="48" t="s">
        <v>4</v>
      </c>
      <c r="T1494" s="47" t="s">
        <v>525</v>
      </c>
    </row>
    <row r="1495" spans="1:20">
      <c r="A1495" s="46">
        <v>140482286660</v>
      </c>
      <c r="B1495" s="44" t="s">
        <v>517</v>
      </c>
      <c r="C1495" s="45">
        <v>46025</v>
      </c>
      <c r="D1495" s="46">
        <v>55788002771</v>
      </c>
      <c r="E1495" s="46">
        <v>2165659182571</v>
      </c>
      <c r="F1495" s="47" t="s">
        <v>518</v>
      </c>
      <c r="G1495" s="47" t="s">
        <v>519</v>
      </c>
      <c r="H1495" s="47" t="s">
        <v>4</v>
      </c>
      <c r="I1495" s="46" t="s">
        <v>4</v>
      </c>
      <c r="J1495" s="48">
        <v>665.42</v>
      </c>
      <c r="K1495" s="47" t="s">
        <v>520</v>
      </c>
      <c r="L1495" s="47" t="s">
        <v>521</v>
      </c>
      <c r="M1495" s="46" t="s">
        <v>807</v>
      </c>
      <c r="N1495" s="47" t="s">
        <v>808</v>
      </c>
      <c r="O1495" s="44" t="s">
        <v>4</v>
      </c>
      <c r="P1495" s="47" t="s">
        <v>935</v>
      </c>
      <c r="Q1495" s="48">
        <v>68600</v>
      </c>
      <c r="R1495" s="49" t="s">
        <v>4</v>
      </c>
      <c r="S1495" s="48" t="s">
        <v>4</v>
      </c>
      <c r="T1495" s="47" t="s">
        <v>525</v>
      </c>
    </row>
    <row r="1496" spans="1:20">
      <c r="A1496" s="46">
        <v>140482304138</v>
      </c>
      <c r="B1496" s="44" t="s">
        <v>517</v>
      </c>
      <c r="C1496" s="45">
        <v>46025</v>
      </c>
      <c r="D1496" s="46">
        <v>55788010021</v>
      </c>
      <c r="E1496" s="46">
        <v>2165659221187</v>
      </c>
      <c r="F1496" s="47" t="s">
        <v>518</v>
      </c>
      <c r="G1496" s="47" t="s">
        <v>519</v>
      </c>
      <c r="H1496" s="47" t="s">
        <v>4</v>
      </c>
      <c r="I1496" s="46" t="s">
        <v>4</v>
      </c>
      <c r="J1496" s="48">
        <v>305.55</v>
      </c>
      <c r="K1496" s="47" t="s">
        <v>520</v>
      </c>
      <c r="L1496" s="47" t="s">
        <v>521</v>
      </c>
      <c r="M1496" s="46" t="s">
        <v>807</v>
      </c>
      <c r="N1496" s="47" t="s">
        <v>808</v>
      </c>
      <c r="O1496" s="44" t="s">
        <v>4</v>
      </c>
      <c r="P1496" s="47" t="s">
        <v>1175</v>
      </c>
      <c r="Q1496" s="48">
        <v>31500</v>
      </c>
      <c r="R1496" s="49" t="s">
        <v>4</v>
      </c>
      <c r="S1496" s="48" t="s">
        <v>4</v>
      </c>
      <c r="T1496" s="47" t="s">
        <v>525</v>
      </c>
    </row>
    <row r="1497" spans="1:20">
      <c r="A1497" s="46">
        <v>140482348224</v>
      </c>
      <c r="B1497" s="44" t="s">
        <v>517</v>
      </c>
      <c r="C1497" s="45">
        <v>46025</v>
      </c>
      <c r="D1497" s="46">
        <v>55788038956</v>
      </c>
      <c r="E1497" s="46">
        <v>2165659416969</v>
      </c>
      <c r="F1497" s="47" t="s">
        <v>518</v>
      </c>
      <c r="G1497" s="47" t="s">
        <v>519</v>
      </c>
      <c r="H1497" s="47" t="s">
        <v>4</v>
      </c>
      <c r="I1497" s="46" t="s">
        <v>4</v>
      </c>
      <c r="J1497" s="48">
        <v>353.08</v>
      </c>
      <c r="K1497" s="47" t="s">
        <v>520</v>
      </c>
      <c r="L1497" s="47" t="s">
        <v>521</v>
      </c>
      <c r="M1497" s="46" t="s">
        <v>807</v>
      </c>
      <c r="N1497" s="47" t="s">
        <v>808</v>
      </c>
      <c r="O1497" s="44" t="s">
        <v>4</v>
      </c>
      <c r="P1497" s="47" t="s">
        <v>1176</v>
      </c>
      <c r="Q1497" s="48">
        <v>36400</v>
      </c>
      <c r="R1497" s="49" t="s">
        <v>4</v>
      </c>
      <c r="S1497" s="48" t="s">
        <v>4</v>
      </c>
      <c r="T1497" s="47" t="s">
        <v>525</v>
      </c>
    </row>
    <row r="1498" spans="1:20">
      <c r="A1498" s="46">
        <v>140482309240</v>
      </c>
      <c r="B1498" s="44" t="s">
        <v>517</v>
      </c>
      <c r="C1498" s="45">
        <v>46025</v>
      </c>
      <c r="D1498" s="46">
        <v>55788043083</v>
      </c>
      <c r="E1498" s="46">
        <v>2165830204802</v>
      </c>
      <c r="F1498" s="47" t="s">
        <v>518</v>
      </c>
      <c r="G1498" s="47" t="s">
        <v>519</v>
      </c>
      <c r="H1498" s="47" t="s">
        <v>4</v>
      </c>
      <c r="I1498" s="46" t="s">
        <v>4</v>
      </c>
      <c r="J1498" s="48">
        <v>203.7</v>
      </c>
      <c r="K1498" s="47" t="s">
        <v>520</v>
      </c>
      <c r="L1498" s="47" t="s">
        <v>521</v>
      </c>
      <c r="M1498" s="46" t="s">
        <v>807</v>
      </c>
      <c r="N1498" s="47" t="s">
        <v>808</v>
      </c>
      <c r="O1498" s="44" t="s">
        <v>4</v>
      </c>
      <c r="P1498" s="47" t="s">
        <v>1177</v>
      </c>
      <c r="Q1498" s="48">
        <v>21000</v>
      </c>
      <c r="R1498" s="49" t="s">
        <v>4</v>
      </c>
      <c r="S1498" s="48" t="s">
        <v>4</v>
      </c>
      <c r="T1498" s="47" t="s">
        <v>525</v>
      </c>
    </row>
    <row r="1499" spans="1:20">
      <c r="A1499" s="46">
        <v>139833347265</v>
      </c>
      <c r="B1499" s="44" t="s">
        <v>517</v>
      </c>
      <c r="C1499" s="45">
        <v>46025</v>
      </c>
      <c r="D1499" s="46">
        <v>55788069588</v>
      </c>
      <c r="E1499" s="46">
        <v>2165659871667</v>
      </c>
      <c r="F1499" s="47" t="s">
        <v>518</v>
      </c>
      <c r="G1499" s="47" t="s">
        <v>519</v>
      </c>
      <c r="H1499" s="47" t="s">
        <v>4</v>
      </c>
      <c r="I1499" s="46" t="s">
        <v>4</v>
      </c>
      <c r="J1499" s="48">
        <v>340.47</v>
      </c>
      <c r="K1499" s="47" t="s">
        <v>520</v>
      </c>
      <c r="L1499" s="47" t="s">
        <v>521</v>
      </c>
      <c r="M1499" s="46" t="s">
        <v>807</v>
      </c>
      <c r="N1499" s="47" t="s">
        <v>808</v>
      </c>
      <c r="O1499" s="44" t="s">
        <v>4</v>
      </c>
      <c r="P1499" s="47" t="s">
        <v>1178</v>
      </c>
      <c r="Q1499" s="48">
        <v>35100</v>
      </c>
      <c r="R1499" s="49" t="s">
        <v>4</v>
      </c>
      <c r="S1499" s="48" t="s">
        <v>4</v>
      </c>
      <c r="T1499" s="47" t="s">
        <v>525</v>
      </c>
    </row>
    <row r="1500" spans="1:20">
      <c r="A1500" s="46">
        <v>140482334014</v>
      </c>
      <c r="B1500" s="44" t="s">
        <v>517</v>
      </c>
      <c r="C1500" s="45">
        <v>46025</v>
      </c>
      <c r="D1500" s="46">
        <v>55788120123</v>
      </c>
      <c r="E1500" s="46">
        <v>2165830855034</v>
      </c>
      <c r="F1500" s="47" t="s">
        <v>518</v>
      </c>
      <c r="G1500" s="47" t="s">
        <v>519</v>
      </c>
      <c r="H1500" s="47" t="s">
        <v>4</v>
      </c>
      <c r="I1500" s="46" t="s">
        <v>4</v>
      </c>
      <c r="J1500" s="48">
        <v>188.18</v>
      </c>
      <c r="K1500" s="47" t="s">
        <v>520</v>
      </c>
      <c r="L1500" s="47" t="s">
        <v>521</v>
      </c>
      <c r="M1500" s="46" t="s">
        <v>807</v>
      </c>
      <c r="N1500" s="47" t="s">
        <v>808</v>
      </c>
      <c r="O1500" s="44" t="s">
        <v>4</v>
      </c>
      <c r="P1500" s="47" t="s">
        <v>1162</v>
      </c>
      <c r="Q1500" s="48">
        <v>19400</v>
      </c>
      <c r="R1500" s="49" t="s">
        <v>4</v>
      </c>
      <c r="S1500" s="48" t="s">
        <v>4</v>
      </c>
      <c r="T1500" s="47" t="s">
        <v>525</v>
      </c>
    </row>
    <row r="1501" spans="1:20">
      <c r="A1501" s="46">
        <v>139907887615</v>
      </c>
      <c r="B1501" s="44" t="s">
        <v>517</v>
      </c>
      <c r="C1501" s="45">
        <v>46025</v>
      </c>
      <c r="D1501" s="46">
        <v>55820073478</v>
      </c>
      <c r="E1501" s="46">
        <v>2166118297573</v>
      </c>
      <c r="F1501" s="47" t="s">
        <v>529</v>
      </c>
      <c r="G1501" s="47" t="s">
        <v>519</v>
      </c>
      <c r="H1501" s="47" t="s">
        <v>4</v>
      </c>
      <c r="I1501" s="46" t="s">
        <v>4</v>
      </c>
      <c r="J1501" s="48">
        <v>393</v>
      </c>
      <c r="K1501" s="47" t="s">
        <v>520</v>
      </c>
      <c r="L1501" s="47" t="s">
        <v>530</v>
      </c>
      <c r="M1501" s="46" t="s">
        <v>660</v>
      </c>
      <c r="N1501" s="47" t="s">
        <v>661</v>
      </c>
      <c r="O1501" s="44" t="s">
        <v>263</v>
      </c>
      <c r="P1501" s="47" t="s">
        <v>531</v>
      </c>
      <c r="Q1501" s="48">
        <v>10000</v>
      </c>
      <c r="R1501" s="49" t="s">
        <v>4</v>
      </c>
      <c r="S1501" s="48" t="s">
        <v>4</v>
      </c>
      <c r="T1501" s="47" t="s">
        <v>525</v>
      </c>
    </row>
    <row r="1502" spans="1:20">
      <c r="A1502" s="46">
        <v>140564489026</v>
      </c>
      <c r="B1502" s="44" t="s">
        <v>517</v>
      </c>
      <c r="C1502" s="45">
        <v>46025</v>
      </c>
      <c r="D1502" s="46">
        <v>55822830962</v>
      </c>
      <c r="E1502" s="46">
        <v>2166333923812</v>
      </c>
      <c r="F1502" s="47" t="s">
        <v>529</v>
      </c>
      <c r="G1502" s="47" t="s">
        <v>519</v>
      </c>
      <c r="H1502" s="47" t="s">
        <v>4</v>
      </c>
      <c r="I1502" s="46" t="s">
        <v>4</v>
      </c>
      <c r="J1502" s="48">
        <v>298.68</v>
      </c>
      <c r="K1502" s="47" t="s">
        <v>520</v>
      </c>
      <c r="L1502" s="47" t="s">
        <v>530</v>
      </c>
      <c r="M1502" s="46" t="s">
        <v>660</v>
      </c>
      <c r="N1502" s="47" t="s">
        <v>661</v>
      </c>
      <c r="O1502" s="44" t="s">
        <v>263</v>
      </c>
      <c r="P1502" s="47" t="s">
        <v>531</v>
      </c>
      <c r="Q1502" s="48">
        <v>7600</v>
      </c>
      <c r="R1502" s="49" t="s">
        <v>4</v>
      </c>
      <c r="S1502" s="48" t="s">
        <v>4</v>
      </c>
      <c r="T1502" s="47" t="s">
        <v>525</v>
      </c>
    </row>
    <row r="1503" spans="1:20">
      <c r="A1503" s="46">
        <v>139915485401</v>
      </c>
      <c r="B1503" s="44" t="s">
        <v>517</v>
      </c>
      <c r="C1503" s="45">
        <v>46025</v>
      </c>
      <c r="D1503" s="46">
        <v>55822998005</v>
      </c>
      <c r="E1503" s="46">
        <v>2166336636380</v>
      </c>
      <c r="F1503" s="47" t="s">
        <v>529</v>
      </c>
      <c r="G1503" s="47" t="s">
        <v>519</v>
      </c>
      <c r="H1503" s="47" t="s">
        <v>4</v>
      </c>
      <c r="I1503" s="46" t="s">
        <v>4</v>
      </c>
      <c r="J1503" s="48">
        <v>761</v>
      </c>
      <c r="K1503" s="47" t="s">
        <v>520</v>
      </c>
      <c r="L1503" s="47" t="s">
        <v>530</v>
      </c>
      <c r="M1503" s="46" t="s">
        <v>807</v>
      </c>
      <c r="N1503" s="47" t="s">
        <v>808</v>
      </c>
      <c r="O1503" s="44" t="s">
        <v>263</v>
      </c>
      <c r="P1503" s="47" t="s">
        <v>531</v>
      </c>
      <c r="Q1503" s="48">
        <v>10000</v>
      </c>
      <c r="R1503" s="49" t="s">
        <v>4</v>
      </c>
      <c r="S1503" s="48" t="s">
        <v>4</v>
      </c>
      <c r="T1503" s="47" t="s">
        <v>525</v>
      </c>
    </row>
    <row r="1504" spans="1:20">
      <c r="A1504" s="46">
        <v>140567731608</v>
      </c>
      <c r="B1504" s="44" t="s">
        <v>517</v>
      </c>
      <c r="C1504" s="45">
        <v>46025</v>
      </c>
      <c r="D1504" s="46">
        <v>55824059754</v>
      </c>
      <c r="E1504" s="46">
        <v>2166183534021</v>
      </c>
      <c r="F1504" s="47" t="s">
        <v>562</v>
      </c>
      <c r="G1504" s="47" t="s">
        <v>519</v>
      </c>
      <c r="H1504" s="47" t="s">
        <v>4</v>
      </c>
      <c r="I1504" s="46" t="s">
        <v>4</v>
      </c>
      <c r="J1504" s="48">
        <v>179.3</v>
      </c>
      <c r="K1504" s="47" t="s">
        <v>520</v>
      </c>
      <c r="L1504" s="47" t="s">
        <v>521</v>
      </c>
      <c r="M1504" s="46" t="s">
        <v>807</v>
      </c>
      <c r="N1504" s="47" t="s">
        <v>808</v>
      </c>
      <c r="O1504" s="44" t="s">
        <v>4</v>
      </c>
      <c r="P1504" s="47" t="s">
        <v>563</v>
      </c>
      <c r="Q1504" s="48">
        <v>11000</v>
      </c>
      <c r="R1504" s="49" t="s">
        <v>4</v>
      </c>
      <c r="S1504" s="48" t="s">
        <v>4</v>
      </c>
      <c r="T1504" s="47" t="s">
        <v>525</v>
      </c>
    </row>
    <row r="1505" spans="1:20">
      <c r="A1505" s="46">
        <v>139919530891</v>
      </c>
      <c r="B1505" s="44" t="s">
        <v>517</v>
      </c>
      <c r="C1505" s="45">
        <v>46025</v>
      </c>
      <c r="D1505" s="46">
        <v>55824473655</v>
      </c>
      <c r="E1505" s="46">
        <v>2166190531501</v>
      </c>
      <c r="F1505" s="47" t="s">
        <v>518</v>
      </c>
      <c r="G1505" s="47" t="s">
        <v>519</v>
      </c>
      <c r="H1505" s="47" t="s">
        <v>4</v>
      </c>
      <c r="I1505" s="46" t="s">
        <v>4</v>
      </c>
      <c r="J1505" s="48">
        <v>145.5</v>
      </c>
      <c r="K1505" s="47" t="s">
        <v>520</v>
      </c>
      <c r="L1505" s="47" t="s">
        <v>521</v>
      </c>
      <c r="M1505" s="46" t="s">
        <v>660</v>
      </c>
      <c r="N1505" s="47" t="s">
        <v>661</v>
      </c>
      <c r="O1505" s="44" t="s">
        <v>4</v>
      </c>
      <c r="P1505" s="47" t="s">
        <v>1179</v>
      </c>
      <c r="Q1505" s="48">
        <v>15000</v>
      </c>
      <c r="R1505" s="49" t="s">
        <v>4</v>
      </c>
      <c r="S1505" s="48" t="s">
        <v>4</v>
      </c>
      <c r="T1505" s="47" t="s">
        <v>525</v>
      </c>
    </row>
    <row r="1506" spans="1:20">
      <c r="A1506" s="46">
        <v>139920291907</v>
      </c>
      <c r="B1506" s="44" t="s">
        <v>517</v>
      </c>
      <c r="C1506" s="45">
        <v>46025</v>
      </c>
      <c r="D1506" s="46">
        <v>55824810243</v>
      </c>
      <c r="E1506" s="46">
        <v>2166196495339</v>
      </c>
      <c r="F1506" s="47" t="s">
        <v>529</v>
      </c>
      <c r="G1506" s="47" t="s">
        <v>519</v>
      </c>
      <c r="H1506" s="47" t="s">
        <v>4</v>
      </c>
      <c r="I1506" s="46" t="s">
        <v>4</v>
      </c>
      <c r="J1506" s="48">
        <v>380.5</v>
      </c>
      <c r="K1506" s="47" t="s">
        <v>520</v>
      </c>
      <c r="L1506" s="47" t="s">
        <v>530</v>
      </c>
      <c r="M1506" s="46" t="s">
        <v>807</v>
      </c>
      <c r="N1506" s="47" t="s">
        <v>808</v>
      </c>
      <c r="O1506" s="44" t="s">
        <v>263</v>
      </c>
      <c r="P1506" s="47" t="s">
        <v>531</v>
      </c>
      <c r="Q1506" s="48">
        <v>5000</v>
      </c>
      <c r="R1506" s="49" t="s">
        <v>4</v>
      </c>
      <c r="S1506" s="48" t="s">
        <v>4</v>
      </c>
      <c r="T1506" s="47" t="s">
        <v>525</v>
      </c>
    </row>
    <row r="1507" spans="1:20">
      <c r="A1507" s="46">
        <v>139922841515</v>
      </c>
      <c r="B1507" s="44" t="s">
        <v>517</v>
      </c>
      <c r="C1507" s="45">
        <v>46025</v>
      </c>
      <c r="D1507" s="46">
        <v>55825738639</v>
      </c>
      <c r="E1507" s="46">
        <v>2166211876805</v>
      </c>
      <c r="F1507" s="47" t="s">
        <v>529</v>
      </c>
      <c r="G1507" s="47" t="s">
        <v>519</v>
      </c>
      <c r="H1507" s="47" t="s">
        <v>4</v>
      </c>
      <c r="I1507" s="46" t="s">
        <v>4</v>
      </c>
      <c r="J1507" s="48">
        <v>730.98</v>
      </c>
      <c r="K1507" s="47" t="s">
        <v>520</v>
      </c>
      <c r="L1507" s="47" t="s">
        <v>530</v>
      </c>
      <c r="M1507" s="46" t="s">
        <v>807</v>
      </c>
      <c r="N1507" s="47" t="s">
        <v>808</v>
      </c>
      <c r="O1507" s="44" t="s">
        <v>263</v>
      </c>
      <c r="P1507" s="47" t="s">
        <v>531</v>
      </c>
      <c r="Q1507" s="48">
        <v>18600</v>
      </c>
      <c r="R1507" s="49" t="s">
        <v>4</v>
      </c>
      <c r="S1507" s="48" t="s">
        <v>4</v>
      </c>
      <c r="T1507" s="47" t="s">
        <v>525</v>
      </c>
    </row>
    <row r="1508" spans="1:20">
      <c r="A1508" s="46">
        <v>139926090757</v>
      </c>
      <c r="B1508" s="44" t="s">
        <v>517</v>
      </c>
      <c r="C1508" s="45">
        <v>46025</v>
      </c>
      <c r="D1508" s="46">
        <v>55826905375</v>
      </c>
      <c r="E1508" s="46">
        <v>2166231571085</v>
      </c>
      <c r="F1508" s="47" t="s">
        <v>529</v>
      </c>
      <c r="G1508" s="47" t="s">
        <v>519</v>
      </c>
      <c r="H1508" s="47" t="s">
        <v>4</v>
      </c>
      <c r="I1508" s="46" t="s">
        <v>4</v>
      </c>
      <c r="J1508" s="48">
        <v>206.33</v>
      </c>
      <c r="K1508" s="47" t="s">
        <v>520</v>
      </c>
      <c r="L1508" s="47" t="s">
        <v>530</v>
      </c>
      <c r="M1508" s="46" t="s">
        <v>660</v>
      </c>
      <c r="N1508" s="47" t="s">
        <v>661</v>
      </c>
      <c r="O1508" s="44" t="s">
        <v>263</v>
      </c>
      <c r="P1508" s="47" t="s">
        <v>531</v>
      </c>
      <c r="Q1508" s="48">
        <v>5250</v>
      </c>
      <c r="R1508" s="49" t="s">
        <v>4</v>
      </c>
      <c r="S1508" s="48" t="s">
        <v>4</v>
      </c>
      <c r="T1508" s="47" t="s">
        <v>525</v>
      </c>
    </row>
    <row r="1509" spans="1:20">
      <c r="A1509" s="46">
        <v>140575537602</v>
      </c>
      <c r="B1509" s="44" t="s">
        <v>517</v>
      </c>
      <c r="C1509" s="45">
        <v>46025</v>
      </c>
      <c r="D1509" s="46">
        <v>55826949344</v>
      </c>
      <c r="E1509" s="46">
        <v>2166232481443</v>
      </c>
      <c r="F1509" s="47" t="s">
        <v>529</v>
      </c>
      <c r="G1509" s="47" t="s">
        <v>519</v>
      </c>
      <c r="H1509" s="47" t="s">
        <v>4</v>
      </c>
      <c r="I1509" s="46" t="s">
        <v>4</v>
      </c>
      <c r="J1509" s="48">
        <v>510.9</v>
      </c>
      <c r="K1509" s="47" t="s">
        <v>520</v>
      </c>
      <c r="L1509" s="47" t="s">
        <v>530</v>
      </c>
      <c r="M1509" s="46" t="s">
        <v>807</v>
      </c>
      <c r="N1509" s="47" t="s">
        <v>808</v>
      </c>
      <c r="O1509" s="44" t="s">
        <v>263</v>
      </c>
      <c r="P1509" s="47" t="s">
        <v>531</v>
      </c>
      <c r="Q1509" s="48">
        <v>13000</v>
      </c>
      <c r="R1509" s="49" t="s">
        <v>4</v>
      </c>
      <c r="S1509" s="48" t="s">
        <v>4</v>
      </c>
      <c r="T1509" s="47" t="s">
        <v>525</v>
      </c>
    </row>
    <row r="1510" spans="1:20">
      <c r="A1510" s="46">
        <v>139926366295</v>
      </c>
      <c r="B1510" s="44" t="s">
        <v>517</v>
      </c>
      <c r="C1510" s="45">
        <v>46025</v>
      </c>
      <c r="D1510" s="46">
        <v>55827009543</v>
      </c>
      <c r="E1510" s="46">
        <v>2166404375094</v>
      </c>
      <c r="F1510" s="47" t="s">
        <v>529</v>
      </c>
      <c r="G1510" s="47" t="s">
        <v>519</v>
      </c>
      <c r="H1510" s="47" t="s">
        <v>4</v>
      </c>
      <c r="I1510" s="46" t="s">
        <v>4</v>
      </c>
      <c r="J1510" s="48">
        <v>542.34</v>
      </c>
      <c r="K1510" s="47" t="s">
        <v>520</v>
      </c>
      <c r="L1510" s="47" t="s">
        <v>530</v>
      </c>
      <c r="M1510" s="46" t="s">
        <v>807</v>
      </c>
      <c r="N1510" s="47" t="s">
        <v>808</v>
      </c>
      <c r="O1510" s="44" t="s">
        <v>263</v>
      </c>
      <c r="P1510" s="47" t="s">
        <v>531</v>
      </c>
      <c r="Q1510" s="48">
        <v>13800</v>
      </c>
      <c r="R1510" s="49" t="s">
        <v>4</v>
      </c>
      <c r="S1510" s="48" t="s">
        <v>4</v>
      </c>
      <c r="T1510" s="47" t="s">
        <v>525</v>
      </c>
    </row>
    <row r="1511" spans="1:20">
      <c r="A1511" s="46">
        <v>139927089641</v>
      </c>
      <c r="B1511" s="44" t="s">
        <v>517</v>
      </c>
      <c r="C1511" s="45">
        <v>46025</v>
      </c>
      <c r="D1511" s="46">
        <v>55827326703</v>
      </c>
      <c r="E1511" s="46">
        <v>2166409551662</v>
      </c>
      <c r="F1511" s="47" t="s">
        <v>529</v>
      </c>
      <c r="G1511" s="47" t="s">
        <v>519</v>
      </c>
      <c r="H1511" s="47" t="s">
        <v>4</v>
      </c>
      <c r="I1511" s="46" t="s">
        <v>4</v>
      </c>
      <c r="J1511" s="48">
        <v>416.58</v>
      </c>
      <c r="K1511" s="47" t="s">
        <v>520</v>
      </c>
      <c r="L1511" s="47" t="s">
        <v>530</v>
      </c>
      <c r="M1511" s="46" t="s">
        <v>807</v>
      </c>
      <c r="N1511" s="47" t="s">
        <v>808</v>
      </c>
      <c r="O1511" s="44" t="s">
        <v>263</v>
      </c>
      <c r="P1511" s="47" t="s">
        <v>531</v>
      </c>
      <c r="Q1511" s="48">
        <v>10600</v>
      </c>
      <c r="R1511" s="49" t="s">
        <v>4</v>
      </c>
      <c r="S1511" s="48" t="s">
        <v>4</v>
      </c>
      <c r="T1511" s="47" t="s">
        <v>525</v>
      </c>
    </row>
    <row r="1512" spans="1:20">
      <c r="A1512" s="46">
        <v>140577151674</v>
      </c>
      <c r="B1512" s="44" t="s">
        <v>517</v>
      </c>
      <c r="C1512" s="45">
        <v>46025</v>
      </c>
      <c r="D1512" s="46">
        <v>55827556740</v>
      </c>
      <c r="E1512" s="46">
        <v>2166242738409</v>
      </c>
      <c r="F1512" s="47" t="s">
        <v>529</v>
      </c>
      <c r="G1512" s="47" t="s">
        <v>519</v>
      </c>
      <c r="H1512" s="47" t="s">
        <v>4</v>
      </c>
      <c r="I1512" s="46" t="s">
        <v>4</v>
      </c>
      <c r="J1512" s="48">
        <v>216.15</v>
      </c>
      <c r="K1512" s="47" t="s">
        <v>520</v>
      </c>
      <c r="L1512" s="47" t="s">
        <v>530</v>
      </c>
      <c r="M1512" s="46" t="s">
        <v>660</v>
      </c>
      <c r="N1512" s="47" t="s">
        <v>661</v>
      </c>
      <c r="O1512" s="44" t="s">
        <v>263</v>
      </c>
      <c r="P1512" s="47" t="s">
        <v>531</v>
      </c>
      <c r="Q1512" s="48">
        <v>5500</v>
      </c>
      <c r="R1512" s="49" t="s">
        <v>4</v>
      </c>
      <c r="S1512" s="48" t="s">
        <v>4</v>
      </c>
      <c r="T1512" s="47" t="s">
        <v>525</v>
      </c>
    </row>
    <row r="1513" spans="1:20">
      <c r="A1513" s="46">
        <v>140577239406</v>
      </c>
      <c r="B1513" s="44" t="s">
        <v>517</v>
      </c>
      <c r="C1513" s="45">
        <v>46025</v>
      </c>
      <c r="D1513" s="46">
        <v>55827588011</v>
      </c>
      <c r="E1513" s="46">
        <v>2166243291921</v>
      </c>
      <c r="F1513" s="47" t="s">
        <v>562</v>
      </c>
      <c r="G1513" s="47" t="s">
        <v>519</v>
      </c>
      <c r="H1513" s="47" t="s">
        <v>4</v>
      </c>
      <c r="I1513" s="46" t="s">
        <v>4</v>
      </c>
      <c r="J1513" s="48">
        <v>4649.71</v>
      </c>
      <c r="K1513" s="47" t="s">
        <v>520</v>
      </c>
      <c r="L1513" s="47" t="s">
        <v>521</v>
      </c>
      <c r="M1513" s="46" t="s">
        <v>660</v>
      </c>
      <c r="N1513" s="47" t="s">
        <v>661</v>
      </c>
      <c r="O1513" s="44" t="s">
        <v>4</v>
      </c>
      <c r="P1513" s="47" t="s">
        <v>1142</v>
      </c>
      <c r="Q1513" s="48">
        <v>61100</v>
      </c>
      <c r="R1513" s="49" t="s">
        <v>4</v>
      </c>
      <c r="S1513" s="48" t="s">
        <v>4</v>
      </c>
      <c r="T1513" s="47" t="s">
        <v>525</v>
      </c>
    </row>
    <row r="1514" spans="1:20">
      <c r="A1514" s="46">
        <v>139928390415</v>
      </c>
      <c r="B1514" s="44" t="s">
        <v>517</v>
      </c>
      <c r="C1514" s="45">
        <v>46025</v>
      </c>
      <c r="D1514" s="46">
        <v>55827712452</v>
      </c>
      <c r="E1514" s="46">
        <v>2166245653339</v>
      </c>
      <c r="F1514" s="47" t="s">
        <v>529</v>
      </c>
      <c r="G1514" s="47" t="s">
        <v>519</v>
      </c>
      <c r="H1514" s="47" t="s">
        <v>4</v>
      </c>
      <c r="I1514" s="46" t="s">
        <v>4</v>
      </c>
      <c r="J1514" s="48">
        <v>2592.34</v>
      </c>
      <c r="K1514" s="47" t="s">
        <v>520</v>
      </c>
      <c r="L1514" s="47" t="s">
        <v>530</v>
      </c>
      <c r="M1514" s="46" t="s">
        <v>660</v>
      </c>
      <c r="N1514" s="47" t="s">
        <v>661</v>
      </c>
      <c r="O1514" s="44" t="s">
        <v>263</v>
      </c>
      <c r="P1514" s="47" t="s">
        <v>531</v>
      </c>
      <c r="Q1514" s="48">
        <v>57100</v>
      </c>
      <c r="R1514" s="49" t="s">
        <v>4</v>
      </c>
      <c r="S1514" s="48" t="s">
        <v>4</v>
      </c>
      <c r="T1514" s="47" t="s">
        <v>525</v>
      </c>
    </row>
    <row r="1515" spans="1:20">
      <c r="A1515" s="46">
        <v>140578346320</v>
      </c>
      <c r="B1515" s="44" t="s">
        <v>517</v>
      </c>
      <c r="C1515" s="45">
        <v>46025</v>
      </c>
      <c r="D1515" s="46">
        <v>55827961349</v>
      </c>
      <c r="E1515" s="46">
        <v>2166420511928</v>
      </c>
      <c r="F1515" s="47" t="s">
        <v>518</v>
      </c>
      <c r="G1515" s="47" t="s">
        <v>519</v>
      </c>
      <c r="H1515" s="47" t="s">
        <v>4</v>
      </c>
      <c r="I1515" s="46" t="s">
        <v>4</v>
      </c>
      <c r="J1515" s="48">
        <v>157.13999999999999</v>
      </c>
      <c r="K1515" s="47" t="s">
        <v>520</v>
      </c>
      <c r="L1515" s="47" t="s">
        <v>521</v>
      </c>
      <c r="M1515" s="46" t="s">
        <v>660</v>
      </c>
      <c r="N1515" s="47" t="s">
        <v>661</v>
      </c>
      <c r="O1515" s="44" t="s">
        <v>4</v>
      </c>
      <c r="P1515" s="47" t="s">
        <v>1180</v>
      </c>
      <c r="Q1515" s="48">
        <v>16200</v>
      </c>
      <c r="R1515" s="49" t="s">
        <v>4</v>
      </c>
      <c r="S1515" s="48" t="s">
        <v>4</v>
      </c>
      <c r="T1515" s="47" t="s">
        <v>525</v>
      </c>
    </row>
    <row r="1516" spans="1:20">
      <c r="A1516" s="46">
        <v>139930232973</v>
      </c>
      <c r="B1516" s="44" t="s">
        <v>517</v>
      </c>
      <c r="C1516" s="45">
        <v>46025</v>
      </c>
      <c r="D1516" s="46">
        <v>55828443930</v>
      </c>
      <c r="E1516" s="46">
        <v>2166257489587</v>
      </c>
      <c r="F1516" s="47" t="s">
        <v>562</v>
      </c>
      <c r="G1516" s="47" t="s">
        <v>519</v>
      </c>
      <c r="H1516" s="47" t="s">
        <v>4</v>
      </c>
      <c r="I1516" s="46" t="s">
        <v>4</v>
      </c>
      <c r="J1516" s="48">
        <v>3470.16</v>
      </c>
      <c r="K1516" s="47" t="s">
        <v>520</v>
      </c>
      <c r="L1516" s="47" t="s">
        <v>521</v>
      </c>
      <c r="M1516" s="46" t="s">
        <v>660</v>
      </c>
      <c r="N1516" s="47" t="s">
        <v>661</v>
      </c>
      <c r="O1516" s="44" t="s">
        <v>4</v>
      </c>
      <c r="P1516" s="47" t="s">
        <v>574</v>
      </c>
      <c r="Q1516" s="48">
        <v>45600</v>
      </c>
      <c r="R1516" s="49" t="s">
        <v>4</v>
      </c>
      <c r="S1516" s="48" t="s">
        <v>4</v>
      </c>
      <c r="T1516" s="47" t="s">
        <v>525</v>
      </c>
    </row>
    <row r="1517" spans="1:20">
      <c r="A1517" s="46">
        <v>139930743043</v>
      </c>
      <c r="B1517" s="44" t="s">
        <v>517</v>
      </c>
      <c r="C1517" s="45">
        <v>46025</v>
      </c>
      <c r="D1517" s="46">
        <v>55828626490</v>
      </c>
      <c r="E1517" s="46">
        <v>2166431748238</v>
      </c>
      <c r="F1517" s="47" t="s">
        <v>529</v>
      </c>
      <c r="G1517" s="47" t="s">
        <v>519</v>
      </c>
      <c r="H1517" s="47" t="s">
        <v>4</v>
      </c>
      <c r="I1517" s="46" t="s">
        <v>4</v>
      </c>
      <c r="J1517" s="48">
        <v>1477.68</v>
      </c>
      <c r="K1517" s="47" t="s">
        <v>520</v>
      </c>
      <c r="L1517" s="47" t="s">
        <v>530</v>
      </c>
      <c r="M1517" s="46" t="s">
        <v>660</v>
      </c>
      <c r="N1517" s="47" t="s">
        <v>661</v>
      </c>
      <c r="O1517" s="44" t="s">
        <v>263</v>
      </c>
      <c r="P1517" s="47" t="s">
        <v>531</v>
      </c>
      <c r="Q1517" s="48">
        <v>37600</v>
      </c>
      <c r="R1517" s="49" t="s">
        <v>4</v>
      </c>
      <c r="S1517" s="48" t="s">
        <v>4</v>
      </c>
      <c r="T1517" s="47" t="s">
        <v>525</v>
      </c>
    </row>
    <row r="1518" spans="1:20">
      <c r="A1518" s="46">
        <v>139931407731</v>
      </c>
      <c r="B1518" s="44" t="s">
        <v>517</v>
      </c>
      <c r="C1518" s="45">
        <v>46025</v>
      </c>
      <c r="D1518" s="46">
        <v>55828874624</v>
      </c>
      <c r="E1518" s="46">
        <v>2166264341257</v>
      </c>
      <c r="F1518" s="47" t="s">
        <v>518</v>
      </c>
      <c r="G1518" s="47" t="s">
        <v>519</v>
      </c>
      <c r="H1518" s="47" t="s">
        <v>4</v>
      </c>
      <c r="I1518" s="46" t="s">
        <v>4</v>
      </c>
      <c r="J1518" s="48">
        <v>2087.44</v>
      </c>
      <c r="K1518" s="47" t="s">
        <v>520</v>
      </c>
      <c r="L1518" s="47" t="s">
        <v>521</v>
      </c>
      <c r="M1518" s="46" t="s">
        <v>807</v>
      </c>
      <c r="N1518" s="47" t="s">
        <v>808</v>
      </c>
      <c r="O1518" s="44" t="s">
        <v>4</v>
      </c>
      <c r="P1518" s="47" t="s">
        <v>1181</v>
      </c>
      <c r="Q1518" s="48">
        <v>215200</v>
      </c>
      <c r="R1518" s="49" t="s">
        <v>4</v>
      </c>
      <c r="S1518" s="48" t="s">
        <v>4</v>
      </c>
      <c r="T1518" s="47" t="s">
        <v>525</v>
      </c>
    </row>
    <row r="1519" spans="1:20">
      <c r="A1519" s="46">
        <v>139933142789</v>
      </c>
      <c r="B1519" s="44" t="s">
        <v>517</v>
      </c>
      <c r="C1519" s="45">
        <v>46025</v>
      </c>
      <c r="D1519" s="46">
        <v>55829505112</v>
      </c>
      <c r="E1519" s="46">
        <v>2166446234240</v>
      </c>
      <c r="F1519" s="47" t="s">
        <v>529</v>
      </c>
      <c r="G1519" s="47" t="s">
        <v>519</v>
      </c>
      <c r="H1519" s="47" t="s">
        <v>4</v>
      </c>
      <c r="I1519" s="46" t="s">
        <v>4</v>
      </c>
      <c r="J1519" s="48">
        <v>2174.66</v>
      </c>
      <c r="K1519" s="47" t="s">
        <v>520</v>
      </c>
      <c r="L1519" s="47" t="s">
        <v>530</v>
      </c>
      <c r="M1519" s="46" t="s">
        <v>807</v>
      </c>
      <c r="N1519" s="47" t="s">
        <v>808</v>
      </c>
      <c r="O1519" s="44" t="s">
        <v>263</v>
      </c>
      <c r="P1519" s="47" t="s">
        <v>531</v>
      </c>
      <c r="Q1519" s="48">
        <v>47900</v>
      </c>
      <c r="R1519" s="49" t="s">
        <v>4</v>
      </c>
      <c r="S1519" s="48" t="s">
        <v>4</v>
      </c>
      <c r="T1519" s="47" t="s">
        <v>525</v>
      </c>
    </row>
    <row r="1520" spans="1:20">
      <c r="A1520" s="46">
        <v>139933874609</v>
      </c>
      <c r="B1520" s="44" t="s">
        <v>517</v>
      </c>
      <c r="C1520" s="45">
        <v>46025</v>
      </c>
      <c r="D1520" s="46">
        <v>55829742996</v>
      </c>
      <c r="E1520" s="46">
        <v>2166450278834</v>
      </c>
      <c r="F1520" s="47" t="s">
        <v>518</v>
      </c>
      <c r="G1520" s="47" t="s">
        <v>519</v>
      </c>
      <c r="H1520" s="47" t="s">
        <v>4</v>
      </c>
      <c r="I1520" s="46" t="s">
        <v>4</v>
      </c>
      <c r="J1520" s="48">
        <v>573.27</v>
      </c>
      <c r="K1520" s="47" t="s">
        <v>520</v>
      </c>
      <c r="L1520" s="47" t="s">
        <v>521</v>
      </c>
      <c r="M1520" s="46" t="s">
        <v>660</v>
      </c>
      <c r="N1520" s="47" t="s">
        <v>661</v>
      </c>
      <c r="O1520" s="44" t="s">
        <v>4</v>
      </c>
      <c r="P1520" s="47" t="s">
        <v>1182</v>
      </c>
      <c r="Q1520" s="48">
        <v>59100</v>
      </c>
      <c r="R1520" s="49" t="s">
        <v>4</v>
      </c>
      <c r="S1520" s="48" t="s">
        <v>4</v>
      </c>
      <c r="T1520" s="47" t="s">
        <v>525</v>
      </c>
    </row>
    <row r="1521" spans="1:20">
      <c r="A1521" s="46">
        <v>139934794399</v>
      </c>
      <c r="B1521" s="44" t="s">
        <v>517</v>
      </c>
      <c r="C1521" s="45">
        <v>46025</v>
      </c>
      <c r="D1521" s="46">
        <v>55830139162</v>
      </c>
      <c r="E1521" s="46">
        <v>2166456963330</v>
      </c>
      <c r="F1521" s="47" t="s">
        <v>518</v>
      </c>
      <c r="G1521" s="47" t="s">
        <v>519</v>
      </c>
      <c r="H1521" s="47" t="s">
        <v>4</v>
      </c>
      <c r="I1521" s="46" t="s">
        <v>4</v>
      </c>
      <c r="J1521" s="48">
        <v>317.19</v>
      </c>
      <c r="K1521" s="47" t="s">
        <v>520</v>
      </c>
      <c r="L1521" s="47" t="s">
        <v>521</v>
      </c>
      <c r="M1521" s="46" t="s">
        <v>807</v>
      </c>
      <c r="N1521" s="47" t="s">
        <v>808</v>
      </c>
      <c r="O1521" s="44" t="s">
        <v>4</v>
      </c>
      <c r="P1521" s="47" t="s">
        <v>1183</v>
      </c>
      <c r="Q1521" s="48">
        <v>32700</v>
      </c>
      <c r="R1521" s="49" t="s">
        <v>4</v>
      </c>
      <c r="S1521" s="48" t="s">
        <v>4</v>
      </c>
      <c r="T1521" s="47" t="s">
        <v>525</v>
      </c>
    </row>
    <row r="1522" spans="1:20">
      <c r="A1522" s="46">
        <v>140584303242</v>
      </c>
      <c r="B1522" s="44" t="s">
        <v>517</v>
      </c>
      <c r="C1522" s="45">
        <v>46025</v>
      </c>
      <c r="D1522" s="46">
        <v>55830152101</v>
      </c>
      <c r="E1522" s="46">
        <v>2166286673525</v>
      </c>
      <c r="F1522" s="47" t="s">
        <v>518</v>
      </c>
      <c r="G1522" s="47" t="s">
        <v>519</v>
      </c>
      <c r="H1522" s="47" t="s">
        <v>4</v>
      </c>
      <c r="I1522" s="46" t="s">
        <v>4</v>
      </c>
      <c r="J1522" s="48">
        <v>2617.84</v>
      </c>
      <c r="K1522" s="47" t="s">
        <v>520</v>
      </c>
      <c r="L1522" s="47" t="s">
        <v>521</v>
      </c>
      <c r="M1522" s="46" t="s">
        <v>660</v>
      </c>
      <c r="N1522" s="47" t="s">
        <v>661</v>
      </c>
      <c r="O1522" s="44" t="s">
        <v>4</v>
      </c>
      <c r="P1522" s="47" t="s">
        <v>1184</v>
      </c>
      <c r="Q1522" s="48">
        <v>34400</v>
      </c>
      <c r="R1522" s="49" t="s">
        <v>4</v>
      </c>
      <c r="S1522" s="48" t="s">
        <v>4</v>
      </c>
      <c r="T1522" s="47" t="s">
        <v>525</v>
      </c>
    </row>
    <row r="1523" spans="1:20">
      <c r="A1523" s="46">
        <v>139935275349</v>
      </c>
      <c r="B1523" s="44" t="s">
        <v>517</v>
      </c>
      <c r="C1523" s="45">
        <v>46025</v>
      </c>
      <c r="D1523" s="46">
        <v>55830311102</v>
      </c>
      <c r="E1523" s="46">
        <v>2166288761329</v>
      </c>
      <c r="F1523" s="47" t="s">
        <v>518</v>
      </c>
      <c r="G1523" s="47" t="s">
        <v>519</v>
      </c>
      <c r="H1523" s="47" t="s">
        <v>4</v>
      </c>
      <c r="I1523" s="46" t="s">
        <v>4</v>
      </c>
      <c r="J1523" s="48">
        <v>654.75</v>
      </c>
      <c r="K1523" s="47" t="s">
        <v>520</v>
      </c>
      <c r="L1523" s="47" t="s">
        <v>521</v>
      </c>
      <c r="M1523" s="46" t="s">
        <v>807</v>
      </c>
      <c r="N1523" s="47" t="s">
        <v>808</v>
      </c>
      <c r="O1523" s="44" t="s">
        <v>4</v>
      </c>
      <c r="P1523" s="47" t="s">
        <v>720</v>
      </c>
      <c r="Q1523" s="48">
        <v>67500</v>
      </c>
      <c r="R1523" s="49" t="s">
        <v>4</v>
      </c>
      <c r="S1523" s="48" t="s">
        <v>4</v>
      </c>
      <c r="T1523" s="47" t="s">
        <v>525</v>
      </c>
    </row>
    <row r="1524" spans="1:20">
      <c r="A1524" s="46">
        <v>140584906918</v>
      </c>
      <c r="B1524" s="44" t="s">
        <v>517</v>
      </c>
      <c r="C1524" s="45">
        <v>46025</v>
      </c>
      <c r="D1524" s="46">
        <v>55830410984</v>
      </c>
      <c r="E1524" s="46">
        <v>2166461781226</v>
      </c>
      <c r="F1524" s="47" t="s">
        <v>518</v>
      </c>
      <c r="G1524" s="47" t="s">
        <v>519</v>
      </c>
      <c r="H1524" s="47" t="s">
        <v>4</v>
      </c>
      <c r="I1524" s="46" t="s">
        <v>4</v>
      </c>
      <c r="J1524" s="48">
        <v>281.3</v>
      </c>
      <c r="K1524" s="47" t="s">
        <v>520</v>
      </c>
      <c r="L1524" s="47" t="s">
        <v>521</v>
      </c>
      <c r="M1524" s="46" t="s">
        <v>660</v>
      </c>
      <c r="N1524" s="47" t="s">
        <v>661</v>
      </c>
      <c r="O1524" s="44" t="s">
        <v>4</v>
      </c>
      <c r="P1524" s="47" t="s">
        <v>1185</v>
      </c>
      <c r="Q1524" s="48">
        <v>29000</v>
      </c>
      <c r="R1524" s="49" t="s">
        <v>4</v>
      </c>
      <c r="S1524" s="48" t="s">
        <v>4</v>
      </c>
      <c r="T1524" s="47" t="s">
        <v>525</v>
      </c>
    </row>
    <row r="1525" spans="1:20">
      <c r="A1525" s="46">
        <v>139936259163</v>
      </c>
      <c r="B1525" s="44" t="s">
        <v>517</v>
      </c>
      <c r="C1525" s="45">
        <v>46025</v>
      </c>
      <c r="D1525" s="46">
        <v>55830667148</v>
      </c>
      <c r="E1525" s="46">
        <v>2166294748381</v>
      </c>
      <c r="F1525" s="47" t="s">
        <v>529</v>
      </c>
      <c r="G1525" s="47" t="s">
        <v>519</v>
      </c>
      <c r="H1525" s="47" t="s">
        <v>4</v>
      </c>
      <c r="I1525" s="46" t="s">
        <v>4</v>
      </c>
      <c r="J1525" s="48">
        <v>1175.8599999999999</v>
      </c>
      <c r="K1525" s="47" t="s">
        <v>520</v>
      </c>
      <c r="L1525" s="47" t="s">
        <v>530</v>
      </c>
      <c r="M1525" s="46" t="s">
        <v>807</v>
      </c>
      <c r="N1525" s="47" t="s">
        <v>808</v>
      </c>
      <c r="O1525" s="44" t="s">
        <v>263</v>
      </c>
      <c r="P1525" s="47" t="s">
        <v>531</v>
      </c>
      <c r="Q1525" s="48">
        <v>28490</v>
      </c>
      <c r="R1525" s="49" t="s">
        <v>4</v>
      </c>
      <c r="S1525" s="48" t="s">
        <v>4</v>
      </c>
      <c r="T1525" s="47" t="s">
        <v>525</v>
      </c>
    </row>
    <row r="1526" spans="1:20">
      <c r="A1526" s="46">
        <v>139936316971</v>
      </c>
      <c r="B1526" s="44" t="s">
        <v>517</v>
      </c>
      <c r="C1526" s="45">
        <v>46025</v>
      </c>
      <c r="D1526" s="46">
        <v>55830672480</v>
      </c>
      <c r="E1526" s="46">
        <v>2166295106189</v>
      </c>
      <c r="F1526" s="47" t="s">
        <v>529</v>
      </c>
      <c r="G1526" s="47" t="s">
        <v>519</v>
      </c>
      <c r="H1526" s="47" t="s">
        <v>4</v>
      </c>
      <c r="I1526" s="46" t="s">
        <v>4</v>
      </c>
      <c r="J1526" s="48">
        <v>1832.12</v>
      </c>
      <c r="K1526" s="47" t="s">
        <v>520</v>
      </c>
      <c r="L1526" s="47" t="s">
        <v>530</v>
      </c>
      <c r="M1526" s="46" t="s">
        <v>807</v>
      </c>
      <c r="N1526" s="47" t="s">
        <v>808</v>
      </c>
      <c r="O1526" s="44" t="s">
        <v>263</v>
      </c>
      <c r="P1526" s="47" t="s">
        <v>531</v>
      </c>
      <c r="Q1526" s="48">
        <v>16300</v>
      </c>
      <c r="R1526" s="49" t="s">
        <v>4</v>
      </c>
      <c r="S1526" s="48" t="s">
        <v>4</v>
      </c>
      <c r="T1526" s="47" t="s">
        <v>525</v>
      </c>
    </row>
    <row r="1527" spans="1:20">
      <c r="A1527" s="46">
        <v>140585846184</v>
      </c>
      <c r="B1527" s="44" t="s">
        <v>517</v>
      </c>
      <c r="C1527" s="45">
        <v>46025</v>
      </c>
      <c r="D1527" s="46">
        <v>55830728334</v>
      </c>
      <c r="E1527" s="46">
        <v>2166466867804</v>
      </c>
      <c r="F1527" s="47" t="s">
        <v>562</v>
      </c>
      <c r="G1527" s="47" t="s">
        <v>519</v>
      </c>
      <c r="H1527" s="47" t="s">
        <v>4</v>
      </c>
      <c r="I1527" s="46" t="s">
        <v>4</v>
      </c>
      <c r="J1527" s="48">
        <v>2350.46</v>
      </c>
      <c r="K1527" s="47" t="s">
        <v>520</v>
      </c>
      <c r="L1527" s="47" t="s">
        <v>521</v>
      </c>
      <c r="M1527" s="46" t="s">
        <v>807</v>
      </c>
      <c r="N1527" s="47" t="s">
        <v>808</v>
      </c>
      <c r="O1527" s="44" t="s">
        <v>4</v>
      </c>
      <c r="P1527" s="47" t="s">
        <v>739</v>
      </c>
      <c r="Q1527" s="48">
        <v>144200</v>
      </c>
      <c r="R1527" s="49" t="s">
        <v>4</v>
      </c>
      <c r="S1527" s="48" t="s">
        <v>4</v>
      </c>
      <c r="T1527" s="47" t="s">
        <v>525</v>
      </c>
    </row>
    <row r="1528" spans="1:20">
      <c r="A1528" s="46">
        <v>139936697741</v>
      </c>
      <c r="B1528" s="44" t="s">
        <v>517</v>
      </c>
      <c r="C1528" s="45">
        <v>46025</v>
      </c>
      <c r="D1528" s="46">
        <v>55830868997</v>
      </c>
      <c r="E1528" s="46">
        <v>2166469065864</v>
      </c>
      <c r="F1528" s="47" t="s">
        <v>529</v>
      </c>
      <c r="G1528" s="47" t="s">
        <v>519</v>
      </c>
      <c r="H1528" s="47" t="s">
        <v>4</v>
      </c>
      <c r="I1528" s="46" t="s">
        <v>4</v>
      </c>
      <c r="J1528" s="48">
        <v>1651.37</v>
      </c>
      <c r="K1528" s="47" t="s">
        <v>520</v>
      </c>
      <c r="L1528" s="47" t="s">
        <v>530</v>
      </c>
      <c r="M1528" s="46" t="s">
        <v>660</v>
      </c>
      <c r="N1528" s="47" t="s">
        <v>661</v>
      </c>
      <c r="O1528" s="44" t="s">
        <v>263</v>
      </c>
      <c r="P1528" s="47" t="s">
        <v>531</v>
      </c>
      <c r="Q1528" s="48">
        <v>21700</v>
      </c>
      <c r="R1528" s="49" t="s">
        <v>4</v>
      </c>
      <c r="S1528" s="48" t="s">
        <v>4</v>
      </c>
      <c r="T1528" s="47" t="s">
        <v>525</v>
      </c>
    </row>
    <row r="1529" spans="1:20">
      <c r="A1529" s="46">
        <v>139936753573</v>
      </c>
      <c r="B1529" s="44" t="s">
        <v>517</v>
      </c>
      <c r="C1529" s="45">
        <v>46025</v>
      </c>
      <c r="D1529" s="46">
        <v>55830897221</v>
      </c>
      <c r="E1529" s="46">
        <v>2166298617111</v>
      </c>
      <c r="F1529" s="47" t="s">
        <v>518</v>
      </c>
      <c r="G1529" s="47" t="s">
        <v>519</v>
      </c>
      <c r="H1529" s="47" t="s">
        <v>4</v>
      </c>
      <c r="I1529" s="46" t="s">
        <v>4</v>
      </c>
      <c r="J1529" s="48">
        <v>561.63</v>
      </c>
      <c r="K1529" s="47" t="s">
        <v>520</v>
      </c>
      <c r="L1529" s="47" t="s">
        <v>521</v>
      </c>
      <c r="M1529" s="46" t="s">
        <v>807</v>
      </c>
      <c r="N1529" s="47" t="s">
        <v>808</v>
      </c>
      <c r="O1529" s="44" t="s">
        <v>4</v>
      </c>
      <c r="P1529" s="47" t="s">
        <v>1186</v>
      </c>
      <c r="Q1529" s="48">
        <v>57900</v>
      </c>
      <c r="R1529" s="49" t="s">
        <v>4</v>
      </c>
      <c r="S1529" s="48" t="s">
        <v>4</v>
      </c>
      <c r="T1529" s="47" t="s">
        <v>525</v>
      </c>
    </row>
    <row r="1530" spans="1:20">
      <c r="A1530" s="46">
        <v>139936997915</v>
      </c>
      <c r="B1530" s="44" t="s">
        <v>517</v>
      </c>
      <c r="C1530" s="45">
        <v>46025</v>
      </c>
      <c r="D1530" s="46">
        <v>55830989379</v>
      </c>
      <c r="E1530" s="46">
        <v>2166300106969</v>
      </c>
      <c r="F1530" s="47" t="s">
        <v>518</v>
      </c>
      <c r="G1530" s="47" t="s">
        <v>519</v>
      </c>
      <c r="H1530" s="47" t="s">
        <v>4</v>
      </c>
      <c r="I1530" s="46" t="s">
        <v>4</v>
      </c>
      <c r="J1530" s="48">
        <v>276.45</v>
      </c>
      <c r="K1530" s="47" t="s">
        <v>520</v>
      </c>
      <c r="L1530" s="47" t="s">
        <v>521</v>
      </c>
      <c r="M1530" s="46" t="s">
        <v>660</v>
      </c>
      <c r="N1530" s="47" t="s">
        <v>661</v>
      </c>
      <c r="O1530" s="44" t="s">
        <v>4</v>
      </c>
      <c r="P1530" s="47" t="s">
        <v>1187</v>
      </c>
      <c r="Q1530" s="48">
        <v>28500</v>
      </c>
      <c r="R1530" s="49" t="s">
        <v>4</v>
      </c>
      <c r="S1530" s="48" t="s">
        <v>4</v>
      </c>
      <c r="T1530" s="47" t="s">
        <v>525</v>
      </c>
    </row>
    <row r="1531" spans="1:20">
      <c r="A1531" s="46">
        <v>139937416145</v>
      </c>
      <c r="B1531" s="44" t="s">
        <v>517</v>
      </c>
      <c r="C1531" s="45">
        <v>46025</v>
      </c>
      <c r="D1531" s="46">
        <v>55831074082</v>
      </c>
      <c r="E1531" s="46">
        <v>2166472832588</v>
      </c>
      <c r="F1531" s="47" t="s">
        <v>518</v>
      </c>
      <c r="G1531" s="47" t="s">
        <v>519</v>
      </c>
      <c r="H1531" s="47" t="s">
        <v>4</v>
      </c>
      <c r="I1531" s="46" t="s">
        <v>4</v>
      </c>
      <c r="J1531" s="48">
        <v>367.63</v>
      </c>
      <c r="K1531" s="47" t="s">
        <v>520</v>
      </c>
      <c r="L1531" s="47" t="s">
        <v>521</v>
      </c>
      <c r="M1531" s="46" t="s">
        <v>807</v>
      </c>
      <c r="N1531" s="47" t="s">
        <v>808</v>
      </c>
      <c r="O1531" s="44" t="s">
        <v>4</v>
      </c>
      <c r="P1531" s="47" t="s">
        <v>1188</v>
      </c>
      <c r="Q1531" s="48">
        <v>37900</v>
      </c>
      <c r="R1531" s="49" t="s">
        <v>4</v>
      </c>
      <c r="S1531" s="48" t="s">
        <v>4</v>
      </c>
      <c r="T1531" s="47" t="s">
        <v>525</v>
      </c>
    </row>
    <row r="1532" spans="1:20">
      <c r="A1532" s="46">
        <v>140586937666</v>
      </c>
      <c r="B1532" s="44" t="s">
        <v>517</v>
      </c>
      <c r="C1532" s="45">
        <v>46025</v>
      </c>
      <c r="D1532" s="46">
        <v>55831195953</v>
      </c>
      <c r="E1532" s="46">
        <v>2166474528156</v>
      </c>
      <c r="F1532" s="47" t="s">
        <v>518</v>
      </c>
      <c r="G1532" s="47" t="s">
        <v>519</v>
      </c>
      <c r="H1532" s="47" t="s">
        <v>4</v>
      </c>
      <c r="I1532" s="46" t="s">
        <v>4</v>
      </c>
      <c r="J1532" s="48">
        <v>97</v>
      </c>
      <c r="K1532" s="47" t="s">
        <v>520</v>
      </c>
      <c r="L1532" s="47" t="s">
        <v>521</v>
      </c>
      <c r="M1532" s="46" t="s">
        <v>807</v>
      </c>
      <c r="N1532" s="47" t="s">
        <v>808</v>
      </c>
      <c r="O1532" s="44" t="s">
        <v>4</v>
      </c>
      <c r="P1532" s="47" t="s">
        <v>1189</v>
      </c>
      <c r="Q1532" s="48">
        <v>10000</v>
      </c>
      <c r="R1532" s="49" t="s">
        <v>4</v>
      </c>
      <c r="S1532" s="48" t="s">
        <v>4</v>
      </c>
      <c r="T1532" s="47" t="s">
        <v>525</v>
      </c>
    </row>
    <row r="1533" spans="1:20">
      <c r="A1533" s="46">
        <v>140587143728</v>
      </c>
      <c r="B1533" s="44" t="s">
        <v>517</v>
      </c>
      <c r="C1533" s="45">
        <v>46025</v>
      </c>
      <c r="D1533" s="46">
        <v>55831286521</v>
      </c>
      <c r="E1533" s="46">
        <v>2166305160459</v>
      </c>
      <c r="F1533" s="47" t="s">
        <v>518</v>
      </c>
      <c r="G1533" s="47" t="s">
        <v>519</v>
      </c>
      <c r="H1533" s="47" t="s">
        <v>4</v>
      </c>
      <c r="I1533" s="46" t="s">
        <v>4</v>
      </c>
      <c r="J1533" s="48">
        <v>2929.85</v>
      </c>
      <c r="K1533" s="47" t="s">
        <v>520</v>
      </c>
      <c r="L1533" s="47" t="s">
        <v>521</v>
      </c>
      <c r="M1533" s="46" t="s">
        <v>660</v>
      </c>
      <c r="N1533" s="47" t="s">
        <v>661</v>
      </c>
      <c r="O1533" s="44" t="s">
        <v>4</v>
      </c>
      <c r="P1533" s="47" t="s">
        <v>1190</v>
      </c>
      <c r="Q1533" s="48">
        <v>38500</v>
      </c>
      <c r="R1533" s="49" t="s">
        <v>4</v>
      </c>
      <c r="S1533" s="48" t="s">
        <v>4</v>
      </c>
      <c r="T1533" s="47" t="s">
        <v>525</v>
      </c>
    </row>
    <row r="1534" spans="1:20">
      <c r="A1534" s="46">
        <v>139937969239</v>
      </c>
      <c r="B1534" s="44" t="s">
        <v>517</v>
      </c>
      <c r="C1534" s="45">
        <v>46025</v>
      </c>
      <c r="D1534" s="46">
        <v>55831334790</v>
      </c>
      <c r="E1534" s="46">
        <v>2166476587094</v>
      </c>
      <c r="F1534" s="47" t="s">
        <v>518</v>
      </c>
      <c r="G1534" s="47" t="s">
        <v>519</v>
      </c>
      <c r="H1534" s="47" t="s">
        <v>4</v>
      </c>
      <c r="I1534" s="46" t="s">
        <v>4</v>
      </c>
      <c r="J1534" s="48">
        <v>53.35</v>
      </c>
      <c r="K1534" s="47" t="s">
        <v>520</v>
      </c>
      <c r="L1534" s="47" t="s">
        <v>521</v>
      </c>
      <c r="M1534" s="46" t="s">
        <v>807</v>
      </c>
      <c r="N1534" s="47" t="s">
        <v>808</v>
      </c>
      <c r="O1534" s="44" t="s">
        <v>4</v>
      </c>
      <c r="P1534" s="47" t="s">
        <v>1191</v>
      </c>
      <c r="Q1534" s="48">
        <v>5500</v>
      </c>
      <c r="R1534" s="49" t="s">
        <v>4</v>
      </c>
      <c r="S1534" s="48" t="s">
        <v>4</v>
      </c>
      <c r="T1534" s="47" t="s">
        <v>525</v>
      </c>
    </row>
    <row r="1535" spans="1:20">
      <c r="A1535" s="46">
        <v>139938057651</v>
      </c>
      <c r="B1535" s="44" t="s">
        <v>517</v>
      </c>
      <c r="C1535" s="45">
        <v>46025</v>
      </c>
      <c r="D1535" s="46">
        <v>55831349657</v>
      </c>
      <c r="E1535" s="46">
        <v>2166477399130</v>
      </c>
      <c r="F1535" s="47" t="s">
        <v>526</v>
      </c>
      <c r="G1535" s="47" t="s">
        <v>519</v>
      </c>
      <c r="H1535" s="47" t="s">
        <v>4</v>
      </c>
      <c r="I1535" s="46" t="s">
        <v>4</v>
      </c>
      <c r="J1535" s="48">
        <v>683.85</v>
      </c>
      <c r="K1535" s="47" t="s">
        <v>520</v>
      </c>
      <c r="L1535" s="47" t="s">
        <v>521</v>
      </c>
      <c r="M1535" s="46" t="s">
        <v>807</v>
      </c>
      <c r="N1535" s="47" t="s">
        <v>808</v>
      </c>
      <c r="O1535" s="44" t="s">
        <v>4</v>
      </c>
      <c r="P1535" s="47" t="s">
        <v>527</v>
      </c>
      <c r="Q1535" s="48">
        <v>70500</v>
      </c>
      <c r="R1535" s="49" t="s">
        <v>4</v>
      </c>
      <c r="S1535" s="48" t="s">
        <v>4</v>
      </c>
      <c r="T1535" s="47" t="s">
        <v>4</v>
      </c>
    </row>
    <row r="1536" spans="1:20">
      <c r="A1536" s="46">
        <v>140587389008</v>
      </c>
      <c r="B1536" s="44" t="s">
        <v>517</v>
      </c>
      <c r="C1536" s="45">
        <v>46025</v>
      </c>
      <c r="D1536" s="46">
        <v>55831356033</v>
      </c>
      <c r="E1536" s="46">
        <v>2166477300378</v>
      </c>
      <c r="F1536" s="47" t="s">
        <v>529</v>
      </c>
      <c r="G1536" s="47" t="s">
        <v>519</v>
      </c>
      <c r="H1536" s="47" t="s">
        <v>4</v>
      </c>
      <c r="I1536" s="46" t="s">
        <v>4</v>
      </c>
      <c r="J1536" s="48">
        <v>1359.78</v>
      </c>
      <c r="K1536" s="47" t="s">
        <v>520</v>
      </c>
      <c r="L1536" s="47" t="s">
        <v>530</v>
      </c>
      <c r="M1536" s="46" t="s">
        <v>660</v>
      </c>
      <c r="N1536" s="47" t="s">
        <v>661</v>
      </c>
      <c r="O1536" s="44" t="s">
        <v>263</v>
      </c>
      <c r="P1536" s="47" t="s">
        <v>531</v>
      </c>
      <c r="Q1536" s="48">
        <v>34600</v>
      </c>
      <c r="R1536" s="49" t="s">
        <v>4</v>
      </c>
      <c r="S1536" s="48" t="s">
        <v>4</v>
      </c>
      <c r="T1536" s="47" t="s">
        <v>525</v>
      </c>
    </row>
    <row r="1537" spans="1:20">
      <c r="A1537" s="46">
        <v>139938687389</v>
      </c>
      <c r="B1537" s="44" t="s">
        <v>517</v>
      </c>
      <c r="C1537" s="45">
        <v>46025</v>
      </c>
      <c r="D1537" s="46">
        <v>55831617449</v>
      </c>
      <c r="E1537" s="46">
        <v>2166310525673</v>
      </c>
      <c r="F1537" s="47" t="s">
        <v>529</v>
      </c>
      <c r="G1537" s="47" t="s">
        <v>519</v>
      </c>
      <c r="H1537" s="47" t="s">
        <v>4</v>
      </c>
      <c r="I1537" s="46" t="s">
        <v>4</v>
      </c>
      <c r="J1537" s="48">
        <v>2724</v>
      </c>
      <c r="K1537" s="47" t="s">
        <v>520</v>
      </c>
      <c r="L1537" s="47" t="s">
        <v>530</v>
      </c>
      <c r="M1537" s="46" t="s">
        <v>807</v>
      </c>
      <c r="N1537" s="47" t="s">
        <v>808</v>
      </c>
      <c r="O1537" s="44" t="s">
        <v>263</v>
      </c>
      <c r="P1537" s="47" t="s">
        <v>531</v>
      </c>
      <c r="Q1537" s="48">
        <v>60000</v>
      </c>
      <c r="R1537" s="49" t="s">
        <v>4</v>
      </c>
      <c r="S1537" s="48" t="s">
        <v>4</v>
      </c>
      <c r="T1537" s="47" t="s">
        <v>525</v>
      </c>
    </row>
    <row r="1538" spans="1:20">
      <c r="A1538" s="46">
        <v>140588215736</v>
      </c>
      <c r="B1538" s="44" t="s">
        <v>517</v>
      </c>
      <c r="C1538" s="45">
        <v>46025</v>
      </c>
      <c r="D1538" s="46">
        <v>55831686549</v>
      </c>
      <c r="E1538" s="46">
        <v>2166311444043</v>
      </c>
      <c r="F1538" s="47" t="s">
        <v>518</v>
      </c>
      <c r="G1538" s="47" t="s">
        <v>519</v>
      </c>
      <c r="H1538" s="47" t="s">
        <v>4</v>
      </c>
      <c r="I1538" s="46" t="s">
        <v>4</v>
      </c>
      <c r="J1538" s="48">
        <v>275.48</v>
      </c>
      <c r="K1538" s="47" t="s">
        <v>520</v>
      </c>
      <c r="L1538" s="47" t="s">
        <v>521</v>
      </c>
      <c r="M1538" s="46" t="s">
        <v>660</v>
      </c>
      <c r="N1538" s="47" t="s">
        <v>661</v>
      </c>
      <c r="O1538" s="44" t="s">
        <v>4</v>
      </c>
      <c r="P1538" s="47" t="s">
        <v>1192</v>
      </c>
      <c r="Q1538" s="48">
        <v>28400</v>
      </c>
      <c r="R1538" s="49" t="s">
        <v>4</v>
      </c>
      <c r="S1538" s="48" t="s">
        <v>4</v>
      </c>
      <c r="T1538" s="47" t="s">
        <v>525</v>
      </c>
    </row>
    <row r="1539" spans="1:20">
      <c r="A1539" s="46">
        <v>140588344140</v>
      </c>
      <c r="B1539" s="44" t="s">
        <v>517</v>
      </c>
      <c r="C1539" s="45">
        <v>46025</v>
      </c>
      <c r="D1539" s="46">
        <v>55831687479</v>
      </c>
      <c r="E1539" s="46">
        <v>2166482438990</v>
      </c>
      <c r="F1539" s="47" t="s">
        <v>529</v>
      </c>
      <c r="G1539" s="47" t="s">
        <v>519</v>
      </c>
      <c r="H1539" s="47" t="s">
        <v>4</v>
      </c>
      <c r="I1539" s="46" t="s">
        <v>4</v>
      </c>
      <c r="J1539" s="48">
        <v>3446.61</v>
      </c>
      <c r="K1539" s="47" t="s">
        <v>520</v>
      </c>
      <c r="L1539" s="47" t="s">
        <v>530</v>
      </c>
      <c r="M1539" s="46" t="s">
        <v>807</v>
      </c>
      <c r="N1539" s="47" t="s">
        <v>808</v>
      </c>
      <c r="O1539" s="44" t="s">
        <v>263</v>
      </c>
      <c r="P1539" s="47" t="s">
        <v>531</v>
      </c>
      <c r="Q1539" s="48">
        <v>87700</v>
      </c>
      <c r="R1539" s="49" t="s">
        <v>4</v>
      </c>
      <c r="S1539" s="48" t="s">
        <v>4</v>
      </c>
      <c r="T1539" s="47" t="s">
        <v>525</v>
      </c>
    </row>
    <row r="1540" spans="1:20">
      <c r="A1540" s="46">
        <v>140588331232</v>
      </c>
      <c r="B1540" s="44" t="s">
        <v>517</v>
      </c>
      <c r="C1540" s="45">
        <v>46025</v>
      </c>
      <c r="D1540" s="46">
        <v>55831716774</v>
      </c>
      <c r="E1540" s="46">
        <v>2166311755173</v>
      </c>
      <c r="F1540" s="47" t="s">
        <v>518</v>
      </c>
      <c r="G1540" s="47" t="s">
        <v>519</v>
      </c>
      <c r="H1540" s="47" t="s">
        <v>4</v>
      </c>
      <c r="I1540" s="46" t="s">
        <v>4</v>
      </c>
      <c r="J1540" s="48">
        <v>345.32</v>
      </c>
      <c r="K1540" s="47" t="s">
        <v>520</v>
      </c>
      <c r="L1540" s="47" t="s">
        <v>521</v>
      </c>
      <c r="M1540" s="46" t="s">
        <v>807</v>
      </c>
      <c r="N1540" s="47" t="s">
        <v>808</v>
      </c>
      <c r="O1540" s="44" t="s">
        <v>4</v>
      </c>
      <c r="P1540" s="47" t="s">
        <v>1193</v>
      </c>
      <c r="Q1540" s="48">
        <v>35600</v>
      </c>
      <c r="R1540" s="49" t="s">
        <v>4</v>
      </c>
      <c r="S1540" s="48" t="s">
        <v>4</v>
      </c>
      <c r="T1540" s="47" t="s">
        <v>525</v>
      </c>
    </row>
    <row r="1541" spans="1:20">
      <c r="A1541" s="46">
        <v>140588907400</v>
      </c>
      <c r="B1541" s="44" t="s">
        <v>517</v>
      </c>
      <c r="C1541" s="45">
        <v>46026</v>
      </c>
      <c r="D1541" s="46">
        <v>55831943864</v>
      </c>
      <c r="E1541" s="46">
        <v>2166316083415</v>
      </c>
      <c r="F1541" s="47" t="s">
        <v>529</v>
      </c>
      <c r="G1541" s="47" t="s">
        <v>519</v>
      </c>
      <c r="H1541" s="47" t="s">
        <v>4</v>
      </c>
      <c r="I1541" s="46" t="s">
        <v>4</v>
      </c>
      <c r="J1541" s="48">
        <v>1249.74</v>
      </c>
      <c r="K1541" s="47" t="s">
        <v>520</v>
      </c>
      <c r="L1541" s="47" t="s">
        <v>530</v>
      </c>
      <c r="M1541" s="46" t="s">
        <v>660</v>
      </c>
      <c r="N1541" s="47" t="s">
        <v>661</v>
      </c>
      <c r="O1541" s="44" t="s">
        <v>263</v>
      </c>
      <c r="P1541" s="47" t="s">
        <v>531</v>
      </c>
      <c r="Q1541" s="48">
        <v>31800</v>
      </c>
      <c r="R1541" s="49" t="s">
        <v>4</v>
      </c>
      <c r="S1541" s="48" t="s">
        <v>4</v>
      </c>
      <c r="T1541" s="47" t="s">
        <v>525</v>
      </c>
    </row>
    <row r="1542" spans="1:20">
      <c r="A1542" s="46">
        <v>140588982074</v>
      </c>
      <c r="B1542" s="44" t="s">
        <v>517</v>
      </c>
      <c r="C1542" s="45">
        <v>46026</v>
      </c>
      <c r="D1542" s="46">
        <v>55832020528</v>
      </c>
      <c r="E1542" s="46">
        <v>2166316887797</v>
      </c>
      <c r="F1542" s="47" t="s">
        <v>518</v>
      </c>
      <c r="G1542" s="47" t="s">
        <v>519</v>
      </c>
      <c r="H1542" s="47" t="s">
        <v>4</v>
      </c>
      <c r="I1542" s="46" t="s">
        <v>4</v>
      </c>
      <c r="J1542" s="48">
        <v>271.60000000000002</v>
      </c>
      <c r="K1542" s="47" t="s">
        <v>520</v>
      </c>
      <c r="L1542" s="47" t="s">
        <v>521</v>
      </c>
      <c r="M1542" s="46" t="s">
        <v>807</v>
      </c>
      <c r="N1542" s="47" t="s">
        <v>808</v>
      </c>
      <c r="O1542" s="44" t="s">
        <v>4</v>
      </c>
      <c r="P1542" s="47" t="s">
        <v>1194</v>
      </c>
      <c r="Q1542" s="48">
        <v>28000</v>
      </c>
      <c r="R1542" s="49" t="s">
        <v>4</v>
      </c>
      <c r="S1542" s="48" t="s">
        <v>4</v>
      </c>
      <c r="T1542" s="47" t="s">
        <v>525</v>
      </c>
    </row>
    <row r="1543" spans="1:20">
      <c r="A1543" s="46">
        <v>140589162750</v>
      </c>
      <c r="B1543" s="44" t="s">
        <v>517</v>
      </c>
      <c r="C1543" s="45">
        <v>46026</v>
      </c>
      <c r="D1543" s="46">
        <v>55832061162</v>
      </c>
      <c r="E1543" s="46">
        <v>2166488550394</v>
      </c>
      <c r="F1543" s="47" t="s">
        <v>518</v>
      </c>
      <c r="G1543" s="47" t="s">
        <v>519</v>
      </c>
      <c r="H1543" s="47" t="s">
        <v>4</v>
      </c>
      <c r="I1543" s="46" t="s">
        <v>4</v>
      </c>
      <c r="J1543" s="48">
        <v>106.7</v>
      </c>
      <c r="K1543" s="47" t="s">
        <v>520</v>
      </c>
      <c r="L1543" s="47" t="s">
        <v>521</v>
      </c>
      <c r="M1543" s="46" t="s">
        <v>807</v>
      </c>
      <c r="N1543" s="47" t="s">
        <v>808</v>
      </c>
      <c r="O1543" s="44" t="s">
        <v>4</v>
      </c>
      <c r="P1543" s="47" t="s">
        <v>1195</v>
      </c>
      <c r="Q1543" s="48">
        <v>11000</v>
      </c>
      <c r="R1543" s="49" t="s">
        <v>4</v>
      </c>
      <c r="S1543" s="48" t="s">
        <v>4</v>
      </c>
      <c r="T1543" s="47" t="s">
        <v>525</v>
      </c>
    </row>
    <row r="1544" spans="1:20">
      <c r="A1544" s="46">
        <v>140589159636</v>
      </c>
      <c r="B1544" s="44" t="s">
        <v>517</v>
      </c>
      <c r="C1544" s="45">
        <v>46026</v>
      </c>
      <c r="D1544" s="46">
        <v>55832095447</v>
      </c>
      <c r="E1544" s="46">
        <v>2166489162760</v>
      </c>
      <c r="F1544" s="47" t="s">
        <v>518</v>
      </c>
      <c r="G1544" s="47" t="s">
        <v>519</v>
      </c>
      <c r="H1544" s="47" t="s">
        <v>4</v>
      </c>
      <c r="I1544" s="46" t="s">
        <v>4</v>
      </c>
      <c r="J1544" s="48">
        <v>356.96</v>
      </c>
      <c r="K1544" s="47" t="s">
        <v>520</v>
      </c>
      <c r="L1544" s="47" t="s">
        <v>521</v>
      </c>
      <c r="M1544" s="46" t="s">
        <v>807</v>
      </c>
      <c r="N1544" s="47" t="s">
        <v>808</v>
      </c>
      <c r="O1544" s="44" t="s">
        <v>4</v>
      </c>
      <c r="P1544" s="47" t="s">
        <v>1196</v>
      </c>
      <c r="Q1544" s="48">
        <v>36800</v>
      </c>
      <c r="R1544" s="49" t="s">
        <v>4</v>
      </c>
      <c r="S1544" s="48" t="s">
        <v>4</v>
      </c>
      <c r="T1544" s="47" t="s">
        <v>525</v>
      </c>
    </row>
    <row r="1545" spans="1:20">
      <c r="A1545" s="46">
        <v>140590291412</v>
      </c>
      <c r="B1545" s="44" t="s">
        <v>517</v>
      </c>
      <c r="C1545" s="45">
        <v>46026</v>
      </c>
      <c r="D1545" s="46">
        <v>55832444013</v>
      </c>
      <c r="E1545" s="46">
        <v>2166324362523</v>
      </c>
      <c r="F1545" s="47" t="s">
        <v>529</v>
      </c>
      <c r="G1545" s="47" t="s">
        <v>519</v>
      </c>
      <c r="H1545" s="47" t="s">
        <v>4</v>
      </c>
      <c r="I1545" s="46" t="s">
        <v>4</v>
      </c>
      <c r="J1545" s="48">
        <v>761</v>
      </c>
      <c r="K1545" s="47" t="s">
        <v>520</v>
      </c>
      <c r="L1545" s="47" t="s">
        <v>530</v>
      </c>
      <c r="M1545" s="46" t="s">
        <v>807</v>
      </c>
      <c r="N1545" s="47" t="s">
        <v>808</v>
      </c>
      <c r="O1545" s="44" t="s">
        <v>263</v>
      </c>
      <c r="P1545" s="47" t="s">
        <v>531</v>
      </c>
      <c r="Q1545" s="48">
        <v>10000</v>
      </c>
      <c r="R1545" s="49" t="s">
        <v>4</v>
      </c>
      <c r="S1545" s="48" t="s">
        <v>4</v>
      </c>
      <c r="T1545" s="47" t="s">
        <v>525</v>
      </c>
    </row>
    <row r="1546" spans="1:20">
      <c r="A1546" s="46">
        <v>140590757708</v>
      </c>
      <c r="B1546" s="44" t="s">
        <v>517</v>
      </c>
      <c r="C1546" s="45">
        <v>46026</v>
      </c>
      <c r="D1546" s="46">
        <v>55832673982</v>
      </c>
      <c r="E1546" s="46">
        <v>2166327782331</v>
      </c>
      <c r="F1546" s="47" t="s">
        <v>529</v>
      </c>
      <c r="G1546" s="47" t="s">
        <v>519</v>
      </c>
      <c r="H1546" s="47" t="s">
        <v>4</v>
      </c>
      <c r="I1546" s="46" t="s">
        <v>4</v>
      </c>
      <c r="J1546" s="48">
        <v>4459.46</v>
      </c>
      <c r="K1546" s="47" t="s">
        <v>520</v>
      </c>
      <c r="L1546" s="47" t="s">
        <v>530</v>
      </c>
      <c r="M1546" s="46" t="s">
        <v>807</v>
      </c>
      <c r="N1546" s="47" t="s">
        <v>808</v>
      </c>
      <c r="O1546" s="44" t="s">
        <v>263</v>
      </c>
      <c r="P1546" s="47" t="s">
        <v>531</v>
      </c>
      <c r="Q1546" s="48">
        <v>58600</v>
      </c>
      <c r="R1546" s="49" t="s">
        <v>4</v>
      </c>
      <c r="S1546" s="48" t="s">
        <v>4</v>
      </c>
      <c r="T1546" s="47" t="s">
        <v>525</v>
      </c>
    </row>
    <row r="1547" spans="1:20">
      <c r="A1547" s="46">
        <v>139941505263</v>
      </c>
      <c r="B1547" s="44" t="s">
        <v>517</v>
      </c>
      <c r="C1547" s="45">
        <v>46026</v>
      </c>
      <c r="D1547" s="46">
        <v>55832683055</v>
      </c>
      <c r="E1547" s="46">
        <v>2166328407045</v>
      </c>
      <c r="F1547" s="47" t="s">
        <v>518</v>
      </c>
      <c r="G1547" s="47" t="s">
        <v>519</v>
      </c>
      <c r="H1547" s="47" t="s">
        <v>4</v>
      </c>
      <c r="I1547" s="46" t="s">
        <v>4</v>
      </c>
      <c r="J1547" s="48">
        <v>406.43</v>
      </c>
      <c r="K1547" s="47" t="s">
        <v>520</v>
      </c>
      <c r="L1547" s="47" t="s">
        <v>521</v>
      </c>
      <c r="M1547" s="46" t="s">
        <v>807</v>
      </c>
      <c r="N1547" s="47" t="s">
        <v>808</v>
      </c>
      <c r="O1547" s="44" t="s">
        <v>4</v>
      </c>
      <c r="P1547" s="47" t="s">
        <v>1197</v>
      </c>
      <c r="Q1547" s="48">
        <v>41900</v>
      </c>
      <c r="R1547" s="49" t="s">
        <v>4</v>
      </c>
      <c r="S1547" s="48" t="s">
        <v>4</v>
      </c>
      <c r="T1547" s="47" t="s">
        <v>525</v>
      </c>
    </row>
    <row r="1548" spans="1:20">
      <c r="A1548" s="46">
        <v>140591211018</v>
      </c>
      <c r="B1548" s="44" t="s">
        <v>517</v>
      </c>
      <c r="C1548" s="45">
        <v>46026</v>
      </c>
      <c r="D1548" s="46">
        <v>55832849123</v>
      </c>
      <c r="E1548" s="46">
        <v>2166501844692</v>
      </c>
      <c r="F1548" s="47" t="s">
        <v>518</v>
      </c>
      <c r="G1548" s="47" t="s">
        <v>519</v>
      </c>
      <c r="H1548" s="47" t="s">
        <v>4</v>
      </c>
      <c r="I1548" s="46" t="s">
        <v>4</v>
      </c>
      <c r="J1548" s="48">
        <v>605.28</v>
      </c>
      <c r="K1548" s="47" t="s">
        <v>520</v>
      </c>
      <c r="L1548" s="47" t="s">
        <v>521</v>
      </c>
      <c r="M1548" s="46" t="s">
        <v>807</v>
      </c>
      <c r="N1548" s="47" t="s">
        <v>808</v>
      </c>
      <c r="O1548" s="44" t="s">
        <v>4</v>
      </c>
      <c r="P1548" s="47" t="s">
        <v>1198</v>
      </c>
      <c r="Q1548" s="48">
        <v>62400</v>
      </c>
      <c r="R1548" s="49" t="s">
        <v>4</v>
      </c>
      <c r="S1548" s="48" t="s">
        <v>4</v>
      </c>
      <c r="T1548" s="47" t="s">
        <v>525</v>
      </c>
    </row>
    <row r="1549" spans="1:20">
      <c r="A1549" s="46">
        <v>139941905589</v>
      </c>
      <c r="B1549" s="44" t="s">
        <v>517</v>
      </c>
      <c r="C1549" s="45">
        <v>46026</v>
      </c>
      <c r="D1549" s="46">
        <v>55832852918</v>
      </c>
      <c r="E1549" s="46">
        <v>2166330901799</v>
      </c>
      <c r="F1549" s="47" t="s">
        <v>529</v>
      </c>
      <c r="G1549" s="47" t="s">
        <v>519</v>
      </c>
      <c r="H1549" s="47" t="s">
        <v>4</v>
      </c>
      <c r="I1549" s="46" t="s">
        <v>4</v>
      </c>
      <c r="J1549" s="48">
        <v>2929.85</v>
      </c>
      <c r="K1549" s="47" t="s">
        <v>520</v>
      </c>
      <c r="L1549" s="47" t="s">
        <v>530</v>
      </c>
      <c r="M1549" s="46" t="s">
        <v>807</v>
      </c>
      <c r="N1549" s="47" t="s">
        <v>808</v>
      </c>
      <c r="O1549" s="44" t="s">
        <v>263</v>
      </c>
      <c r="P1549" s="47" t="s">
        <v>531</v>
      </c>
      <c r="Q1549" s="48">
        <v>38500</v>
      </c>
      <c r="R1549" s="49" t="s">
        <v>4</v>
      </c>
      <c r="S1549" s="48" t="s">
        <v>4</v>
      </c>
      <c r="T1549" s="47" t="s">
        <v>525</v>
      </c>
    </row>
    <row r="1550" spans="1:20">
      <c r="A1550" s="46">
        <v>140591540402</v>
      </c>
      <c r="B1550" s="44" t="s">
        <v>517</v>
      </c>
      <c r="C1550" s="45">
        <v>46026</v>
      </c>
      <c r="D1550" s="46">
        <v>55832968182</v>
      </c>
      <c r="E1550" s="46">
        <v>2166332434727</v>
      </c>
      <c r="F1550" s="47" t="s">
        <v>529</v>
      </c>
      <c r="G1550" s="47" t="s">
        <v>519</v>
      </c>
      <c r="H1550" s="47" t="s">
        <v>4</v>
      </c>
      <c r="I1550" s="46" t="s">
        <v>4</v>
      </c>
      <c r="J1550" s="48">
        <v>4398.58</v>
      </c>
      <c r="K1550" s="47" t="s">
        <v>520</v>
      </c>
      <c r="L1550" s="47" t="s">
        <v>530</v>
      </c>
      <c r="M1550" s="46" t="s">
        <v>807</v>
      </c>
      <c r="N1550" s="47" t="s">
        <v>808</v>
      </c>
      <c r="O1550" s="44" t="s">
        <v>263</v>
      </c>
      <c r="P1550" s="47" t="s">
        <v>531</v>
      </c>
      <c r="Q1550" s="48">
        <v>57800</v>
      </c>
      <c r="R1550" s="49" t="s">
        <v>4</v>
      </c>
      <c r="S1550" s="48" t="s">
        <v>4</v>
      </c>
      <c r="T1550" s="47" t="s">
        <v>525</v>
      </c>
    </row>
    <row r="1551" spans="1:20">
      <c r="A1551" s="46">
        <v>140591814664</v>
      </c>
      <c r="B1551" s="44" t="s">
        <v>517</v>
      </c>
      <c r="C1551" s="45">
        <v>46026</v>
      </c>
      <c r="D1551" s="46">
        <v>55833051525</v>
      </c>
      <c r="E1551" s="46">
        <v>2166333894117</v>
      </c>
      <c r="F1551" s="47" t="s">
        <v>518</v>
      </c>
      <c r="G1551" s="47" t="s">
        <v>519</v>
      </c>
      <c r="H1551" s="47" t="s">
        <v>4</v>
      </c>
      <c r="I1551" s="46" t="s">
        <v>4</v>
      </c>
      <c r="J1551" s="48">
        <v>326.89</v>
      </c>
      <c r="K1551" s="47" t="s">
        <v>520</v>
      </c>
      <c r="L1551" s="47" t="s">
        <v>521</v>
      </c>
      <c r="M1551" s="46" t="s">
        <v>660</v>
      </c>
      <c r="N1551" s="47" t="s">
        <v>661</v>
      </c>
      <c r="O1551" s="44" t="s">
        <v>4</v>
      </c>
      <c r="P1551" s="47" t="s">
        <v>1199</v>
      </c>
      <c r="Q1551" s="48">
        <v>33700</v>
      </c>
      <c r="R1551" s="49" t="s">
        <v>4</v>
      </c>
      <c r="S1551" s="48" t="s">
        <v>4</v>
      </c>
      <c r="T1551" s="47" t="s">
        <v>525</v>
      </c>
    </row>
    <row r="1552" spans="1:20">
      <c r="A1552" s="46">
        <v>140592307062</v>
      </c>
      <c r="B1552" s="44" t="s">
        <v>517</v>
      </c>
      <c r="C1552" s="45">
        <v>46026</v>
      </c>
      <c r="D1552" s="46">
        <v>55833271441</v>
      </c>
      <c r="E1552" s="46">
        <v>2166508705380</v>
      </c>
      <c r="F1552" s="47" t="s">
        <v>518</v>
      </c>
      <c r="G1552" s="47" t="s">
        <v>519</v>
      </c>
      <c r="H1552" s="47" t="s">
        <v>4</v>
      </c>
      <c r="I1552" s="46" t="s">
        <v>4</v>
      </c>
      <c r="J1552" s="48">
        <v>352.11</v>
      </c>
      <c r="K1552" s="47" t="s">
        <v>520</v>
      </c>
      <c r="L1552" s="47" t="s">
        <v>521</v>
      </c>
      <c r="M1552" s="46" t="s">
        <v>807</v>
      </c>
      <c r="N1552" s="47" t="s">
        <v>808</v>
      </c>
      <c r="O1552" s="44" t="s">
        <v>4</v>
      </c>
      <c r="P1552" s="47" t="s">
        <v>1200</v>
      </c>
      <c r="Q1552" s="48">
        <v>36300</v>
      </c>
      <c r="R1552" s="49" t="s">
        <v>4</v>
      </c>
      <c r="S1552" s="48" t="s">
        <v>4</v>
      </c>
      <c r="T1552" s="47" t="s">
        <v>525</v>
      </c>
    </row>
    <row r="1553" spans="1:20">
      <c r="A1553" s="46">
        <v>139942955107</v>
      </c>
      <c r="B1553" s="44" t="s">
        <v>517</v>
      </c>
      <c r="C1553" s="45">
        <v>46026</v>
      </c>
      <c r="D1553" s="46">
        <v>55833277098</v>
      </c>
      <c r="E1553" s="46">
        <v>2166337675733</v>
      </c>
      <c r="F1553" s="47" t="s">
        <v>518</v>
      </c>
      <c r="G1553" s="47" t="s">
        <v>519</v>
      </c>
      <c r="H1553" s="47" t="s">
        <v>4</v>
      </c>
      <c r="I1553" s="46" t="s">
        <v>4</v>
      </c>
      <c r="J1553" s="48">
        <v>363.75</v>
      </c>
      <c r="K1553" s="47" t="s">
        <v>520</v>
      </c>
      <c r="L1553" s="47" t="s">
        <v>521</v>
      </c>
      <c r="M1553" s="46" t="s">
        <v>807</v>
      </c>
      <c r="N1553" s="47" t="s">
        <v>808</v>
      </c>
      <c r="O1553" s="44" t="s">
        <v>4</v>
      </c>
      <c r="P1553" s="47" t="s">
        <v>1201</v>
      </c>
      <c r="Q1553" s="48">
        <v>37500</v>
      </c>
      <c r="R1553" s="49" t="s">
        <v>4</v>
      </c>
      <c r="S1553" s="48" t="s">
        <v>4</v>
      </c>
      <c r="T1553" s="47" t="s">
        <v>525</v>
      </c>
    </row>
    <row r="1554" spans="1:20">
      <c r="A1554" s="46">
        <v>139943130985</v>
      </c>
      <c r="B1554" s="44" t="s">
        <v>517</v>
      </c>
      <c r="C1554" s="45">
        <v>46026</v>
      </c>
      <c r="D1554" s="46">
        <v>55833292351</v>
      </c>
      <c r="E1554" s="46">
        <v>2166509691342</v>
      </c>
      <c r="F1554" s="47" t="s">
        <v>518</v>
      </c>
      <c r="G1554" s="47" t="s">
        <v>519</v>
      </c>
      <c r="H1554" s="47" t="s">
        <v>4</v>
      </c>
      <c r="I1554" s="46" t="s">
        <v>4</v>
      </c>
      <c r="J1554" s="48">
        <v>920.53</v>
      </c>
      <c r="K1554" s="47" t="s">
        <v>520</v>
      </c>
      <c r="L1554" s="47" t="s">
        <v>521</v>
      </c>
      <c r="M1554" s="46" t="s">
        <v>807</v>
      </c>
      <c r="N1554" s="47" t="s">
        <v>808</v>
      </c>
      <c r="O1554" s="44" t="s">
        <v>4</v>
      </c>
      <c r="P1554" s="47" t="s">
        <v>1202</v>
      </c>
      <c r="Q1554" s="48">
        <v>94900</v>
      </c>
      <c r="R1554" s="49" t="s">
        <v>4</v>
      </c>
      <c r="S1554" s="48" t="s">
        <v>4</v>
      </c>
      <c r="T1554" s="47" t="s">
        <v>525</v>
      </c>
    </row>
    <row r="1555" spans="1:20">
      <c r="A1555" s="46">
        <v>139943516553</v>
      </c>
      <c r="B1555" s="44" t="s">
        <v>517</v>
      </c>
      <c r="C1555" s="45">
        <v>46026</v>
      </c>
      <c r="D1555" s="46">
        <v>55833479814</v>
      </c>
      <c r="E1555" s="46">
        <v>2166511986286</v>
      </c>
      <c r="F1555" s="47" t="s">
        <v>529</v>
      </c>
      <c r="G1555" s="47" t="s">
        <v>519</v>
      </c>
      <c r="H1555" s="47" t="s">
        <v>4</v>
      </c>
      <c r="I1555" s="46" t="s">
        <v>4</v>
      </c>
      <c r="J1555" s="48">
        <v>435.84</v>
      </c>
      <c r="K1555" s="47" t="s">
        <v>520</v>
      </c>
      <c r="L1555" s="47" t="s">
        <v>530</v>
      </c>
      <c r="M1555" s="46" t="s">
        <v>660</v>
      </c>
      <c r="N1555" s="47" t="s">
        <v>661</v>
      </c>
      <c r="O1555" s="44" t="s">
        <v>263</v>
      </c>
      <c r="P1555" s="47" t="s">
        <v>531</v>
      </c>
      <c r="Q1555" s="48">
        <v>9600</v>
      </c>
      <c r="R1555" s="49" t="s">
        <v>4</v>
      </c>
      <c r="S1555" s="48" t="s">
        <v>4</v>
      </c>
      <c r="T1555" s="47" t="s">
        <v>525</v>
      </c>
    </row>
    <row r="1556" spans="1:20">
      <c r="A1556" s="46">
        <v>139943608633</v>
      </c>
      <c r="B1556" s="44" t="s">
        <v>517</v>
      </c>
      <c r="C1556" s="45">
        <v>46026</v>
      </c>
      <c r="D1556" s="46">
        <v>55833490587</v>
      </c>
      <c r="E1556" s="46">
        <v>2166341284661</v>
      </c>
      <c r="F1556" s="47" t="s">
        <v>529</v>
      </c>
      <c r="G1556" s="47" t="s">
        <v>519</v>
      </c>
      <c r="H1556" s="47" t="s">
        <v>4</v>
      </c>
      <c r="I1556" s="46" t="s">
        <v>4</v>
      </c>
      <c r="J1556" s="48">
        <v>1214.3699999999999</v>
      </c>
      <c r="K1556" s="47" t="s">
        <v>520</v>
      </c>
      <c r="L1556" s="47" t="s">
        <v>530</v>
      </c>
      <c r="M1556" s="46" t="s">
        <v>807</v>
      </c>
      <c r="N1556" s="47" t="s">
        <v>808</v>
      </c>
      <c r="O1556" s="44" t="s">
        <v>263</v>
      </c>
      <c r="P1556" s="47" t="s">
        <v>531</v>
      </c>
      <c r="Q1556" s="48">
        <v>30900</v>
      </c>
      <c r="R1556" s="49" t="s">
        <v>4</v>
      </c>
      <c r="S1556" s="48" t="s">
        <v>4</v>
      </c>
      <c r="T1556" s="47" t="s">
        <v>525</v>
      </c>
    </row>
    <row r="1557" spans="1:20">
      <c r="A1557" s="46">
        <v>139943769473</v>
      </c>
      <c r="B1557" s="44" t="s">
        <v>517</v>
      </c>
      <c r="C1557" s="45">
        <v>46026</v>
      </c>
      <c r="D1557" s="46">
        <v>55833606220</v>
      </c>
      <c r="E1557" s="46">
        <v>2166342912489</v>
      </c>
      <c r="F1557" s="47" t="s">
        <v>529</v>
      </c>
      <c r="G1557" s="47" t="s">
        <v>519</v>
      </c>
      <c r="H1557" s="47" t="s">
        <v>4</v>
      </c>
      <c r="I1557" s="46" t="s">
        <v>4</v>
      </c>
      <c r="J1557" s="48">
        <v>454</v>
      </c>
      <c r="K1557" s="47" t="s">
        <v>520</v>
      </c>
      <c r="L1557" s="47" t="s">
        <v>530</v>
      </c>
      <c r="M1557" s="46" t="s">
        <v>807</v>
      </c>
      <c r="N1557" s="47" t="s">
        <v>808</v>
      </c>
      <c r="O1557" s="44" t="s">
        <v>263</v>
      </c>
      <c r="P1557" s="47" t="s">
        <v>531</v>
      </c>
      <c r="Q1557" s="48">
        <v>10000</v>
      </c>
      <c r="R1557" s="49" t="s">
        <v>4</v>
      </c>
      <c r="S1557" s="48" t="s">
        <v>4</v>
      </c>
      <c r="T1557" s="47" t="s">
        <v>525</v>
      </c>
    </row>
    <row r="1558" spans="1:20">
      <c r="A1558" s="46">
        <v>139943973075</v>
      </c>
      <c r="B1558" s="44" t="s">
        <v>517</v>
      </c>
      <c r="C1558" s="45">
        <v>46026</v>
      </c>
      <c r="D1558" s="46">
        <v>55833678210</v>
      </c>
      <c r="E1558" s="46">
        <v>2166515456276</v>
      </c>
      <c r="F1558" s="47" t="s">
        <v>529</v>
      </c>
      <c r="G1558" s="47" t="s">
        <v>519</v>
      </c>
      <c r="H1558" s="47" t="s">
        <v>4</v>
      </c>
      <c r="I1558" s="46" t="s">
        <v>4</v>
      </c>
      <c r="J1558" s="48">
        <v>7739.37</v>
      </c>
      <c r="K1558" s="47" t="s">
        <v>520</v>
      </c>
      <c r="L1558" s="47" t="s">
        <v>530</v>
      </c>
      <c r="M1558" s="46" t="s">
        <v>660</v>
      </c>
      <c r="N1558" s="47" t="s">
        <v>661</v>
      </c>
      <c r="O1558" s="44" t="s">
        <v>263</v>
      </c>
      <c r="P1558" s="47" t="s">
        <v>531</v>
      </c>
      <c r="Q1558" s="48">
        <v>101700</v>
      </c>
      <c r="R1558" s="49" t="s">
        <v>4</v>
      </c>
      <c r="S1558" s="48" t="s">
        <v>4</v>
      </c>
      <c r="T1558" s="47" t="s">
        <v>525</v>
      </c>
    </row>
    <row r="1559" spans="1:20">
      <c r="A1559" s="46">
        <v>140594057412</v>
      </c>
      <c r="B1559" s="44" t="s">
        <v>517</v>
      </c>
      <c r="C1559" s="45">
        <v>46026</v>
      </c>
      <c r="D1559" s="46">
        <v>55834014400</v>
      </c>
      <c r="E1559" s="46">
        <v>2166349488293</v>
      </c>
      <c r="F1559" s="47" t="s">
        <v>518</v>
      </c>
      <c r="G1559" s="47" t="s">
        <v>519</v>
      </c>
      <c r="H1559" s="47" t="s">
        <v>4</v>
      </c>
      <c r="I1559" s="46" t="s">
        <v>4</v>
      </c>
      <c r="J1559" s="48">
        <v>1336.66</v>
      </c>
      <c r="K1559" s="47" t="s">
        <v>520</v>
      </c>
      <c r="L1559" s="47" t="s">
        <v>521</v>
      </c>
      <c r="M1559" s="46" t="s">
        <v>807</v>
      </c>
      <c r="N1559" s="47" t="s">
        <v>808</v>
      </c>
      <c r="O1559" s="44" t="s">
        <v>4</v>
      </c>
      <c r="P1559" s="47" t="s">
        <v>1203</v>
      </c>
      <c r="Q1559" s="48">
        <v>137800</v>
      </c>
      <c r="R1559" s="49" t="s">
        <v>4</v>
      </c>
      <c r="S1559" s="48" t="s">
        <v>4</v>
      </c>
      <c r="T1559" s="47" t="s">
        <v>525</v>
      </c>
    </row>
    <row r="1560" spans="1:20">
      <c r="A1560" s="46">
        <v>140594266450</v>
      </c>
      <c r="B1560" s="44" t="s">
        <v>517</v>
      </c>
      <c r="C1560" s="45">
        <v>46026</v>
      </c>
      <c r="D1560" s="46">
        <v>55834039564</v>
      </c>
      <c r="E1560" s="46">
        <v>2166350069935</v>
      </c>
      <c r="F1560" s="47" t="s">
        <v>529</v>
      </c>
      <c r="G1560" s="47" t="s">
        <v>519</v>
      </c>
      <c r="H1560" s="47" t="s">
        <v>4</v>
      </c>
      <c r="I1560" s="46" t="s">
        <v>4</v>
      </c>
      <c r="J1560" s="48">
        <v>1202.3800000000001</v>
      </c>
      <c r="K1560" s="47" t="s">
        <v>520</v>
      </c>
      <c r="L1560" s="47" t="s">
        <v>530</v>
      </c>
      <c r="M1560" s="46" t="s">
        <v>807</v>
      </c>
      <c r="N1560" s="47" t="s">
        <v>808</v>
      </c>
      <c r="O1560" s="44" t="s">
        <v>263</v>
      </c>
      <c r="P1560" s="47" t="s">
        <v>531</v>
      </c>
      <c r="Q1560" s="48">
        <v>15800</v>
      </c>
      <c r="R1560" s="49" t="s">
        <v>4</v>
      </c>
      <c r="S1560" s="48" t="s">
        <v>4</v>
      </c>
      <c r="T1560" s="47" t="s">
        <v>525</v>
      </c>
    </row>
    <row r="1561" spans="1:20">
      <c r="A1561" s="46">
        <v>140594295538</v>
      </c>
      <c r="B1561" s="44" t="s">
        <v>517</v>
      </c>
      <c r="C1561" s="45">
        <v>46026</v>
      </c>
      <c r="D1561" s="46">
        <v>55834091436</v>
      </c>
      <c r="E1561" s="46">
        <v>2166522205596</v>
      </c>
      <c r="F1561" s="47" t="s">
        <v>518</v>
      </c>
      <c r="G1561" s="47" t="s">
        <v>519</v>
      </c>
      <c r="H1561" s="47" t="s">
        <v>4</v>
      </c>
      <c r="I1561" s="46" t="s">
        <v>4</v>
      </c>
      <c r="J1561" s="48">
        <v>155.19999999999999</v>
      </c>
      <c r="K1561" s="47" t="s">
        <v>520</v>
      </c>
      <c r="L1561" s="47" t="s">
        <v>521</v>
      </c>
      <c r="M1561" s="46" t="s">
        <v>660</v>
      </c>
      <c r="N1561" s="47" t="s">
        <v>661</v>
      </c>
      <c r="O1561" s="44" t="s">
        <v>4</v>
      </c>
      <c r="P1561" s="47" t="s">
        <v>1204</v>
      </c>
      <c r="Q1561" s="48">
        <v>16000</v>
      </c>
      <c r="R1561" s="49" t="s">
        <v>4</v>
      </c>
      <c r="S1561" s="48" t="s">
        <v>4</v>
      </c>
      <c r="T1561" s="47" t="s">
        <v>525</v>
      </c>
    </row>
    <row r="1562" spans="1:20">
      <c r="A1562" s="46">
        <v>139945202589</v>
      </c>
      <c r="B1562" s="44" t="s">
        <v>517</v>
      </c>
      <c r="C1562" s="45">
        <v>46026</v>
      </c>
      <c r="D1562" s="46">
        <v>55834166495</v>
      </c>
      <c r="E1562" s="46">
        <v>2166352090385</v>
      </c>
      <c r="F1562" s="47" t="s">
        <v>518</v>
      </c>
      <c r="G1562" s="47" t="s">
        <v>519</v>
      </c>
      <c r="H1562" s="47" t="s">
        <v>4</v>
      </c>
      <c r="I1562" s="46" t="s">
        <v>4</v>
      </c>
      <c r="J1562" s="48">
        <v>194.97</v>
      </c>
      <c r="K1562" s="47" t="s">
        <v>520</v>
      </c>
      <c r="L1562" s="47" t="s">
        <v>521</v>
      </c>
      <c r="M1562" s="46" t="s">
        <v>660</v>
      </c>
      <c r="N1562" s="47" t="s">
        <v>661</v>
      </c>
      <c r="O1562" s="44" t="s">
        <v>4</v>
      </c>
      <c r="P1562" s="47" t="s">
        <v>635</v>
      </c>
      <c r="Q1562" s="48">
        <v>20100</v>
      </c>
      <c r="R1562" s="49" t="s">
        <v>4</v>
      </c>
      <c r="S1562" s="48" t="s">
        <v>4</v>
      </c>
      <c r="T1562" s="47" t="s">
        <v>525</v>
      </c>
    </row>
    <row r="1563" spans="1:20">
      <c r="A1563" s="46">
        <v>140594648052</v>
      </c>
      <c r="B1563" s="44" t="s">
        <v>517</v>
      </c>
      <c r="C1563" s="45">
        <v>46026</v>
      </c>
      <c r="D1563" s="46">
        <v>55834223087</v>
      </c>
      <c r="E1563" s="46">
        <v>2166524571076</v>
      </c>
      <c r="F1563" s="47" t="s">
        <v>518</v>
      </c>
      <c r="G1563" s="47" t="s">
        <v>519</v>
      </c>
      <c r="H1563" s="47" t="s">
        <v>4</v>
      </c>
      <c r="I1563" s="46" t="s">
        <v>4</v>
      </c>
      <c r="J1563" s="48">
        <v>359.87</v>
      </c>
      <c r="K1563" s="47" t="s">
        <v>520</v>
      </c>
      <c r="L1563" s="47" t="s">
        <v>521</v>
      </c>
      <c r="M1563" s="46" t="s">
        <v>807</v>
      </c>
      <c r="N1563" s="47" t="s">
        <v>808</v>
      </c>
      <c r="O1563" s="44" t="s">
        <v>4</v>
      </c>
      <c r="P1563" s="47" t="s">
        <v>1205</v>
      </c>
      <c r="Q1563" s="48">
        <v>37100</v>
      </c>
      <c r="R1563" s="49" t="s">
        <v>4</v>
      </c>
      <c r="S1563" s="48" t="s">
        <v>4</v>
      </c>
      <c r="T1563" s="47" t="s">
        <v>525</v>
      </c>
    </row>
    <row r="1564" spans="1:20">
      <c r="A1564" s="46">
        <v>139945402947</v>
      </c>
      <c r="B1564" s="44" t="s">
        <v>517</v>
      </c>
      <c r="C1564" s="45">
        <v>46026</v>
      </c>
      <c r="D1564" s="46">
        <v>55834269042</v>
      </c>
      <c r="E1564" s="46">
        <v>2166353651391</v>
      </c>
      <c r="F1564" s="47" t="s">
        <v>518</v>
      </c>
      <c r="G1564" s="47" t="s">
        <v>519</v>
      </c>
      <c r="H1564" s="47" t="s">
        <v>4</v>
      </c>
      <c r="I1564" s="46" t="s">
        <v>4</v>
      </c>
      <c r="J1564" s="48">
        <v>477.24</v>
      </c>
      <c r="K1564" s="47" t="s">
        <v>520</v>
      </c>
      <c r="L1564" s="47" t="s">
        <v>521</v>
      </c>
      <c r="M1564" s="46" t="s">
        <v>807</v>
      </c>
      <c r="N1564" s="47" t="s">
        <v>808</v>
      </c>
      <c r="O1564" s="44" t="s">
        <v>4</v>
      </c>
      <c r="P1564" s="47" t="s">
        <v>1206</v>
      </c>
      <c r="Q1564" s="48">
        <v>49200</v>
      </c>
      <c r="R1564" s="49" t="s">
        <v>4</v>
      </c>
      <c r="S1564" s="48" t="s">
        <v>4</v>
      </c>
      <c r="T1564" s="47" t="s">
        <v>525</v>
      </c>
    </row>
    <row r="1565" spans="1:20">
      <c r="A1565" s="46">
        <v>140594834512</v>
      </c>
      <c r="B1565" s="44" t="s">
        <v>517</v>
      </c>
      <c r="C1565" s="45">
        <v>46026</v>
      </c>
      <c r="D1565" s="46">
        <v>55834279503</v>
      </c>
      <c r="E1565" s="46">
        <v>2166524920518</v>
      </c>
      <c r="F1565" s="47" t="s">
        <v>518</v>
      </c>
      <c r="G1565" s="47" t="s">
        <v>519</v>
      </c>
      <c r="H1565" s="47" t="s">
        <v>4</v>
      </c>
      <c r="I1565" s="46" t="s">
        <v>4</v>
      </c>
      <c r="J1565" s="48">
        <v>97</v>
      </c>
      <c r="K1565" s="47" t="s">
        <v>520</v>
      </c>
      <c r="L1565" s="47" t="s">
        <v>521</v>
      </c>
      <c r="M1565" s="46" t="s">
        <v>807</v>
      </c>
      <c r="N1565" s="47" t="s">
        <v>808</v>
      </c>
      <c r="O1565" s="44" t="s">
        <v>4</v>
      </c>
      <c r="P1565" s="47" t="s">
        <v>1195</v>
      </c>
      <c r="Q1565" s="48">
        <v>10000</v>
      </c>
      <c r="R1565" s="49" t="s">
        <v>4</v>
      </c>
      <c r="S1565" s="48" t="s">
        <v>4</v>
      </c>
      <c r="T1565" s="47" t="s">
        <v>525</v>
      </c>
    </row>
    <row r="1566" spans="1:20">
      <c r="A1566" s="46">
        <v>139945463473</v>
      </c>
      <c r="B1566" s="44" t="s">
        <v>517</v>
      </c>
      <c r="C1566" s="45">
        <v>46026</v>
      </c>
      <c r="D1566" s="46">
        <v>55834306454</v>
      </c>
      <c r="E1566" s="46">
        <v>2166525297660</v>
      </c>
      <c r="F1566" s="47" t="s">
        <v>518</v>
      </c>
      <c r="G1566" s="47" t="s">
        <v>519</v>
      </c>
      <c r="H1566" s="47" t="s">
        <v>4</v>
      </c>
      <c r="I1566" s="46" t="s">
        <v>4</v>
      </c>
      <c r="J1566" s="48">
        <v>961.27</v>
      </c>
      <c r="K1566" s="47" t="s">
        <v>520</v>
      </c>
      <c r="L1566" s="47" t="s">
        <v>521</v>
      </c>
      <c r="M1566" s="46" t="s">
        <v>807</v>
      </c>
      <c r="N1566" s="47" t="s">
        <v>808</v>
      </c>
      <c r="O1566" s="44" t="s">
        <v>4</v>
      </c>
      <c r="P1566" s="47" t="s">
        <v>1207</v>
      </c>
      <c r="Q1566" s="48">
        <v>99100</v>
      </c>
      <c r="R1566" s="49" t="s">
        <v>4</v>
      </c>
      <c r="S1566" s="48" t="s">
        <v>4</v>
      </c>
      <c r="T1566" s="47" t="s">
        <v>525</v>
      </c>
    </row>
    <row r="1567" spans="1:20">
      <c r="A1567" s="46">
        <v>139945784379</v>
      </c>
      <c r="B1567" s="44" t="s">
        <v>517</v>
      </c>
      <c r="C1567" s="45">
        <v>46026</v>
      </c>
      <c r="D1567" s="46">
        <v>55834380563</v>
      </c>
      <c r="E1567" s="46">
        <v>2166526593402</v>
      </c>
      <c r="F1567" s="47" t="s">
        <v>529</v>
      </c>
      <c r="G1567" s="47" t="s">
        <v>519</v>
      </c>
      <c r="H1567" s="47" t="s">
        <v>4</v>
      </c>
      <c r="I1567" s="46" t="s">
        <v>4</v>
      </c>
      <c r="J1567" s="48">
        <v>432.3</v>
      </c>
      <c r="K1567" s="47" t="s">
        <v>520</v>
      </c>
      <c r="L1567" s="47" t="s">
        <v>530</v>
      </c>
      <c r="M1567" s="46" t="s">
        <v>807</v>
      </c>
      <c r="N1567" s="47" t="s">
        <v>808</v>
      </c>
      <c r="O1567" s="44" t="s">
        <v>263</v>
      </c>
      <c r="P1567" s="47" t="s">
        <v>531</v>
      </c>
      <c r="Q1567" s="48">
        <v>11000</v>
      </c>
      <c r="R1567" s="49" t="s">
        <v>4</v>
      </c>
      <c r="S1567" s="48" t="s">
        <v>4</v>
      </c>
      <c r="T1567" s="47" t="s">
        <v>525</v>
      </c>
    </row>
    <row r="1568" spans="1:20">
      <c r="A1568" s="46">
        <v>139945899681</v>
      </c>
      <c r="B1568" s="44" t="s">
        <v>517</v>
      </c>
      <c r="C1568" s="45">
        <v>46026</v>
      </c>
      <c r="D1568" s="46">
        <v>55834484553</v>
      </c>
      <c r="E1568" s="46">
        <v>2166528322158</v>
      </c>
      <c r="F1568" s="47" t="s">
        <v>518</v>
      </c>
      <c r="G1568" s="47" t="s">
        <v>519</v>
      </c>
      <c r="H1568" s="47" t="s">
        <v>4</v>
      </c>
      <c r="I1568" s="46" t="s">
        <v>4</v>
      </c>
      <c r="J1568" s="48">
        <v>1071.8499999999999</v>
      </c>
      <c r="K1568" s="47" t="s">
        <v>520</v>
      </c>
      <c r="L1568" s="47" t="s">
        <v>521</v>
      </c>
      <c r="M1568" s="46" t="s">
        <v>807</v>
      </c>
      <c r="N1568" s="47" t="s">
        <v>808</v>
      </c>
      <c r="O1568" s="44" t="s">
        <v>4</v>
      </c>
      <c r="P1568" s="47" t="s">
        <v>1047</v>
      </c>
      <c r="Q1568" s="48">
        <v>110500</v>
      </c>
      <c r="R1568" s="49" t="s">
        <v>4</v>
      </c>
      <c r="S1568" s="48" t="s">
        <v>4</v>
      </c>
      <c r="T1568" s="47" t="s">
        <v>525</v>
      </c>
    </row>
    <row r="1569" spans="1:20">
      <c r="A1569" s="46">
        <v>140595328896</v>
      </c>
      <c r="B1569" s="44" t="s">
        <v>517</v>
      </c>
      <c r="C1569" s="45">
        <v>46026</v>
      </c>
      <c r="D1569" s="46">
        <v>55834494302</v>
      </c>
      <c r="E1569" s="46">
        <v>2166357637403</v>
      </c>
      <c r="F1569" s="47" t="s">
        <v>526</v>
      </c>
      <c r="G1569" s="47" t="s">
        <v>519</v>
      </c>
      <c r="H1569" s="47" t="s">
        <v>4</v>
      </c>
      <c r="I1569" s="46" t="s">
        <v>4</v>
      </c>
      <c r="J1569" s="48">
        <v>291</v>
      </c>
      <c r="K1569" s="47" t="s">
        <v>520</v>
      </c>
      <c r="L1569" s="47" t="s">
        <v>521</v>
      </c>
      <c r="M1569" s="46" t="s">
        <v>807</v>
      </c>
      <c r="N1569" s="47" t="s">
        <v>808</v>
      </c>
      <c r="O1569" s="44" t="s">
        <v>4</v>
      </c>
      <c r="P1569" s="47" t="s">
        <v>527</v>
      </c>
      <c r="Q1569" s="48">
        <v>30000</v>
      </c>
      <c r="R1569" s="49" t="s">
        <v>4</v>
      </c>
      <c r="S1569" s="48" t="s">
        <v>4</v>
      </c>
      <c r="T1569" s="47" t="s">
        <v>4</v>
      </c>
    </row>
    <row r="1570" spans="1:20">
      <c r="A1570" s="46">
        <v>140595585614</v>
      </c>
      <c r="B1570" s="44" t="s">
        <v>517</v>
      </c>
      <c r="C1570" s="45">
        <v>46026</v>
      </c>
      <c r="D1570" s="46">
        <v>55834600272</v>
      </c>
      <c r="E1570" s="46">
        <v>2166359500281</v>
      </c>
      <c r="F1570" s="47" t="s">
        <v>518</v>
      </c>
      <c r="G1570" s="47" t="s">
        <v>519</v>
      </c>
      <c r="H1570" s="47" t="s">
        <v>4</v>
      </c>
      <c r="I1570" s="46" t="s">
        <v>4</v>
      </c>
      <c r="J1570" s="48">
        <v>453.96</v>
      </c>
      <c r="K1570" s="47" t="s">
        <v>520</v>
      </c>
      <c r="L1570" s="47" t="s">
        <v>521</v>
      </c>
      <c r="M1570" s="46" t="s">
        <v>807</v>
      </c>
      <c r="N1570" s="47" t="s">
        <v>808</v>
      </c>
      <c r="O1570" s="44" t="s">
        <v>4</v>
      </c>
      <c r="P1570" s="47" t="s">
        <v>1208</v>
      </c>
      <c r="Q1570" s="48">
        <v>46800</v>
      </c>
      <c r="R1570" s="49" t="s">
        <v>4</v>
      </c>
      <c r="S1570" s="48" t="s">
        <v>4</v>
      </c>
      <c r="T1570" s="47" t="s">
        <v>525</v>
      </c>
    </row>
    <row r="1571" spans="1:20">
      <c r="A1571" s="46">
        <v>140595720412</v>
      </c>
      <c r="B1571" s="44" t="s">
        <v>517</v>
      </c>
      <c r="C1571" s="45">
        <v>46026</v>
      </c>
      <c r="D1571" s="46">
        <v>55834632250</v>
      </c>
      <c r="E1571" s="46">
        <v>2166359536863</v>
      </c>
      <c r="F1571" s="47" t="s">
        <v>518</v>
      </c>
      <c r="G1571" s="47" t="s">
        <v>519</v>
      </c>
      <c r="H1571" s="47" t="s">
        <v>4</v>
      </c>
      <c r="I1571" s="46" t="s">
        <v>4</v>
      </c>
      <c r="J1571" s="48">
        <v>106.7</v>
      </c>
      <c r="K1571" s="47" t="s">
        <v>520</v>
      </c>
      <c r="L1571" s="47" t="s">
        <v>521</v>
      </c>
      <c r="M1571" s="46" t="s">
        <v>807</v>
      </c>
      <c r="N1571" s="47" t="s">
        <v>808</v>
      </c>
      <c r="O1571" s="44" t="s">
        <v>4</v>
      </c>
      <c r="P1571" s="47" t="s">
        <v>1209</v>
      </c>
      <c r="Q1571" s="48">
        <v>11000</v>
      </c>
      <c r="R1571" s="49" t="s">
        <v>4</v>
      </c>
      <c r="S1571" s="48" t="s">
        <v>4</v>
      </c>
      <c r="T1571" s="47" t="s">
        <v>525</v>
      </c>
    </row>
    <row r="1572" spans="1:20">
      <c r="A1572" s="46">
        <v>139946486145</v>
      </c>
      <c r="B1572" s="44" t="s">
        <v>517</v>
      </c>
      <c r="C1572" s="45">
        <v>46026</v>
      </c>
      <c r="D1572" s="46">
        <v>55834662072</v>
      </c>
      <c r="E1572" s="46">
        <v>2166531677222</v>
      </c>
      <c r="F1572" s="47" t="s">
        <v>518</v>
      </c>
      <c r="G1572" s="47" t="s">
        <v>519</v>
      </c>
      <c r="H1572" s="47" t="s">
        <v>4</v>
      </c>
      <c r="I1572" s="46" t="s">
        <v>4</v>
      </c>
      <c r="J1572" s="48">
        <v>255.11</v>
      </c>
      <c r="K1572" s="47" t="s">
        <v>520</v>
      </c>
      <c r="L1572" s="47" t="s">
        <v>521</v>
      </c>
      <c r="M1572" s="46" t="s">
        <v>807</v>
      </c>
      <c r="N1572" s="47" t="s">
        <v>808</v>
      </c>
      <c r="O1572" s="44" t="s">
        <v>4</v>
      </c>
      <c r="P1572" s="47" t="s">
        <v>1210</v>
      </c>
      <c r="Q1572" s="48">
        <v>26300</v>
      </c>
      <c r="R1572" s="49" t="s">
        <v>4</v>
      </c>
      <c r="S1572" s="48" t="s">
        <v>4</v>
      </c>
      <c r="T1572" s="47" t="s">
        <v>525</v>
      </c>
    </row>
    <row r="1573" spans="1:20">
      <c r="A1573" s="46">
        <v>140595846050</v>
      </c>
      <c r="B1573" s="44" t="s">
        <v>517</v>
      </c>
      <c r="C1573" s="45">
        <v>46026</v>
      </c>
      <c r="D1573" s="46">
        <v>55834721587</v>
      </c>
      <c r="E1573" s="46">
        <v>2166532389744</v>
      </c>
      <c r="F1573" s="47" t="s">
        <v>529</v>
      </c>
      <c r="G1573" s="47" t="s">
        <v>519</v>
      </c>
      <c r="H1573" s="47" t="s">
        <v>4</v>
      </c>
      <c r="I1573" s="46" t="s">
        <v>4</v>
      </c>
      <c r="J1573" s="48">
        <v>6221.19</v>
      </c>
      <c r="K1573" s="47" t="s">
        <v>520</v>
      </c>
      <c r="L1573" s="47" t="s">
        <v>530</v>
      </c>
      <c r="M1573" s="46" t="s">
        <v>807</v>
      </c>
      <c r="N1573" s="47" t="s">
        <v>808</v>
      </c>
      <c r="O1573" s="44" t="s">
        <v>263</v>
      </c>
      <c r="P1573" s="47" t="s">
        <v>531</v>
      </c>
      <c r="Q1573" s="48">
        <v>158300</v>
      </c>
      <c r="R1573" s="49" t="s">
        <v>4</v>
      </c>
      <c r="S1573" s="48" t="s">
        <v>4</v>
      </c>
      <c r="T1573" s="47" t="s">
        <v>525</v>
      </c>
    </row>
    <row r="1574" spans="1:20">
      <c r="A1574" s="46">
        <v>139946672577</v>
      </c>
      <c r="B1574" s="44" t="s">
        <v>517</v>
      </c>
      <c r="C1574" s="45">
        <v>46026</v>
      </c>
      <c r="D1574" s="46">
        <v>55834731932</v>
      </c>
      <c r="E1574" s="46">
        <v>2166533210196</v>
      </c>
      <c r="F1574" s="47" t="s">
        <v>518</v>
      </c>
      <c r="G1574" s="47" t="s">
        <v>519</v>
      </c>
      <c r="H1574" s="47" t="s">
        <v>4</v>
      </c>
      <c r="I1574" s="46" t="s">
        <v>4</v>
      </c>
      <c r="J1574" s="48">
        <v>155.19999999999999</v>
      </c>
      <c r="K1574" s="47" t="s">
        <v>520</v>
      </c>
      <c r="L1574" s="47" t="s">
        <v>521</v>
      </c>
      <c r="M1574" s="46" t="s">
        <v>807</v>
      </c>
      <c r="N1574" s="47" t="s">
        <v>808</v>
      </c>
      <c r="O1574" s="44" t="s">
        <v>4</v>
      </c>
      <c r="P1574" s="47" t="s">
        <v>1211</v>
      </c>
      <c r="Q1574" s="48">
        <v>16000</v>
      </c>
      <c r="R1574" s="49" t="s">
        <v>4</v>
      </c>
      <c r="S1574" s="48" t="s">
        <v>4</v>
      </c>
      <c r="T1574" s="47" t="s">
        <v>525</v>
      </c>
    </row>
    <row r="1575" spans="1:20">
      <c r="A1575" s="46">
        <v>139946522867</v>
      </c>
      <c r="B1575" s="44" t="s">
        <v>517</v>
      </c>
      <c r="C1575" s="45">
        <v>46026</v>
      </c>
      <c r="D1575" s="46">
        <v>55834735822</v>
      </c>
      <c r="E1575" s="46">
        <v>2166361050599</v>
      </c>
      <c r="F1575" s="47" t="s">
        <v>529</v>
      </c>
      <c r="G1575" s="47" t="s">
        <v>519</v>
      </c>
      <c r="H1575" s="47" t="s">
        <v>4</v>
      </c>
      <c r="I1575" s="46" t="s">
        <v>4</v>
      </c>
      <c r="J1575" s="48">
        <v>196.5</v>
      </c>
      <c r="K1575" s="47" t="s">
        <v>520</v>
      </c>
      <c r="L1575" s="47" t="s">
        <v>530</v>
      </c>
      <c r="M1575" s="46" t="s">
        <v>807</v>
      </c>
      <c r="N1575" s="47" t="s">
        <v>808</v>
      </c>
      <c r="O1575" s="44" t="s">
        <v>263</v>
      </c>
      <c r="P1575" s="47" t="s">
        <v>531</v>
      </c>
      <c r="Q1575" s="48">
        <v>5000</v>
      </c>
      <c r="R1575" s="49" t="s">
        <v>4</v>
      </c>
      <c r="S1575" s="48" t="s">
        <v>4</v>
      </c>
      <c r="T1575" s="47" t="s">
        <v>525</v>
      </c>
    </row>
    <row r="1576" spans="1:20">
      <c r="A1576" s="46">
        <v>140596349554</v>
      </c>
      <c r="B1576" s="44" t="s">
        <v>517</v>
      </c>
      <c r="C1576" s="45">
        <v>46026</v>
      </c>
      <c r="D1576" s="46">
        <v>55834909238</v>
      </c>
      <c r="E1576" s="46">
        <v>2166536063378</v>
      </c>
      <c r="F1576" s="47" t="s">
        <v>518</v>
      </c>
      <c r="G1576" s="47" t="s">
        <v>519</v>
      </c>
      <c r="H1576" s="47" t="s">
        <v>4</v>
      </c>
      <c r="I1576" s="46" t="s">
        <v>4</v>
      </c>
      <c r="J1576" s="48">
        <v>106.7</v>
      </c>
      <c r="K1576" s="47" t="s">
        <v>520</v>
      </c>
      <c r="L1576" s="47" t="s">
        <v>521</v>
      </c>
      <c r="M1576" s="46" t="s">
        <v>807</v>
      </c>
      <c r="N1576" s="47" t="s">
        <v>808</v>
      </c>
      <c r="O1576" s="44" t="s">
        <v>4</v>
      </c>
      <c r="P1576" s="47" t="s">
        <v>1212</v>
      </c>
      <c r="Q1576" s="48">
        <v>11000</v>
      </c>
      <c r="R1576" s="49" t="s">
        <v>4</v>
      </c>
      <c r="S1576" s="48" t="s">
        <v>4</v>
      </c>
      <c r="T1576" s="47" t="s">
        <v>525</v>
      </c>
    </row>
    <row r="1577" spans="1:20">
      <c r="A1577" s="46">
        <v>139947188047</v>
      </c>
      <c r="B1577" s="44" t="s">
        <v>517</v>
      </c>
      <c r="C1577" s="45">
        <v>46026</v>
      </c>
      <c r="D1577" s="46">
        <v>55835004689</v>
      </c>
      <c r="E1577" s="46">
        <v>2166365819489</v>
      </c>
      <c r="F1577" s="47" t="s">
        <v>518</v>
      </c>
      <c r="G1577" s="47" t="s">
        <v>519</v>
      </c>
      <c r="H1577" s="47" t="s">
        <v>4</v>
      </c>
      <c r="I1577" s="46" t="s">
        <v>4</v>
      </c>
      <c r="J1577" s="48">
        <v>106.7</v>
      </c>
      <c r="K1577" s="47" t="s">
        <v>520</v>
      </c>
      <c r="L1577" s="47" t="s">
        <v>521</v>
      </c>
      <c r="M1577" s="46" t="s">
        <v>807</v>
      </c>
      <c r="N1577" s="47" t="s">
        <v>808</v>
      </c>
      <c r="O1577" s="44" t="s">
        <v>4</v>
      </c>
      <c r="P1577" s="47" t="s">
        <v>1213</v>
      </c>
      <c r="Q1577" s="48">
        <v>11000</v>
      </c>
      <c r="R1577" s="49" t="s">
        <v>4</v>
      </c>
      <c r="S1577" s="48" t="s">
        <v>4</v>
      </c>
      <c r="T1577" s="47" t="s">
        <v>525</v>
      </c>
    </row>
    <row r="1578" spans="1:20">
      <c r="A1578" s="46">
        <v>140596620366</v>
      </c>
      <c r="B1578" s="44" t="s">
        <v>517</v>
      </c>
      <c r="C1578" s="45">
        <v>46026</v>
      </c>
      <c r="D1578" s="46">
        <v>55835017383</v>
      </c>
      <c r="E1578" s="46">
        <v>2166366115755</v>
      </c>
      <c r="F1578" s="47" t="s">
        <v>529</v>
      </c>
      <c r="G1578" s="47" t="s">
        <v>519</v>
      </c>
      <c r="H1578" s="47" t="s">
        <v>4</v>
      </c>
      <c r="I1578" s="46" t="s">
        <v>4</v>
      </c>
      <c r="J1578" s="48">
        <v>2770.65</v>
      </c>
      <c r="K1578" s="47" t="s">
        <v>520</v>
      </c>
      <c r="L1578" s="47" t="s">
        <v>530</v>
      </c>
      <c r="M1578" s="46" t="s">
        <v>807</v>
      </c>
      <c r="N1578" s="47" t="s">
        <v>808</v>
      </c>
      <c r="O1578" s="44" t="s">
        <v>263</v>
      </c>
      <c r="P1578" s="47" t="s">
        <v>531</v>
      </c>
      <c r="Q1578" s="48">
        <v>70500</v>
      </c>
      <c r="R1578" s="49" t="s">
        <v>4</v>
      </c>
      <c r="S1578" s="48" t="s">
        <v>4</v>
      </c>
      <c r="T1578" s="47" t="s">
        <v>525</v>
      </c>
    </row>
    <row r="1579" spans="1:20">
      <c r="A1579" s="46">
        <v>140596636622</v>
      </c>
      <c r="B1579" s="44" t="s">
        <v>517</v>
      </c>
      <c r="C1579" s="45">
        <v>46026</v>
      </c>
      <c r="D1579" s="46">
        <v>55835025684</v>
      </c>
      <c r="E1579" s="46">
        <v>2166537562154</v>
      </c>
      <c r="F1579" s="47" t="s">
        <v>518</v>
      </c>
      <c r="G1579" s="47" t="s">
        <v>519</v>
      </c>
      <c r="H1579" s="47" t="s">
        <v>4</v>
      </c>
      <c r="I1579" s="46" t="s">
        <v>4</v>
      </c>
      <c r="J1579" s="48">
        <v>683.85</v>
      </c>
      <c r="K1579" s="47" t="s">
        <v>520</v>
      </c>
      <c r="L1579" s="47" t="s">
        <v>521</v>
      </c>
      <c r="M1579" s="46" t="s">
        <v>807</v>
      </c>
      <c r="N1579" s="47" t="s">
        <v>808</v>
      </c>
      <c r="O1579" s="44" t="s">
        <v>4</v>
      </c>
      <c r="P1579" s="47" t="s">
        <v>1214</v>
      </c>
      <c r="Q1579" s="48">
        <v>70500</v>
      </c>
      <c r="R1579" s="49" t="s">
        <v>4</v>
      </c>
      <c r="S1579" s="48" t="s">
        <v>4</v>
      </c>
      <c r="T1579" s="47" t="s">
        <v>525</v>
      </c>
    </row>
    <row r="1580" spans="1:20">
      <c r="A1580" s="46">
        <v>140596822178</v>
      </c>
      <c r="B1580" s="44" t="s">
        <v>517</v>
      </c>
      <c r="C1580" s="45">
        <v>46026</v>
      </c>
      <c r="D1580" s="46">
        <v>55835099225</v>
      </c>
      <c r="E1580" s="46">
        <v>2166367137399</v>
      </c>
      <c r="F1580" s="47" t="s">
        <v>518</v>
      </c>
      <c r="G1580" s="47" t="s">
        <v>519</v>
      </c>
      <c r="H1580" s="47" t="s">
        <v>4</v>
      </c>
      <c r="I1580" s="46" t="s">
        <v>4</v>
      </c>
      <c r="J1580" s="48">
        <v>242.5</v>
      </c>
      <c r="K1580" s="47" t="s">
        <v>520</v>
      </c>
      <c r="L1580" s="47" t="s">
        <v>521</v>
      </c>
      <c r="M1580" s="46" t="s">
        <v>807</v>
      </c>
      <c r="N1580" s="47" t="s">
        <v>808</v>
      </c>
      <c r="O1580" s="44" t="s">
        <v>4</v>
      </c>
      <c r="P1580" s="47" t="s">
        <v>1215</v>
      </c>
      <c r="Q1580" s="48">
        <v>25000</v>
      </c>
      <c r="R1580" s="49" t="s">
        <v>4</v>
      </c>
      <c r="S1580" s="48" t="s">
        <v>4</v>
      </c>
      <c r="T1580" s="47" t="s">
        <v>525</v>
      </c>
    </row>
    <row r="1581" spans="1:20">
      <c r="A1581" s="46">
        <v>140596848346</v>
      </c>
      <c r="B1581" s="44" t="s">
        <v>517</v>
      </c>
      <c r="C1581" s="45">
        <v>46026</v>
      </c>
      <c r="D1581" s="46">
        <v>55835113610</v>
      </c>
      <c r="E1581" s="46">
        <v>2166367392269</v>
      </c>
      <c r="F1581" s="47" t="s">
        <v>518</v>
      </c>
      <c r="G1581" s="47" t="s">
        <v>519</v>
      </c>
      <c r="H1581" s="47" t="s">
        <v>4</v>
      </c>
      <c r="I1581" s="46" t="s">
        <v>4</v>
      </c>
      <c r="J1581" s="48">
        <v>106.7</v>
      </c>
      <c r="K1581" s="47" t="s">
        <v>520</v>
      </c>
      <c r="L1581" s="47" t="s">
        <v>521</v>
      </c>
      <c r="M1581" s="46" t="s">
        <v>807</v>
      </c>
      <c r="N1581" s="47" t="s">
        <v>808</v>
      </c>
      <c r="O1581" s="44" t="s">
        <v>4</v>
      </c>
      <c r="P1581" s="47" t="s">
        <v>1216</v>
      </c>
      <c r="Q1581" s="48">
        <v>11000</v>
      </c>
      <c r="R1581" s="49" t="s">
        <v>4</v>
      </c>
      <c r="S1581" s="48" t="s">
        <v>4</v>
      </c>
      <c r="T1581" s="47" t="s">
        <v>525</v>
      </c>
    </row>
    <row r="1582" spans="1:20">
      <c r="A1582" s="46">
        <v>140596830872</v>
      </c>
      <c r="B1582" s="44" t="s">
        <v>517</v>
      </c>
      <c r="C1582" s="45">
        <v>46026</v>
      </c>
      <c r="D1582" s="46">
        <v>55835122211</v>
      </c>
      <c r="E1582" s="46">
        <v>2166367648171</v>
      </c>
      <c r="F1582" s="47" t="s">
        <v>562</v>
      </c>
      <c r="G1582" s="47" t="s">
        <v>519</v>
      </c>
      <c r="H1582" s="47" t="s">
        <v>4</v>
      </c>
      <c r="I1582" s="46" t="s">
        <v>4</v>
      </c>
      <c r="J1582" s="48">
        <v>3028.78</v>
      </c>
      <c r="K1582" s="47" t="s">
        <v>520</v>
      </c>
      <c r="L1582" s="47" t="s">
        <v>521</v>
      </c>
      <c r="M1582" s="46" t="s">
        <v>807</v>
      </c>
      <c r="N1582" s="47" t="s">
        <v>808</v>
      </c>
      <c r="O1582" s="44" t="s">
        <v>4</v>
      </c>
      <c r="P1582" s="47" t="s">
        <v>739</v>
      </c>
      <c r="Q1582" s="48">
        <v>39800</v>
      </c>
      <c r="R1582" s="49" t="s">
        <v>4</v>
      </c>
      <c r="S1582" s="48" t="s">
        <v>4</v>
      </c>
      <c r="T1582" s="47" t="s">
        <v>525</v>
      </c>
    </row>
    <row r="1583" spans="1:20">
      <c r="A1583" s="46">
        <v>140596900344</v>
      </c>
      <c r="B1583" s="44" t="s">
        <v>517</v>
      </c>
      <c r="C1583" s="45">
        <v>46026</v>
      </c>
      <c r="D1583" s="46">
        <v>55835133559</v>
      </c>
      <c r="E1583" s="46">
        <v>2166367999195</v>
      </c>
      <c r="F1583" s="47" t="s">
        <v>518</v>
      </c>
      <c r="G1583" s="47" t="s">
        <v>519</v>
      </c>
      <c r="H1583" s="47" t="s">
        <v>4</v>
      </c>
      <c r="I1583" s="46" t="s">
        <v>4</v>
      </c>
      <c r="J1583" s="48">
        <v>2511.3000000000002</v>
      </c>
      <c r="K1583" s="47" t="s">
        <v>520</v>
      </c>
      <c r="L1583" s="47" t="s">
        <v>521</v>
      </c>
      <c r="M1583" s="46" t="s">
        <v>807</v>
      </c>
      <c r="N1583" s="47" t="s">
        <v>808</v>
      </c>
      <c r="O1583" s="44" t="s">
        <v>4</v>
      </c>
      <c r="P1583" s="47" t="s">
        <v>1217</v>
      </c>
      <c r="Q1583" s="48">
        <v>33000</v>
      </c>
      <c r="R1583" s="49" t="s">
        <v>4</v>
      </c>
      <c r="S1583" s="48" t="s">
        <v>4</v>
      </c>
      <c r="T1583" s="47" t="s">
        <v>525</v>
      </c>
    </row>
    <row r="1584" spans="1:20">
      <c r="A1584" s="46">
        <v>140596914650</v>
      </c>
      <c r="B1584" s="44" t="s">
        <v>517</v>
      </c>
      <c r="C1584" s="45">
        <v>46026</v>
      </c>
      <c r="D1584" s="46">
        <v>55835142461</v>
      </c>
      <c r="E1584" s="46">
        <v>2166368066033</v>
      </c>
      <c r="F1584" s="47" t="s">
        <v>526</v>
      </c>
      <c r="G1584" s="47" t="s">
        <v>519</v>
      </c>
      <c r="H1584" s="47" t="s">
        <v>4</v>
      </c>
      <c r="I1584" s="46" t="s">
        <v>4</v>
      </c>
      <c r="J1584" s="48">
        <v>918.59</v>
      </c>
      <c r="K1584" s="47" t="s">
        <v>520</v>
      </c>
      <c r="L1584" s="47" t="s">
        <v>521</v>
      </c>
      <c r="M1584" s="46" t="s">
        <v>807</v>
      </c>
      <c r="N1584" s="47" t="s">
        <v>808</v>
      </c>
      <c r="O1584" s="44" t="s">
        <v>4</v>
      </c>
      <c r="P1584" s="47" t="s">
        <v>527</v>
      </c>
      <c r="Q1584" s="48">
        <v>94700</v>
      </c>
      <c r="R1584" s="49" t="s">
        <v>4</v>
      </c>
      <c r="S1584" s="48" t="s">
        <v>4</v>
      </c>
      <c r="T1584" s="47" t="s">
        <v>4</v>
      </c>
    </row>
    <row r="1585" spans="1:20">
      <c r="A1585" s="46">
        <v>140596978562</v>
      </c>
      <c r="B1585" s="44" t="s">
        <v>517</v>
      </c>
      <c r="C1585" s="45">
        <v>46026</v>
      </c>
      <c r="D1585" s="46">
        <v>55835187121</v>
      </c>
      <c r="E1585" s="46">
        <v>2166368468323</v>
      </c>
      <c r="F1585" s="47" t="s">
        <v>526</v>
      </c>
      <c r="G1585" s="47" t="s">
        <v>519</v>
      </c>
      <c r="H1585" s="47" t="s">
        <v>4</v>
      </c>
      <c r="I1585" s="46" t="s">
        <v>4</v>
      </c>
      <c r="J1585" s="48">
        <v>878.82</v>
      </c>
      <c r="K1585" s="47" t="s">
        <v>520</v>
      </c>
      <c r="L1585" s="47" t="s">
        <v>521</v>
      </c>
      <c r="M1585" s="46" t="s">
        <v>807</v>
      </c>
      <c r="N1585" s="47" t="s">
        <v>808</v>
      </c>
      <c r="O1585" s="44" t="s">
        <v>4</v>
      </c>
      <c r="P1585" s="47" t="s">
        <v>527</v>
      </c>
      <c r="Q1585" s="48">
        <v>90600</v>
      </c>
      <c r="R1585" s="49" t="s">
        <v>4</v>
      </c>
      <c r="S1585" s="48" t="s">
        <v>4</v>
      </c>
      <c r="T1585" s="47" t="s">
        <v>4</v>
      </c>
    </row>
    <row r="1586" spans="1:20">
      <c r="A1586" s="46">
        <v>139947511631</v>
      </c>
      <c r="B1586" s="44" t="s">
        <v>517</v>
      </c>
      <c r="C1586" s="45">
        <v>46026</v>
      </c>
      <c r="D1586" s="46">
        <v>55835197538</v>
      </c>
      <c r="E1586" s="46">
        <v>2166368265585</v>
      </c>
      <c r="F1586" s="47" t="s">
        <v>518</v>
      </c>
      <c r="G1586" s="47" t="s">
        <v>519</v>
      </c>
      <c r="H1586" s="47" t="s">
        <v>4</v>
      </c>
      <c r="I1586" s="46" t="s">
        <v>4</v>
      </c>
      <c r="J1586" s="48">
        <v>393.82</v>
      </c>
      <c r="K1586" s="47" t="s">
        <v>520</v>
      </c>
      <c r="L1586" s="47" t="s">
        <v>521</v>
      </c>
      <c r="M1586" s="46" t="s">
        <v>807</v>
      </c>
      <c r="N1586" s="47" t="s">
        <v>808</v>
      </c>
      <c r="O1586" s="44" t="s">
        <v>4</v>
      </c>
      <c r="P1586" s="47" t="s">
        <v>1218</v>
      </c>
      <c r="Q1586" s="48">
        <v>40600</v>
      </c>
      <c r="R1586" s="49" t="s">
        <v>4</v>
      </c>
      <c r="S1586" s="48" t="s">
        <v>4</v>
      </c>
      <c r="T1586" s="47" t="s">
        <v>525</v>
      </c>
    </row>
    <row r="1587" spans="1:20">
      <c r="A1587" s="46">
        <v>140663653098</v>
      </c>
      <c r="B1587" s="44" t="s">
        <v>517</v>
      </c>
      <c r="C1587" s="45">
        <v>46026</v>
      </c>
      <c r="D1587" s="46">
        <v>55865311111</v>
      </c>
      <c r="E1587" s="46">
        <v>2166792596099</v>
      </c>
      <c r="F1587" s="47" t="s">
        <v>529</v>
      </c>
      <c r="G1587" s="47" t="s">
        <v>519</v>
      </c>
      <c r="H1587" s="47" t="s">
        <v>4</v>
      </c>
      <c r="I1587" s="46" t="s">
        <v>4</v>
      </c>
      <c r="J1587" s="48">
        <v>404.79</v>
      </c>
      <c r="K1587" s="47" t="s">
        <v>520</v>
      </c>
      <c r="L1587" s="47" t="s">
        <v>530</v>
      </c>
      <c r="M1587" s="46" t="s">
        <v>660</v>
      </c>
      <c r="N1587" s="47" t="s">
        <v>661</v>
      </c>
      <c r="O1587" s="44" t="s">
        <v>263</v>
      </c>
      <c r="P1587" s="47" t="s">
        <v>531</v>
      </c>
      <c r="Q1587" s="48">
        <v>10300</v>
      </c>
      <c r="R1587" s="49" t="s">
        <v>4</v>
      </c>
      <c r="S1587" s="48" t="s">
        <v>4</v>
      </c>
      <c r="T1587" s="47" t="s">
        <v>525</v>
      </c>
    </row>
    <row r="1588" spans="1:20">
      <c r="A1588" s="46">
        <v>140016168727</v>
      </c>
      <c r="B1588" s="44" t="s">
        <v>517</v>
      </c>
      <c r="C1588" s="45">
        <v>46026</v>
      </c>
      <c r="D1588" s="46">
        <v>55866169087</v>
      </c>
      <c r="E1588" s="46">
        <v>2166977594528</v>
      </c>
      <c r="F1588" s="47" t="s">
        <v>518</v>
      </c>
      <c r="G1588" s="47" t="s">
        <v>519</v>
      </c>
      <c r="H1588" s="47" t="s">
        <v>4</v>
      </c>
      <c r="I1588" s="46" t="s">
        <v>4</v>
      </c>
      <c r="J1588" s="48">
        <v>46.56</v>
      </c>
      <c r="K1588" s="47" t="s">
        <v>520</v>
      </c>
      <c r="L1588" s="47" t="s">
        <v>521</v>
      </c>
      <c r="M1588" s="46" t="s">
        <v>660</v>
      </c>
      <c r="N1588" s="47" t="s">
        <v>661</v>
      </c>
      <c r="O1588" s="44" t="s">
        <v>4</v>
      </c>
      <c r="P1588" s="47" t="s">
        <v>1219</v>
      </c>
      <c r="Q1588" s="48">
        <v>4800</v>
      </c>
      <c r="R1588" s="49" t="s">
        <v>4</v>
      </c>
      <c r="S1588" s="48" t="s">
        <v>4</v>
      </c>
      <c r="T1588" s="47" t="s">
        <v>525</v>
      </c>
    </row>
    <row r="1589" spans="1:20">
      <c r="A1589" s="46">
        <v>140666941244</v>
      </c>
      <c r="B1589" s="44" t="s">
        <v>517</v>
      </c>
      <c r="C1589" s="45">
        <v>46026</v>
      </c>
      <c r="D1589" s="46">
        <v>55866660896</v>
      </c>
      <c r="E1589" s="46">
        <v>2166985257816</v>
      </c>
      <c r="F1589" s="47" t="s">
        <v>518</v>
      </c>
      <c r="G1589" s="47" t="s">
        <v>519</v>
      </c>
      <c r="H1589" s="47" t="s">
        <v>4</v>
      </c>
      <c r="I1589" s="46" t="s">
        <v>4</v>
      </c>
      <c r="J1589" s="48">
        <v>293.91000000000003</v>
      </c>
      <c r="K1589" s="47" t="s">
        <v>520</v>
      </c>
      <c r="L1589" s="47" t="s">
        <v>521</v>
      </c>
      <c r="M1589" s="46" t="s">
        <v>660</v>
      </c>
      <c r="N1589" s="47" t="s">
        <v>661</v>
      </c>
      <c r="O1589" s="44" t="s">
        <v>4</v>
      </c>
      <c r="P1589" s="47" t="s">
        <v>1220</v>
      </c>
      <c r="Q1589" s="48">
        <v>30300</v>
      </c>
      <c r="R1589" s="49" t="s">
        <v>4</v>
      </c>
      <c r="S1589" s="48" t="s">
        <v>4</v>
      </c>
      <c r="T1589" s="47" t="s">
        <v>525</v>
      </c>
    </row>
    <row r="1590" spans="1:20">
      <c r="A1590" s="46">
        <v>140671609130</v>
      </c>
      <c r="B1590" s="44" t="s">
        <v>517</v>
      </c>
      <c r="C1590" s="45">
        <v>46026</v>
      </c>
      <c r="D1590" s="46">
        <v>55868499197</v>
      </c>
      <c r="E1590" s="46">
        <v>2166843956633</v>
      </c>
      <c r="F1590" s="47" t="s">
        <v>529</v>
      </c>
      <c r="G1590" s="47" t="s">
        <v>519</v>
      </c>
      <c r="H1590" s="47" t="s">
        <v>4</v>
      </c>
      <c r="I1590" s="46" t="s">
        <v>4</v>
      </c>
      <c r="J1590" s="48">
        <v>150.27000000000001</v>
      </c>
      <c r="K1590" s="47" t="s">
        <v>520</v>
      </c>
      <c r="L1590" s="47" t="s">
        <v>530</v>
      </c>
      <c r="M1590" s="46" t="s">
        <v>660</v>
      </c>
      <c r="N1590" s="47" t="s">
        <v>661</v>
      </c>
      <c r="O1590" s="44" t="s">
        <v>263</v>
      </c>
      <c r="P1590" s="47" t="s">
        <v>531</v>
      </c>
      <c r="Q1590" s="48">
        <v>3310</v>
      </c>
      <c r="R1590" s="49" t="s">
        <v>4</v>
      </c>
      <c r="S1590" s="48" t="s">
        <v>4</v>
      </c>
      <c r="T1590" s="47" t="s">
        <v>525</v>
      </c>
    </row>
    <row r="1591" spans="1:20">
      <c r="A1591" s="46">
        <v>140022335519</v>
      </c>
      <c r="B1591" s="44" t="s">
        <v>517</v>
      </c>
      <c r="C1591" s="45">
        <v>46026</v>
      </c>
      <c r="D1591" s="46">
        <v>55868694789</v>
      </c>
      <c r="E1591" s="46">
        <v>2166846547581</v>
      </c>
      <c r="F1591" s="47" t="s">
        <v>529</v>
      </c>
      <c r="G1591" s="47" t="s">
        <v>519</v>
      </c>
      <c r="H1591" s="47" t="s">
        <v>4</v>
      </c>
      <c r="I1591" s="46" t="s">
        <v>4</v>
      </c>
      <c r="J1591" s="48">
        <v>864.6</v>
      </c>
      <c r="K1591" s="47" t="s">
        <v>520</v>
      </c>
      <c r="L1591" s="47" t="s">
        <v>530</v>
      </c>
      <c r="M1591" s="46" t="s">
        <v>807</v>
      </c>
      <c r="N1591" s="47" t="s">
        <v>808</v>
      </c>
      <c r="O1591" s="44" t="s">
        <v>263</v>
      </c>
      <c r="P1591" s="47" t="s">
        <v>531</v>
      </c>
      <c r="Q1591" s="48">
        <v>22000</v>
      </c>
      <c r="R1591" s="49" t="s">
        <v>4</v>
      </c>
      <c r="S1591" s="48" t="s">
        <v>4</v>
      </c>
      <c r="T1591" s="47" t="s">
        <v>525</v>
      </c>
    </row>
    <row r="1592" spans="1:20">
      <c r="A1592" s="46">
        <v>140023489117</v>
      </c>
      <c r="B1592" s="44" t="s">
        <v>517</v>
      </c>
      <c r="C1592" s="45">
        <v>46026</v>
      </c>
      <c r="D1592" s="46">
        <v>55869123078</v>
      </c>
      <c r="E1592" s="46">
        <v>2167025537942</v>
      </c>
      <c r="F1592" s="47" t="s">
        <v>518</v>
      </c>
      <c r="G1592" s="47" t="s">
        <v>519</v>
      </c>
      <c r="H1592" s="47" t="s">
        <v>4</v>
      </c>
      <c r="I1592" s="46" t="s">
        <v>4</v>
      </c>
      <c r="J1592" s="48">
        <v>189.15</v>
      </c>
      <c r="K1592" s="47" t="s">
        <v>520</v>
      </c>
      <c r="L1592" s="47" t="s">
        <v>521</v>
      </c>
      <c r="M1592" s="46" t="s">
        <v>660</v>
      </c>
      <c r="N1592" s="47" t="s">
        <v>661</v>
      </c>
      <c r="O1592" s="44" t="s">
        <v>4</v>
      </c>
      <c r="P1592" s="47" t="s">
        <v>1221</v>
      </c>
      <c r="Q1592" s="48">
        <v>19500</v>
      </c>
      <c r="R1592" s="49" t="s">
        <v>4</v>
      </c>
      <c r="S1592" s="48" t="s">
        <v>4</v>
      </c>
      <c r="T1592" s="47" t="s">
        <v>525</v>
      </c>
    </row>
    <row r="1593" spans="1:20">
      <c r="A1593" s="46">
        <v>140024038689</v>
      </c>
      <c r="B1593" s="44" t="s">
        <v>517</v>
      </c>
      <c r="C1593" s="45">
        <v>46026</v>
      </c>
      <c r="D1593" s="46">
        <v>55869353939</v>
      </c>
      <c r="E1593" s="46">
        <v>2166857847905</v>
      </c>
      <c r="F1593" s="47" t="s">
        <v>526</v>
      </c>
      <c r="G1593" s="47" t="s">
        <v>519</v>
      </c>
      <c r="H1593" s="47" t="s">
        <v>4</v>
      </c>
      <c r="I1593" s="46" t="s">
        <v>4</v>
      </c>
      <c r="J1593" s="48">
        <v>106.7</v>
      </c>
      <c r="K1593" s="47" t="s">
        <v>520</v>
      </c>
      <c r="L1593" s="47" t="s">
        <v>521</v>
      </c>
      <c r="M1593" s="46" t="s">
        <v>807</v>
      </c>
      <c r="N1593" s="47" t="s">
        <v>808</v>
      </c>
      <c r="O1593" s="44" t="s">
        <v>4</v>
      </c>
      <c r="P1593" s="47" t="s">
        <v>527</v>
      </c>
      <c r="Q1593" s="48">
        <v>11000</v>
      </c>
      <c r="R1593" s="49" t="s">
        <v>4</v>
      </c>
      <c r="S1593" s="48" t="s">
        <v>4</v>
      </c>
      <c r="T1593" s="47" t="s">
        <v>4</v>
      </c>
    </row>
    <row r="1594" spans="1:20">
      <c r="A1594" s="46">
        <v>140025281905</v>
      </c>
      <c r="B1594" s="44" t="s">
        <v>517</v>
      </c>
      <c r="C1594" s="45">
        <v>46026</v>
      </c>
      <c r="D1594" s="46">
        <v>55869876947</v>
      </c>
      <c r="E1594" s="46">
        <v>2166865884267</v>
      </c>
      <c r="F1594" s="47" t="s">
        <v>526</v>
      </c>
      <c r="G1594" s="47" t="s">
        <v>519</v>
      </c>
      <c r="H1594" s="47" t="s">
        <v>4</v>
      </c>
      <c r="I1594" s="46" t="s">
        <v>4</v>
      </c>
      <c r="J1594" s="48">
        <v>190.12</v>
      </c>
      <c r="K1594" s="47" t="s">
        <v>520</v>
      </c>
      <c r="L1594" s="47" t="s">
        <v>521</v>
      </c>
      <c r="M1594" s="46" t="s">
        <v>807</v>
      </c>
      <c r="N1594" s="47" t="s">
        <v>808</v>
      </c>
      <c r="O1594" s="44" t="s">
        <v>4</v>
      </c>
      <c r="P1594" s="47" t="s">
        <v>527</v>
      </c>
      <c r="Q1594" s="48">
        <v>19600</v>
      </c>
      <c r="R1594" s="49" t="s">
        <v>4</v>
      </c>
      <c r="S1594" s="48" t="s">
        <v>4</v>
      </c>
      <c r="T1594" s="47" t="s">
        <v>4</v>
      </c>
    </row>
    <row r="1595" spans="1:20">
      <c r="A1595" s="46">
        <v>140675383344</v>
      </c>
      <c r="B1595" s="44" t="s">
        <v>517</v>
      </c>
      <c r="C1595" s="45">
        <v>46026</v>
      </c>
      <c r="D1595" s="46">
        <v>55870041029</v>
      </c>
      <c r="E1595" s="46">
        <v>2166868671129</v>
      </c>
      <c r="F1595" s="47" t="s">
        <v>529</v>
      </c>
      <c r="G1595" s="47" t="s">
        <v>519</v>
      </c>
      <c r="H1595" s="47" t="s">
        <v>4</v>
      </c>
      <c r="I1595" s="46" t="s">
        <v>4</v>
      </c>
      <c r="J1595" s="48">
        <v>1570.84</v>
      </c>
      <c r="K1595" s="47" t="s">
        <v>520</v>
      </c>
      <c r="L1595" s="47" t="s">
        <v>530</v>
      </c>
      <c r="M1595" s="46" t="s">
        <v>660</v>
      </c>
      <c r="N1595" s="47" t="s">
        <v>661</v>
      </c>
      <c r="O1595" s="44" t="s">
        <v>263</v>
      </c>
      <c r="P1595" s="47" t="s">
        <v>531</v>
      </c>
      <c r="Q1595" s="48">
        <v>34600</v>
      </c>
      <c r="R1595" s="49" t="s">
        <v>4</v>
      </c>
      <c r="S1595" s="48" t="s">
        <v>4</v>
      </c>
      <c r="T1595" s="47" t="s">
        <v>525</v>
      </c>
    </row>
    <row r="1596" spans="1:20">
      <c r="A1596" s="46">
        <v>140025950067</v>
      </c>
      <c r="B1596" s="44" t="s">
        <v>517</v>
      </c>
      <c r="C1596" s="45">
        <v>46026</v>
      </c>
      <c r="D1596" s="46">
        <v>55870136032</v>
      </c>
      <c r="E1596" s="46">
        <v>2167041856356</v>
      </c>
      <c r="F1596" s="47" t="s">
        <v>562</v>
      </c>
      <c r="G1596" s="47" t="s">
        <v>519</v>
      </c>
      <c r="H1596" s="47" t="s">
        <v>4</v>
      </c>
      <c r="I1596" s="46" t="s">
        <v>4</v>
      </c>
      <c r="J1596" s="48">
        <v>1636.15</v>
      </c>
      <c r="K1596" s="47" t="s">
        <v>520</v>
      </c>
      <c r="L1596" s="47" t="s">
        <v>521</v>
      </c>
      <c r="M1596" s="46" t="s">
        <v>660</v>
      </c>
      <c r="N1596" s="47" t="s">
        <v>661</v>
      </c>
      <c r="O1596" s="44" t="s">
        <v>4</v>
      </c>
      <c r="P1596" s="47" t="s">
        <v>574</v>
      </c>
      <c r="Q1596" s="48">
        <v>21500</v>
      </c>
      <c r="R1596" s="49" t="s">
        <v>4</v>
      </c>
      <c r="S1596" s="48" t="s">
        <v>4</v>
      </c>
      <c r="T1596" s="47" t="s">
        <v>525</v>
      </c>
    </row>
    <row r="1597" spans="1:20">
      <c r="A1597" s="46">
        <v>140027249389</v>
      </c>
      <c r="B1597" s="44" t="s">
        <v>517</v>
      </c>
      <c r="C1597" s="45">
        <v>46026</v>
      </c>
      <c r="D1597" s="46">
        <v>55870648013</v>
      </c>
      <c r="E1597" s="46">
        <v>2166878666239</v>
      </c>
      <c r="F1597" s="47" t="s">
        <v>518</v>
      </c>
      <c r="G1597" s="47" t="s">
        <v>519</v>
      </c>
      <c r="H1597" s="47" t="s">
        <v>4</v>
      </c>
      <c r="I1597" s="46" t="s">
        <v>4</v>
      </c>
      <c r="J1597" s="48">
        <v>159.74</v>
      </c>
      <c r="K1597" s="47" t="s">
        <v>520</v>
      </c>
      <c r="L1597" s="47" t="s">
        <v>521</v>
      </c>
      <c r="M1597" s="46" t="s">
        <v>660</v>
      </c>
      <c r="N1597" s="47" t="s">
        <v>661</v>
      </c>
      <c r="O1597" s="44" t="s">
        <v>4</v>
      </c>
      <c r="P1597" s="47" t="s">
        <v>1222</v>
      </c>
      <c r="Q1597" s="48">
        <v>9800</v>
      </c>
      <c r="R1597" s="49" t="s">
        <v>4</v>
      </c>
      <c r="S1597" s="48" t="s">
        <v>4</v>
      </c>
      <c r="T1597" s="47" t="s">
        <v>525</v>
      </c>
    </row>
    <row r="1598" spans="1:20">
      <c r="A1598" s="46">
        <v>140027948873</v>
      </c>
      <c r="B1598" s="44" t="s">
        <v>517</v>
      </c>
      <c r="C1598" s="45">
        <v>46026</v>
      </c>
      <c r="D1598" s="46">
        <v>55870906895</v>
      </c>
      <c r="E1598" s="46">
        <v>2166882879549</v>
      </c>
      <c r="F1598" s="47" t="s">
        <v>529</v>
      </c>
      <c r="G1598" s="47" t="s">
        <v>519</v>
      </c>
      <c r="H1598" s="47" t="s">
        <v>4</v>
      </c>
      <c r="I1598" s="46" t="s">
        <v>4</v>
      </c>
      <c r="J1598" s="48">
        <v>1509.12</v>
      </c>
      <c r="K1598" s="47" t="s">
        <v>520</v>
      </c>
      <c r="L1598" s="47" t="s">
        <v>530</v>
      </c>
      <c r="M1598" s="46" t="s">
        <v>660</v>
      </c>
      <c r="N1598" s="47" t="s">
        <v>661</v>
      </c>
      <c r="O1598" s="44" t="s">
        <v>263</v>
      </c>
      <c r="P1598" s="47" t="s">
        <v>531</v>
      </c>
      <c r="Q1598" s="48">
        <v>38400</v>
      </c>
      <c r="R1598" s="49" t="s">
        <v>4</v>
      </c>
      <c r="S1598" s="48" t="s">
        <v>4</v>
      </c>
      <c r="T1598" s="47" t="s">
        <v>525</v>
      </c>
    </row>
    <row r="1599" spans="1:20">
      <c r="A1599" s="46">
        <v>140677629370</v>
      </c>
      <c r="B1599" s="44" t="s">
        <v>517</v>
      </c>
      <c r="C1599" s="45">
        <v>46026</v>
      </c>
      <c r="D1599" s="46">
        <v>55870967732</v>
      </c>
      <c r="E1599" s="46">
        <v>2166883927433</v>
      </c>
      <c r="F1599" s="47" t="s">
        <v>529</v>
      </c>
      <c r="G1599" s="47" t="s">
        <v>519</v>
      </c>
      <c r="H1599" s="47" t="s">
        <v>4</v>
      </c>
      <c r="I1599" s="46" t="s">
        <v>4</v>
      </c>
      <c r="J1599" s="48">
        <v>577.71</v>
      </c>
      <c r="K1599" s="47" t="s">
        <v>520</v>
      </c>
      <c r="L1599" s="47" t="s">
        <v>530</v>
      </c>
      <c r="M1599" s="46" t="s">
        <v>660</v>
      </c>
      <c r="N1599" s="47" t="s">
        <v>661</v>
      </c>
      <c r="O1599" s="44" t="s">
        <v>263</v>
      </c>
      <c r="P1599" s="47" t="s">
        <v>531</v>
      </c>
      <c r="Q1599" s="48">
        <v>14700</v>
      </c>
      <c r="R1599" s="49" t="s">
        <v>4</v>
      </c>
      <c r="S1599" s="48" t="s">
        <v>4</v>
      </c>
      <c r="T1599" s="47" t="s">
        <v>525</v>
      </c>
    </row>
    <row r="1600" spans="1:20">
      <c r="A1600" s="46">
        <v>140028337799</v>
      </c>
      <c r="B1600" s="44" t="s">
        <v>517</v>
      </c>
      <c r="C1600" s="45">
        <v>46026</v>
      </c>
      <c r="D1600" s="46">
        <v>55871088163</v>
      </c>
      <c r="E1600" s="46">
        <v>2167057249538</v>
      </c>
      <c r="F1600" s="47" t="s">
        <v>529</v>
      </c>
      <c r="G1600" s="47" t="s">
        <v>519</v>
      </c>
      <c r="H1600" s="47" t="s">
        <v>4</v>
      </c>
      <c r="I1600" s="46" t="s">
        <v>4</v>
      </c>
      <c r="J1600" s="48">
        <v>1764.57</v>
      </c>
      <c r="K1600" s="47" t="s">
        <v>520</v>
      </c>
      <c r="L1600" s="47" t="s">
        <v>530</v>
      </c>
      <c r="M1600" s="46" t="s">
        <v>660</v>
      </c>
      <c r="N1600" s="47" t="s">
        <v>661</v>
      </c>
      <c r="O1600" s="44" t="s">
        <v>263</v>
      </c>
      <c r="P1600" s="47" t="s">
        <v>531</v>
      </c>
      <c r="Q1600" s="48">
        <v>44900</v>
      </c>
      <c r="R1600" s="49" t="s">
        <v>4</v>
      </c>
      <c r="S1600" s="48" t="s">
        <v>4</v>
      </c>
      <c r="T1600" s="47" t="s">
        <v>525</v>
      </c>
    </row>
    <row r="1601" spans="1:20">
      <c r="A1601" s="46">
        <v>140028908709</v>
      </c>
      <c r="B1601" s="44" t="s">
        <v>517</v>
      </c>
      <c r="C1601" s="45">
        <v>46026</v>
      </c>
      <c r="D1601" s="46">
        <v>55871329296</v>
      </c>
      <c r="E1601" s="46">
        <v>2166889821109</v>
      </c>
      <c r="F1601" s="47" t="s">
        <v>529</v>
      </c>
      <c r="G1601" s="47" t="s">
        <v>519</v>
      </c>
      <c r="H1601" s="47" t="s">
        <v>4</v>
      </c>
      <c r="I1601" s="46" t="s">
        <v>4</v>
      </c>
      <c r="J1601" s="48">
        <v>196.5</v>
      </c>
      <c r="K1601" s="47" t="s">
        <v>520</v>
      </c>
      <c r="L1601" s="47" t="s">
        <v>530</v>
      </c>
      <c r="M1601" s="46" t="s">
        <v>660</v>
      </c>
      <c r="N1601" s="47" t="s">
        <v>661</v>
      </c>
      <c r="O1601" s="44" t="s">
        <v>263</v>
      </c>
      <c r="P1601" s="47" t="s">
        <v>531</v>
      </c>
      <c r="Q1601" s="48">
        <v>5000</v>
      </c>
      <c r="R1601" s="49" t="s">
        <v>4</v>
      </c>
      <c r="S1601" s="48" t="s">
        <v>4</v>
      </c>
      <c r="T1601" s="47" t="s">
        <v>525</v>
      </c>
    </row>
    <row r="1602" spans="1:20">
      <c r="A1602" s="46">
        <v>140678870206</v>
      </c>
      <c r="B1602" s="44" t="s">
        <v>517</v>
      </c>
      <c r="C1602" s="45">
        <v>46026</v>
      </c>
      <c r="D1602" s="46">
        <v>55871424855</v>
      </c>
      <c r="E1602" s="46">
        <v>2166891134987</v>
      </c>
      <c r="F1602" s="47" t="s">
        <v>529</v>
      </c>
      <c r="G1602" s="47" t="s">
        <v>519</v>
      </c>
      <c r="H1602" s="47" t="s">
        <v>4</v>
      </c>
      <c r="I1602" s="46" t="s">
        <v>4</v>
      </c>
      <c r="J1602" s="48">
        <v>4458.28</v>
      </c>
      <c r="K1602" s="47" t="s">
        <v>520</v>
      </c>
      <c r="L1602" s="47" t="s">
        <v>530</v>
      </c>
      <c r="M1602" s="46" t="s">
        <v>660</v>
      </c>
      <c r="N1602" s="47" t="s">
        <v>661</v>
      </c>
      <c r="O1602" s="44" t="s">
        <v>263</v>
      </c>
      <c r="P1602" s="47" t="s">
        <v>531</v>
      </c>
      <c r="Q1602" s="48">
        <v>98200</v>
      </c>
      <c r="R1602" s="49" t="s">
        <v>4</v>
      </c>
      <c r="S1602" s="48" t="s">
        <v>4</v>
      </c>
      <c r="T1602" s="47" t="s">
        <v>525</v>
      </c>
    </row>
    <row r="1603" spans="1:20">
      <c r="A1603" s="46">
        <v>140679069046</v>
      </c>
      <c r="B1603" s="44" t="s">
        <v>517</v>
      </c>
      <c r="C1603" s="45">
        <v>46026</v>
      </c>
      <c r="D1603" s="46">
        <v>55871522728</v>
      </c>
      <c r="E1603" s="46">
        <v>2167064323448</v>
      </c>
      <c r="F1603" s="47" t="s">
        <v>526</v>
      </c>
      <c r="G1603" s="47" t="s">
        <v>519</v>
      </c>
      <c r="H1603" s="47" t="s">
        <v>4</v>
      </c>
      <c r="I1603" s="46" t="s">
        <v>4</v>
      </c>
      <c r="J1603" s="48">
        <v>279.36</v>
      </c>
      <c r="K1603" s="47" t="s">
        <v>520</v>
      </c>
      <c r="L1603" s="47" t="s">
        <v>521</v>
      </c>
      <c r="M1603" s="46" t="s">
        <v>807</v>
      </c>
      <c r="N1603" s="47" t="s">
        <v>808</v>
      </c>
      <c r="O1603" s="44" t="s">
        <v>4</v>
      </c>
      <c r="P1603" s="47" t="s">
        <v>527</v>
      </c>
      <c r="Q1603" s="48">
        <v>28800</v>
      </c>
      <c r="R1603" s="49" t="s">
        <v>4</v>
      </c>
      <c r="S1603" s="48" t="s">
        <v>4</v>
      </c>
      <c r="T1603" s="47" t="s">
        <v>4</v>
      </c>
    </row>
    <row r="1604" spans="1:20">
      <c r="A1604" s="46">
        <v>140029665575</v>
      </c>
      <c r="B1604" s="44" t="s">
        <v>517</v>
      </c>
      <c r="C1604" s="45">
        <v>46026</v>
      </c>
      <c r="D1604" s="46">
        <v>55871623728</v>
      </c>
      <c r="E1604" s="46">
        <v>2167065899878</v>
      </c>
      <c r="F1604" s="47" t="s">
        <v>518</v>
      </c>
      <c r="G1604" s="47" t="s">
        <v>519</v>
      </c>
      <c r="H1604" s="47" t="s">
        <v>4</v>
      </c>
      <c r="I1604" s="46" t="s">
        <v>4</v>
      </c>
      <c r="J1604" s="48">
        <v>106.7</v>
      </c>
      <c r="K1604" s="47" t="s">
        <v>520</v>
      </c>
      <c r="L1604" s="47" t="s">
        <v>521</v>
      </c>
      <c r="M1604" s="46" t="s">
        <v>807</v>
      </c>
      <c r="N1604" s="47" t="s">
        <v>808</v>
      </c>
      <c r="O1604" s="44" t="s">
        <v>4</v>
      </c>
      <c r="P1604" s="47" t="s">
        <v>1223</v>
      </c>
      <c r="Q1604" s="48">
        <v>11000</v>
      </c>
      <c r="R1604" s="49" t="s">
        <v>4</v>
      </c>
      <c r="S1604" s="48" t="s">
        <v>4</v>
      </c>
      <c r="T1604" s="47" t="s">
        <v>525</v>
      </c>
    </row>
    <row r="1605" spans="1:20">
      <c r="A1605" s="46">
        <v>140679338824</v>
      </c>
      <c r="B1605" s="44" t="s">
        <v>517</v>
      </c>
      <c r="C1605" s="45">
        <v>46026</v>
      </c>
      <c r="D1605" s="46">
        <v>55871633672</v>
      </c>
      <c r="E1605" s="46">
        <v>2166895105101</v>
      </c>
      <c r="F1605" s="47" t="s">
        <v>526</v>
      </c>
      <c r="G1605" s="47" t="s">
        <v>519</v>
      </c>
      <c r="H1605" s="47" t="s">
        <v>4</v>
      </c>
      <c r="I1605" s="46" t="s">
        <v>4</v>
      </c>
      <c r="J1605" s="48">
        <v>618.86</v>
      </c>
      <c r="K1605" s="47" t="s">
        <v>520</v>
      </c>
      <c r="L1605" s="47" t="s">
        <v>521</v>
      </c>
      <c r="M1605" s="46" t="s">
        <v>807</v>
      </c>
      <c r="N1605" s="47" t="s">
        <v>808</v>
      </c>
      <c r="O1605" s="44" t="s">
        <v>4</v>
      </c>
      <c r="P1605" s="47" t="s">
        <v>527</v>
      </c>
      <c r="Q1605" s="48">
        <v>63800</v>
      </c>
      <c r="R1605" s="49" t="s">
        <v>4</v>
      </c>
      <c r="S1605" s="48" t="s">
        <v>4</v>
      </c>
      <c r="T1605" s="47" t="s">
        <v>4</v>
      </c>
    </row>
    <row r="1606" spans="1:20">
      <c r="A1606" s="46">
        <v>140030498589</v>
      </c>
      <c r="B1606" s="44" t="s">
        <v>517</v>
      </c>
      <c r="C1606" s="45">
        <v>46026</v>
      </c>
      <c r="D1606" s="46">
        <v>55871936955</v>
      </c>
      <c r="E1606" s="46">
        <v>2166899311185</v>
      </c>
      <c r="F1606" s="47" t="s">
        <v>518</v>
      </c>
      <c r="G1606" s="47" t="s">
        <v>519</v>
      </c>
      <c r="H1606" s="47" t="s">
        <v>4</v>
      </c>
      <c r="I1606" s="46" t="s">
        <v>4</v>
      </c>
      <c r="J1606" s="48">
        <v>5715.11</v>
      </c>
      <c r="K1606" s="47" t="s">
        <v>520</v>
      </c>
      <c r="L1606" s="47" t="s">
        <v>521</v>
      </c>
      <c r="M1606" s="46" t="s">
        <v>660</v>
      </c>
      <c r="N1606" s="47" t="s">
        <v>661</v>
      </c>
      <c r="O1606" s="44" t="s">
        <v>4</v>
      </c>
      <c r="P1606" s="47" t="s">
        <v>1224</v>
      </c>
      <c r="Q1606" s="48">
        <v>75100</v>
      </c>
      <c r="R1606" s="49" t="s">
        <v>4</v>
      </c>
      <c r="S1606" s="48" t="s">
        <v>4</v>
      </c>
      <c r="T1606" s="47" t="s">
        <v>525</v>
      </c>
    </row>
    <row r="1607" spans="1:20">
      <c r="A1607" s="46">
        <v>140031013965</v>
      </c>
      <c r="B1607" s="44" t="s">
        <v>517</v>
      </c>
      <c r="C1607" s="45">
        <v>46026</v>
      </c>
      <c r="D1607" s="46">
        <v>55872237270</v>
      </c>
      <c r="E1607" s="46">
        <v>2166904200075</v>
      </c>
      <c r="F1607" s="47" t="s">
        <v>518</v>
      </c>
      <c r="G1607" s="47" t="s">
        <v>519</v>
      </c>
      <c r="H1607" s="47" t="s">
        <v>4</v>
      </c>
      <c r="I1607" s="46" t="s">
        <v>4</v>
      </c>
      <c r="J1607" s="48">
        <v>420.01</v>
      </c>
      <c r="K1607" s="47" t="s">
        <v>520</v>
      </c>
      <c r="L1607" s="47" t="s">
        <v>521</v>
      </c>
      <c r="M1607" s="46" t="s">
        <v>660</v>
      </c>
      <c r="N1607" s="47" t="s">
        <v>661</v>
      </c>
      <c r="O1607" s="44" t="s">
        <v>4</v>
      </c>
      <c r="P1607" s="47" t="s">
        <v>1225</v>
      </c>
      <c r="Q1607" s="48">
        <v>43300</v>
      </c>
      <c r="R1607" s="49" t="s">
        <v>4</v>
      </c>
      <c r="S1607" s="48" t="s">
        <v>4</v>
      </c>
      <c r="T1607" s="47" t="s">
        <v>525</v>
      </c>
    </row>
    <row r="1608" spans="1:20">
      <c r="A1608" s="46">
        <v>140031168849</v>
      </c>
      <c r="B1608" s="44" t="s">
        <v>517</v>
      </c>
      <c r="C1608" s="45">
        <v>46026</v>
      </c>
      <c r="D1608" s="46">
        <v>55872280569</v>
      </c>
      <c r="E1608" s="46">
        <v>2167076532292</v>
      </c>
      <c r="F1608" s="47" t="s">
        <v>518</v>
      </c>
      <c r="G1608" s="47" t="s">
        <v>519</v>
      </c>
      <c r="H1608" s="47" t="s">
        <v>4</v>
      </c>
      <c r="I1608" s="46" t="s">
        <v>4</v>
      </c>
      <c r="J1608" s="48">
        <v>368.6</v>
      </c>
      <c r="K1608" s="47" t="s">
        <v>520</v>
      </c>
      <c r="L1608" s="47" t="s">
        <v>521</v>
      </c>
      <c r="M1608" s="46" t="s">
        <v>660</v>
      </c>
      <c r="N1608" s="47" t="s">
        <v>661</v>
      </c>
      <c r="O1608" s="44" t="s">
        <v>4</v>
      </c>
      <c r="P1608" s="47" t="s">
        <v>1226</v>
      </c>
      <c r="Q1608" s="48">
        <v>38000</v>
      </c>
      <c r="R1608" s="49" t="s">
        <v>4</v>
      </c>
      <c r="S1608" s="48" t="s">
        <v>4</v>
      </c>
      <c r="T1608" s="47" t="s">
        <v>525</v>
      </c>
    </row>
    <row r="1609" spans="1:20">
      <c r="A1609" s="46">
        <v>140681092768</v>
      </c>
      <c r="B1609" s="44" t="s">
        <v>517</v>
      </c>
      <c r="C1609" s="45">
        <v>46026</v>
      </c>
      <c r="D1609" s="46">
        <v>55872357192</v>
      </c>
      <c r="E1609" s="46">
        <v>2166906225529</v>
      </c>
      <c r="F1609" s="47" t="s">
        <v>562</v>
      </c>
      <c r="G1609" s="47" t="s">
        <v>519</v>
      </c>
      <c r="H1609" s="47" t="s">
        <v>4</v>
      </c>
      <c r="I1609" s="46" t="s">
        <v>4</v>
      </c>
      <c r="J1609" s="48">
        <v>534.64</v>
      </c>
      <c r="K1609" s="47" t="s">
        <v>520</v>
      </c>
      <c r="L1609" s="47" t="s">
        <v>521</v>
      </c>
      <c r="M1609" s="46" t="s">
        <v>807</v>
      </c>
      <c r="N1609" s="47" t="s">
        <v>808</v>
      </c>
      <c r="O1609" s="44" t="s">
        <v>4</v>
      </c>
      <c r="P1609" s="47" t="s">
        <v>739</v>
      </c>
      <c r="Q1609" s="48">
        <v>32800</v>
      </c>
      <c r="R1609" s="49" t="s">
        <v>4</v>
      </c>
      <c r="S1609" s="48" t="s">
        <v>4</v>
      </c>
      <c r="T1609" s="47" t="s">
        <v>525</v>
      </c>
    </row>
    <row r="1610" spans="1:20">
      <c r="A1610" s="46">
        <v>140031429523</v>
      </c>
      <c r="B1610" s="44" t="s">
        <v>517</v>
      </c>
      <c r="C1610" s="45">
        <v>46026</v>
      </c>
      <c r="D1610" s="46">
        <v>55872362678</v>
      </c>
      <c r="E1610" s="46">
        <v>2167077969722</v>
      </c>
      <c r="F1610" s="47" t="s">
        <v>518</v>
      </c>
      <c r="G1610" s="47" t="s">
        <v>519</v>
      </c>
      <c r="H1610" s="47" t="s">
        <v>4</v>
      </c>
      <c r="I1610" s="46" t="s">
        <v>4</v>
      </c>
      <c r="J1610" s="48">
        <v>336.59</v>
      </c>
      <c r="K1610" s="47" t="s">
        <v>520</v>
      </c>
      <c r="L1610" s="47" t="s">
        <v>521</v>
      </c>
      <c r="M1610" s="46" t="s">
        <v>807</v>
      </c>
      <c r="N1610" s="47" t="s">
        <v>808</v>
      </c>
      <c r="O1610" s="44" t="s">
        <v>4</v>
      </c>
      <c r="P1610" s="47" t="s">
        <v>1227</v>
      </c>
      <c r="Q1610" s="48">
        <v>34700</v>
      </c>
      <c r="R1610" s="49" t="s">
        <v>4</v>
      </c>
      <c r="S1610" s="48" t="s">
        <v>4</v>
      </c>
      <c r="T1610" s="47" t="s">
        <v>525</v>
      </c>
    </row>
    <row r="1611" spans="1:20">
      <c r="A1611" s="46">
        <v>140031755973</v>
      </c>
      <c r="B1611" s="44" t="s">
        <v>517</v>
      </c>
      <c r="C1611" s="45">
        <v>46026</v>
      </c>
      <c r="D1611" s="46">
        <v>55872502648</v>
      </c>
      <c r="E1611" s="46">
        <v>2166908601589</v>
      </c>
      <c r="F1611" s="47" t="s">
        <v>529</v>
      </c>
      <c r="G1611" s="47" t="s">
        <v>519</v>
      </c>
      <c r="H1611" s="47" t="s">
        <v>4</v>
      </c>
      <c r="I1611" s="46" t="s">
        <v>4</v>
      </c>
      <c r="J1611" s="48">
        <v>2381.58</v>
      </c>
      <c r="K1611" s="47" t="s">
        <v>520</v>
      </c>
      <c r="L1611" s="47" t="s">
        <v>530</v>
      </c>
      <c r="M1611" s="46" t="s">
        <v>660</v>
      </c>
      <c r="N1611" s="47" t="s">
        <v>661</v>
      </c>
      <c r="O1611" s="44" t="s">
        <v>263</v>
      </c>
      <c r="P1611" s="47" t="s">
        <v>531</v>
      </c>
      <c r="Q1611" s="48">
        <v>60600</v>
      </c>
      <c r="R1611" s="49" t="s">
        <v>4</v>
      </c>
      <c r="S1611" s="48" t="s">
        <v>4</v>
      </c>
      <c r="T1611" s="47" t="s">
        <v>525</v>
      </c>
    </row>
    <row r="1612" spans="1:20">
      <c r="A1612" s="46">
        <v>140681674728</v>
      </c>
      <c r="B1612" s="44" t="s">
        <v>517</v>
      </c>
      <c r="C1612" s="45">
        <v>46026</v>
      </c>
      <c r="D1612" s="46">
        <v>55872631310</v>
      </c>
      <c r="E1612" s="46">
        <v>2167082278300</v>
      </c>
      <c r="F1612" s="47" t="s">
        <v>529</v>
      </c>
      <c r="G1612" s="47" t="s">
        <v>519</v>
      </c>
      <c r="H1612" s="47" t="s">
        <v>4</v>
      </c>
      <c r="I1612" s="46" t="s">
        <v>4</v>
      </c>
      <c r="J1612" s="48">
        <v>3936.18</v>
      </c>
      <c r="K1612" s="47" t="s">
        <v>520</v>
      </c>
      <c r="L1612" s="47" t="s">
        <v>530</v>
      </c>
      <c r="M1612" s="46" t="s">
        <v>660</v>
      </c>
      <c r="N1612" s="47" t="s">
        <v>661</v>
      </c>
      <c r="O1612" s="44" t="s">
        <v>263</v>
      </c>
      <c r="P1612" s="47" t="s">
        <v>531</v>
      </c>
      <c r="Q1612" s="48">
        <v>86700</v>
      </c>
      <c r="R1612" s="49" t="s">
        <v>4</v>
      </c>
      <c r="S1612" s="48" t="s">
        <v>4</v>
      </c>
      <c r="T1612" s="47" t="s">
        <v>525</v>
      </c>
    </row>
    <row r="1613" spans="1:20">
      <c r="A1613" s="46">
        <v>140032446911</v>
      </c>
      <c r="B1613" s="44" t="s">
        <v>517</v>
      </c>
      <c r="C1613" s="45">
        <v>46026</v>
      </c>
      <c r="D1613" s="46">
        <v>55872777297</v>
      </c>
      <c r="E1613" s="46">
        <v>2167084429782</v>
      </c>
      <c r="F1613" s="47" t="s">
        <v>518</v>
      </c>
      <c r="G1613" s="47" t="s">
        <v>519</v>
      </c>
      <c r="H1613" s="47" t="s">
        <v>4</v>
      </c>
      <c r="I1613" s="46" t="s">
        <v>4</v>
      </c>
      <c r="J1613" s="48">
        <v>414.19</v>
      </c>
      <c r="K1613" s="47" t="s">
        <v>520</v>
      </c>
      <c r="L1613" s="47" t="s">
        <v>521</v>
      </c>
      <c r="M1613" s="46" t="s">
        <v>660</v>
      </c>
      <c r="N1613" s="47" t="s">
        <v>661</v>
      </c>
      <c r="O1613" s="44" t="s">
        <v>4</v>
      </c>
      <c r="P1613" s="47" t="s">
        <v>1228</v>
      </c>
      <c r="Q1613" s="48">
        <v>42700</v>
      </c>
      <c r="R1613" s="49" t="s">
        <v>4</v>
      </c>
      <c r="S1613" s="48" t="s">
        <v>4</v>
      </c>
      <c r="T1613" s="47" t="s">
        <v>525</v>
      </c>
    </row>
    <row r="1614" spans="1:20">
      <c r="A1614" s="46">
        <v>140032577443</v>
      </c>
      <c r="B1614" s="44" t="s">
        <v>517</v>
      </c>
      <c r="C1614" s="45">
        <v>46026</v>
      </c>
      <c r="D1614" s="46">
        <v>55872831273</v>
      </c>
      <c r="E1614" s="46">
        <v>2166913850145</v>
      </c>
      <c r="F1614" s="47" t="s">
        <v>518</v>
      </c>
      <c r="G1614" s="47" t="s">
        <v>519</v>
      </c>
      <c r="H1614" s="47" t="s">
        <v>4</v>
      </c>
      <c r="I1614" s="46" t="s">
        <v>4</v>
      </c>
      <c r="J1614" s="48">
        <v>139.68</v>
      </c>
      <c r="K1614" s="47" t="s">
        <v>520</v>
      </c>
      <c r="L1614" s="47" t="s">
        <v>521</v>
      </c>
      <c r="M1614" s="46" t="s">
        <v>807</v>
      </c>
      <c r="N1614" s="47" t="s">
        <v>808</v>
      </c>
      <c r="O1614" s="44" t="s">
        <v>4</v>
      </c>
      <c r="P1614" s="47" t="s">
        <v>1229</v>
      </c>
      <c r="Q1614" s="48">
        <v>14400</v>
      </c>
      <c r="R1614" s="49" t="s">
        <v>4</v>
      </c>
      <c r="S1614" s="48" t="s">
        <v>4</v>
      </c>
      <c r="T1614" s="47" t="s">
        <v>525</v>
      </c>
    </row>
    <row r="1615" spans="1:20">
      <c r="A1615" s="46">
        <v>140033300109</v>
      </c>
      <c r="B1615" s="44" t="s">
        <v>517</v>
      </c>
      <c r="C1615" s="45">
        <v>46026</v>
      </c>
      <c r="D1615" s="46">
        <v>55873149765</v>
      </c>
      <c r="E1615" s="46">
        <v>2167090050148</v>
      </c>
      <c r="F1615" s="47" t="s">
        <v>518</v>
      </c>
      <c r="G1615" s="47" t="s">
        <v>519</v>
      </c>
      <c r="H1615" s="47" t="s">
        <v>4</v>
      </c>
      <c r="I1615" s="46" t="s">
        <v>4</v>
      </c>
      <c r="J1615" s="48">
        <v>967.09</v>
      </c>
      <c r="K1615" s="47" t="s">
        <v>520</v>
      </c>
      <c r="L1615" s="47" t="s">
        <v>521</v>
      </c>
      <c r="M1615" s="46" t="s">
        <v>807</v>
      </c>
      <c r="N1615" s="47" t="s">
        <v>808</v>
      </c>
      <c r="O1615" s="44" t="s">
        <v>4</v>
      </c>
      <c r="P1615" s="47" t="s">
        <v>1230</v>
      </c>
      <c r="Q1615" s="48">
        <v>99700</v>
      </c>
      <c r="R1615" s="49" t="s">
        <v>4</v>
      </c>
      <c r="S1615" s="48" t="s">
        <v>4</v>
      </c>
      <c r="T1615" s="47" t="s">
        <v>525</v>
      </c>
    </row>
    <row r="1616" spans="1:20">
      <c r="A1616" s="46">
        <v>141148467125</v>
      </c>
      <c r="B1616" s="44" t="s">
        <v>517</v>
      </c>
      <c r="C1616" s="45">
        <v>46027</v>
      </c>
      <c r="D1616" s="46">
        <v>55877253245</v>
      </c>
      <c r="E1616" s="46">
        <v>9256552324</v>
      </c>
      <c r="F1616" s="47" t="s">
        <v>1231</v>
      </c>
      <c r="G1616" s="47" t="s">
        <v>1232</v>
      </c>
      <c r="H1616" s="47" t="s">
        <v>4</v>
      </c>
      <c r="I1616" s="46" t="s">
        <v>4</v>
      </c>
      <c r="J1616" s="48">
        <v>27243.37</v>
      </c>
      <c r="K1616" s="47" t="s">
        <v>250</v>
      </c>
      <c r="L1616" s="47" t="s">
        <v>1233</v>
      </c>
      <c r="M1616" s="46" t="s">
        <v>4</v>
      </c>
      <c r="N1616" s="47" t="s">
        <v>4</v>
      </c>
      <c r="O1616" s="44" t="s">
        <v>1234</v>
      </c>
      <c r="P1616" s="47" t="s">
        <v>232</v>
      </c>
      <c r="Q1616" s="48">
        <v>36324.49</v>
      </c>
      <c r="R1616" s="49">
        <v>0.03</v>
      </c>
      <c r="S1616" s="48">
        <v>908112.22</v>
      </c>
      <c r="T1616" s="47" t="s">
        <v>4</v>
      </c>
    </row>
    <row r="1617" spans="1:20">
      <c r="A1617" s="46">
        <v>141148467125</v>
      </c>
      <c r="B1617" s="44" t="s">
        <v>517</v>
      </c>
      <c r="C1617" s="45">
        <v>46027</v>
      </c>
      <c r="D1617" s="46">
        <v>55877278299</v>
      </c>
      <c r="E1617" s="46">
        <v>9256552332</v>
      </c>
      <c r="F1617" s="47" t="s">
        <v>1235</v>
      </c>
      <c r="G1617" s="47" t="s">
        <v>1232</v>
      </c>
      <c r="H1617" s="47" t="s">
        <v>4</v>
      </c>
      <c r="I1617" s="46" t="s">
        <v>4</v>
      </c>
      <c r="J1617" s="48">
        <v>9081.1200000000008</v>
      </c>
      <c r="K1617" s="47" t="s">
        <v>250</v>
      </c>
      <c r="L1617" s="47" t="s">
        <v>1233</v>
      </c>
      <c r="M1617" s="46" t="s">
        <v>4</v>
      </c>
      <c r="N1617" s="47" t="s">
        <v>4</v>
      </c>
      <c r="O1617" s="44" t="s">
        <v>1234</v>
      </c>
      <c r="P1617" s="47" t="s">
        <v>232</v>
      </c>
      <c r="Q1617" s="48">
        <v>36324.49</v>
      </c>
      <c r="R1617" s="49">
        <v>0.01</v>
      </c>
      <c r="S1617" s="48">
        <v>908112.22</v>
      </c>
      <c r="T1617" s="47" t="s">
        <v>4</v>
      </c>
    </row>
    <row r="1619" spans="1:20">
      <c r="J1619" s="1">
        <f>SUM(J1414:J1618)</f>
        <v>241124.55999999997</v>
      </c>
    </row>
    <row r="1620" spans="1:20">
      <c r="J1620" s="1">
        <f>+J1619-J1616-J1617</f>
        <v>204800.06999999998</v>
      </c>
    </row>
  </sheetData>
  <autoFilter ref="A8:T8" xr:uid="{00000000-0009-0000-0000-000005000000}"/>
  <mergeCells count="6">
    <mergeCell ref="R7:S7"/>
    <mergeCell ref="A1:B1"/>
    <mergeCell ref="C1:D1"/>
    <mergeCell ref="A3:E5"/>
    <mergeCell ref="A7:I7"/>
    <mergeCell ref="J7:Q7"/>
  </mergeCells>
  <hyperlinks>
    <hyperlink ref="T98" r:id="rId1" xr:uid="{00000000-0004-0000-0500-000000000000}"/>
    <hyperlink ref="T100" r:id="rId2" xr:uid="{00000000-0004-0000-0500-000001000000}"/>
    <hyperlink ref="T101" r:id="rId3" xr:uid="{00000000-0004-0000-0500-000002000000}"/>
    <hyperlink ref="T102" r:id="rId4" xr:uid="{00000000-0004-0000-0500-000003000000}"/>
    <hyperlink ref="T103" r:id="rId5" xr:uid="{00000000-0004-0000-0500-000004000000}"/>
    <hyperlink ref="T104" r:id="rId6" xr:uid="{00000000-0004-0000-0500-000005000000}"/>
    <hyperlink ref="T105" r:id="rId7" xr:uid="{00000000-0004-0000-0500-000006000000}"/>
    <hyperlink ref="T106" r:id="rId8" xr:uid="{00000000-0004-0000-0500-000007000000}"/>
    <hyperlink ref="T107" r:id="rId9" xr:uid="{00000000-0004-0000-0500-000008000000}"/>
    <hyperlink ref="T109" r:id="rId10" xr:uid="{00000000-0004-0000-0500-000009000000}"/>
    <hyperlink ref="T110" r:id="rId11" xr:uid="{00000000-0004-0000-0500-00000A000000}"/>
    <hyperlink ref="T111" r:id="rId12" xr:uid="{00000000-0004-0000-0500-00000B000000}"/>
    <hyperlink ref="T113" r:id="rId13" xr:uid="{00000000-0004-0000-0500-00000C000000}"/>
    <hyperlink ref="T114" r:id="rId14" xr:uid="{00000000-0004-0000-0500-00000D000000}"/>
    <hyperlink ref="T115" r:id="rId15" xr:uid="{00000000-0004-0000-0500-00000E000000}"/>
    <hyperlink ref="T116" r:id="rId16" xr:uid="{00000000-0004-0000-0500-00000F000000}"/>
    <hyperlink ref="T117" r:id="rId17" xr:uid="{00000000-0004-0000-0500-000010000000}"/>
    <hyperlink ref="T118" r:id="rId18" xr:uid="{00000000-0004-0000-0500-000011000000}"/>
    <hyperlink ref="T119" r:id="rId19" xr:uid="{00000000-0004-0000-0500-000012000000}"/>
    <hyperlink ref="T120" r:id="rId20" xr:uid="{00000000-0004-0000-0500-000013000000}"/>
    <hyperlink ref="T121" r:id="rId21" xr:uid="{00000000-0004-0000-0500-000014000000}"/>
    <hyperlink ref="T122" r:id="rId22" xr:uid="{00000000-0004-0000-0500-000015000000}"/>
    <hyperlink ref="T123" r:id="rId23" xr:uid="{00000000-0004-0000-0500-000016000000}"/>
    <hyperlink ref="T125" r:id="rId24" xr:uid="{00000000-0004-0000-0500-000017000000}"/>
    <hyperlink ref="T126" r:id="rId25" xr:uid="{00000000-0004-0000-0500-000018000000}"/>
    <hyperlink ref="T127" r:id="rId26" xr:uid="{00000000-0004-0000-0500-000019000000}"/>
    <hyperlink ref="T129" r:id="rId27" xr:uid="{00000000-0004-0000-0500-00001A000000}"/>
    <hyperlink ref="T130" r:id="rId28" xr:uid="{00000000-0004-0000-0500-00001B000000}"/>
    <hyperlink ref="T131" r:id="rId29" xr:uid="{00000000-0004-0000-0500-00001C000000}"/>
    <hyperlink ref="T132" r:id="rId30" xr:uid="{00000000-0004-0000-0500-00001D000000}"/>
    <hyperlink ref="T133" r:id="rId31" xr:uid="{00000000-0004-0000-0500-00001E000000}"/>
    <hyperlink ref="T134" r:id="rId32" xr:uid="{00000000-0004-0000-0500-00001F000000}"/>
    <hyperlink ref="T135" r:id="rId33" xr:uid="{00000000-0004-0000-0500-000020000000}"/>
    <hyperlink ref="T136" r:id="rId34" xr:uid="{00000000-0004-0000-0500-000021000000}"/>
    <hyperlink ref="T138" r:id="rId35" xr:uid="{00000000-0004-0000-0500-000022000000}"/>
    <hyperlink ref="T139" r:id="rId36" xr:uid="{00000000-0004-0000-0500-000023000000}"/>
    <hyperlink ref="T142" r:id="rId37" xr:uid="{00000000-0004-0000-0500-000024000000}"/>
    <hyperlink ref="T143" r:id="rId38" xr:uid="{00000000-0004-0000-0500-000025000000}"/>
    <hyperlink ref="T145" r:id="rId39" xr:uid="{00000000-0004-0000-0500-000026000000}"/>
    <hyperlink ref="T146" r:id="rId40" xr:uid="{00000000-0004-0000-0500-000027000000}"/>
    <hyperlink ref="T147" r:id="rId41" xr:uid="{00000000-0004-0000-0500-000028000000}"/>
    <hyperlink ref="T148" r:id="rId42" xr:uid="{00000000-0004-0000-0500-000029000000}"/>
    <hyperlink ref="T149" r:id="rId43" xr:uid="{00000000-0004-0000-0500-00002A000000}"/>
    <hyperlink ref="T150" r:id="rId44" xr:uid="{00000000-0004-0000-0500-00002B000000}"/>
    <hyperlink ref="T151" r:id="rId45" xr:uid="{00000000-0004-0000-0500-00002C000000}"/>
    <hyperlink ref="T152" r:id="rId46" xr:uid="{00000000-0004-0000-0500-00002D000000}"/>
    <hyperlink ref="T153" r:id="rId47" xr:uid="{00000000-0004-0000-0500-00002E000000}"/>
    <hyperlink ref="T154" r:id="rId48" xr:uid="{00000000-0004-0000-0500-00002F000000}"/>
    <hyperlink ref="T156" r:id="rId49" xr:uid="{00000000-0004-0000-0500-000030000000}"/>
    <hyperlink ref="T157" r:id="rId50" xr:uid="{00000000-0004-0000-0500-000031000000}"/>
    <hyperlink ref="T158" r:id="rId51" xr:uid="{00000000-0004-0000-0500-000032000000}"/>
    <hyperlink ref="T159" r:id="rId52" xr:uid="{00000000-0004-0000-0500-000033000000}"/>
    <hyperlink ref="T160" r:id="rId53" xr:uid="{00000000-0004-0000-0500-000034000000}"/>
    <hyperlink ref="T161" r:id="rId54" xr:uid="{00000000-0004-0000-0500-000035000000}"/>
    <hyperlink ref="T162" r:id="rId55" xr:uid="{00000000-0004-0000-0500-000036000000}"/>
    <hyperlink ref="T163" r:id="rId56" xr:uid="{00000000-0004-0000-0500-000037000000}"/>
    <hyperlink ref="T165" r:id="rId57" xr:uid="{00000000-0004-0000-0500-000038000000}"/>
    <hyperlink ref="T167" r:id="rId58" xr:uid="{00000000-0004-0000-0500-000039000000}"/>
    <hyperlink ref="T168" r:id="rId59" xr:uid="{00000000-0004-0000-0500-00003A000000}"/>
    <hyperlink ref="T170" r:id="rId60" xr:uid="{00000000-0004-0000-0500-00003B000000}"/>
    <hyperlink ref="T171" r:id="rId61" xr:uid="{00000000-0004-0000-0500-00003C000000}"/>
    <hyperlink ref="T172" r:id="rId62" xr:uid="{00000000-0004-0000-0500-00003D000000}"/>
    <hyperlink ref="T173" r:id="rId63" xr:uid="{00000000-0004-0000-0500-00003E000000}"/>
    <hyperlink ref="T174" r:id="rId64" xr:uid="{00000000-0004-0000-0500-00003F000000}"/>
    <hyperlink ref="T175" r:id="rId65" xr:uid="{00000000-0004-0000-0500-000040000000}"/>
    <hyperlink ref="T176" r:id="rId66" xr:uid="{00000000-0004-0000-0500-000041000000}"/>
    <hyperlink ref="T177" r:id="rId67" xr:uid="{00000000-0004-0000-0500-000042000000}"/>
    <hyperlink ref="T178" r:id="rId68" xr:uid="{00000000-0004-0000-0500-000043000000}"/>
    <hyperlink ref="T179" r:id="rId69" xr:uid="{00000000-0004-0000-0500-000044000000}"/>
    <hyperlink ref="T180" r:id="rId70" xr:uid="{00000000-0004-0000-0500-000045000000}"/>
    <hyperlink ref="T181" r:id="rId71" xr:uid="{00000000-0004-0000-0500-000046000000}"/>
    <hyperlink ref="T182" r:id="rId72" xr:uid="{00000000-0004-0000-0500-000047000000}"/>
    <hyperlink ref="T183" r:id="rId73" xr:uid="{00000000-0004-0000-0500-000048000000}"/>
    <hyperlink ref="T184" r:id="rId74" xr:uid="{00000000-0004-0000-0500-000049000000}"/>
    <hyperlink ref="T185" r:id="rId75" xr:uid="{00000000-0004-0000-0500-00004A000000}"/>
    <hyperlink ref="T186" r:id="rId76" xr:uid="{00000000-0004-0000-0500-00004B000000}"/>
    <hyperlink ref="T187" r:id="rId77" xr:uid="{00000000-0004-0000-0500-00004C000000}"/>
    <hyperlink ref="T188" r:id="rId78" xr:uid="{00000000-0004-0000-0500-00004D000000}"/>
    <hyperlink ref="T189" r:id="rId79" xr:uid="{00000000-0004-0000-0500-00004E000000}"/>
    <hyperlink ref="T190" r:id="rId80" xr:uid="{00000000-0004-0000-0500-00004F000000}"/>
    <hyperlink ref="T191" r:id="rId81" xr:uid="{00000000-0004-0000-0500-000050000000}"/>
    <hyperlink ref="T192" r:id="rId82" xr:uid="{00000000-0004-0000-0500-000051000000}"/>
    <hyperlink ref="T194" r:id="rId83" xr:uid="{00000000-0004-0000-0500-000052000000}"/>
    <hyperlink ref="T196" r:id="rId84" xr:uid="{00000000-0004-0000-0500-000053000000}"/>
    <hyperlink ref="T197" r:id="rId85" xr:uid="{00000000-0004-0000-0500-000054000000}"/>
    <hyperlink ref="T198" r:id="rId86" xr:uid="{00000000-0004-0000-0500-000055000000}"/>
    <hyperlink ref="T199" r:id="rId87" xr:uid="{00000000-0004-0000-0500-000056000000}"/>
    <hyperlink ref="T200" r:id="rId88" xr:uid="{00000000-0004-0000-0500-000057000000}"/>
    <hyperlink ref="T201" r:id="rId89" xr:uid="{00000000-0004-0000-0500-000058000000}"/>
    <hyperlink ref="T202" r:id="rId90" xr:uid="{00000000-0004-0000-0500-000059000000}"/>
    <hyperlink ref="T203" r:id="rId91" xr:uid="{00000000-0004-0000-0500-00005A000000}"/>
    <hyperlink ref="T204" r:id="rId92" xr:uid="{00000000-0004-0000-0500-00005B000000}"/>
    <hyperlink ref="T205" r:id="rId93" xr:uid="{00000000-0004-0000-0500-00005C000000}"/>
    <hyperlink ref="T206" r:id="rId94" xr:uid="{00000000-0004-0000-0500-00005D000000}"/>
    <hyperlink ref="T207" r:id="rId95" xr:uid="{00000000-0004-0000-0500-00005E000000}"/>
    <hyperlink ref="T208" r:id="rId96" xr:uid="{00000000-0004-0000-0500-00005F000000}"/>
    <hyperlink ref="T210" r:id="rId97" xr:uid="{00000000-0004-0000-0500-000060000000}"/>
    <hyperlink ref="T211" r:id="rId98" xr:uid="{00000000-0004-0000-0500-000061000000}"/>
    <hyperlink ref="T212" r:id="rId99" xr:uid="{00000000-0004-0000-0500-000062000000}"/>
    <hyperlink ref="T213" r:id="rId100" xr:uid="{00000000-0004-0000-0500-000063000000}"/>
    <hyperlink ref="T214" r:id="rId101" xr:uid="{00000000-0004-0000-0500-000064000000}"/>
    <hyperlink ref="T215" r:id="rId102" xr:uid="{00000000-0004-0000-0500-000065000000}"/>
    <hyperlink ref="T217" r:id="rId103" xr:uid="{00000000-0004-0000-0500-000066000000}"/>
    <hyperlink ref="T218" r:id="rId104" xr:uid="{00000000-0004-0000-0500-000067000000}"/>
    <hyperlink ref="T219" r:id="rId105" xr:uid="{00000000-0004-0000-0500-000068000000}"/>
    <hyperlink ref="T220" r:id="rId106" xr:uid="{00000000-0004-0000-0500-000069000000}"/>
    <hyperlink ref="T222" r:id="rId107" xr:uid="{00000000-0004-0000-0500-00006A000000}"/>
    <hyperlink ref="T223" r:id="rId108" xr:uid="{00000000-0004-0000-0500-00006B000000}"/>
    <hyperlink ref="T225" r:id="rId109" xr:uid="{00000000-0004-0000-0500-00006C000000}"/>
    <hyperlink ref="T227" r:id="rId110" xr:uid="{00000000-0004-0000-0500-00006D000000}"/>
    <hyperlink ref="T229" r:id="rId111" xr:uid="{00000000-0004-0000-0500-00006E000000}"/>
    <hyperlink ref="T230" r:id="rId112" xr:uid="{00000000-0004-0000-0500-00006F000000}"/>
    <hyperlink ref="T231" r:id="rId113" xr:uid="{00000000-0004-0000-0500-000070000000}"/>
    <hyperlink ref="T234" r:id="rId114" xr:uid="{00000000-0004-0000-0500-000071000000}"/>
    <hyperlink ref="T235" r:id="rId115" xr:uid="{00000000-0004-0000-0500-000072000000}"/>
    <hyperlink ref="T236" r:id="rId116" xr:uid="{00000000-0004-0000-0500-000073000000}"/>
    <hyperlink ref="T237" r:id="rId117" xr:uid="{00000000-0004-0000-0500-000074000000}"/>
    <hyperlink ref="T238" r:id="rId118" xr:uid="{00000000-0004-0000-0500-000075000000}"/>
    <hyperlink ref="T239" r:id="rId119" xr:uid="{00000000-0004-0000-0500-000076000000}"/>
    <hyperlink ref="T240" r:id="rId120" xr:uid="{00000000-0004-0000-0500-000077000000}"/>
    <hyperlink ref="T241" r:id="rId121" xr:uid="{00000000-0004-0000-0500-000078000000}"/>
    <hyperlink ref="T242" r:id="rId122" xr:uid="{00000000-0004-0000-0500-000079000000}"/>
    <hyperlink ref="T243" r:id="rId123" xr:uid="{00000000-0004-0000-0500-00007A000000}"/>
    <hyperlink ref="T244" r:id="rId124" xr:uid="{00000000-0004-0000-0500-00007B000000}"/>
    <hyperlink ref="T245" r:id="rId125" xr:uid="{00000000-0004-0000-0500-00007C000000}"/>
    <hyperlink ref="T246" r:id="rId126" xr:uid="{00000000-0004-0000-0500-00007D000000}"/>
    <hyperlink ref="T247" r:id="rId127" xr:uid="{00000000-0004-0000-0500-00007E000000}"/>
    <hyperlink ref="T248" r:id="rId128" xr:uid="{00000000-0004-0000-0500-00007F000000}"/>
    <hyperlink ref="T249" r:id="rId129" xr:uid="{00000000-0004-0000-0500-000080000000}"/>
    <hyperlink ref="T250" r:id="rId130" xr:uid="{00000000-0004-0000-0500-000081000000}"/>
    <hyperlink ref="T251" r:id="rId131" xr:uid="{00000000-0004-0000-0500-000082000000}"/>
    <hyperlink ref="T252" r:id="rId132" xr:uid="{00000000-0004-0000-0500-000083000000}"/>
    <hyperlink ref="T253" r:id="rId133" xr:uid="{00000000-0004-0000-0500-000084000000}"/>
    <hyperlink ref="T254" r:id="rId134" xr:uid="{00000000-0004-0000-0500-000085000000}"/>
    <hyperlink ref="T255" r:id="rId135" xr:uid="{00000000-0004-0000-0500-000086000000}"/>
    <hyperlink ref="T256" r:id="rId136" xr:uid="{00000000-0004-0000-0500-000087000000}"/>
    <hyperlink ref="T257" r:id="rId137" xr:uid="{00000000-0004-0000-0500-000088000000}"/>
    <hyperlink ref="T258" r:id="rId138" xr:uid="{00000000-0004-0000-0500-000089000000}"/>
    <hyperlink ref="T259" r:id="rId139" xr:uid="{00000000-0004-0000-0500-00008A000000}"/>
    <hyperlink ref="T260" r:id="rId140" xr:uid="{00000000-0004-0000-0500-00008B000000}"/>
    <hyperlink ref="T261" r:id="rId141" xr:uid="{00000000-0004-0000-0500-00008C000000}"/>
    <hyperlink ref="T262" r:id="rId142" xr:uid="{00000000-0004-0000-0500-00008D000000}"/>
    <hyperlink ref="T263" r:id="rId143" xr:uid="{00000000-0004-0000-0500-00008E000000}"/>
    <hyperlink ref="T264" r:id="rId144" xr:uid="{00000000-0004-0000-0500-00008F000000}"/>
    <hyperlink ref="T266" r:id="rId145" xr:uid="{00000000-0004-0000-0500-000090000000}"/>
    <hyperlink ref="T267" r:id="rId146" xr:uid="{00000000-0004-0000-0500-000091000000}"/>
    <hyperlink ref="T268" r:id="rId147" xr:uid="{00000000-0004-0000-0500-000092000000}"/>
    <hyperlink ref="T269" r:id="rId148" xr:uid="{00000000-0004-0000-0500-000093000000}"/>
    <hyperlink ref="T270" r:id="rId149" xr:uid="{00000000-0004-0000-0500-000094000000}"/>
    <hyperlink ref="T271" r:id="rId150" xr:uid="{00000000-0004-0000-0500-000095000000}"/>
    <hyperlink ref="T272" r:id="rId151" xr:uid="{00000000-0004-0000-0500-000096000000}"/>
    <hyperlink ref="T273" r:id="rId152" xr:uid="{00000000-0004-0000-0500-000097000000}"/>
    <hyperlink ref="T274" r:id="rId153" xr:uid="{00000000-0004-0000-0500-000098000000}"/>
    <hyperlink ref="T275" r:id="rId154" xr:uid="{00000000-0004-0000-0500-000099000000}"/>
    <hyperlink ref="T276" r:id="rId155" xr:uid="{00000000-0004-0000-0500-00009A000000}"/>
    <hyperlink ref="T277" r:id="rId156" xr:uid="{00000000-0004-0000-0500-00009B000000}"/>
    <hyperlink ref="T278" r:id="rId157" xr:uid="{00000000-0004-0000-0500-00009C000000}"/>
    <hyperlink ref="T279" r:id="rId158" xr:uid="{00000000-0004-0000-0500-00009D000000}"/>
    <hyperlink ref="T280" r:id="rId159" xr:uid="{00000000-0004-0000-0500-00009E000000}"/>
    <hyperlink ref="T282" r:id="rId160" xr:uid="{00000000-0004-0000-0500-00009F000000}"/>
    <hyperlink ref="T283" r:id="rId161" xr:uid="{00000000-0004-0000-0500-0000A0000000}"/>
    <hyperlink ref="T284" r:id="rId162" xr:uid="{00000000-0004-0000-0500-0000A1000000}"/>
    <hyperlink ref="T285" r:id="rId163" xr:uid="{00000000-0004-0000-0500-0000A2000000}"/>
    <hyperlink ref="T286" r:id="rId164" xr:uid="{00000000-0004-0000-0500-0000A3000000}"/>
    <hyperlink ref="T287" r:id="rId165" xr:uid="{00000000-0004-0000-0500-0000A4000000}"/>
    <hyperlink ref="T288" r:id="rId166" xr:uid="{00000000-0004-0000-0500-0000A5000000}"/>
    <hyperlink ref="T289" r:id="rId167" xr:uid="{00000000-0004-0000-0500-0000A6000000}"/>
    <hyperlink ref="T291" r:id="rId168" xr:uid="{00000000-0004-0000-0500-0000A7000000}"/>
    <hyperlink ref="T292" r:id="rId169" xr:uid="{00000000-0004-0000-0500-0000A8000000}"/>
    <hyperlink ref="T293" r:id="rId170" xr:uid="{00000000-0004-0000-0500-0000A9000000}"/>
    <hyperlink ref="T294" r:id="rId171" xr:uid="{00000000-0004-0000-0500-0000AA000000}"/>
    <hyperlink ref="T296" r:id="rId172" xr:uid="{00000000-0004-0000-0500-0000AB000000}"/>
    <hyperlink ref="T297" r:id="rId173" xr:uid="{00000000-0004-0000-0500-0000AC000000}"/>
    <hyperlink ref="T298" r:id="rId174" xr:uid="{00000000-0004-0000-0500-0000AD000000}"/>
    <hyperlink ref="T299" r:id="rId175" xr:uid="{00000000-0004-0000-0500-0000AE000000}"/>
    <hyperlink ref="T300" r:id="rId176" xr:uid="{00000000-0004-0000-0500-0000AF000000}"/>
    <hyperlink ref="T302" r:id="rId177" xr:uid="{00000000-0004-0000-0500-0000B0000000}"/>
    <hyperlink ref="T303" r:id="rId178" xr:uid="{00000000-0004-0000-0500-0000B1000000}"/>
    <hyperlink ref="T304" r:id="rId179" xr:uid="{00000000-0004-0000-0500-0000B2000000}"/>
    <hyperlink ref="T305" r:id="rId180" xr:uid="{00000000-0004-0000-0500-0000B3000000}"/>
    <hyperlink ref="T306" r:id="rId181" xr:uid="{00000000-0004-0000-0500-0000B4000000}"/>
    <hyperlink ref="T307" r:id="rId182" xr:uid="{00000000-0004-0000-0500-0000B5000000}"/>
    <hyperlink ref="T308" r:id="rId183" xr:uid="{00000000-0004-0000-0500-0000B6000000}"/>
    <hyperlink ref="T309" r:id="rId184" xr:uid="{00000000-0004-0000-0500-0000B7000000}"/>
    <hyperlink ref="T310" r:id="rId185" xr:uid="{00000000-0004-0000-0500-0000B8000000}"/>
    <hyperlink ref="T311" r:id="rId186" xr:uid="{00000000-0004-0000-0500-0000B9000000}"/>
    <hyperlink ref="T313" r:id="rId187" xr:uid="{00000000-0004-0000-0500-0000BA000000}"/>
    <hyperlink ref="T314" r:id="rId188" xr:uid="{00000000-0004-0000-0500-0000BB000000}"/>
    <hyperlink ref="T316" r:id="rId189" xr:uid="{00000000-0004-0000-0500-0000BC000000}"/>
    <hyperlink ref="T317" r:id="rId190" xr:uid="{00000000-0004-0000-0500-0000BD000000}"/>
    <hyperlink ref="T318" r:id="rId191" xr:uid="{00000000-0004-0000-0500-0000BE000000}"/>
    <hyperlink ref="T319" r:id="rId192" xr:uid="{00000000-0004-0000-0500-0000BF000000}"/>
    <hyperlink ref="T320" r:id="rId193" xr:uid="{00000000-0004-0000-0500-0000C0000000}"/>
    <hyperlink ref="T321" r:id="rId194" xr:uid="{00000000-0004-0000-0500-0000C1000000}"/>
    <hyperlink ref="T322" r:id="rId195" xr:uid="{00000000-0004-0000-0500-0000C2000000}"/>
    <hyperlink ref="T323" r:id="rId196" xr:uid="{00000000-0004-0000-0500-0000C3000000}"/>
    <hyperlink ref="T325" r:id="rId197" xr:uid="{00000000-0004-0000-0500-0000C4000000}"/>
    <hyperlink ref="T326" r:id="rId198" xr:uid="{00000000-0004-0000-0500-0000C5000000}"/>
    <hyperlink ref="T327" r:id="rId199" xr:uid="{00000000-0004-0000-0500-0000C6000000}"/>
    <hyperlink ref="T328" r:id="rId200" xr:uid="{00000000-0004-0000-0500-0000C7000000}"/>
    <hyperlink ref="T329" r:id="rId201" xr:uid="{00000000-0004-0000-0500-0000C8000000}"/>
    <hyperlink ref="T330" r:id="rId202" xr:uid="{00000000-0004-0000-0500-0000C9000000}"/>
    <hyperlink ref="T331" r:id="rId203" xr:uid="{00000000-0004-0000-0500-0000CA000000}"/>
    <hyperlink ref="T332" r:id="rId204" xr:uid="{00000000-0004-0000-0500-0000CB000000}"/>
    <hyperlink ref="T333" r:id="rId205" xr:uid="{00000000-0004-0000-0500-0000CC000000}"/>
    <hyperlink ref="T334" r:id="rId206" xr:uid="{00000000-0004-0000-0500-0000CD000000}"/>
    <hyperlink ref="T335" r:id="rId207" xr:uid="{00000000-0004-0000-0500-0000CE000000}"/>
    <hyperlink ref="T336" r:id="rId208" xr:uid="{00000000-0004-0000-0500-0000CF000000}"/>
    <hyperlink ref="T338" r:id="rId209" xr:uid="{00000000-0004-0000-0500-0000D0000000}"/>
    <hyperlink ref="T339" r:id="rId210" xr:uid="{00000000-0004-0000-0500-0000D1000000}"/>
    <hyperlink ref="T340" r:id="rId211" xr:uid="{00000000-0004-0000-0500-0000D2000000}"/>
    <hyperlink ref="T341" r:id="rId212" xr:uid="{00000000-0004-0000-0500-0000D3000000}"/>
    <hyperlink ref="T342" r:id="rId213" xr:uid="{00000000-0004-0000-0500-0000D4000000}"/>
    <hyperlink ref="T343" r:id="rId214" xr:uid="{00000000-0004-0000-0500-0000D5000000}"/>
    <hyperlink ref="T344" r:id="rId215" xr:uid="{00000000-0004-0000-0500-0000D6000000}"/>
    <hyperlink ref="T345" r:id="rId216" xr:uid="{00000000-0004-0000-0500-0000D7000000}"/>
    <hyperlink ref="T346" r:id="rId217" xr:uid="{00000000-0004-0000-0500-0000D8000000}"/>
    <hyperlink ref="T347" r:id="rId218" xr:uid="{00000000-0004-0000-0500-0000D9000000}"/>
    <hyperlink ref="T348" r:id="rId219" xr:uid="{00000000-0004-0000-0500-0000DA000000}"/>
    <hyperlink ref="T349" r:id="rId220" xr:uid="{00000000-0004-0000-0500-0000DB000000}"/>
    <hyperlink ref="T350" r:id="rId221" xr:uid="{00000000-0004-0000-0500-0000DC000000}"/>
    <hyperlink ref="T351" r:id="rId222" xr:uid="{00000000-0004-0000-0500-0000DD000000}"/>
    <hyperlink ref="T352" r:id="rId223" xr:uid="{00000000-0004-0000-0500-0000DE000000}"/>
    <hyperlink ref="T353" r:id="rId224" xr:uid="{00000000-0004-0000-0500-0000DF000000}"/>
    <hyperlink ref="T354" r:id="rId225" xr:uid="{00000000-0004-0000-0500-0000E0000000}"/>
    <hyperlink ref="T355" r:id="rId226" xr:uid="{00000000-0004-0000-0500-0000E1000000}"/>
    <hyperlink ref="T356" r:id="rId227" xr:uid="{00000000-0004-0000-0500-0000E2000000}"/>
    <hyperlink ref="T357" r:id="rId228" xr:uid="{00000000-0004-0000-0500-0000E3000000}"/>
    <hyperlink ref="T358" r:id="rId229" xr:uid="{00000000-0004-0000-0500-0000E4000000}"/>
    <hyperlink ref="T360" r:id="rId230" xr:uid="{00000000-0004-0000-0500-0000E5000000}"/>
    <hyperlink ref="T361" r:id="rId231" xr:uid="{00000000-0004-0000-0500-0000E6000000}"/>
    <hyperlink ref="T362" r:id="rId232" xr:uid="{00000000-0004-0000-0500-0000E7000000}"/>
    <hyperlink ref="T363" r:id="rId233" xr:uid="{00000000-0004-0000-0500-0000E8000000}"/>
    <hyperlink ref="T364" r:id="rId234" xr:uid="{00000000-0004-0000-0500-0000E9000000}"/>
    <hyperlink ref="T365" r:id="rId235" xr:uid="{00000000-0004-0000-0500-0000EA000000}"/>
    <hyperlink ref="T366" r:id="rId236" xr:uid="{00000000-0004-0000-0500-0000EB000000}"/>
    <hyperlink ref="T367" r:id="rId237" xr:uid="{00000000-0004-0000-0500-0000EC000000}"/>
    <hyperlink ref="T368" r:id="rId238" xr:uid="{00000000-0004-0000-0500-0000ED000000}"/>
    <hyperlink ref="T370" r:id="rId239" xr:uid="{00000000-0004-0000-0500-0000EE000000}"/>
    <hyperlink ref="T372" r:id="rId240" xr:uid="{00000000-0004-0000-0500-0000EF000000}"/>
    <hyperlink ref="T375" r:id="rId241" xr:uid="{00000000-0004-0000-0500-0000F0000000}"/>
    <hyperlink ref="T376" r:id="rId242" xr:uid="{00000000-0004-0000-0500-0000F1000000}"/>
    <hyperlink ref="T377" r:id="rId243" xr:uid="{00000000-0004-0000-0500-0000F2000000}"/>
    <hyperlink ref="T378" r:id="rId244" xr:uid="{00000000-0004-0000-0500-0000F3000000}"/>
    <hyperlink ref="T379" r:id="rId245" xr:uid="{00000000-0004-0000-0500-0000F4000000}"/>
    <hyperlink ref="T380" r:id="rId246" xr:uid="{00000000-0004-0000-0500-0000F5000000}"/>
    <hyperlink ref="T381" r:id="rId247" xr:uid="{00000000-0004-0000-0500-0000F6000000}"/>
    <hyperlink ref="T382" r:id="rId248" xr:uid="{00000000-0004-0000-0500-0000F7000000}"/>
    <hyperlink ref="T383" r:id="rId249" xr:uid="{00000000-0004-0000-0500-0000F8000000}"/>
    <hyperlink ref="T384" r:id="rId250" xr:uid="{00000000-0004-0000-0500-0000F9000000}"/>
    <hyperlink ref="T385" r:id="rId251" xr:uid="{00000000-0004-0000-0500-0000FA000000}"/>
    <hyperlink ref="T386" r:id="rId252" xr:uid="{00000000-0004-0000-0500-0000FB000000}"/>
    <hyperlink ref="T387" r:id="rId253" xr:uid="{00000000-0004-0000-0500-0000FC000000}"/>
    <hyperlink ref="T388" r:id="rId254" xr:uid="{00000000-0004-0000-0500-0000FD000000}"/>
    <hyperlink ref="T389" r:id="rId255" xr:uid="{00000000-0004-0000-0500-0000FE000000}"/>
    <hyperlink ref="T390" r:id="rId256" xr:uid="{00000000-0004-0000-0500-0000FF000000}"/>
    <hyperlink ref="T391" r:id="rId257" xr:uid="{00000000-0004-0000-0500-000000010000}"/>
    <hyperlink ref="T392" r:id="rId258" xr:uid="{00000000-0004-0000-0500-000001010000}"/>
    <hyperlink ref="T393" r:id="rId259" xr:uid="{00000000-0004-0000-0500-000002010000}"/>
    <hyperlink ref="T394" r:id="rId260" xr:uid="{00000000-0004-0000-0500-000003010000}"/>
    <hyperlink ref="T395" r:id="rId261" xr:uid="{00000000-0004-0000-0500-000004010000}"/>
    <hyperlink ref="T396" r:id="rId262" xr:uid="{00000000-0004-0000-0500-000005010000}"/>
    <hyperlink ref="T397" r:id="rId263" xr:uid="{00000000-0004-0000-0500-000006010000}"/>
    <hyperlink ref="T398" r:id="rId264" xr:uid="{00000000-0004-0000-0500-000007010000}"/>
    <hyperlink ref="T399" r:id="rId265" xr:uid="{00000000-0004-0000-0500-000008010000}"/>
    <hyperlink ref="T402" r:id="rId266" xr:uid="{00000000-0004-0000-0500-000009010000}"/>
    <hyperlink ref="T403" r:id="rId267" xr:uid="{00000000-0004-0000-0500-00000A010000}"/>
    <hyperlink ref="T404" r:id="rId268" xr:uid="{00000000-0004-0000-0500-00000B010000}"/>
    <hyperlink ref="T405" r:id="rId269" xr:uid="{00000000-0004-0000-0500-00000C010000}"/>
    <hyperlink ref="T406" r:id="rId270" xr:uid="{00000000-0004-0000-0500-00000D010000}"/>
    <hyperlink ref="T407" r:id="rId271" xr:uid="{00000000-0004-0000-0500-00000E010000}"/>
    <hyperlink ref="T408" r:id="rId272" xr:uid="{00000000-0004-0000-0500-00000F010000}"/>
    <hyperlink ref="T410" r:id="rId273" xr:uid="{00000000-0004-0000-0500-000010010000}"/>
    <hyperlink ref="T411" r:id="rId274" xr:uid="{00000000-0004-0000-0500-000011010000}"/>
    <hyperlink ref="T412" r:id="rId275" xr:uid="{00000000-0004-0000-0500-000012010000}"/>
    <hyperlink ref="T414" r:id="rId276" xr:uid="{00000000-0004-0000-0500-000013010000}"/>
    <hyperlink ref="T415" r:id="rId277" xr:uid="{00000000-0004-0000-0500-000014010000}"/>
    <hyperlink ref="T416" r:id="rId278" xr:uid="{00000000-0004-0000-0500-000015010000}"/>
    <hyperlink ref="T417" r:id="rId279" xr:uid="{00000000-0004-0000-0500-000016010000}"/>
    <hyperlink ref="T418" r:id="rId280" xr:uid="{00000000-0004-0000-0500-000017010000}"/>
    <hyperlink ref="T419" r:id="rId281" xr:uid="{00000000-0004-0000-0500-000018010000}"/>
    <hyperlink ref="T420" r:id="rId282" xr:uid="{00000000-0004-0000-0500-000019010000}"/>
    <hyperlink ref="T421" r:id="rId283" xr:uid="{00000000-0004-0000-0500-00001A010000}"/>
    <hyperlink ref="T422" r:id="rId284" xr:uid="{00000000-0004-0000-0500-00001B010000}"/>
    <hyperlink ref="T423" r:id="rId285" xr:uid="{00000000-0004-0000-0500-00001C010000}"/>
    <hyperlink ref="T424" r:id="rId286" xr:uid="{00000000-0004-0000-0500-00001D010000}"/>
    <hyperlink ref="T425" r:id="rId287" xr:uid="{00000000-0004-0000-0500-00001E010000}"/>
    <hyperlink ref="T426" r:id="rId288" xr:uid="{00000000-0004-0000-0500-00001F010000}"/>
    <hyperlink ref="T428" r:id="rId289" xr:uid="{00000000-0004-0000-0500-000020010000}"/>
    <hyperlink ref="T429" r:id="rId290" xr:uid="{00000000-0004-0000-0500-000021010000}"/>
    <hyperlink ref="T430" r:id="rId291" xr:uid="{00000000-0004-0000-0500-000022010000}"/>
    <hyperlink ref="T431" r:id="rId292" xr:uid="{00000000-0004-0000-0500-000023010000}"/>
    <hyperlink ref="T432" r:id="rId293" xr:uid="{00000000-0004-0000-0500-000024010000}"/>
    <hyperlink ref="T433" r:id="rId294" xr:uid="{00000000-0004-0000-0500-000025010000}"/>
    <hyperlink ref="T434" r:id="rId295" xr:uid="{00000000-0004-0000-0500-000026010000}"/>
    <hyperlink ref="T435" r:id="rId296" xr:uid="{00000000-0004-0000-0500-000027010000}"/>
    <hyperlink ref="T436" r:id="rId297" xr:uid="{00000000-0004-0000-0500-000028010000}"/>
    <hyperlink ref="T437" r:id="rId298" xr:uid="{00000000-0004-0000-0500-000029010000}"/>
    <hyperlink ref="T439" r:id="rId299" xr:uid="{00000000-0004-0000-0500-00002A010000}"/>
    <hyperlink ref="T440" r:id="rId300" xr:uid="{00000000-0004-0000-0500-00002B010000}"/>
    <hyperlink ref="T441" r:id="rId301" xr:uid="{00000000-0004-0000-0500-00002C010000}"/>
    <hyperlink ref="T442" r:id="rId302" xr:uid="{00000000-0004-0000-0500-00002D010000}"/>
    <hyperlink ref="T443" r:id="rId303" xr:uid="{00000000-0004-0000-0500-00002E010000}"/>
    <hyperlink ref="T444" r:id="rId304" xr:uid="{00000000-0004-0000-0500-00002F010000}"/>
    <hyperlink ref="T445" r:id="rId305" xr:uid="{00000000-0004-0000-0500-000030010000}"/>
    <hyperlink ref="T446" r:id="rId306" xr:uid="{00000000-0004-0000-0500-000031010000}"/>
    <hyperlink ref="T447" r:id="rId307" xr:uid="{00000000-0004-0000-0500-000032010000}"/>
    <hyperlink ref="T448" r:id="rId308" xr:uid="{00000000-0004-0000-0500-000033010000}"/>
    <hyperlink ref="T449" r:id="rId309" xr:uid="{00000000-0004-0000-0500-000034010000}"/>
    <hyperlink ref="T450" r:id="rId310" xr:uid="{00000000-0004-0000-0500-000035010000}"/>
    <hyperlink ref="T451" r:id="rId311" xr:uid="{00000000-0004-0000-0500-000036010000}"/>
    <hyperlink ref="T452" r:id="rId312" xr:uid="{00000000-0004-0000-0500-000037010000}"/>
    <hyperlink ref="T453" r:id="rId313" xr:uid="{00000000-0004-0000-0500-000038010000}"/>
    <hyperlink ref="T454" r:id="rId314" xr:uid="{00000000-0004-0000-0500-000039010000}"/>
    <hyperlink ref="T455" r:id="rId315" xr:uid="{00000000-0004-0000-0500-00003A010000}"/>
    <hyperlink ref="T456" r:id="rId316" xr:uid="{00000000-0004-0000-0500-00003B010000}"/>
    <hyperlink ref="T457" r:id="rId317" xr:uid="{00000000-0004-0000-0500-00003C010000}"/>
    <hyperlink ref="T458" r:id="rId318" xr:uid="{00000000-0004-0000-0500-00003D010000}"/>
    <hyperlink ref="T459" r:id="rId319" xr:uid="{00000000-0004-0000-0500-00003E010000}"/>
    <hyperlink ref="T461" r:id="rId320" xr:uid="{00000000-0004-0000-0500-00003F010000}"/>
    <hyperlink ref="T462" r:id="rId321" xr:uid="{00000000-0004-0000-0500-000040010000}"/>
    <hyperlink ref="T463" r:id="rId322" xr:uid="{00000000-0004-0000-0500-000041010000}"/>
    <hyperlink ref="T464" r:id="rId323" xr:uid="{00000000-0004-0000-0500-000042010000}"/>
    <hyperlink ref="T465" r:id="rId324" xr:uid="{00000000-0004-0000-0500-000043010000}"/>
    <hyperlink ref="T466" r:id="rId325" xr:uid="{00000000-0004-0000-0500-000044010000}"/>
    <hyperlink ref="T467" r:id="rId326" xr:uid="{00000000-0004-0000-0500-000045010000}"/>
    <hyperlink ref="T468" r:id="rId327" xr:uid="{00000000-0004-0000-0500-000046010000}"/>
    <hyperlink ref="T469" r:id="rId328" xr:uid="{00000000-0004-0000-0500-000047010000}"/>
    <hyperlink ref="T470" r:id="rId329" xr:uid="{00000000-0004-0000-0500-000048010000}"/>
    <hyperlink ref="T471" r:id="rId330" xr:uid="{00000000-0004-0000-0500-000049010000}"/>
    <hyperlink ref="T472" r:id="rId331" xr:uid="{00000000-0004-0000-0500-00004A010000}"/>
    <hyperlink ref="T473" r:id="rId332" xr:uid="{00000000-0004-0000-0500-00004B010000}"/>
    <hyperlink ref="T474" r:id="rId333" xr:uid="{00000000-0004-0000-0500-00004C010000}"/>
    <hyperlink ref="T475" r:id="rId334" xr:uid="{00000000-0004-0000-0500-00004D010000}"/>
    <hyperlink ref="T477" r:id="rId335" xr:uid="{00000000-0004-0000-0500-00004E010000}"/>
    <hyperlink ref="T478" r:id="rId336" xr:uid="{00000000-0004-0000-0500-00004F010000}"/>
    <hyperlink ref="T479" r:id="rId337" xr:uid="{00000000-0004-0000-0500-000050010000}"/>
    <hyperlink ref="T480" r:id="rId338" xr:uid="{00000000-0004-0000-0500-000051010000}"/>
    <hyperlink ref="T481" r:id="rId339" xr:uid="{00000000-0004-0000-0500-000052010000}"/>
    <hyperlink ref="T483" r:id="rId340" xr:uid="{00000000-0004-0000-0500-000053010000}"/>
    <hyperlink ref="T484" r:id="rId341" xr:uid="{00000000-0004-0000-0500-000054010000}"/>
    <hyperlink ref="T485" r:id="rId342" xr:uid="{00000000-0004-0000-0500-000055010000}"/>
    <hyperlink ref="T486" r:id="rId343" xr:uid="{00000000-0004-0000-0500-000056010000}"/>
    <hyperlink ref="T487" r:id="rId344" xr:uid="{00000000-0004-0000-0500-000057010000}"/>
    <hyperlink ref="T488" r:id="rId345" xr:uid="{00000000-0004-0000-0500-000058010000}"/>
    <hyperlink ref="T489" r:id="rId346" xr:uid="{00000000-0004-0000-0500-000059010000}"/>
    <hyperlink ref="T491" r:id="rId347" xr:uid="{00000000-0004-0000-0500-00005A010000}"/>
    <hyperlink ref="T492" r:id="rId348" xr:uid="{00000000-0004-0000-0500-00005B010000}"/>
    <hyperlink ref="T494" r:id="rId349" xr:uid="{00000000-0004-0000-0500-00005C010000}"/>
    <hyperlink ref="T495" r:id="rId350" xr:uid="{00000000-0004-0000-0500-00005D010000}"/>
    <hyperlink ref="T496" r:id="rId351" xr:uid="{00000000-0004-0000-0500-00005E010000}"/>
    <hyperlink ref="T498" r:id="rId352" xr:uid="{00000000-0004-0000-0500-00005F010000}"/>
    <hyperlink ref="T501" r:id="rId353" xr:uid="{00000000-0004-0000-0500-000060010000}"/>
    <hyperlink ref="T502" r:id="rId354" xr:uid="{00000000-0004-0000-0500-000061010000}"/>
    <hyperlink ref="T503" r:id="rId355" xr:uid="{00000000-0004-0000-0500-000062010000}"/>
    <hyperlink ref="T504" r:id="rId356" xr:uid="{00000000-0004-0000-0500-000063010000}"/>
    <hyperlink ref="T505" r:id="rId357" xr:uid="{00000000-0004-0000-0500-000064010000}"/>
    <hyperlink ref="T506" r:id="rId358" xr:uid="{00000000-0004-0000-0500-000065010000}"/>
    <hyperlink ref="T507" r:id="rId359" xr:uid="{00000000-0004-0000-0500-000066010000}"/>
    <hyperlink ref="T508" r:id="rId360" xr:uid="{00000000-0004-0000-0500-000067010000}"/>
    <hyperlink ref="T509" r:id="rId361" xr:uid="{00000000-0004-0000-0500-000068010000}"/>
    <hyperlink ref="T510" r:id="rId362" xr:uid="{00000000-0004-0000-0500-000069010000}"/>
    <hyperlink ref="T511" r:id="rId363" xr:uid="{00000000-0004-0000-0500-00006A010000}"/>
    <hyperlink ref="T512" r:id="rId364" xr:uid="{00000000-0004-0000-0500-00006B010000}"/>
    <hyperlink ref="T513" r:id="rId365" xr:uid="{00000000-0004-0000-0500-00006C010000}"/>
    <hyperlink ref="T515" r:id="rId366" xr:uid="{00000000-0004-0000-0500-00006D010000}"/>
    <hyperlink ref="T516" r:id="rId367" xr:uid="{00000000-0004-0000-0500-00006E010000}"/>
    <hyperlink ref="T517" r:id="rId368" xr:uid="{00000000-0004-0000-0500-00006F010000}"/>
    <hyperlink ref="T518" r:id="rId369" xr:uid="{00000000-0004-0000-0500-000070010000}"/>
    <hyperlink ref="T519" r:id="rId370" xr:uid="{00000000-0004-0000-0500-000071010000}"/>
    <hyperlink ref="T520" r:id="rId371" xr:uid="{00000000-0004-0000-0500-000072010000}"/>
    <hyperlink ref="T521" r:id="rId372" xr:uid="{00000000-0004-0000-0500-000073010000}"/>
    <hyperlink ref="T522" r:id="rId373" xr:uid="{00000000-0004-0000-0500-000074010000}"/>
    <hyperlink ref="T523" r:id="rId374" xr:uid="{00000000-0004-0000-0500-000075010000}"/>
    <hyperlink ref="T524" r:id="rId375" xr:uid="{00000000-0004-0000-0500-000076010000}"/>
    <hyperlink ref="T525" r:id="rId376" xr:uid="{00000000-0004-0000-0500-000077010000}"/>
    <hyperlink ref="T526" r:id="rId377" xr:uid="{00000000-0004-0000-0500-000078010000}"/>
    <hyperlink ref="T527" r:id="rId378" xr:uid="{00000000-0004-0000-0500-000079010000}"/>
    <hyperlink ref="T529" r:id="rId379" xr:uid="{00000000-0004-0000-0500-00007A010000}"/>
    <hyperlink ref="T530" r:id="rId380" xr:uid="{00000000-0004-0000-0500-00007B010000}"/>
    <hyperlink ref="T531" r:id="rId381" xr:uid="{00000000-0004-0000-0500-00007C010000}"/>
    <hyperlink ref="T532" r:id="rId382" xr:uid="{00000000-0004-0000-0500-00007D010000}"/>
    <hyperlink ref="T533" r:id="rId383" xr:uid="{00000000-0004-0000-0500-00007E010000}"/>
    <hyperlink ref="T535" r:id="rId384" xr:uid="{00000000-0004-0000-0500-00007F010000}"/>
    <hyperlink ref="T536" r:id="rId385" xr:uid="{00000000-0004-0000-0500-000080010000}"/>
    <hyperlink ref="T537" r:id="rId386" xr:uid="{00000000-0004-0000-0500-000081010000}"/>
    <hyperlink ref="T538" r:id="rId387" xr:uid="{00000000-0004-0000-0500-000082010000}"/>
    <hyperlink ref="T539" r:id="rId388" xr:uid="{00000000-0004-0000-0500-000083010000}"/>
    <hyperlink ref="T540" r:id="rId389" xr:uid="{00000000-0004-0000-0500-000084010000}"/>
    <hyperlink ref="T541" r:id="rId390" xr:uid="{00000000-0004-0000-0500-000085010000}"/>
    <hyperlink ref="T542" r:id="rId391" xr:uid="{00000000-0004-0000-0500-000086010000}"/>
    <hyperlink ref="T543" r:id="rId392" xr:uid="{00000000-0004-0000-0500-000087010000}"/>
    <hyperlink ref="T544" r:id="rId393" xr:uid="{00000000-0004-0000-0500-000088010000}"/>
    <hyperlink ref="T545" r:id="rId394" xr:uid="{00000000-0004-0000-0500-000089010000}"/>
    <hyperlink ref="T546" r:id="rId395" xr:uid="{00000000-0004-0000-0500-00008A010000}"/>
    <hyperlink ref="T547" r:id="rId396" xr:uid="{00000000-0004-0000-0500-00008B010000}"/>
    <hyperlink ref="T549" r:id="rId397" xr:uid="{00000000-0004-0000-0500-00008C010000}"/>
    <hyperlink ref="T550" r:id="rId398" xr:uid="{00000000-0004-0000-0500-00008D010000}"/>
    <hyperlink ref="T551" r:id="rId399" xr:uid="{00000000-0004-0000-0500-00008E010000}"/>
    <hyperlink ref="T552" r:id="rId400" xr:uid="{00000000-0004-0000-0500-00008F010000}"/>
    <hyperlink ref="T553" r:id="rId401" xr:uid="{00000000-0004-0000-0500-000090010000}"/>
    <hyperlink ref="T554" r:id="rId402" xr:uid="{00000000-0004-0000-0500-000091010000}"/>
    <hyperlink ref="T555" r:id="rId403" xr:uid="{00000000-0004-0000-0500-000092010000}"/>
    <hyperlink ref="T556" r:id="rId404" xr:uid="{00000000-0004-0000-0500-000093010000}"/>
    <hyperlink ref="T557" r:id="rId405" xr:uid="{00000000-0004-0000-0500-000094010000}"/>
    <hyperlink ref="T558" r:id="rId406" xr:uid="{00000000-0004-0000-0500-000095010000}"/>
    <hyperlink ref="T559" r:id="rId407" xr:uid="{00000000-0004-0000-0500-000096010000}"/>
    <hyperlink ref="T560" r:id="rId408" xr:uid="{00000000-0004-0000-0500-000097010000}"/>
    <hyperlink ref="T561" r:id="rId409" xr:uid="{00000000-0004-0000-0500-000098010000}"/>
    <hyperlink ref="T562" r:id="rId410" xr:uid="{00000000-0004-0000-0500-000099010000}"/>
    <hyperlink ref="T563" r:id="rId411" xr:uid="{00000000-0004-0000-0500-00009A010000}"/>
    <hyperlink ref="T564" r:id="rId412" xr:uid="{00000000-0004-0000-0500-00009B010000}"/>
    <hyperlink ref="T565" r:id="rId413" xr:uid="{00000000-0004-0000-0500-00009C010000}"/>
    <hyperlink ref="T566" r:id="rId414" xr:uid="{00000000-0004-0000-0500-00009D010000}"/>
    <hyperlink ref="T567" r:id="rId415" xr:uid="{00000000-0004-0000-0500-00009E010000}"/>
    <hyperlink ref="T568" r:id="rId416" xr:uid="{00000000-0004-0000-0500-00009F010000}"/>
    <hyperlink ref="T569" r:id="rId417" xr:uid="{00000000-0004-0000-0500-0000A0010000}"/>
    <hyperlink ref="T570" r:id="rId418" xr:uid="{00000000-0004-0000-0500-0000A1010000}"/>
    <hyperlink ref="T571" r:id="rId419" xr:uid="{00000000-0004-0000-0500-0000A2010000}"/>
    <hyperlink ref="T573" r:id="rId420" xr:uid="{00000000-0004-0000-0500-0000A3010000}"/>
    <hyperlink ref="T574" r:id="rId421" xr:uid="{00000000-0004-0000-0500-0000A4010000}"/>
    <hyperlink ref="T575" r:id="rId422" xr:uid="{00000000-0004-0000-0500-0000A5010000}"/>
    <hyperlink ref="T576" r:id="rId423" xr:uid="{00000000-0004-0000-0500-0000A6010000}"/>
    <hyperlink ref="T577" r:id="rId424" xr:uid="{00000000-0004-0000-0500-0000A7010000}"/>
    <hyperlink ref="T578" r:id="rId425" xr:uid="{00000000-0004-0000-0500-0000A8010000}"/>
    <hyperlink ref="T580" r:id="rId426" xr:uid="{00000000-0004-0000-0500-0000A9010000}"/>
    <hyperlink ref="T583" r:id="rId427" xr:uid="{00000000-0004-0000-0500-0000AA010000}"/>
    <hyperlink ref="T584" r:id="rId428" xr:uid="{00000000-0004-0000-0500-0000AB010000}"/>
    <hyperlink ref="T588" r:id="rId429" xr:uid="{00000000-0004-0000-0500-0000AC010000}"/>
    <hyperlink ref="T589" r:id="rId430" xr:uid="{00000000-0004-0000-0500-0000AD010000}"/>
    <hyperlink ref="T591" r:id="rId431" xr:uid="{00000000-0004-0000-0500-0000AE010000}"/>
    <hyperlink ref="T592" r:id="rId432" xr:uid="{00000000-0004-0000-0500-0000AF010000}"/>
    <hyperlink ref="T593" r:id="rId433" xr:uid="{00000000-0004-0000-0500-0000B0010000}"/>
    <hyperlink ref="T594" r:id="rId434" xr:uid="{00000000-0004-0000-0500-0000B1010000}"/>
    <hyperlink ref="T595" r:id="rId435" xr:uid="{00000000-0004-0000-0500-0000B2010000}"/>
    <hyperlink ref="T596" r:id="rId436" xr:uid="{00000000-0004-0000-0500-0000B3010000}"/>
    <hyperlink ref="T597" r:id="rId437" xr:uid="{00000000-0004-0000-0500-0000B4010000}"/>
    <hyperlink ref="T598" r:id="rId438" xr:uid="{00000000-0004-0000-0500-0000B5010000}"/>
    <hyperlink ref="T599" r:id="rId439" xr:uid="{00000000-0004-0000-0500-0000B6010000}"/>
    <hyperlink ref="T600" r:id="rId440" xr:uid="{00000000-0004-0000-0500-0000B7010000}"/>
    <hyperlink ref="T601" r:id="rId441" xr:uid="{00000000-0004-0000-0500-0000B8010000}"/>
    <hyperlink ref="T602" r:id="rId442" xr:uid="{00000000-0004-0000-0500-0000B9010000}"/>
    <hyperlink ref="T603" r:id="rId443" xr:uid="{00000000-0004-0000-0500-0000BA010000}"/>
    <hyperlink ref="T604" r:id="rId444" xr:uid="{00000000-0004-0000-0500-0000BB010000}"/>
    <hyperlink ref="T606" r:id="rId445" xr:uid="{00000000-0004-0000-0500-0000BC010000}"/>
    <hyperlink ref="T607" r:id="rId446" xr:uid="{00000000-0004-0000-0500-0000BD010000}"/>
    <hyperlink ref="T608" r:id="rId447" xr:uid="{00000000-0004-0000-0500-0000BE010000}"/>
    <hyperlink ref="T609" r:id="rId448" xr:uid="{00000000-0004-0000-0500-0000BF010000}"/>
    <hyperlink ref="T610" r:id="rId449" xr:uid="{00000000-0004-0000-0500-0000C0010000}"/>
    <hyperlink ref="T612" r:id="rId450" xr:uid="{00000000-0004-0000-0500-0000C1010000}"/>
    <hyperlink ref="T614" r:id="rId451" xr:uid="{00000000-0004-0000-0500-0000C2010000}"/>
    <hyperlink ref="T615" r:id="rId452" xr:uid="{00000000-0004-0000-0500-0000C3010000}"/>
    <hyperlink ref="T617" r:id="rId453" xr:uid="{00000000-0004-0000-0500-0000C4010000}"/>
    <hyperlink ref="T619" r:id="rId454" xr:uid="{00000000-0004-0000-0500-0000C5010000}"/>
    <hyperlink ref="T620" r:id="rId455" xr:uid="{00000000-0004-0000-0500-0000C6010000}"/>
    <hyperlink ref="T621" r:id="rId456" xr:uid="{00000000-0004-0000-0500-0000C7010000}"/>
    <hyperlink ref="T622" r:id="rId457" xr:uid="{00000000-0004-0000-0500-0000C8010000}"/>
    <hyperlink ref="T623" r:id="rId458" xr:uid="{00000000-0004-0000-0500-0000C9010000}"/>
    <hyperlink ref="T624" r:id="rId459" xr:uid="{00000000-0004-0000-0500-0000CA010000}"/>
    <hyperlink ref="T626" r:id="rId460" xr:uid="{00000000-0004-0000-0500-0000CB010000}"/>
    <hyperlink ref="T627" r:id="rId461" xr:uid="{00000000-0004-0000-0500-0000CC010000}"/>
    <hyperlink ref="T628" r:id="rId462" xr:uid="{00000000-0004-0000-0500-0000CD010000}"/>
    <hyperlink ref="T630" r:id="rId463" xr:uid="{00000000-0004-0000-0500-0000CE010000}"/>
    <hyperlink ref="T631" r:id="rId464" xr:uid="{00000000-0004-0000-0500-0000CF010000}"/>
    <hyperlink ref="T632" r:id="rId465" xr:uid="{00000000-0004-0000-0500-0000D0010000}"/>
    <hyperlink ref="T633" r:id="rId466" xr:uid="{00000000-0004-0000-0500-0000D1010000}"/>
    <hyperlink ref="T634" r:id="rId467" xr:uid="{00000000-0004-0000-0500-0000D2010000}"/>
    <hyperlink ref="T635" r:id="rId468" xr:uid="{00000000-0004-0000-0500-0000D3010000}"/>
    <hyperlink ref="T636" r:id="rId469" xr:uid="{00000000-0004-0000-0500-0000D4010000}"/>
    <hyperlink ref="T637" r:id="rId470" xr:uid="{00000000-0004-0000-0500-0000D5010000}"/>
    <hyperlink ref="T638" r:id="rId471" xr:uid="{00000000-0004-0000-0500-0000D6010000}"/>
    <hyperlink ref="T639" r:id="rId472" xr:uid="{00000000-0004-0000-0500-0000D7010000}"/>
    <hyperlink ref="T640" r:id="rId473" xr:uid="{00000000-0004-0000-0500-0000D8010000}"/>
    <hyperlink ref="T642" r:id="rId474" xr:uid="{00000000-0004-0000-0500-0000D9010000}"/>
    <hyperlink ref="T643" r:id="rId475" xr:uid="{00000000-0004-0000-0500-0000DA010000}"/>
    <hyperlink ref="T644" r:id="rId476" xr:uid="{00000000-0004-0000-0500-0000DB010000}"/>
    <hyperlink ref="T645" r:id="rId477" xr:uid="{00000000-0004-0000-0500-0000DC010000}"/>
    <hyperlink ref="T646" r:id="rId478" xr:uid="{00000000-0004-0000-0500-0000DD010000}"/>
    <hyperlink ref="T647" r:id="rId479" xr:uid="{00000000-0004-0000-0500-0000DE010000}"/>
    <hyperlink ref="T648" r:id="rId480" xr:uid="{00000000-0004-0000-0500-0000DF010000}"/>
    <hyperlink ref="T649" r:id="rId481" xr:uid="{00000000-0004-0000-0500-0000E0010000}"/>
    <hyperlink ref="T650" r:id="rId482" xr:uid="{00000000-0004-0000-0500-0000E1010000}"/>
    <hyperlink ref="T651" r:id="rId483" xr:uid="{00000000-0004-0000-0500-0000E2010000}"/>
    <hyperlink ref="T652" r:id="rId484" xr:uid="{00000000-0004-0000-0500-0000E3010000}"/>
    <hyperlink ref="T654" r:id="rId485" xr:uid="{00000000-0004-0000-0500-0000E4010000}"/>
    <hyperlink ref="T655" r:id="rId486" xr:uid="{00000000-0004-0000-0500-0000E5010000}"/>
    <hyperlink ref="T656" r:id="rId487" xr:uid="{00000000-0004-0000-0500-0000E6010000}"/>
    <hyperlink ref="T657" r:id="rId488" xr:uid="{00000000-0004-0000-0500-0000E7010000}"/>
    <hyperlink ref="T658" r:id="rId489" xr:uid="{00000000-0004-0000-0500-0000E8010000}"/>
    <hyperlink ref="T660" r:id="rId490" xr:uid="{00000000-0004-0000-0500-0000E9010000}"/>
    <hyperlink ref="T661" r:id="rId491" xr:uid="{00000000-0004-0000-0500-0000EA010000}"/>
    <hyperlink ref="T662" r:id="rId492" xr:uid="{00000000-0004-0000-0500-0000EB010000}"/>
    <hyperlink ref="T663" r:id="rId493" xr:uid="{00000000-0004-0000-0500-0000EC010000}"/>
    <hyperlink ref="T665" r:id="rId494" xr:uid="{00000000-0004-0000-0500-0000ED010000}"/>
    <hyperlink ref="T666" r:id="rId495" xr:uid="{00000000-0004-0000-0500-0000EE010000}"/>
    <hyperlink ref="T667" r:id="rId496" xr:uid="{00000000-0004-0000-0500-0000EF010000}"/>
    <hyperlink ref="T668" r:id="rId497" xr:uid="{00000000-0004-0000-0500-0000F0010000}"/>
    <hyperlink ref="T669" r:id="rId498" xr:uid="{00000000-0004-0000-0500-0000F1010000}"/>
    <hyperlink ref="T670" r:id="rId499" xr:uid="{00000000-0004-0000-0500-0000F2010000}"/>
    <hyperlink ref="T671" r:id="rId500" xr:uid="{00000000-0004-0000-0500-0000F3010000}"/>
    <hyperlink ref="T673" r:id="rId501" xr:uid="{00000000-0004-0000-0500-0000F4010000}"/>
    <hyperlink ref="T674" r:id="rId502" xr:uid="{00000000-0004-0000-0500-0000F5010000}"/>
    <hyperlink ref="T675" r:id="rId503" xr:uid="{00000000-0004-0000-0500-0000F6010000}"/>
    <hyperlink ref="T676" r:id="rId504" xr:uid="{00000000-0004-0000-0500-0000F7010000}"/>
    <hyperlink ref="T678" r:id="rId505" xr:uid="{00000000-0004-0000-0500-0000F8010000}"/>
    <hyperlink ref="T679" r:id="rId506" xr:uid="{00000000-0004-0000-0500-0000F9010000}"/>
    <hyperlink ref="T681" r:id="rId507" xr:uid="{00000000-0004-0000-0500-0000FA010000}"/>
    <hyperlink ref="T683" r:id="rId508" xr:uid="{00000000-0004-0000-0500-0000FB010000}"/>
    <hyperlink ref="T684" r:id="rId509" xr:uid="{00000000-0004-0000-0500-0000FC010000}"/>
    <hyperlink ref="T686" r:id="rId510" xr:uid="{00000000-0004-0000-0500-0000FD010000}"/>
    <hyperlink ref="T687" r:id="rId511" xr:uid="{00000000-0004-0000-0500-0000FE010000}"/>
    <hyperlink ref="T688" r:id="rId512" xr:uid="{00000000-0004-0000-0500-0000FF010000}"/>
    <hyperlink ref="T689" r:id="rId513" xr:uid="{00000000-0004-0000-0500-000000020000}"/>
    <hyperlink ref="T690" r:id="rId514" xr:uid="{00000000-0004-0000-0500-000001020000}"/>
    <hyperlink ref="T691" r:id="rId515" xr:uid="{00000000-0004-0000-0500-000002020000}"/>
    <hyperlink ref="T692" r:id="rId516" xr:uid="{00000000-0004-0000-0500-000003020000}"/>
    <hyperlink ref="T693" r:id="rId517" xr:uid="{00000000-0004-0000-0500-000004020000}"/>
    <hyperlink ref="T694" r:id="rId518" xr:uid="{00000000-0004-0000-0500-000005020000}"/>
    <hyperlink ref="T696" r:id="rId519" xr:uid="{00000000-0004-0000-0500-000006020000}"/>
    <hyperlink ref="T697" r:id="rId520" xr:uid="{00000000-0004-0000-0500-000007020000}"/>
    <hyperlink ref="T698" r:id="rId521" xr:uid="{00000000-0004-0000-0500-000008020000}"/>
    <hyperlink ref="T699" r:id="rId522" xr:uid="{00000000-0004-0000-0500-000009020000}"/>
    <hyperlink ref="T700" r:id="rId523" xr:uid="{00000000-0004-0000-0500-00000A020000}"/>
    <hyperlink ref="T702" r:id="rId524" xr:uid="{00000000-0004-0000-0500-00000B020000}"/>
    <hyperlink ref="T703" r:id="rId525" xr:uid="{00000000-0004-0000-0500-00000C020000}"/>
    <hyperlink ref="T704" r:id="rId526" xr:uid="{00000000-0004-0000-0500-00000D020000}"/>
    <hyperlink ref="T705" r:id="rId527" xr:uid="{00000000-0004-0000-0500-00000E020000}"/>
    <hyperlink ref="T706" r:id="rId528" xr:uid="{00000000-0004-0000-0500-00000F020000}"/>
    <hyperlink ref="T707" r:id="rId529" xr:uid="{00000000-0004-0000-0500-000010020000}"/>
    <hyperlink ref="T708" r:id="rId530" xr:uid="{00000000-0004-0000-0500-000011020000}"/>
    <hyperlink ref="T709" r:id="rId531" xr:uid="{00000000-0004-0000-0500-000012020000}"/>
    <hyperlink ref="T710" r:id="rId532" xr:uid="{00000000-0004-0000-0500-000013020000}"/>
    <hyperlink ref="T711" r:id="rId533" xr:uid="{00000000-0004-0000-0500-000014020000}"/>
    <hyperlink ref="T712" r:id="rId534" xr:uid="{00000000-0004-0000-0500-000015020000}"/>
    <hyperlink ref="T714" r:id="rId535" xr:uid="{00000000-0004-0000-0500-000016020000}"/>
    <hyperlink ref="T715" r:id="rId536" xr:uid="{00000000-0004-0000-0500-000017020000}"/>
    <hyperlink ref="T716" r:id="rId537" xr:uid="{00000000-0004-0000-0500-000018020000}"/>
    <hyperlink ref="T717" r:id="rId538" xr:uid="{00000000-0004-0000-0500-000019020000}"/>
    <hyperlink ref="T718" r:id="rId539" xr:uid="{00000000-0004-0000-0500-00001A020000}"/>
    <hyperlink ref="T720" r:id="rId540" xr:uid="{00000000-0004-0000-0500-00001B020000}"/>
    <hyperlink ref="T721" r:id="rId541" xr:uid="{00000000-0004-0000-0500-00001C020000}"/>
    <hyperlink ref="T723" r:id="rId542" xr:uid="{00000000-0004-0000-0500-00001D020000}"/>
    <hyperlink ref="T724" r:id="rId543" xr:uid="{00000000-0004-0000-0500-00001E020000}"/>
    <hyperlink ref="T725" r:id="rId544" xr:uid="{00000000-0004-0000-0500-00001F020000}"/>
    <hyperlink ref="T727" r:id="rId545" xr:uid="{00000000-0004-0000-0500-000020020000}"/>
    <hyperlink ref="T728" r:id="rId546" xr:uid="{00000000-0004-0000-0500-000021020000}"/>
    <hyperlink ref="T729" r:id="rId547" xr:uid="{00000000-0004-0000-0500-000022020000}"/>
    <hyperlink ref="T730" r:id="rId548" xr:uid="{00000000-0004-0000-0500-000023020000}"/>
    <hyperlink ref="T731" r:id="rId549" xr:uid="{00000000-0004-0000-0500-000024020000}"/>
    <hyperlink ref="T732" r:id="rId550" xr:uid="{00000000-0004-0000-0500-000025020000}"/>
    <hyperlink ref="T733" r:id="rId551" xr:uid="{00000000-0004-0000-0500-000026020000}"/>
    <hyperlink ref="T734" r:id="rId552" xr:uid="{00000000-0004-0000-0500-000027020000}"/>
    <hyperlink ref="T735" r:id="rId553" xr:uid="{00000000-0004-0000-0500-000028020000}"/>
    <hyperlink ref="T736" r:id="rId554" xr:uid="{00000000-0004-0000-0500-000029020000}"/>
    <hyperlink ref="T737" r:id="rId555" xr:uid="{00000000-0004-0000-0500-00002A020000}"/>
    <hyperlink ref="T739" r:id="rId556" xr:uid="{00000000-0004-0000-0500-00002B020000}"/>
    <hyperlink ref="T740" r:id="rId557" xr:uid="{00000000-0004-0000-0500-00002C020000}"/>
    <hyperlink ref="T741" r:id="rId558" xr:uid="{00000000-0004-0000-0500-00002D020000}"/>
    <hyperlink ref="T742" r:id="rId559" xr:uid="{00000000-0004-0000-0500-00002E020000}"/>
    <hyperlink ref="T743" r:id="rId560" xr:uid="{00000000-0004-0000-0500-00002F020000}"/>
    <hyperlink ref="T744" r:id="rId561" xr:uid="{00000000-0004-0000-0500-000030020000}"/>
    <hyperlink ref="T745" r:id="rId562" xr:uid="{00000000-0004-0000-0500-000031020000}"/>
    <hyperlink ref="T746" r:id="rId563" xr:uid="{00000000-0004-0000-0500-000032020000}"/>
    <hyperlink ref="T747" r:id="rId564" xr:uid="{00000000-0004-0000-0500-000033020000}"/>
    <hyperlink ref="T748" r:id="rId565" xr:uid="{00000000-0004-0000-0500-000034020000}"/>
    <hyperlink ref="T749" r:id="rId566" xr:uid="{00000000-0004-0000-0500-000035020000}"/>
    <hyperlink ref="T750" r:id="rId567" xr:uid="{00000000-0004-0000-0500-000036020000}"/>
    <hyperlink ref="T752" r:id="rId568" xr:uid="{00000000-0004-0000-0500-000037020000}"/>
    <hyperlink ref="T753" r:id="rId569" xr:uid="{00000000-0004-0000-0500-000038020000}"/>
    <hyperlink ref="T754" r:id="rId570" xr:uid="{00000000-0004-0000-0500-000039020000}"/>
    <hyperlink ref="T756" r:id="rId571" xr:uid="{00000000-0004-0000-0500-00003A020000}"/>
    <hyperlink ref="T757" r:id="rId572" xr:uid="{00000000-0004-0000-0500-00003B020000}"/>
    <hyperlink ref="T758" r:id="rId573" xr:uid="{00000000-0004-0000-0500-00003C020000}"/>
    <hyperlink ref="T759" r:id="rId574" xr:uid="{00000000-0004-0000-0500-00003D020000}"/>
    <hyperlink ref="T760" r:id="rId575" xr:uid="{00000000-0004-0000-0500-00003E020000}"/>
    <hyperlink ref="T761" r:id="rId576" xr:uid="{00000000-0004-0000-0500-00003F020000}"/>
    <hyperlink ref="T762" r:id="rId577" xr:uid="{00000000-0004-0000-0500-000040020000}"/>
    <hyperlink ref="T763" r:id="rId578" xr:uid="{00000000-0004-0000-0500-000041020000}"/>
    <hyperlink ref="T764" r:id="rId579" xr:uid="{00000000-0004-0000-0500-000042020000}"/>
    <hyperlink ref="T766" r:id="rId580" xr:uid="{00000000-0004-0000-0500-000043020000}"/>
    <hyperlink ref="T767" r:id="rId581" xr:uid="{00000000-0004-0000-0500-000044020000}"/>
    <hyperlink ref="T768" r:id="rId582" xr:uid="{00000000-0004-0000-0500-000045020000}"/>
    <hyperlink ref="T769" r:id="rId583" xr:uid="{00000000-0004-0000-0500-000046020000}"/>
    <hyperlink ref="T770" r:id="rId584" xr:uid="{00000000-0004-0000-0500-000047020000}"/>
    <hyperlink ref="T771" r:id="rId585" xr:uid="{00000000-0004-0000-0500-000048020000}"/>
    <hyperlink ref="T773" r:id="rId586" xr:uid="{00000000-0004-0000-0500-000049020000}"/>
    <hyperlink ref="T774" r:id="rId587" xr:uid="{00000000-0004-0000-0500-00004A020000}"/>
    <hyperlink ref="T775" r:id="rId588" xr:uid="{00000000-0004-0000-0500-00004B020000}"/>
    <hyperlink ref="T776" r:id="rId589" xr:uid="{00000000-0004-0000-0500-00004C020000}"/>
    <hyperlink ref="T777" r:id="rId590" xr:uid="{00000000-0004-0000-0500-00004D020000}"/>
    <hyperlink ref="T778" r:id="rId591" xr:uid="{00000000-0004-0000-0500-00004E020000}"/>
    <hyperlink ref="T779" r:id="rId592" xr:uid="{00000000-0004-0000-0500-00004F020000}"/>
    <hyperlink ref="T781" r:id="rId593" xr:uid="{00000000-0004-0000-0500-000050020000}"/>
    <hyperlink ref="T782" r:id="rId594" xr:uid="{00000000-0004-0000-0500-000051020000}"/>
    <hyperlink ref="T783" r:id="rId595" xr:uid="{00000000-0004-0000-0500-000052020000}"/>
    <hyperlink ref="T784" r:id="rId596" xr:uid="{00000000-0004-0000-0500-000053020000}"/>
    <hyperlink ref="T786" r:id="rId597" xr:uid="{00000000-0004-0000-0500-000054020000}"/>
    <hyperlink ref="T787" r:id="rId598" xr:uid="{00000000-0004-0000-0500-000055020000}"/>
    <hyperlink ref="T788" r:id="rId599" xr:uid="{00000000-0004-0000-0500-000056020000}"/>
    <hyperlink ref="T790" r:id="rId600" xr:uid="{00000000-0004-0000-0500-000057020000}"/>
    <hyperlink ref="T791" r:id="rId601" xr:uid="{00000000-0004-0000-0500-000058020000}"/>
    <hyperlink ref="T792" r:id="rId602" xr:uid="{00000000-0004-0000-0500-000059020000}"/>
    <hyperlink ref="T793" r:id="rId603" xr:uid="{00000000-0004-0000-0500-00005A020000}"/>
    <hyperlink ref="T795" r:id="rId604" xr:uid="{00000000-0004-0000-0500-00005B020000}"/>
    <hyperlink ref="T796" r:id="rId605" xr:uid="{00000000-0004-0000-0500-00005C020000}"/>
    <hyperlink ref="T798" r:id="rId606" xr:uid="{00000000-0004-0000-0500-00005D020000}"/>
    <hyperlink ref="T799" r:id="rId607" xr:uid="{00000000-0004-0000-0500-00005E020000}"/>
    <hyperlink ref="T800" r:id="rId608" xr:uid="{00000000-0004-0000-0500-00005F020000}"/>
    <hyperlink ref="T801" r:id="rId609" xr:uid="{00000000-0004-0000-0500-000060020000}"/>
    <hyperlink ref="T802" r:id="rId610" xr:uid="{00000000-0004-0000-0500-000061020000}"/>
    <hyperlink ref="T803" r:id="rId611" xr:uid="{00000000-0004-0000-0500-000062020000}"/>
    <hyperlink ref="T804" r:id="rId612" xr:uid="{00000000-0004-0000-0500-000063020000}"/>
    <hyperlink ref="T805" r:id="rId613" xr:uid="{00000000-0004-0000-0500-000064020000}"/>
    <hyperlink ref="T806" r:id="rId614" xr:uid="{00000000-0004-0000-0500-000065020000}"/>
    <hyperlink ref="T807" r:id="rId615" xr:uid="{00000000-0004-0000-0500-000066020000}"/>
    <hyperlink ref="T808" r:id="rId616" xr:uid="{00000000-0004-0000-0500-000067020000}"/>
    <hyperlink ref="T809" r:id="rId617" xr:uid="{00000000-0004-0000-0500-000068020000}"/>
    <hyperlink ref="T810" r:id="rId618" xr:uid="{00000000-0004-0000-0500-000069020000}"/>
    <hyperlink ref="T812" r:id="rId619" xr:uid="{00000000-0004-0000-0500-00006A020000}"/>
    <hyperlink ref="T813" r:id="rId620" xr:uid="{00000000-0004-0000-0500-00006B020000}"/>
    <hyperlink ref="T814" r:id="rId621" xr:uid="{00000000-0004-0000-0500-00006C020000}"/>
    <hyperlink ref="T816" r:id="rId622" xr:uid="{00000000-0004-0000-0500-00006D020000}"/>
    <hyperlink ref="T817" r:id="rId623" xr:uid="{00000000-0004-0000-0500-00006E020000}"/>
    <hyperlink ref="T818" r:id="rId624" xr:uid="{00000000-0004-0000-0500-00006F020000}"/>
    <hyperlink ref="T819" r:id="rId625" xr:uid="{00000000-0004-0000-0500-000070020000}"/>
    <hyperlink ref="T820" r:id="rId626" xr:uid="{00000000-0004-0000-0500-000071020000}"/>
    <hyperlink ref="T821" r:id="rId627" xr:uid="{00000000-0004-0000-0500-000072020000}"/>
    <hyperlink ref="T822" r:id="rId628" xr:uid="{00000000-0004-0000-0500-000073020000}"/>
    <hyperlink ref="T823" r:id="rId629" xr:uid="{00000000-0004-0000-0500-000074020000}"/>
    <hyperlink ref="T824" r:id="rId630" xr:uid="{00000000-0004-0000-0500-000075020000}"/>
    <hyperlink ref="T825" r:id="rId631" xr:uid="{00000000-0004-0000-0500-000076020000}"/>
    <hyperlink ref="T826" r:id="rId632" xr:uid="{00000000-0004-0000-0500-000077020000}"/>
    <hyperlink ref="T827" r:id="rId633" xr:uid="{00000000-0004-0000-0500-000078020000}"/>
    <hyperlink ref="T828" r:id="rId634" xr:uid="{00000000-0004-0000-0500-000079020000}"/>
    <hyperlink ref="T830" r:id="rId635" xr:uid="{00000000-0004-0000-0500-00007A020000}"/>
    <hyperlink ref="T831" r:id="rId636" xr:uid="{00000000-0004-0000-0500-00007B020000}"/>
    <hyperlink ref="T832" r:id="rId637" xr:uid="{00000000-0004-0000-0500-00007C020000}"/>
    <hyperlink ref="T833" r:id="rId638" xr:uid="{00000000-0004-0000-0500-00007D020000}"/>
    <hyperlink ref="T834" r:id="rId639" xr:uid="{00000000-0004-0000-0500-00007E020000}"/>
    <hyperlink ref="T835" r:id="rId640" xr:uid="{00000000-0004-0000-0500-00007F020000}"/>
    <hyperlink ref="T836" r:id="rId641" xr:uid="{00000000-0004-0000-0500-000080020000}"/>
    <hyperlink ref="T837" r:id="rId642" xr:uid="{00000000-0004-0000-0500-000081020000}"/>
    <hyperlink ref="T838" r:id="rId643" xr:uid="{00000000-0004-0000-0500-000082020000}"/>
    <hyperlink ref="T839" r:id="rId644" xr:uid="{00000000-0004-0000-0500-000083020000}"/>
    <hyperlink ref="T841" r:id="rId645" xr:uid="{00000000-0004-0000-0500-000084020000}"/>
    <hyperlink ref="T842" r:id="rId646" xr:uid="{00000000-0004-0000-0500-000085020000}"/>
    <hyperlink ref="T844" r:id="rId647" xr:uid="{00000000-0004-0000-0500-000086020000}"/>
    <hyperlink ref="T846" r:id="rId648" xr:uid="{00000000-0004-0000-0500-000087020000}"/>
    <hyperlink ref="T847" r:id="rId649" xr:uid="{00000000-0004-0000-0500-000088020000}"/>
    <hyperlink ref="T848" r:id="rId650" xr:uid="{00000000-0004-0000-0500-000089020000}"/>
    <hyperlink ref="T849" r:id="rId651" xr:uid="{00000000-0004-0000-0500-00008A020000}"/>
    <hyperlink ref="T850" r:id="rId652" xr:uid="{00000000-0004-0000-0500-00008B020000}"/>
    <hyperlink ref="T851" r:id="rId653" xr:uid="{00000000-0004-0000-0500-00008C020000}"/>
    <hyperlink ref="T853" r:id="rId654" xr:uid="{00000000-0004-0000-0500-00008D020000}"/>
    <hyperlink ref="T854" r:id="rId655" xr:uid="{00000000-0004-0000-0500-00008E020000}"/>
    <hyperlink ref="T855" r:id="rId656" xr:uid="{00000000-0004-0000-0500-00008F020000}"/>
    <hyperlink ref="T856" r:id="rId657" xr:uid="{00000000-0004-0000-0500-000090020000}"/>
    <hyperlink ref="T857" r:id="rId658" xr:uid="{00000000-0004-0000-0500-000091020000}"/>
    <hyperlink ref="T858" r:id="rId659" xr:uid="{00000000-0004-0000-0500-000092020000}"/>
    <hyperlink ref="T859" r:id="rId660" xr:uid="{00000000-0004-0000-0500-000093020000}"/>
    <hyperlink ref="T860" r:id="rId661" xr:uid="{00000000-0004-0000-0500-000094020000}"/>
    <hyperlink ref="T861" r:id="rId662" xr:uid="{00000000-0004-0000-0500-000095020000}"/>
    <hyperlink ref="T862" r:id="rId663" xr:uid="{00000000-0004-0000-0500-000096020000}"/>
    <hyperlink ref="T863" r:id="rId664" xr:uid="{00000000-0004-0000-0500-000097020000}"/>
    <hyperlink ref="T864" r:id="rId665" xr:uid="{00000000-0004-0000-0500-000098020000}"/>
    <hyperlink ref="T865" r:id="rId666" xr:uid="{00000000-0004-0000-0500-000099020000}"/>
    <hyperlink ref="T866" r:id="rId667" xr:uid="{00000000-0004-0000-0500-00009A020000}"/>
    <hyperlink ref="T867" r:id="rId668" xr:uid="{00000000-0004-0000-0500-00009B020000}"/>
    <hyperlink ref="T868" r:id="rId669" xr:uid="{00000000-0004-0000-0500-00009C020000}"/>
    <hyperlink ref="T869" r:id="rId670" xr:uid="{00000000-0004-0000-0500-00009D020000}"/>
    <hyperlink ref="T870" r:id="rId671" xr:uid="{00000000-0004-0000-0500-00009E020000}"/>
    <hyperlink ref="T871" r:id="rId672" xr:uid="{00000000-0004-0000-0500-00009F020000}"/>
    <hyperlink ref="T872" r:id="rId673" xr:uid="{00000000-0004-0000-0500-0000A0020000}"/>
    <hyperlink ref="T873" r:id="rId674" xr:uid="{00000000-0004-0000-0500-0000A1020000}"/>
    <hyperlink ref="T874" r:id="rId675" xr:uid="{00000000-0004-0000-0500-0000A2020000}"/>
    <hyperlink ref="T875" r:id="rId676" xr:uid="{00000000-0004-0000-0500-0000A3020000}"/>
    <hyperlink ref="T876" r:id="rId677" xr:uid="{00000000-0004-0000-0500-0000A4020000}"/>
    <hyperlink ref="T877" r:id="rId678" xr:uid="{00000000-0004-0000-0500-0000A5020000}"/>
    <hyperlink ref="T878" r:id="rId679" xr:uid="{00000000-0004-0000-0500-0000A6020000}"/>
    <hyperlink ref="T879" r:id="rId680" xr:uid="{00000000-0004-0000-0500-0000A7020000}"/>
    <hyperlink ref="T880" r:id="rId681" xr:uid="{00000000-0004-0000-0500-0000A8020000}"/>
    <hyperlink ref="T881" r:id="rId682" xr:uid="{00000000-0004-0000-0500-0000A9020000}"/>
    <hyperlink ref="T882" r:id="rId683" xr:uid="{00000000-0004-0000-0500-0000AA020000}"/>
    <hyperlink ref="T883" r:id="rId684" xr:uid="{00000000-0004-0000-0500-0000AB020000}"/>
    <hyperlink ref="T884" r:id="rId685" xr:uid="{00000000-0004-0000-0500-0000AC020000}"/>
    <hyperlink ref="T885" r:id="rId686" xr:uid="{00000000-0004-0000-0500-0000AD020000}"/>
    <hyperlink ref="T886" r:id="rId687" xr:uid="{00000000-0004-0000-0500-0000AE020000}"/>
    <hyperlink ref="T887" r:id="rId688" xr:uid="{00000000-0004-0000-0500-0000AF020000}"/>
    <hyperlink ref="T889" r:id="rId689" xr:uid="{00000000-0004-0000-0500-0000B0020000}"/>
    <hyperlink ref="T890" r:id="rId690" xr:uid="{00000000-0004-0000-0500-0000B1020000}"/>
    <hyperlink ref="T893" r:id="rId691" xr:uid="{00000000-0004-0000-0500-0000B2020000}"/>
    <hyperlink ref="T894" r:id="rId692" xr:uid="{00000000-0004-0000-0500-0000B3020000}"/>
    <hyperlink ref="T895" r:id="rId693" xr:uid="{00000000-0004-0000-0500-0000B4020000}"/>
    <hyperlink ref="T896" r:id="rId694" xr:uid="{00000000-0004-0000-0500-0000B5020000}"/>
    <hyperlink ref="T897" r:id="rId695" xr:uid="{00000000-0004-0000-0500-0000B6020000}"/>
    <hyperlink ref="T899" r:id="rId696" xr:uid="{00000000-0004-0000-0500-0000B7020000}"/>
    <hyperlink ref="T900" r:id="rId697" xr:uid="{00000000-0004-0000-0500-0000B8020000}"/>
    <hyperlink ref="T902" r:id="rId698" xr:uid="{00000000-0004-0000-0500-0000B9020000}"/>
    <hyperlink ref="T903" r:id="rId699" xr:uid="{00000000-0004-0000-0500-0000BA020000}"/>
    <hyperlink ref="T904" r:id="rId700" xr:uid="{00000000-0004-0000-0500-0000BB020000}"/>
    <hyperlink ref="T905" r:id="rId701" xr:uid="{00000000-0004-0000-0500-0000BC020000}"/>
    <hyperlink ref="T906" r:id="rId702" xr:uid="{00000000-0004-0000-0500-0000BD020000}"/>
    <hyperlink ref="T907" r:id="rId703" xr:uid="{00000000-0004-0000-0500-0000BE020000}"/>
    <hyperlink ref="T908" r:id="rId704" xr:uid="{00000000-0004-0000-0500-0000BF020000}"/>
    <hyperlink ref="T909" r:id="rId705" xr:uid="{00000000-0004-0000-0500-0000C0020000}"/>
    <hyperlink ref="T910" r:id="rId706" xr:uid="{00000000-0004-0000-0500-0000C1020000}"/>
    <hyperlink ref="T911" r:id="rId707" xr:uid="{00000000-0004-0000-0500-0000C2020000}"/>
    <hyperlink ref="T912" r:id="rId708" xr:uid="{00000000-0004-0000-0500-0000C3020000}"/>
    <hyperlink ref="T913" r:id="rId709" xr:uid="{00000000-0004-0000-0500-0000C4020000}"/>
    <hyperlink ref="T914" r:id="rId710" xr:uid="{00000000-0004-0000-0500-0000C5020000}"/>
    <hyperlink ref="T915" r:id="rId711" xr:uid="{00000000-0004-0000-0500-0000C6020000}"/>
    <hyperlink ref="T916" r:id="rId712" xr:uid="{00000000-0004-0000-0500-0000C7020000}"/>
    <hyperlink ref="T917" r:id="rId713" xr:uid="{00000000-0004-0000-0500-0000C8020000}"/>
    <hyperlink ref="T918" r:id="rId714" xr:uid="{00000000-0004-0000-0500-0000C9020000}"/>
    <hyperlink ref="T919" r:id="rId715" xr:uid="{00000000-0004-0000-0500-0000CA020000}"/>
    <hyperlink ref="T920" r:id="rId716" xr:uid="{00000000-0004-0000-0500-0000CB020000}"/>
    <hyperlink ref="T921" r:id="rId717" xr:uid="{00000000-0004-0000-0500-0000CC020000}"/>
    <hyperlink ref="T923" r:id="rId718" xr:uid="{00000000-0004-0000-0500-0000CD020000}"/>
    <hyperlink ref="T924" r:id="rId719" xr:uid="{00000000-0004-0000-0500-0000CE020000}"/>
    <hyperlink ref="T925" r:id="rId720" xr:uid="{00000000-0004-0000-0500-0000CF020000}"/>
    <hyperlink ref="T926" r:id="rId721" xr:uid="{00000000-0004-0000-0500-0000D0020000}"/>
    <hyperlink ref="T927" r:id="rId722" xr:uid="{00000000-0004-0000-0500-0000D1020000}"/>
    <hyperlink ref="T928" r:id="rId723" xr:uid="{00000000-0004-0000-0500-0000D2020000}"/>
    <hyperlink ref="T929" r:id="rId724" xr:uid="{00000000-0004-0000-0500-0000D3020000}"/>
    <hyperlink ref="T930" r:id="rId725" xr:uid="{00000000-0004-0000-0500-0000D4020000}"/>
    <hyperlink ref="T932" r:id="rId726" xr:uid="{00000000-0004-0000-0500-0000D5020000}"/>
    <hyperlink ref="T933" r:id="rId727" xr:uid="{00000000-0004-0000-0500-0000D6020000}"/>
    <hyperlink ref="T934" r:id="rId728" xr:uid="{00000000-0004-0000-0500-0000D7020000}"/>
    <hyperlink ref="T936" r:id="rId729" xr:uid="{00000000-0004-0000-0500-0000D8020000}"/>
    <hyperlink ref="T937" r:id="rId730" xr:uid="{00000000-0004-0000-0500-0000D9020000}"/>
    <hyperlink ref="T940" r:id="rId731" xr:uid="{00000000-0004-0000-0500-0000DA020000}"/>
    <hyperlink ref="T941" r:id="rId732" xr:uid="{00000000-0004-0000-0500-0000DB020000}"/>
    <hyperlink ref="T942" r:id="rId733" xr:uid="{00000000-0004-0000-0500-0000DC020000}"/>
    <hyperlink ref="T943" r:id="rId734" xr:uid="{00000000-0004-0000-0500-0000DD020000}"/>
    <hyperlink ref="T944" r:id="rId735" xr:uid="{00000000-0004-0000-0500-0000DE020000}"/>
    <hyperlink ref="T945" r:id="rId736" xr:uid="{00000000-0004-0000-0500-0000DF020000}"/>
    <hyperlink ref="T946" r:id="rId737" xr:uid="{00000000-0004-0000-0500-0000E0020000}"/>
    <hyperlink ref="T947" r:id="rId738" xr:uid="{00000000-0004-0000-0500-0000E1020000}"/>
    <hyperlink ref="T948" r:id="rId739" xr:uid="{00000000-0004-0000-0500-0000E2020000}"/>
    <hyperlink ref="T951" r:id="rId740" xr:uid="{00000000-0004-0000-0500-0000E3020000}"/>
    <hyperlink ref="T952" r:id="rId741" xr:uid="{00000000-0004-0000-0500-0000E4020000}"/>
    <hyperlink ref="T953" r:id="rId742" xr:uid="{00000000-0004-0000-0500-0000E5020000}"/>
    <hyperlink ref="T956" r:id="rId743" xr:uid="{00000000-0004-0000-0500-0000E6020000}"/>
    <hyperlink ref="T957" r:id="rId744" xr:uid="{00000000-0004-0000-0500-0000E7020000}"/>
    <hyperlink ref="T958" r:id="rId745" xr:uid="{00000000-0004-0000-0500-0000E8020000}"/>
    <hyperlink ref="T959" r:id="rId746" xr:uid="{00000000-0004-0000-0500-0000E9020000}"/>
    <hyperlink ref="T960" r:id="rId747" xr:uid="{00000000-0004-0000-0500-0000EA020000}"/>
    <hyperlink ref="T962" r:id="rId748" xr:uid="{00000000-0004-0000-0500-0000EB020000}"/>
    <hyperlink ref="T963" r:id="rId749" xr:uid="{00000000-0004-0000-0500-0000EC020000}"/>
    <hyperlink ref="T965" r:id="rId750" xr:uid="{00000000-0004-0000-0500-0000ED020000}"/>
    <hyperlink ref="T966" r:id="rId751" xr:uid="{00000000-0004-0000-0500-0000EE020000}"/>
    <hyperlink ref="T967" r:id="rId752" xr:uid="{00000000-0004-0000-0500-0000EF020000}"/>
    <hyperlink ref="T969" r:id="rId753" xr:uid="{00000000-0004-0000-0500-0000F0020000}"/>
    <hyperlink ref="T970" r:id="rId754" xr:uid="{00000000-0004-0000-0500-0000F1020000}"/>
    <hyperlink ref="T971" r:id="rId755" xr:uid="{00000000-0004-0000-0500-0000F2020000}"/>
    <hyperlink ref="T972" r:id="rId756" xr:uid="{00000000-0004-0000-0500-0000F3020000}"/>
    <hyperlink ref="T973" r:id="rId757" xr:uid="{00000000-0004-0000-0500-0000F4020000}"/>
    <hyperlink ref="T974" r:id="rId758" xr:uid="{00000000-0004-0000-0500-0000F5020000}"/>
    <hyperlink ref="T976" r:id="rId759" xr:uid="{00000000-0004-0000-0500-0000F6020000}"/>
    <hyperlink ref="T977" r:id="rId760" xr:uid="{00000000-0004-0000-0500-0000F7020000}"/>
    <hyperlink ref="T978" r:id="rId761" xr:uid="{00000000-0004-0000-0500-0000F8020000}"/>
    <hyperlink ref="T979" r:id="rId762" xr:uid="{00000000-0004-0000-0500-0000F9020000}"/>
    <hyperlink ref="T980" r:id="rId763" xr:uid="{00000000-0004-0000-0500-0000FA020000}"/>
    <hyperlink ref="T981" r:id="rId764" xr:uid="{00000000-0004-0000-0500-0000FB020000}"/>
    <hyperlink ref="T982" r:id="rId765" xr:uid="{00000000-0004-0000-0500-0000FC020000}"/>
    <hyperlink ref="T983" r:id="rId766" xr:uid="{00000000-0004-0000-0500-0000FD020000}"/>
    <hyperlink ref="T984" r:id="rId767" xr:uid="{00000000-0004-0000-0500-0000FE020000}"/>
    <hyperlink ref="T986" r:id="rId768" xr:uid="{00000000-0004-0000-0500-0000FF020000}"/>
    <hyperlink ref="T988" r:id="rId769" xr:uid="{00000000-0004-0000-0500-000000030000}"/>
    <hyperlink ref="T990" r:id="rId770" xr:uid="{00000000-0004-0000-0500-000001030000}"/>
    <hyperlink ref="T991" r:id="rId771" xr:uid="{00000000-0004-0000-0500-000002030000}"/>
    <hyperlink ref="T992" r:id="rId772" xr:uid="{00000000-0004-0000-0500-000003030000}"/>
    <hyperlink ref="T993" r:id="rId773" xr:uid="{00000000-0004-0000-0500-000004030000}"/>
    <hyperlink ref="T994" r:id="rId774" xr:uid="{00000000-0004-0000-0500-000005030000}"/>
    <hyperlink ref="T996" r:id="rId775" xr:uid="{00000000-0004-0000-0500-000006030000}"/>
    <hyperlink ref="T997" r:id="rId776" xr:uid="{00000000-0004-0000-0500-000007030000}"/>
    <hyperlink ref="T998" r:id="rId777" xr:uid="{00000000-0004-0000-0500-000008030000}"/>
    <hyperlink ref="T999" r:id="rId778" xr:uid="{00000000-0004-0000-0500-000009030000}"/>
    <hyperlink ref="T1000" r:id="rId779" xr:uid="{00000000-0004-0000-0500-00000A030000}"/>
    <hyperlink ref="T1001" r:id="rId780" xr:uid="{00000000-0004-0000-0500-00000B030000}"/>
    <hyperlink ref="T1002" r:id="rId781" xr:uid="{00000000-0004-0000-0500-00000C030000}"/>
    <hyperlink ref="T1003" r:id="rId782" xr:uid="{00000000-0004-0000-0500-00000D030000}"/>
    <hyperlink ref="T1004" r:id="rId783" xr:uid="{00000000-0004-0000-0500-00000E030000}"/>
    <hyperlink ref="T1005" r:id="rId784" xr:uid="{00000000-0004-0000-0500-00000F030000}"/>
    <hyperlink ref="T1006" r:id="rId785" xr:uid="{00000000-0004-0000-0500-000010030000}"/>
    <hyperlink ref="T1008" r:id="rId786" xr:uid="{00000000-0004-0000-0500-000011030000}"/>
    <hyperlink ref="T1009" r:id="rId787" xr:uid="{00000000-0004-0000-0500-000012030000}"/>
    <hyperlink ref="T1010" r:id="rId788" xr:uid="{00000000-0004-0000-0500-000013030000}"/>
    <hyperlink ref="T1011" r:id="rId789" xr:uid="{00000000-0004-0000-0500-000014030000}"/>
    <hyperlink ref="T1012" r:id="rId790" xr:uid="{00000000-0004-0000-0500-000015030000}"/>
    <hyperlink ref="T1013" r:id="rId791" xr:uid="{00000000-0004-0000-0500-000016030000}"/>
    <hyperlink ref="T1014" r:id="rId792" xr:uid="{00000000-0004-0000-0500-000017030000}"/>
    <hyperlink ref="T1016" r:id="rId793" xr:uid="{00000000-0004-0000-0500-000018030000}"/>
    <hyperlink ref="T1017" r:id="rId794" xr:uid="{00000000-0004-0000-0500-000019030000}"/>
    <hyperlink ref="T1018" r:id="rId795" xr:uid="{00000000-0004-0000-0500-00001A030000}"/>
    <hyperlink ref="T1020" r:id="rId796" xr:uid="{00000000-0004-0000-0500-00001B030000}"/>
    <hyperlink ref="T1021" r:id="rId797" xr:uid="{00000000-0004-0000-0500-00001C030000}"/>
    <hyperlink ref="T1022" r:id="rId798" xr:uid="{00000000-0004-0000-0500-00001D030000}"/>
    <hyperlink ref="T1023" r:id="rId799" xr:uid="{00000000-0004-0000-0500-00001E030000}"/>
    <hyperlink ref="T1024" r:id="rId800" xr:uid="{00000000-0004-0000-0500-00001F030000}"/>
    <hyperlink ref="T1025" r:id="rId801" xr:uid="{00000000-0004-0000-0500-000020030000}"/>
    <hyperlink ref="T1026" r:id="rId802" xr:uid="{00000000-0004-0000-0500-000021030000}"/>
    <hyperlink ref="T1027" r:id="rId803" xr:uid="{00000000-0004-0000-0500-000022030000}"/>
    <hyperlink ref="T1028" r:id="rId804" xr:uid="{00000000-0004-0000-0500-000023030000}"/>
    <hyperlink ref="T1029" r:id="rId805" xr:uid="{00000000-0004-0000-0500-000024030000}"/>
    <hyperlink ref="T1030" r:id="rId806" xr:uid="{00000000-0004-0000-0500-000025030000}"/>
    <hyperlink ref="T1031" r:id="rId807" xr:uid="{00000000-0004-0000-0500-000026030000}"/>
    <hyperlink ref="T1032" r:id="rId808" xr:uid="{00000000-0004-0000-0500-000027030000}"/>
    <hyperlink ref="T1033" r:id="rId809" xr:uid="{00000000-0004-0000-0500-000028030000}"/>
    <hyperlink ref="T1034" r:id="rId810" xr:uid="{00000000-0004-0000-0500-000029030000}"/>
    <hyperlink ref="T1036" r:id="rId811" xr:uid="{00000000-0004-0000-0500-00002A030000}"/>
    <hyperlink ref="T1037" r:id="rId812" xr:uid="{00000000-0004-0000-0500-00002B030000}"/>
    <hyperlink ref="T1038" r:id="rId813" xr:uid="{00000000-0004-0000-0500-00002C030000}"/>
    <hyperlink ref="T1039" r:id="rId814" xr:uid="{00000000-0004-0000-0500-00002D030000}"/>
    <hyperlink ref="T1040" r:id="rId815" xr:uid="{00000000-0004-0000-0500-00002E030000}"/>
    <hyperlink ref="T1041" r:id="rId816" xr:uid="{00000000-0004-0000-0500-00002F030000}"/>
    <hyperlink ref="T1042" r:id="rId817" xr:uid="{00000000-0004-0000-0500-000030030000}"/>
    <hyperlink ref="T1043" r:id="rId818" xr:uid="{00000000-0004-0000-0500-000031030000}"/>
    <hyperlink ref="T1044" r:id="rId819" xr:uid="{00000000-0004-0000-0500-000032030000}"/>
    <hyperlink ref="T1045" r:id="rId820" xr:uid="{00000000-0004-0000-0500-000033030000}"/>
    <hyperlink ref="T1046" r:id="rId821" xr:uid="{00000000-0004-0000-0500-000034030000}"/>
    <hyperlink ref="T1047" r:id="rId822" xr:uid="{00000000-0004-0000-0500-000035030000}"/>
    <hyperlink ref="T1048" r:id="rId823" xr:uid="{00000000-0004-0000-0500-000036030000}"/>
    <hyperlink ref="T1049" r:id="rId824" xr:uid="{00000000-0004-0000-0500-000037030000}"/>
    <hyperlink ref="T1050" r:id="rId825" xr:uid="{00000000-0004-0000-0500-000038030000}"/>
    <hyperlink ref="T1051" r:id="rId826" xr:uid="{00000000-0004-0000-0500-000039030000}"/>
    <hyperlink ref="T1052" r:id="rId827" xr:uid="{00000000-0004-0000-0500-00003A030000}"/>
    <hyperlink ref="T1053" r:id="rId828" xr:uid="{00000000-0004-0000-0500-00003B030000}"/>
    <hyperlink ref="T1054" r:id="rId829" xr:uid="{00000000-0004-0000-0500-00003C030000}"/>
    <hyperlink ref="T1055" r:id="rId830" xr:uid="{00000000-0004-0000-0500-00003D030000}"/>
    <hyperlink ref="T1056" r:id="rId831" xr:uid="{00000000-0004-0000-0500-00003E030000}"/>
    <hyperlink ref="T1057" r:id="rId832" xr:uid="{00000000-0004-0000-0500-00003F030000}"/>
    <hyperlink ref="T1059" r:id="rId833" xr:uid="{00000000-0004-0000-0500-000040030000}"/>
    <hyperlink ref="T1060" r:id="rId834" xr:uid="{00000000-0004-0000-0500-000041030000}"/>
    <hyperlink ref="T1063" r:id="rId835" xr:uid="{00000000-0004-0000-0500-000042030000}"/>
    <hyperlink ref="T1065" r:id="rId836" xr:uid="{00000000-0004-0000-0500-000043030000}"/>
    <hyperlink ref="T1066" r:id="rId837" xr:uid="{00000000-0004-0000-0500-000044030000}"/>
    <hyperlink ref="T1069" r:id="rId838" xr:uid="{00000000-0004-0000-0500-000045030000}"/>
    <hyperlink ref="T1070" r:id="rId839" xr:uid="{00000000-0004-0000-0500-000046030000}"/>
    <hyperlink ref="T1071" r:id="rId840" xr:uid="{00000000-0004-0000-0500-000047030000}"/>
    <hyperlink ref="T1072" r:id="rId841" xr:uid="{00000000-0004-0000-0500-000048030000}"/>
    <hyperlink ref="T1073" r:id="rId842" xr:uid="{00000000-0004-0000-0500-000049030000}"/>
    <hyperlink ref="T1074" r:id="rId843" xr:uid="{00000000-0004-0000-0500-00004A030000}"/>
    <hyperlink ref="T1075" r:id="rId844" xr:uid="{00000000-0004-0000-0500-00004B030000}"/>
    <hyperlink ref="T1076" r:id="rId845" xr:uid="{00000000-0004-0000-0500-00004C030000}"/>
    <hyperlink ref="T1077" r:id="rId846" xr:uid="{00000000-0004-0000-0500-00004D030000}"/>
    <hyperlink ref="T1078" r:id="rId847" xr:uid="{00000000-0004-0000-0500-00004E030000}"/>
    <hyperlink ref="T1079" r:id="rId848" xr:uid="{00000000-0004-0000-0500-00004F030000}"/>
    <hyperlink ref="T1080" r:id="rId849" xr:uid="{00000000-0004-0000-0500-000050030000}"/>
    <hyperlink ref="T1081" r:id="rId850" xr:uid="{00000000-0004-0000-0500-000051030000}"/>
    <hyperlink ref="T1082" r:id="rId851" xr:uid="{00000000-0004-0000-0500-000052030000}"/>
    <hyperlink ref="T1084" r:id="rId852" xr:uid="{00000000-0004-0000-0500-000053030000}"/>
    <hyperlink ref="T1085" r:id="rId853" xr:uid="{00000000-0004-0000-0500-000054030000}"/>
    <hyperlink ref="T1086" r:id="rId854" xr:uid="{00000000-0004-0000-0500-000055030000}"/>
    <hyperlink ref="T1087" r:id="rId855" xr:uid="{00000000-0004-0000-0500-000056030000}"/>
    <hyperlink ref="T1088" r:id="rId856" xr:uid="{00000000-0004-0000-0500-000057030000}"/>
    <hyperlink ref="T1089" r:id="rId857" xr:uid="{00000000-0004-0000-0500-000058030000}"/>
    <hyperlink ref="T1090" r:id="rId858" xr:uid="{00000000-0004-0000-0500-000059030000}"/>
    <hyperlink ref="T1091" r:id="rId859" xr:uid="{00000000-0004-0000-0500-00005A030000}"/>
    <hyperlink ref="T1092" r:id="rId860" xr:uid="{00000000-0004-0000-0500-00005B030000}"/>
    <hyperlink ref="T1093" r:id="rId861" xr:uid="{00000000-0004-0000-0500-00005C030000}"/>
    <hyperlink ref="T1095" r:id="rId862" xr:uid="{00000000-0004-0000-0500-00005D030000}"/>
    <hyperlink ref="T1097" r:id="rId863" xr:uid="{00000000-0004-0000-0500-00005E030000}"/>
    <hyperlink ref="T1098" r:id="rId864" xr:uid="{00000000-0004-0000-0500-00005F030000}"/>
    <hyperlink ref="T1099" r:id="rId865" xr:uid="{00000000-0004-0000-0500-000060030000}"/>
    <hyperlink ref="T1101" r:id="rId866" xr:uid="{00000000-0004-0000-0500-000061030000}"/>
    <hyperlink ref="T1102" r:id="rId867" xr:uid="{00000000-0004-0000-0500-000062030000}"/>
    <hyperlink ref="T1103" r:id="rId868" xr:uid="{00000000-0004-0000-0500-000063030000}"/>
    <hyperlink ref="T1104" r:id="rId869" xr:uid="{00000000-0004-0000-0500-000064030000}"/>
    <hyperlink ref="T1105" r:id="rId870" xr:uid="{00000000-0004-0000-0500-000065030000}"/>
    <hyperlink ref="T1106" r:id="rId871" xr:uid="{00000000-0004-0000-0500-000066030000}"/>
    <hyperlink ref="T1108" r:id="rId872" xr:uid="{00000000-0004-0000-0500-000067030000}"/>
    <hyperlink ref="T1109" r:id="rId873" xr:uid="{00000000-0004-0000-0500-000068030000}"/>
    <hyperlink ref="T1110" r:id="rId874" xr:uid="{00000000-0004-0000-0500-000069030000}"/>
    <hyperlink ref="T1111" r:id="rId875" xr:uid="{00000000-0004-0000-0500-00006A030000}"/>
    <hyperlink ref="T1112" r:id="rId876" xr:uid="{00000000-0004-0000-0500-00006B030000}"/>
    <hyperlink ref="T1113" r:id="rId877" xr:uid="{00000000-0004-0000-0500-00006C030000}"/>
    <hyperlink ref="T1115" r:id="rId878" xr:uid="{00000000-0004-0000-0500-00006D030000}"/>
    <hyperlink ref="T1116" r:id="rId879" xr:uid="{00000000-0004-0000-0500-00006E030000}"/>
    <hyperlink ref="T1117" r:id="rId880" xr:uid="{00000000-0004-0000-0500-00006F030000}"/>
    <hyperlink ref="T1118" r:id="rId881" xr:uid="{00000000-0004-0000-0500-000070030000}"/>
    <hyperlink ref="T1119" r:id="rId882" xr:uid="{00000000-0004-0000-0500-000071030000}"/>
    <hyperlink ref="T1121" r:id="rId883" xr:uid="{00000000-0004-0000-0500-000072030000}"/>
    <hyperlink ref="T1122" r:id="rId884" xr:uid="{00000000-0004-0000-0500-000073030000}"/>
    <hyperlink ref="T1123" r:id="rId885" xr:uid="{00000000-0004-0000-0500-000074030000}"/>
    <hyperlink ref="T1125" r:id="rId886" xr:uid="{00000000-0004-0000-0500-000075030000}"/>
    <hyperlink ref="T1126" r:id="rId887" xr:uid="{00000000-0004-0000-0500-000076030000}"/>
    <hyperlink ref="T1127" r:id="rId888" xr:uid="{00000000-0004-0000-0500-000077030000}"/>
    <hyperlink ref="T1128" r:id="rId889" xr:uid="{00000000-0004-0000-0500-000078030000}"/>
    <hyperlink ref="T1129" r:id="rId890" xr:uid="{00000000-0004-0000-0500-000079030000}"/>
    <hyperlink ref="T1130" r:id="rId891" xr:uid="{00000000-0004-0000-0500-00007A030000}"/>
    <hyperlink ref="T1131" r:id="rId892" xr:uid="{00000000-0004-0000-0500-00007B030000}"/>
    <hyperlink ref="T1132" r:id="rId893" xr:uid="{00000000-0004-0000-0500-00007C030000}"/>
    <hyperlink ref="T1133" r:id="rId894" xr:uid="{00000000-0004-0000-0500-00007D030000}"/>
    <hyperlink ref="T1134" r:id="rId895" xr:uid="{00000000-0004-0000-0500-00007E030000}"/>
    <hyperlink ref="T1135" r:id="rId896" xr:uid="{00000000-0004-0000-0500-00007F030000}"/>
    <hyperlink ref="T1136" r:id="rId897" xr:uid="{00000000-0004-0000-0500-000080030000}"/>
    <hyperlink ref="T1137" r:id="rId898" xr:uid="{00000000-0004-0000-0500-000081030000}"/>
    <hyperlink ref="T1139" r:id="rId899" xr:uid="{00000000-0004-0000-0500-000082030000}"/>
    <hyperlink ref="T1140" r:id="rId900" xr:uid="{00000000-0004-0000-0500-000083030000}"/>
    <hyperlink ref="T1141" r:id="rId901" xr:uid="{00000000-0004-0000-0500-000084030000}"/>
    <hyperlink ref="T1142" r:id="rId902" xr:uid="{00000000-0004-0000-0500-000085030000}"/>
    <hyperlink ref="T1143" r:id="rId903" xr:uid="{00000000-0004-0000-0500-000086030000}"/>
    <hyperlink ref="T1144" r:id="rId904" xr:uid="{00000000-0004-0000-0500-000087030000}"/>
    <hyperlink ref="T1145" r:id="rId905" xr:uid="{00000000-0004-0000-0500-000088030000}"/>
    <hyperlink ref="T1146" r:id="rId906" xr:uid="{00000000-0004-0000-0500-000089030000}"/>
    <hyperlink ref="T1147" r:id="rId907" xr:uid="{00000000-0004-0000-0500-00008A030000}"/>
    <hyperlink ref="T1148" r:id="rId908" xr:uid="{00000000-0004-0000-0500-00008B030000}"/>
    <hyperlink ref="T1149" r:id="rId909" xr:uid="{00000000-0004-0000-0500-00008C030000}"/>
    <hyperlink ref="T1150" r:id="rId910" xr:uid="{00000000-0004-0000-0500-00008D030000}"/>
    <hyperlink ref="T1151" r:id="rId911" xr:uid="{00000000-0004-0000-0500-00008E030000}"/>
    <hyperlink ref="T1152" r:id="rId912" xr:uid="{00000000-0004-0000-0500-00008F030000}"/>
    <hyperlink ref="T1153" r:id="rId913" xr:uid="{00000000-0004-0000-0500-000090030000}"/>
    <hyperlink ref="T1154" r:id="rId914" xr:uid="{00000000-0004-0000-0500-000091030000}"/>
    <hyperlink ref="T1155" r:id="rId915" xr:uid="{00000000-0004-0000-0500-000092030000}"/>
    <hyperlink ref="T1156" r:id="rId916" xr:uid="{00000000-0004-0000-0500-000093030000}"/>
    <hyperlink ref="T1158" r:id="rId917" xr:uid="{00000000-0004-0000-0500-000094030000}"/>
    <hyperlink ref="T1159" r:id="rId918" xr:uid="{00000000-0004-0000-0500-000095030000}"/>
    <hyperlink ref="T1160" r:id="rId919" xr:uid="{00000000-0004-0000-0500-000096030000}"/>
    <hyperlink ref="T1161" r:id="rId920" xr:uid="{00000000-0004-0000-0500-000097030000}"/>
    <hyperlink ref="T1162" r:id="rId921" xr:uid="{00000000-0004-0000-0500-000098030000}"/>
    <hyperlink ref="T1163" r:id="rId922" xr:uid="{00000000-0004-0000-0500-000099030000}"/>
    <hyperlink ref="T1164" r:id="rId923" xr:uid="{00000000-0004-0000-0500-00009A030000}"/>
    <hyperlink ref="T1165" r:id="rId924" xr:uid="{00000000-0004-0000-0500-00009B030000}"/>
    <hyperlink ref="T1167" r:id="rId925" xr:uid="{00000000-0004-0000-0500-00009C030000}"/>
    <hyperlink ref="T1168" r:id="rId926" xr:uid="{00000000-0004-0000-0500-00009D030000}"/>
    <hyperlink ref="T1169" r:id="rId927" xr:uid="{00000000-0004-0000-0500-00009E030000}"/>
    <hyperlink ref="T1170" r:id="rId928" xr:uid="{00000000-0004-0000-0500-00009F030000}"/>
    <hyperlink ref="T1171" r:id="rId929" xr:uid="{00000000-0004-0000-0500-0000A0030000}"/>
    <hyperlink ref="T1172" r:id="rId930" xr:uid="{00000000-0004-0000-0500-0000A1030000}"/>
    <hyperlink ref="T1173" r:id="rId931" xr:uid="{00000000-0004-0000-0500-0000A2030000}"/>
    <hyperlink ref="T1174" r:id="rId932" xr:uid="{00000000-0004-0000-0500-0000A3030000}"/>
    <hyperlink ref="T1175" r:id="rId933" xr:uid="{00000000-0004-0000-0500-0000A4030000}"/>
    <hyperlink ref="T1176" r:id="rId934" xr:uid="{00000000-0004-0000-0500-0000A5030000}"/>
    <hyperlink ref="T1177" r:id="rId935" xr:uid="{00000000-0004-0000-0500-0000A6030000}"/>
    <hyperlink ref="T1178" r:id="rId936" xr:uid="{00000000-0004-0000-0500-0000A7030000}"/>
    <hyperlink ref="T1179" r:id="rId937" xr:uid="{00000000-0004-0000-0500-0000A8030000}"/>
    <hyperlink ref="T1181" r:id="rId938" xr:uid="{00000000-0004-0000-0500-0000A9030000}"/>
    <hyperlink ref="T1182" r:id="rId939" xr:uid="{00000000-0004-0000-0500-0000AA030000}"/>
    <hyperlink ref="T1183" r:id="rId940" xr:uid="{00000000-0004-0000-0500-0000AB030000}"/>
    <hyperlink ref="T1184" r:id="rId941" xr:uid="{00000000-0004-0000-0500-0000AC030000}"/>
    <hyperlink ref="T1185" r:id="rId942" xr:uid="{00000000-0004-0000-0500-0000AD030000}"/>
    <hyperlink ref="T1186" r:id="rId943" xr:uid="{00000000-0004-0000-0500-0000AE030000}"/>
    <hyperlink ref="T1188" r:id="rId944" xr:uid="{00000000-0004-0000-0500-0000AF030000}"/>
    <hyperlink ref="T1193" r:id="rId945" xr:uid="{00000000-0004-0000-0500-0000B0030000}"/>
    <hyperlink ref="T1194" r:id="rId946" xr:uid="{00000000-0004-0000-0500-0000B1030000}"/>
    <hyperlink ref="T1197" r:id="rId947" xr:uid="{00000000-0004-0000-0500-0000B2030000}"/>
    <hyperlink ref="T1198" r:id="rId948" xr:uid="{00000000-0004-0000-0500-0000B3030000}"/>
    <hyperlink ref="T1199" r:id="rId949" xr:uid="{00000000-0004-0000-0500-0000B4030000}"/>
    <hyperlink ref="T1201" r:id="rId950" xr:uid="{00000000-0004-0000-0500-0000B5030000}"/>
    <hyperlink ref="T1202" r:id="rId951" xr:uid="{00000000-0004-0000-0500-0000B6030000}"/>
    <hyperlink ref="T1203" r:id="rId952" xr:uid="{00000000-0004-0000-0500-0000B7030000}"/>
    <hyperlink ref="T1204" r:id="rId953" xr:uid="{00000000-0004-0000-0500-0000B8030000}"/>
    <hyperlink ref="T1205" r:id="rId954" xr:uid="{00000000-0004-0000-0500-0000B9030000}"/>
    <hyperlink ref="T1206" r:id="rId955" xr:uid="{00000000-0004-0000-0500-0000BA030000}"/>
    <hyperlink ref="T1207" r:id="rId956" xr:uid="{00000000-0004-0000-0500-0000BB030000}"/>
    <hyperlink ref="T1208" r:id="rId957" xr:uid="{00000000-0004-0000-0500-0000BC030000}"/>
    <hyperlink ref="T1209" r:id="rId958" xr:uid="{00000000-0004-0000-0500-0000BD030000}"/>
    <hyperlink ref="T1210" r:id="rId959" xr:uid="{00000000-0004-0000-0500-0000BE030000}"/>
    <hyperlink ref="T1211" r:id="rId960" xr:uid="{00000000-0004-0000-0500-0000BF030000}"/>
    <hyperlink ref="T1212" r:id="rId961" xr:uid="{00000000-0004-0000-0500-0000C0030000}"/>
    <hyperlink ref="T1213" r:id="rId962" xr:uid="{00000000-0004-0000-0500-0000C1030000}"/>
    <hyperlink ref="T1215" r:id="rId963" xr:uid="{00000000-0004-0000-0500-0000C2030000}"/>
    <hyperlink ref="T1216" r:id="rId964" xr:uid="{00000000-0004-0000-0500-0000C3030000}"/>
    <hyperlink ref="T1217" r:id="rId965" xr:uid="{00000000-0004-0000-0500-0000C4030000}"/>
    <hyperlink ref="T1218" r:id="rId966" xr:uid="{00000000-0004-0000-0500-0000C5030000}"/>
    <hyperlink ref="T1219" r:id="rId967" xr:uid="{00000000-0004-0000-0500-0000C6030000}"/>
    <hyperlink ref="T1220" r:id="rId968" xr:uid="{00000000-0004-0000-0500-0000C7030000}"/>
    <hyperlink ref="T1221" r:id="rId969" xr:uid="{00000000-0004-0000-0500-0000C8030000}"/>
    <hyperlink ref="T1222" r:id="rId970" xr:uid="{00000000-0004-0000-0500-0000C9030000}"/>
    <hyperlink ref="T1223" r:id="rId971" xr:uid="{00000000-0004-0000-0500-0000CA030000}"/>
    <hyperlink ref="T1224" r:id="rId972" xr:uid="{00000000-0004-0000-0500-0000CB030000}"/>
    <hyperlink ref="T1225" r:id="rId973" xr:uid="{00000000-0004-0000-0500-0000CC030000}"/>
    <hyperlink ref="T1226" r:id="rId974" xr:uid="{00000000-0004-0000-0500-0000CD030000}"/>
    <hyperlink ref="T1227" r:id="rId975" xr:uid="{00000000-0004-0000-0500-0000CE030000}"/>
    <hyperlink ref="T1228" r:id="rId976" xr:uid="{00000000-0004-0000-0500-0000CF030000}"/>
    <hyperlink ref="T1229" r:id="rId977" xr:uid="{00000000-0004-0000-0500-0000D0030000}"/>
    <hyperlink ref="T1230" r:id="rId978" xr:uid="{00000000-0004-0000-0500-0000D1030000}"/>
    <hyperlink ref="T1231" r:id="rId979" xr:uid="{00000000-0004-0000-0500-0000D2030000}"/>
    <hyperlink ref="T1232" r:id="rId980" xr:uid="{00000000-0004-0000-0500-0000D3030000}"/>
    <hyperlink ref="T1234" r:id="rId981" xr:uid="{00000000-0004-0000-0500-0000D4030000}"/>
    <hyperlink ref="T1235" r:id="rId982" xr:uid="{00000000-0004-0000-0500-0000D5030000}"/>
    <hyperlink ref="T1236" r:id="rId983" xr:uid="{00000000-0004-0000-0500-0000D6030000}"/>
    <hyperlink ref="T1238" r:id="rId984" xr:uid="{00000000-0004-0000-0500-0000D7030000}"/>
    <hyperlink ref="T1239" r:id="rId985" xr:uid="{00000000-0004-0000-0500-0000D8030000}"/>
    <hyperlink ref="T1240" r:id="rId986" xr:uid="{00000000-0004-0000-0500-0000D9030000}"/>
    <hyperlink ref="T1241" r:id="rId987" xr:uid="{00000000-0004-0000-0500-0000DA030000}"/>
    <hyperlink ref="T1242" r:id="rId988" xr:uid="{00000000-0004-0000-0500-0000DB030000}"/>
    <hyperlink ref="T1243" r:id="rId989" xr:uid="{00000000-0004-0000-0500-0000DC030000}"/>
    <hyperlink ref="T1244" r:id="rId990" xr:uid="{00000000-0004-0000-0500-0000DD030000}"/>
    <hyperlink ref="T1245" r:id="rId991" xr:uid="{00000000-0004-0000-0500-0000DE030000}"/>
    <hyperlink ref="T1246" r:id="rId992" xr:uid="{00000000-0004-0000-0500-0000DF030000}"/>
    <hyperlink ref="T1247" r:id="rId993" xr:uid="{00000000-0004-0000-0500-0000E0030000}"/>
    <hyperlink ref="T1248" r:id="rId994" xr:uid="{00000000-0004-0000-0500-0000E1030000}"/>
    <hyperlink ref="T1249" r:id="rId995" xr:uid="{00000000-0004-0000-0500-0000E2030000}"/>
    <hyperlink ref="T1250" r:id="rId996" xr:uid="{00000000-0004-0000-0500-0000E3030000}"/>
    <hyperlink ref="T1252" r:id="rId997" xr:uid="{00000000-0004-0000-0500-0000E4030000}"/>
    <hyperlink ref="T1253" r:id="rId998" xr:uid="{00000000-0004-0000-0500-0000E5030000}"/>
    <hyperlink ref="T1254" r:id="rId999" xr:uid="{00000000-0004-0000-0500-0000E6030000}"/>
    <hyperlink ref="T1255" r:id="rId1000" xr:uid="{00000000-0004-0000-0500-0000E7030000}"/>
    <hyperlink ref="T1256" r:id="rId1001" xr:uid="{00000000-0004-0000-0500-0000E8030000}"/>
    <hyperlink ref="T1257" r:id="rId1002" xr:uid="{00000000-0004-0000-0500-0000E9030000}"/>
    <hyperlink ref="T1258" r:id="rId1003" xr:uid="{00000000-0004-0000-0500-0000EA030000}"/>
    <hyperlink ref="T1259" r:id="rId1004" xr:uid="{00000000-0004-0000-0500-0000EB030000}"/>
    <hyperlink ref="T1260" r:id="rId1005" xr:uid="{00000000-0004-0000-0500-0000EC030000}"/>
    <hyperlink ref="T1261" r:id="rId1006" xr:uid="{00000000-0004-0000-0500-0000ED030000}"/>
    <hyperlink ref="T1262" r:id="rId1007" xr:uid="{00000000-0004-0000-0500-0000EE030000}"/>
    <hyperlink ref="T1263" r:id="rId1008" xr:uid="{00000000-0004-0000-0500-0000EF030000}"/>
    <hyperlink ref="T1264" r:id="rId1009" xr:uid="{00000000-0004-0000-0500-0000F0030000}"/>
    <hyperlink ref="T1265" r:id="rId1010" xr:uid="{00000000-0004-0000-0500-0000F1030000}"/>
    <hyperlink ref="T1266" r:id="rId1011" xr:uid="{00000000-0004-0000-0500-0000F2030000}"/>
    <hyperlink ref="T1267" r:id="rId1012" xr:uid="{00000000-0004-0000-0500-0000F3030000}"/>
    <hyperlink ref="T1268" r:id="rId1013" xr:uid="{00000000-0004-0000-0500-0000F4030000}"/>
    <hyperlink ref="T1269" r:id="rId1014" xr:uid="{00000000-0004-0000-0500-0000F5030000}"/>
    <hyperlink ref="T1270" r:id="rId1015" xr:uid="{00000000-0004-0000-0500-0000F6030000}"/>
    <hyperlink ref="T1271" r:id="rId1016" xr:uid="{00000000-0004-0000-0500-0000F7030000}"/>
    <hyperlink ref="T1272" r:id="rId1017" xr:uid="{00000000-0004-0000-0500-0000F8030000}"/>
    <hyperlink ref="T1274" r:id="rId1018" xr:uid="{00000000-0004-0000-0500-0000F9030000}"/>
    <hyperlink ref="T1275" r:id="rId1019" xr:uid="{00000000-0004-0000-0500-0000FA030000}"/>
    <hyperlink ref="T1276" r:id="rId1020" xr:uid="{00000000-0004-0000-0500-0000FB030000}"/>
    <hyperlink ref="T1277" r:id="rId1021" xr:uid="{00000000-0004-0000-0500-0000FC030000}"/>
    <hyperlink ref="T1278" r:id="rId1022" xr:uid="{00000000-0004-0000-0500-0000FD030000}"/>
    <hyperlink ref="T1279" r:id="rId1023" xr:uid="{00000000-0004-0000-0500-0000FE030000}"/>
    <hyperlink ref="T1281" r:id="rId1024" xr:uid="{00000000-0004-0000-0500-0000FF030000}"/>
    <hyperlink ref="T1283" r:id="rId1025" xr:uid="{00000000-0004-0000-0500-000000040000}"/>
    <hyperlink ref="T1284" r:id="rId1026" xr:uid="{00000000-0004-0000-0500-000001040000}"/>
    <hyperlink ref="T1285" r:id="rId1027" xr:uid="{00000000-0004-0000-0500-000002040000}"/>
    <hyperlink ref="T1286" r:id="rId1028" xr:uid="{00000000-0004-0000-0500-000003040000}"/>
    <hyperlink ref="T1287" r:id="rId1029" xr:uid="{00000000-0004-0000-0500-000004040000}"/>
    <hyperlink ref="T1289" r:id="rId1030" xr:uid="{00000000-0004-0000-0500-000005040000}"/>
    <hyperlink ref="T1290" r:id="rId1031" xr:uid="{00000000-0004-0000-0500-000006040000}"/>
    <hyperlink ref="T1291" r:id="rId1032" xr:uid="{00000000-0004-0000-0500-000007040000}"/>
    <hyperlink ref="T1292" r:id="rId1033" xr:uid="{00000000-0004-0000-0500-000008040000}"/>
    <hyperlink ref="T1293" r:id="rId1034" xr:uid="{00000000-0004-0000-0500-000009040000}"/>
    <hyperlink ref="T1294" r:id="rId1035" xr:uid="{00000000-0004-0000-0500-00000A040000}"/>
    <hyperlink ref="T1295" r:id="rId1036" xr:uid="{00000000-0004-0000-0500-00000B040000}"/>
    <hyperlink ref="T1297" r:id="rId1037" xr:uid="{00000000-0004-0000-0500-00000C040000}"/>
    <hyperlink ref="T1298" r:id="rId1038" xr:uid="{00000000-0004-0000-0500-00000D040000}"/>
    <hyperlink ref="T1299" r:id="rId1039" xr:uid="{00000000-0004-0000-0500-00000E040000}"/>
    <hyperlink ref="T1300" r:id="rId1040" xr:uid="{00000000-0004-0000-0500-00000F040000}"/>
    <hyperlink ref="T1301" r:id="rId1041" xr:uid="{00000000-0004-0000-0500-000010040000}"/>
    <hyperlink ref="T1302" r:id="rId1042" xr:uid="{00000000-0004-0000-0500-000011040000}"/>
    <hyperlink ref="T1303" r:id="rId1043" xr:uid="{00000000-0004-0000-0500-000012040000}"/>
    <hyperlink ref="T1304" r:id="rId1044" xr:uid="{00000000-0004-0000-0500-000013040000}"/>
    <hyperlink ref="T1305" r:id="rId1045" xr:uid="{00000000-0004-0000-0500-000014040000}"/>
    <hyperlink ref="T1306" r:id="rId1046" xr:uid="{00000000-0004-0000-0500-000015040000}"/>
    <hyperlink ref="T1307" r:id="rId1047" xr:uid="{00000000-0004-0000-0500-000016040000}"/>
    <hyperlink ref="T1308" r:id="rId1048" xr:uid="{00000000-0004-0000-0500-000017040000}"/>
    <hyperlink ref="T1309" r:id="rId1049" xr:uid="{00000000-0004-0000-0500-000018040000}"/>
    <hyperlink ref="T1310" r:id="rId1050" xr:uid="{00000000-0004-0000-0500-000019040000}"/>
    <hyperlink ref="T1311" r:id="rId1051" xr:uid="{00000000-0004-0000-0500-00001A040000}"/>
    <hyperlink ref="T1312" r:id="rId1052" xr:uid="{00000000-0004-0000-0500-00001B040000}"/>
    <hyperlink ref="T1313" r:id="rId1053" xr:uid="{00000000-0004-0000-0500-00001C040000}"/>
    <hyperlink ref="T1314" r:id="rId1054" xr:uid="{00000000-0004-0000-0500-00001D040000}"/>
    <hyperlink ref="T1315" r:id="rId1055" xr:uid="{00000000-0004-0000-0500-00001E040000}"/>
    <hyperlink ref="T1316" r:id="rId1056" xr:uid="{00000000-0004-0000-0500-00001F040000}"/>
    <hyperlink ref="T1318" r:id="rId1057" xr:uid="{00000000-0004-0000-0500-000020040000}"/>
    <hyperlink ref="T1319" r:id="rId1058" xr:uid="{00000000-0004-0000-0500-000021040000}"/>
    <hyperlink ref="T1320" r:id="rId1059" xr:uid="{00000000-0004-0000-0500-000022040000}"/>
    <hyperlink ref="T1321" r:id="rId1060" xr:uid="{00000000-0004-0000-0500-000023040000}"/>
    <hyperlink ref="T1324" r:id="rId1061" xr:uid="{00000000-0004-0000-0500-000024040000}"/>
    <hyperlink ref="T1325" r:id="rId1062" xr:uid="{00000000-0004-0000-0500-000025040000}"/>
    <hyperlink ref="T1326" r:id="rId1063" xr:uid="{00000000-0004-0000-0500-000026040000}"/>
    <hyperlink ref="T1327" r:id="rId1064" xr:uid="{00000000-0004-0000-0500-000027040000}"/>
    <hyperlink ref="T1328" r:id="rId1065" xr:uid="{00000000-0004-0000-0500-000028040000}"/>
    <hyperlink ref="T1329" r:id="rId1066" xr:uid="{00000000-0004-0000-0500-000029040000}"/>
    <hyperlink ref="T1330" r:id="rId1067" xr:uid="{00000000-0004-0000-0500-00002A040000}"/>
    <hyperlink ref="T1331" r:id="rId1068" xr:uid="{00000000-0004-0000-0500-00002B040000}"/>
    <hyperlink ref="T1333" r:id="rId1069" xr:uid="{00000000-0004-0000-0500-00002C040000}"/>
    <hyperlink ref="T1334" r:id="rId1070" xr:uid="{00000000-0004-0000-0500-00002D040000}"/>
    <hyperlink ref="T1335" r:id="rId1071" xr:uid="{00000000-0004-0000-0500-00002E040000}"/>
    <hyperlink ref="T1337" r:id="rId1072" xr:uid="{00000000-0004-0000-0500-00002F040000}"/>
    <hyperlink ref="T1338" r:id="rId1073" xr:uid="{00000000-0004-0000-0500-000030040000}"/>
    <hyperlink ref="T1339" r:id="rId1074" xr:uid="{00000000-0004-0000-0500-000031040000}"/>
    <hyperlink ref="T1341" r:id="rId1075" xr:uid="{00000000-0004-0000-0500-000032040000}"/>
    <hyperlink ref="T1342" r:id="rId1076" xr:uid="{00000000-0004-0000-0500-000033040000}"/>
    <hyperlink ref="T1343" r:id="rId1077" xr:uid="{00000000-0004-0000-0500-000034040000}"/>
    <hyperlink ref="T1344" r:id="rId1078" xr:uid="{00000000-0004-0000-0500-000035040000}"/>
    <hyperlink ref="T1345" r:id="rId1079" xr:uid="{00000000-0004-0000-0500-000036040000}"/>
    <hyperlink ref="T1346" r:id="rId1080" xr:uid="{00000000-0004-0000-0500-000037040000}"/>
    <hyperlink ref="T1347" r:id="rId1081" xr:uid="{00000000-0004-0000-0500-000038040000}"/>
    <hyperlink ref="T1348" r:id="rId1082" xr:uid="{00000000-0004-0000-0500-000039040000}"/>
    <hyperlink ref="T1349" r:id="rId1083" xr:uid="{00000000-0004-0000-0500-00003A040000}"/>
    <hyperlink ref="T1350" r:id="rId1084" xr:uid="{00000000-0004-0000-0500-00003B040000}"/>
    <hyperlink ref="T1351" r:id="rId1085" xr:uid="{00000000-0004-0000-0500-00003C040000}"/>
    <hyperlink ref="T1353" r:id="rId1086" xr:uid="{00000000-0004-0000-0500-00003D040000}"/>
    <hyperlink ref="T1354" r:id="rId1087" xr:uid="{00000000-0004-0000-0500-00003E040000}"/>
    <hyperlink ref="T1355" r:id="rId1088" xr:uid="{00000000-0004-0000-0500-00003F040000}"/>
    <hyperlink ref="T1356" r:id="rId1089" xr:uid="{00000000-0004-0000-0500-000040040000}"/>
    <hyperlink ref="T1357" r:id="rId1090" xr:uid="{00000000-0004-0000-0500-000041040000}"/>
    <hyperlink ref="T1358" r:id="rId1091" xr:uid="{00000000-0004-0000-0500-000042040000}"/>
    <hyperlink ref="T1359" r:id="rId1092" xr:uid="{00000000-0004-0000-0500-000043040000}"/>
    <hyperlink ref="T1360" r:id="rId1093" xr:uid="{00000000-0004-0000-0500-000044040000}"/>
    <hyperlink ref="T1362" r:id="rId1094" xr:uid="{00000000-0004-0000-0500-000045040000}"/>
    <hyperlink ref="T1363" r:id="rId1095" xr:uid="{00000000-0004-0000-0500-000046040000}"/>
    <hyperlink ref="T1364" r:id="rId1096" xr:uid="{00000000-0004-0000-0500-000047040000}"/>
    <hyperlink ref="T1365" r:id="rId1097" xr:uid="{00000000-0004-0000-0500-000048040000}"/>
    <hyperlink ref="T1366" r:id="rId1098" xr:uid="{00000000-0004-0000-0500-000049040000}"/>
    <hyperlink ref="T1367" r:id="rId1099" xr:uid="{00000000-0004-0000-0500-00004A040000}"/>
    <hyperlink ref="T1368" r:id="rId1100" xr:uid="{00000000-0004-0000-0500-00004B040000}"/>
    <hyperlink ref="T1369" r:id="rId1101" xr:uid="{00000000-0004-0000-0500-00004C040000}"/>
    <hyperlink ref="T1370" r:id="rId1102" xr:uid="{00000000-0004-0000-0500-00004D040000}"/>
    <hyperlink ref="T1371" r:id="rId1103" xr:uid="{00000000-0004-0000-0500-00004E040000}"/>
    <hyperlink ref="T1373" r:id="rId1104" xr:uid="{00000000-0004-0000-0500-00004F040000}"/>
    <hyperlink ref="T1374" r:id="rId1105" xr:uid="{00000000-0004-0000-0500-000050040000}"/>
    <hyperlink ref="T1375" r:id="rId1106" xr:uid="{00000000-0004-0000-0500-000051040000}"/>
    <hyperlink ref="T1376" r:id="rId1107" xr:uid="{00000000-0004-0000-0500-000052040000}"/>
    <hyperlink ref="T1377" r:id="rId1108" xr:uid="{00000000-0004-0000-0500-000053040000}"/>
    <hyperlink ref="T1378" r:id="rId1109" xr:uid="{00000000-0004-0000-0500-000054040000}"/>
    <hyperlink ref="T1379" r:id="rId1110" xr:uid="{00000000-0004-0000-0500-000055040000}"/>
    <hyperlink ref="T1380" r:id="rId1111" xr:uid="{00000000-0004-0000-0500-000056040000}"/>
    <hyperlink ref="T1381" r:id="rId1112" xr:uid="{00000000-0004-0000-0500-000057040000}"/>
    <hyperlink ref="T1382" r:id="rId1113" xr:uid="{00000000-0004-0000-0500-000058040000}"/>
    <hyperlink ref="T1383" r:id="rId1114" xr:uid="{00000000-0004-0000-0500-000059040000}"/>
    <hyperlink ref="T1384" r:id="rId1115" xr:uid="{00000000-0004-0000-0500-00005A040000}"/>
    <hyperlink ref="T1385" r:id="rId1116" xr:uid="{00000000-0004-0000-0500-00005B040000}"/>
    <hyperlink ref="T1386" r:id="rId1117" xr:uid="{00000000-0004-0000-0500-00005C040000}"/>
    <hyperlink ref="T1387" r:id="rId1118" xr:uid="{00000000-0004-0000-0500-00005D040000}"/>
    <hyperlink ref="T1388" r:id="rId1119" xr:uid="{00000000-0004-0000-0500-00005E040000}"/>
    <hyperlink ref="T1389" r:id="rId1120" xr:uid="{00000000-0004-0000-0500-00005F040000}"/>
    <hyperlink ref="T1390" r:id="rId1121" xr:uid="{00000000-0004-0000-0500-000060040000}"/>
    <hyperlink ref="T1391" r:id="rId1122" xr:uid="{00000000-0004-0000-0500-000061040000}"/>
    <hyperlink ref="T1392" r:id="rId1123" xr:uid="{00000000-0004-0000-0500-000062040000}"/>
    <hyperlink ref="T1393" r:id="rId1124" xr:uid="{00000000-0004-0000-0500-000063040000}"/>
    <hyperlink ref="T1394" r:id="rId1125" xr:uid="{00000000-0004-0000-0500-000064040000}"/>
    <hyperlink ref="T1395" r:id="rId1126" xr:uid="{00000000-0004-0000-0500-000065040000}"/>
    <hyperlink ref="T1396" r:id="rId1127" xr:uid="{00000000-0004-0000-0500-000066040000}"/>
    <hyperlink ref="T1397" r:id="rId1128" xr:uid="{00000000-0004-0000-0500-000067040000}"/>
    <hyperlink ref="T1398" r:id="rId1129" xr:uid="{00000000-0004-0000-0500-000068040000}"/>
    <hyperlink ref="T1414" r:id="rId1130" xr:uid="{00000000-0004-0000-0500-000069040000}"/>
    <hyperlink ref="T1415" r:id="rId1131" xr:uid="{00000000-0004-0000-0500-00006A040000}"/>
    <hyperlink ref="T1416" r:id="rId1132" xr:uid="{00000000-0004-0000-0500-00006B040000}"/>
    <hyperlink ref="T1419" r:id="rId1133" xr:uid="{00000000-0004-0000-0500-00006C040000}"/>
    <hyperlink ref="T1420" r:id="rId1134" xr:uid="{00000000-0004-0000-0500-00006D040000}"/>
    <hyperlink ref="T1421" r:id="rId1135" xr:uid="{00000000-0004-0000-0500-00006E040000}"/>
    <hyperlink ref="T1422" r:id="rId1136" xr:uid="{00000000-0004-0000-0500-00006F040000}"/>
    <hyperlink ref="T1423" r:id="rId1137" xr:uid="{00000000-0004-0000-0500-000070040000}"/>
    <hyperlink ref="T1424" r:id="rId1138" xr:uid="{00000000-0004-0000-0500-000071040000}"/>
    <hyperlink ref="T1425" r:id="rId1139" xr:uid="{00000000-0004-0000-0500-000072040000}"/>
    <hyperlink ref="T1426" r:id="rId1140" xr:uid="{00000000-0004-0000-0500-000073040000}"/>
    <hyperlink ref="T1427" r:id="rId1141" xr:uid="{00000000-0004-0000-0500-000074040000}"/>
    <hyperlink ref="T1429" r:id="rId1142" xr:uid="{00000000-0004-0000-0500-000075040000}"/>
    <hyperlink ref="T1430" r:id="rId1143" xr:uid="{00000000-0004-0000-0500-000076040000}"/>
    <hyperlink ref="T1431" r:id="rId1144" xr:uid="{00000000-0004-0000-0500-000077040000}"/>
    <hyperlink ref="T1432" r:id="rId1145" xr:uid="{00000000-0004-0000-0500-000078040000}"/>
    <hyperlink ref="T1434" r:id="rId1146" xr:uid="{00000000-0004-0000-0500-000079040000}"/>
    <hyperlink ref="T1435" r:id="rId1147" xr:uid="{00000000-0004-0000-0500-00007A040000}"/>
    <hyperlink ref="T1436" r:id="rId1148" xr:uid="{00000000-0004-0000-0500-00007B040000}"/>
    <hyperlink ref="T1438" r:id="rId1149" xr:uid="{00000000-0004-0000-0500-00007C040000}"/>
    <hyperlink ref="T1439" r:id="rId1150" xr:uid="{00000000-0004-0000-0500-00007D040000}"/>
    <hyperlink ref="T1440" r:id="rId1151" xr:uid="{00000000-0004-0000-0500-00007E040000}"/>
    <hyperlink ref="T1441" r:id="rId1152" xr:uid="{00000000-0004-0000-0500-00007F040000}"/>
    <hyperlink ref="T1442" r:id="rId1153" xr:uid="{00000000-0004-0000-0500-000080040000}"/>
    <hyperlink ref="T1443" r:id="rId1154" xr:uid="{00000000-0004-0000-0500-000081040000}"/>
    <hyperlink ref="T1444" r:id="rId1155" xr:uid="{00000000-0004-0000-0500-000082040000}"/>
    <hyperlink ref="T1445" r:id="rId1156" xr:uid="{00000000-0004-0000-0500-000083040000}"/>
    <hyperlink ref="T1446" r:id="rId1157" xr:uid="{00000000-0004-0000-0500-000084040000}"/>
    <hyperlink ref="T1447" r:id="rId1158" xr:uid="{00000000-0004-0000-0500-000085040000}"/>
    <hyperlink ref="T1448" r:id="rId1159" xr:uid="{00000000-0004-0000-0500-000086040000}"/>
    <hyperlink ref="T1449" r:id="rId1160" xr:uid="{00000000-0004-0000-0500-000087040000}"/>
    <hyperlink ref="T1450" r:id="rId1161" xr:uid="{00000000-0004-0000-0500-000088040000}"/>
    <hyperlink ref="T1451" r:id="rId1162" xr:uid="{00000000-0004-0000-0500-000089040000}"/>
    <hyperlink ref="T1452" r:id="rId1163" xr:uid="{00000000-0004-0000-0500-00008A040000}"/>
    <hyperlink ref="T1453" r:id="rId1164" xr:uid="{00000000-0004-0000-0500-00008B040000}"/>
    <hyperlink ref="T1454" r:id="rId1165" xr:uid="{00000000-0004-0000-0500-00008C040000}"/>
    <hyperlink ref="T1455" r:id="rId1166" xr:uid="{00000000-0004-0000-0500-00008D040000}"/>
    <hyperlink ref="T1456" r:id="rId1167" xr:uid="{00000000-0004-0000-0500-00008E040000}"/>
    <hyperlink ref="T1457" r:id="rId1168" xr:uid="{00000000-0004-0000-0500-00008F040000}"/>
    <hyperlink ref="T1458" r:id="rId1169" xr:uid="{00000000-0004-0000-0500-000090040000}"/>
    <hyperlink ref="T1459" r:id="rId1170" xr:uid="{00000000-0004-0000-0500-000091040000}"/>
    <hyperlink ref="T1460" r:id="rId1171" xr:uid="{00000000-0004-0000-0500-000092040000}"/>
    <hyperlink ref="T1461" r:id="rId1172" xr:uid="{00000000-0004-0000-0500-000093040000}"/>
    <hyperlink ref="T1462" r:id="rId1173" xr:uid="{00000000-0004-0000-0500-000094040000}"/>
    <hyperlink ref="T1463" r:id="rId1174" xr:uid="{00000000-0004-0000-0500-000095040000}"/>
    <hyperlink ref="T1464" r:id="rId1175" xr:uid="{00000000-0004-0000-0500-000096040000}"/>
    <hyperlink ref="T1465" r:id="rId1176" xr:uid="{00000000-0004-0000-0500-000097040000}"/>
    <hyperlink ref="T1467" r:id="rId1177" xr:uid="{00000000-0004-0000-0500-000098040000}"/>
    <hyperlink ref="T1468" r:id="rId1178" xr:uid="{00000000-0004-0000-0500-000099040000}"/>
    <hyperlink ref="T1469" r:id="rId1179" xr:uid="{00000000-0004-0000-0500-00009A040000}"/>
    <hyperlink ref="T1470" r:id="rId1180" xr:uid="{00000000-0004-0000-0500-00009B040000}"/>
    <hyperlink ref="T1471" r:id="rId1181" xr:uid="{00000000-0004-0000-0500-00009C040000}"/>
    <hyperlink ref="T1472" r:id="rId1182" xr:uid="{00000000-0004-0000-0500-00009D040000}"/>
    <hyperlink ref="T1473" r:id="rId1183" xr:uid="{00000000-0004-0000-0500-00009E040000}"/>
    <hyperlink ref="T1475" r:id="rId1184" xr:uid="{00000000-0004-0000-0500-00009F040000}"/>
    <hyperlink ref="T1477" r:id="rId1185" xr:uid="{00000000-0004-0000-0500-0000A0040000}"/>
    <hyperlink ref="T1478" r:id="rId1186" xr:uid="{00000000-0004-0000-0500-0000A1040000}"/>
    <hyperlink ref="T1479" r:id="rId1187" xr:uid="{00000000-0004-0000-0500-0000A2040000}"/>
    <hyperlink ref="T1481" r:id="rId1188" xr:uid="{00000000-0004-0000-0500-0000A3040000}"/>
    <hyperlink ref="T1482" r:id="rId1189" xr:uid="{00000000-0004-0000-0500-0000A4040000}"/>
    <hyperlink ref="T1483" r:id="rId1190" xr:uid="{00000000-0004-0000-0500-0000A5040000}"/>
    <hyperlink ref="T1484" r:id="rId1191" xr:uid="{00000000-0004-0000-0500-0000A6040000}"/>
    <hyperlink ref="T1485" r:id="rId1192" xr:uid="{00000000-0004-0000-0500-0000A7040000}"/>
    <hyperlink ref="T1486" r:id="rId1193" xr:uid="{00000000-0004-0000-0500-0000A8040000}"/>
    <hyperlink ref="T1487" r:id="rId1194" xr:uid="{00000000-0004-0000-0500-0000A9040000}"/>
    <hyperlink ref="T1488" r:id="rId1195" xr:uid="{00000000-0004-0000-0500-0000AA040000}"/>
    <hyperlink ref="T1489" r:id="rId1196" xr:uid="{00000000-0004-0000-0500-0000AB040000}"/>
    <hyperlink ref="T1490" r:id="rId1197" xr:uid="{00000000-0004-0000-0500-0000AC040000}"/>
    <hyperlink ref="T1491" r:id="rId1198" xr:uid="{00000000-0004-0000-0500-0000AD040000}"/>
    <hyperlink ref="T1492" r:id="rId1199" xr:uid="{00000000-0004-0000-0500-0000AE040000}"/>
    <hyperlink ref="T1493" r:id="rId1200" xr:uid="{00000000-0004-0000-0500-0000AF040000}"/>
    <hyperlink ref="T1494" r:id="rId1201" xr:uid="{00000000-0004-0000-0500-0000B0040000}"/>
    <hyperlink ref="T1495" r:id="rId1202" xr:uid="{00000000-0004-0000-0500-0000B1040000}"/>
    <hyperlink ref="T1496" r:id="rId1203" xr:uid="{00000000-0004-0000-0500-0000B2040000}"/>
    <hyperlink ref="T1497" r:id="rId1204" xr:uid="{00000000-0004-0000-0500-0000B3040000}"/>
    <hyperlink ref="T1498" r:id="rId1205" xr:uid="{00000000-0004-0000-0500-0000B4040000}"/>
    <hyperlink ref="T1499" r:id="rId1206" xr:uid="{00000000-0004-0000-0500-0000B5040000}"/>
    <hyperlink ref="T1500" r:id="rId1207" xr:uid="{00000000-0004-0000-0500-0000B6040000}"/>
    <hyperlink ref="T1501" r:id="rId1208" xr:uid="{00000000-0004-0000-0500-0000B7040000}"/>
    <hyperlink ref="T1502" r:id="rId1209" xr:uid="{00000000-0004-0000-0500-0000B8040000}"/>
    <hyperlink ref="T1503" r:id="rId1210" xr:uid="{00000000-0004-0000-0500-0000B9040000}"/>
    <hyperlink ref="T1504" r:id="rId1211" xr:uid="{00000000-0004-0000-0500-0000BA040000}"/>
    <hyperlink ref="T1505" r:id="rId1212" xr:uid="{00000000-0004-0000-0500-0000BB040000}"/>
    <hyperlink ref="T1506" r:id="rId1213" xr:uid="{00000000-0004-0000-0500-0000BC040000}"/>
    <hyperlink ref="T1507" r:id="rId1214" xr:uid="{00000000-0004-0000-0500-0000BD040000}"/>
    <hyperlink ref="T1508" r:id="rId1215" xr:uid="{00000000-0004-0000-0500-0000BE040000}"/>
    <hyperlink ref="T1509" r:id="rId1216" xr:uid="{00000000-0004-0000-0500-0000BF040000}"/>
    <hyperlink ref="T1510" r:id="rId1217" xr:uid="{00000000-0004-0000-0500-0000C0040000}"/>
    <hyperlink ref="T1511" r:id="rId1218" xr:uid="{00000000-0004-0000-0500-0000C1040000}"/>
    <hyperlink ref="T1512" r:id="rId1219" xr:uid="{00000000-0004-0000-0500-0000C2040000}"/>
    <hyperlink ref="T1513" r:id="rId1220" xr:uid="{00000000-0004-0000-0500-0000C3040000}"/>
    <hyperlink ref="T1514" r:id="rId1221" xr:uid="{00000000-0004-0000-0500-0000C4040000}"/>
    <hyperlink ref="T1515" r:id="rId1222" xr:uid="{00000000-0004-0000-0500-0000C5040000}"/>
    <hyperlink ref="T1516" r:id="rId1223" xr:uid="{00000000-0004-0000-0500-0000C6040000}"/>
    <hyperlink ref="T1517" r:id="rId1224" xr:uid="{00000000-0004-0000-0500-0000C7040000}"/>
    <hyperlink ref="T1518" r:id="rId1225" xr:uid="{00000000-0004-0000-0500-0000C8040000}"/>
    <hyperlink ref="T1519" r:id="rId1226" xr:uid="{00000000-0004-0000-0500-0000C9040000}"/>
    <hyperlink ref="T1520" r:id="rId1227" xr:uid="{00000000-0004-0000-0500-0000CA040000}"/>
    <hyperlink ref="T1521" r:id="rId1228" xr:uid="{00000000-0004-0000-0500-0000CB040000}"/>
    <hyperlink ref="T1522" r:id="rId1229" xr:uid="{00000000-0004-0000-0500-0000CC040000}"/>
    <hyperlink ref="T1523" r:id="rId1230" xr:uid="{00000000-0004-0000-0500-0000CD040000}"/>
    <hyperlink ref="T1524" r:id="rId1231" xr:uid="{00000000-0004-0000-0500-0000CE040000}"/>
    <hyperlink ref="T1525" r:id="rId1232" xr:uid="{00000000-0004-0000-0500-0000CF040000}"/>
    <hyperlink ref="T1526" r:id="rId1233" xr:uid="{00000000-0004-0000-0500-0000D0040000}"/>
    <hyperlink ref="T1527" r:id="rId1234" xr:uid="{00000000-0004-0000-0500-0000D1040000}"/>
    <hyperlink ref="T1528" r:id="rId1235" xr:uid="{00000000-0004-0000-0500-0000D2040000}"/>
    <hyperlink ref="T1529" r:id="rId1236" xr:uid="{00000000-0004-0000-0500-0000D3040000}"/>
    <hyperlink ref="T1530" r:id="rId1237" xr:uid="{00000000-0004-0000-0500-0000D4040000}"/>
    <hyperlink ref="T1531" r:id="rId1238" xr:uid="{00000000-0004-0000-0500-0000D5040000}"/>
    <hyperlink ref="T1532" r:id="rId1239" xr:uid="{00000000-0004-0000-0500-0000D6040000}"/>
    <hyperlink ref="T1533" r:id="rId1240" xr:uid="{00000000-0004-0000-0500-0000D7040000}"/>
    <hyperlink ref="T1534" r:id="rId1241" xr:uid="{00000000-0004-0000-0500-0000D8040000}"/>
    <hyperlink ref="T1536" r:id="rId1242" xr:uid="{00000000-0004-0000-0500-0000D9040000}"/>
    <hyperlink ref="T1537" r:id="rId1243" xr:uid="{00000000-0004-0000-0500-0000DA040000}"/>
    <hyperlink ref="T1538" r:id="rId1244" xr:uid="{00000000-0004-0000-0500-0000DB040000}"/>
    <hyperlink ref="T1539" r:id="rId1245" xr:uid="{00000000-0004-0000-0500-0000DC040000}"/>
    <hyperlink ref="T1540" r:id="rId1246" xr:uid="{00000000-0004-0000-0500-0000DD040000}"/>
    <hyperlink ref="T1541" r:id="rId1247" xr:uid="{00000000-0004-0000-0500-0000DE040000}"/>
    <hyperlink ref="T1542" r:id="rId1248" xr:uid="{00000000-0004-0000-0500-0000DF040000}"/>
    <hyperlink ref="T1543" r:id="rId1249" xr:uid="{00000000-0004-0000-0500-0000E0040000}"/>
    <hyperlink ref="T1544" r:id="rId1250" xr:uid="{00000000-0004-0000-0500-0000E1040000}"/>
    <hyperlink ref="T1545" r:id="rId1251" xr:uid="{00000000-0004-0000-0500-0000E2040000}"/>
    <hyperlink ref="T1546" r:id="rId1252" xr:uid="{00000000-0004-0000-0500-0000E3040000}"/>
    <hyperlink ref="T1547" r:id="rId1253" xr:uid="{00000000-0004-0000-0500-0000E4040000}"/>
    <hyperlink ref="T1548" r:id="rId1254" xr:uid="{00000000-0004-0000-0500-0000E5040000}"/>
    <hyperlink ref="T1549" r:id="rId1255" xr:uid="{00000000-0004-0000-0500-0000E6040000}"/>
    <hyperlink ref="T1550" r:id="rId1256" xr:uid="{00000000-0004-0000-0500-0000E7040000}"/>
    <hyperlink ref="T1551" r:id="rId1257" xr:uid="{00000000-0004-0000-0500-0000E8040000}"/>
    <hyperlink ref="T1552" r:id="rId1258" xr:uid="{00000000-0004-0000-0500-0000E9040000}"/>
    <hyperlink ref="T1553" r:id="rId1259" xr:uid="{00000000-0004-0000-0500-0000EA040000}"/>
    <hyperlink ref="T1554" r:id="rId1260" xr:uid="{00000000-0004-0000-0500-0000EB040000}"/>
    <hyperlink ref="T1555" r:id="rId1261" xr:uid="{00000000-0004-0000-0500-0000EC040000}"/>
    <hyperlink ref="T1556" r:id="rId1262" xr:uid="{00000000-0004-0000-0500-0000ED040000}"/>
    <hyperlink ref="T1557" r:id="rId1263" xr:uid="{00000000-0004-0000-0500-0000EE040000}"/>
    <hyperlink ref="T1558" r:id="rId1264" xr:uid="{00000000-0004-0000-0500-0000EF040000}"/>
    <hyperlink ref="T1559" r:id="rId1265" xr:uid="{00000000-0004-0000-0500-0000F0040000}"/>
    <hyperlink ref="T1560" r:id="rId1266" xr:uid="{00000000-0004-0000-0500-0000F1040000}"/>
    <hyperlink ref="T1561" r:id="rId1267" xr:uid="{00000000-0004-0000-0500-0000F2040000}"/>
    <hyperlink ref="T1562" r:id="rId1268" xr:uid="{00000000-0004-0000-0500-0000F3040000}"/>
    <hyperlink ref="T1563" r:id="rId1269" xr:uid="{00000000-0004-0000-0500-0000F4040000}"/>
    <hyperlink ref="T1564" r:id="rId1270" xr:uid="{00000000-0004-0000-0500-0000F5040000}"/>
    <hyperlink ref="T1565" r:id="rId1271" xr:uid="{00000000-0004-0000-0500-0000F6040000}"/>
    <hyperlink ref="T1566" r:id="rId1272" xr:uid="{00000000-0004-0000-0500-0000F7040000}"/>
    <hyperlink ref="T1567" r:id="rId1273" xr:uid="{00000000-0004-0000-0500-0000F8040000}"/>
    <hyperlink ref="T1568" r:id="rId1274" xr:uid="{00000000-0004-0000-0500-0000F9040000}"/>
    <hyperlink ref="T1570" r:id="rId1275" xr:uid="{00000000-0004-0000-0500-0000FA040000}"/>
    <hyperlink ref="T1571" r:id="rId1276" xr:uid="{00000000-0004-0000-0500-0000FB040000}"/>
    <hyperlink ref="T1572" r:id="rId1277" xr:uid="{00000000-0004-0000-0500-0000FC040000}"/>
    <hyperlink ref="T1573" r:id="rId1278" xr:uid="{00000000-0004-0000-0500-0000FD040000}"/>
    <hyperlink ref="T1574" r:id="rId1279" xr:uid="{00000000-0004-0000-0500-0000FE040000}"/>
    <hyperlink ref="T1575" r:id="rId1280" xr:uid="{00000000-0004-0000-0500-0000FF040000}"/>
    <hyperlink ref="T1576" r:id="rId1281" xr:uid="{00000000-0004-0000-0500-000000050000}"/>
    <hyperlink ref="T1577" r:id="rId1282" xr:uid="{00000000-0004-0000-0500-000001050000}"/>
    <hyperlink ref="T1578" r:id="rId1283" xr:uid="{00000000-0004-0000-0500-000002050000}"/>
    <hyperlink ref="T1579" r:id="rId1284" xr:uid="{00000000-0004-0000-0500-000003050000}"/>
    <hyperlink ref="T1580" r:id="rId1285" xr:uid="{00000000-0004-0000-0500-000004050000}"/>
    <hyperlink ref="T1581" r:id="rId1286" xr:uid="{00000000-0004-0000-0500-000005050000}"/>
    <hyperlink ref="T1582" r:id="rId1287" xr:uid="{00000000-0004-0000-0500-000006050000}"/>
    <hyperlink ref="T1583" r:id="rId1288" xr:uid="{00000000-0004-0000-0500-000007050000}"/>
    <hyperlink ref="T1586" r:id="rId1289" xr:uid="{00000000-0004-0000-0500-000008050000}"/>
    <hyperlink ref="T1587" r:id="rId1290" xr:uid="{00000000-0004-0000-0500-000009050000}"/>
    <hyperlink ref="T1588" r:id="rId1291" xr:uid="{00000000-0004-0000-0500-00000A050000}"/>
    <hyperlink ref="T1589" r:id="rId1292" xr:uid="{00000000-0004-0000-0500-00000B050000}"/>
    <hyperlink ref="T1590" r:id="rId1293" xr:uid="{00000000-0004-0000-0500-00000C050000}"/>
    <hyperlink ref="T1591" r:id="rId1294" xr:uid="{00000000-0004-0000-0500-00000D050000}"/>
    <hyperlink ref="T1592" r:id="rId1295" xr:uid="{00000000-0004-0000-0500-00000E050000}"/>
    <hyperlink ref="T1595" r:id="rId1296" xr:uid="{00000000-0004-0000-0500-00000F050000}"/>
    <hyperlink ref="T1596" r:id="rId1297" xr:uid="{00000000-0004-0000-0500-000010050000}"/>
    <hyperlink ref="T1597" r:id="rId1298" xr:uid="{00000000-0004-0000-0500-000011050000}"/>
    <hyperlink ref="T1598" r:id="rId1299" xr:uid="{00000000-0004-0000-0500-000012050000}"/>
    <hyperlink ref="T1599" r:id="rId1300" xr:uid="{00000000-0004-0000-0500-000013050000}"/>
    <hyperlink ref="T1600" r:id="rId1301" xr:uid="{00000000-0004-0000-0500-000014050000}"/>
    <hyperlink ref="T1601" r:id="rId1302" xr:uid="{00000000-0004-0000-0500-000015050000}"/>
    <hyperlink ref="T1602" r:id="rId1303" xr:uid="{00000000-0004-0000-0500-000016050000}"/>
    <hyperlink ref="T1604" r:id="rId1304" xr:uid="{00000000-0004-0000-0500-000017050000}"/>
    <hyperlink ref="T1606" r:id="rId1305" xr:uid="{00000000-0004-0000-0500-000018050000}"/>
    <hyperlink ref="T1607" r:id="rId1306" xr:uid="{00000000-0004-0000-0500-000019050000}"/>
    <hyperlink ref="T1608" r:id="rId1307" xr:uid="{00000000-0004-0000-0500-00001A050000}"/>
    <hyperlink ref="T1609" r:id="rId1308" xr:uid="{00000000-0004-0000-0500-00001B050000}"/>
    <hyperlink ref="T1610" r:id="rId1309" xr:uid="{00000000-0004-0000-0500-00001C050000}"/>
    <hyperlink ref="T1611" r:id="rId1310" xr:uid="{00000000-0004-0000-0500-00001D050000}"/>
    <hyperlink ref="T1612" r:id="rId1311" xr:uid="{00000000-0004-0000-0500-00001E050000}"/>
    <hyperlink ref="T1613" r:id="rId1312" xr:uid="{00000000-0004-0000-0500-00001F050000}"/>
    <hyperlink ref="T1614" r:id="rId1313" xr:uid="{00000000-0004-0000-0500-000020050000}"/>
    <hyperlink ref="T1615" r:id="rId1314" xr:uid="{00000000-0004-0000-0500-000021050000}"/>
    <hyperlink ref="T11" r:id="rId1315" xr:uid="{00000000-0004-0000-0500-000022050000}"/>
    <hyperlink ref="T12" r:id="rId1316" xr:uid="{00000000-0004-0000-0500-000023050000}"/>
    <hyperlink ref="T10" r:id="rId1317" xr:uid="{00000000-0004-0000-0500-000024050000}"/>
    <hyperlink ref="T9" r:id="rId1318" xr:uid="{00000000-0004-0000-0500-000025050000}"/>
    <hyperlink ref="T13" r:id="rId1319" xr:uid="{00000000-0004-0000-0500-000026050000}"/>
    <hyperlink ref="T27" r:id="rId1320" xr:uid="{00000000-0004-0000-0500-000027050000}"/>
    <hyperlink ref="T15" r:id="rId1321" xr:uid="{00000000-0004-0000-0500-000028050000}"/>
    <hyperlink ref="T29" r:id="rId1322" xr:uid="{00000000-0004-0000-0500-000029050000}"/>
    <hyperlink ref="T17" r:id="rId1323" xr:uid="{00000000-0004-0000-0500-00002A050000}"/>
    <hyperlink ref="T31" r:id="rId1324" xr:uid="{00000000-0004-0000-0500-00002B050000}"/>
    <hyperlink ref="T19" r:id="rId1325" xr:uid="{00000000-0004-0000-0500-00002C050000}"/>
    <hyperlink ref="T21" r:id="rId1326" xr:uid="{00000000-0004-0000-0500-00002D050000}"/>
    <hyperlink ref="T35" r:id="rId1327" xr:uid="{00000000-0004-0000-0500-00002E050000}"/>
    <hyperlink ref="T23" r:id="rId1328" xr:uid="{00000000-0004-0000-0500-00002F050000}"/>
    <hyperlink ref="T24" r:id="rId1329" xr:uid="{00000000-0004-0000-0500-000030050000}"/>
    <hyperlink ref="T25" r:id="rId1330" xr:uid="{00000000-0004-0000-0500-000031050000}"/>
    <hyperlink ref="T26" r:id="rId1331" xr:uid="{00000000-0004-0000-0500-000032050000}"/>
    <hyperlink ref="T40" r:id="rId1332" xr:uid="{00000000-0004-0000-0500-000033050000}"/>
    <hyperlink ref="T41" r:id="rId1333" xr:uid="{00000000-0004-0000-0500-000034050000}"/>
    <hyperlink ref="T42" r:id="rId1334" xr:uid="{00000000-0004-0000-0500-000035050000}"/>
    <hyperlink ref="T43" r:id="rId1335" xr:uid="{00000000-0004-0000-0500-000036050000}"/>
    <hyperlink ref="T44" r:id="rId1336" xr:uid="{00000000-0004-0000-0500-000037050000}"/>
    <hyperlink ref="T45" r:id="rId1337" xr:uid="{00000000-0004-0000-0500-000038050000}"/>
    <hyperlink ref="T46" r:id="rId1338" xr:uid="{00000000-0004-0000-0500-000039050000}"/>
    <hyperlink ref="T47" r:id="rId1339" xr:uid="{00000000-0004-0000-0500-00003A050000}"/>
    <hyperlink ref="T48" r:id="rId1340" xr:uid="{00000000-0004-0000-0500-00003B050000}"/>
    <hyperlink ref="T50" r:id="rId1341" xr:uid="{00000000-0004-0000-0500-00003C050000}"/>
    <hyperlink ref="T51" r:id="rId1342" xr:uid="{00000000-0004-0000-0500-00003D050000}"/>
    <hyperlink ref="T52" r:id="rId1343" xr:uid="{00000000-0004-0000-0500-00003E050000}"/>
    <hyperlink ref="T53" r:id="rId1344" xr:uid="{00000000-0004-0000-0500-00003F050000}"/>
    <hyperlink ref="T54" r:id="rId1345" xr:uid="{00000000-0004-0000-0500-000040050000}"/>
    <hyperlink ref="T55" r:id="rId1346" xr:uid="{00000000-0004-0000-0500-000041050000}"/>
    <hyperlink ref="T56" r:id="rId1347" xr:uid="{00000000-0004-0000-0500-000042050000}"/>
    <hyperlink ref="T57" r:id="rId1348" xr:uid="{00000000-0004-0000-0500-000043050000}"/>
    <hyperlink ref="T58" r:id="rId1349" xr:uid="{00000000-0004-0000-0500-000044050000}"/>
    <hyperlink ref="T60" r:id="rId1350" xr:uid="{00000000-0004-0000-0500-000045050000}"/>
    <hyperlink ref="T61" r:id="rId1351" xr:uid="{00000000-0004-0000-0500-000046050000}"/>
    <hyperlink ref="T62" r:id="rId1352" xr:uid="{00000000-0004-0000-0500-000047050000}"/>
    <hyperlink ref="T63" r:id="rId1353" xr:uid="{00000000-0004-0000-0500-000048050000}"/>
    <hyperlink ref="T64" r:id="rId1354" xr:uid="{00000000-0004-0000-0500-000049050000}"/>
    <hyperlink ref="T65" r:id="rId1355" xr:uid="{00000000-0004-0000-0500-00004A050000}"/>
    <hyperlink ref="T67" r:id="rId1356" xr:uid="{00000000-0004-0000-0500-00004B050000}"/>
    <hyperlink ref="T68" r:id="rId1357" xr:uid="{00000000-0004-0000-0500-00004C050000}"/>
    <hyperlink ref="T70" r:id="rId1358" xr:uid="{00000000-0004-0000-0500-00004D050000}"/>
    <hyperlink ref="T71" r:id="rId1359" xr:uid="{00000000-0004-0000-0500-00004E050000}"/>
    <hyperlink ref="T72" r:id="rId1360" xr:uid="{00000000-0004-0000-0500-00004F050000}"/>
    <hyperlink ref="T73" r:id="rId1361" xr:uid="{00000000-0004-0000-0500-000050050000}"/>
    <hyperlink ref="T74" r:id="rId1362" xr:uid="{00000000-0004-0000-0500-000051050000}"/>
    <hyperlink ref="T75" r:id="rId1363" xr:uid="{00000000-0004-0000-0500-000052050000}"/>
    <hyperlink ref="T76" r:id="rId1364" xr:uid="{00000000-0004-0000-0500-000053050000}"/>
    <hyperlink ref="T77" r:id="rId1365" xr:uid="{00000000-0004-0000-0500-000054050000}"/>
    <hyperlink ref="T78" r:id="rId1366" xr:uid="{00000000-0004-0000-0500-000055050000}"/>
    <hyperlink ref="T79" r:id="rId1367" xr:uid="{00000000-0004-0000-0500-000056050000}"/>
    <hyperlink ref="T80" r:id="rId1368" xr:uid="{00000000-0004-0000-0500-000057050000}"/>
    <hyperlink ref="T81" r:id="rId1369" xr:uid="{00000000-0004-0000-0500-000058050000}"/>
    <hyperlink ref="T82" r:id="rId1370" xr:uid="{00000000-0004-0000-0500-000059050000}"/>
    <hyperlink ref="T84" r:id="rId1371" xr:uid="{00000000-0004-0000-0500-00005A050000}"/>
    <hyperlink ref="T85" r:id="rId1372" xr:uid="{00000000-0004-0000-0500-00005B050000}"/>
    <hyperlink ref="T86" r:id="rId1373" xr:uid="{00000000-0004-0000-0500-00005C050000}"/>
    <hyperlink ref="T87" r:id="rId1374" xr:uid="{00000000-0004-0000-0500-00005D050000}"/>
    <hyperlink ref="T88" r:id="rId1375" xr:uid="{00000000-0004-0000-0500-00005E050000}"/>
    <hyperlink ref="T90" r:id="rId1376" xr:uid="{00000000-0004-0000-0500-00005F050000}"/>
    <hyperlink ref="T91" r:id="rId1377" xr:uid="{00000000-0004-0000-0500-000060050000}"/>
    <hyperlink ref="T92" r:id="rId1378" xr:uid="{00000000-0004-0000-0500-000061050000}"/>
    <hyperlink ref="T93" r:id="rId1379" xr:uid="{00000000-0004-0000-0500-000062050000}"/>
    <hyperlink ref="T94" r:id="rId1380" xr:uid="{00000000-0004-0000-0500-000063050000}"/>
    <hyperlink ref="T95" r:id="rId1381" xr:uid="{00000000-0004-0000-0500-000064050000}"/>
    <hyperlink ref="T96" r:id="rId1382" xr:uid="{00000000-0004-0000-0500-000065050000}"/>
    <hyperlink ref="T20" r:id="rId1383" xr:uid="{00000000-0004-0000-0500-00006605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I1601"/>
  <sheetViews>
    <sheetView tabSelected="1" zoomScale="145" zoomScaleNormal="145" workbookViewId="0">
      <pane xSplit="3" ySplit="19" topLeftCell="D179" activePane="bottomRight" state="frozen"/>
      <selection activeCell="M1629" sqref="M1629"/>
      <selection pane="topRight" activeCell="M1629" sqref="M1629"/>
      <selection pane="bottomLeft" activeCell="M1629" sqref="M1629"/>
      <selection pane="bottomRight" activeCell="A195" sqref="A195"/>
    </sheetView>
  </sheetViews>
  <sheetFormatPr defaultColWidth="9.1328125" defaultRowHeight="14.25"/>
  <cols>
    <col min="1" max="1" width="34.86328125" customWidth="1"/>
    <col min="2" max="2" width="34.1328125" bestFit="1" customWidth="1"/>
    <col min="3" max="3" width="12.3984375" bestFit="1" customWidth="1"/>
    <col min="4" max="4" width="30" customWidth="1"/>
    <col min="5" max="5" width="19.3984375" bestFit="1" customWidth="1"/>
    <col min="6" max="6" width="9.3984375" bestFit="1" customWidth="1"/>
    <col min="7" max="7" width="15.3984375" bestFit="1" customWidth="1"/>
    <col min="8" max="8" width="17.3984375" bestFit="1" customWidth="1"/>
  </cols>
  <sheetData>
    <row r="1" spans="1:8" ht="15.4">
      <c r="A1" s="78" t="s">
        <v>230</v>
      </c>
      <c r="B1" s="79"/>
      <c r="C1" s="79"/>
      <c r="D1" s="79"/>
      <c r="E1" s="79"/>
      <c r="F1" s="79"/>
      <c r="G1" s="79"/>
      <c r="H1" s="79"/>
    </row>
    <row r="2" spans="1:8">
      <c r="A2" s="28"/>
      <c r="B2" s="29"/>
    </row>
    <row r="3" spans="1:8">
      <c r="A3" s="28" t="s">
        <v>231</v>
      </c>
      <c r="B3" s="29" t="s">
        <v>232</v>
      </c>
    </row>
    <row r="4" spans="1:8">
      <c r="A4" s="28" t="s">
        <v>233</v>
      </c>
      <c r="B4" s="29" t="s">
        <v>234</v>
      </c>
    </row>
    <row r="5" spans="1:8">
      <c r="A5" s="28" t="s">
        <v>235</v>
      </c>
      <c r="B5" s="29" t="s">
        <v>236</v>
      </c>
    </row>
    <row r="6" spans="1:8">
      <c r="A6" s="28" t="s">
        <v>237</v>
      </c>
      <c r="B6" s="29" t="s">
        <v>238</v>
      </c>
    </row>
    <row r="8" spans="1:8">
      <c r="A8" s="30" t="s">
        <v>239</v>
      </c>
      <c r="B8" s="31" t="s">
        <v>240</v>
      </c>
    </row>
    <row r="9" spans="1:8">
      <c r="A9" t="s">
        <v>241</v>
      </c>
      <c r="B9" s="29" t="s">
        <v>242</v>
      </c>
    </row>
    <row r="10" spans="1:8">
      <c r="A10" t="s">
        <v>243</v>
      </c>
      <c r="B10" s="29" t="s">
        <v>244</v>
      </c>
    </row>
    <row r="11" spans="1:8">
      <c r="A11" t="s">
        <v>245</v>
      </c>
      <c r="B11" s="29" t="s">
        <v>246</v>
      </c>
    </row>
    <row r="13" spans="1:8">
      <c r="A13" s="88" t="s">
        <v>247</v>
      </c>
      <c r="B13" s="88"/>
      <c r="C13" s="88"/>
      <c r="D13" s="88"/>
    </row>
    <row r="15" spans="1:8">
      <c r="A15" s="80" t="s">
        <v>248</v>
      </c>
      <c r="B15" s="80"/>
      <c r="C15" s="80"/>
      <c r="D15" s="80"/>
    </row>
    <row r="16" spans="1:8">
      <c r="A16" s="33" t="s">
        <v>257</v>
      </c>
      <c r="B16" s="33"/>
      <c r="C16" s="33"/>
      <c r="D16" s="33" t="s">
        <v>258</v>
      </c>
      <c r="E16" s="34"/>
      <c r="F16" s="34"/>
      <c r="G16" s="34"/>
      <c r="H16" s="34"/>
    </row>
    <row r="18" spans="1:8">
      <c r="A18" s="81" t="s">
        <v>249</v>
      </c>
      <c r="B18" s="81"/>
      <c r="C18" s="81"/>
      <c r="D18" s="81"/>
      <c r="E18" s="82" t="s">
        <v>250</v>
      </c>
      <c r="F18" s="82"/>
      <c r="G18" s="82"/>
      <c r="H18" s="82"/>
    </row>
    <row r="19" spans="1:8">
      <c r="A19" s="61" t="s">
        <v>254</v>
      </c>
      <c r="B19" s="32" t="s">
        <v>251</v>
      </c>
      <c r="C19" s="32" t="s">
        <v>252</v>
      </c>
      <c r="D19" s="32" t="s">
        <v>253</v>
      </c>
      <c r="E19" s="32" t="s">
        <v>255</v>
      </c>
      <c r="F19" s="32" t="s">
        <v>256</v>
      </c>
      <c r="G19" s="32" t="s">
        <v>241</v>
      </c>
      <c r="H19" s="32" t="s">
        <v>243</v>
      </c>
    </row>
    <row r="20" spans="1:8">
      <c r="A20" s="62">
        <v>135329078135</v>
      </c>
      <c r="B20" t="s">
        <v>4</v>
      </c>
      <c r="C20" s="35" t="s">
        <v>259</v>
      </c>
      <c r="D20" t="s">
        <v>260</v>
      </c>
      <c r="E20" s="35" t="s">
        <v>261</v>
      </c>
      <c r="F20" s="29" t="s">
        <v>262</v>
      </c>
      <c r="G20" s="36">
        <v>19900</v>
      </c>
      <c r="H20" s="36">
        <v>119.4</v>
      </c>
    </row>
    <row r="21" spans="1:8">
      <c r="A21" s="62">
        <v>135329349869</v>
      </c>
      <c r="B21" t="s">
        <v>263</v>
      </c>
      <c r="C21" s="35" t="s">
        <v>259</v>
      </c>
      <c r="D21" t="s">
        <v>260</v>
      </c>
      <c r="E21" s="35" t="s">
        <v>261</v>
      </c>
      <c r="F21" s="29" t="s">
        <v>262</v>
      </c>
      <c r="G21" s="36">
        <v>39800</v>
      </c>
      <c r="H21" s="36">
        <v>238.8</v>
      </c>
    </row>
    <row r="22" spans="1:8">
      <c r="A22" s="62">
        <v>135945633656</v>
      </c>
      <c r="B22" t="s">
        <v>4</v>
      </c>
      <c r="C22" s="35" t="s">
        <v>259</v>
      </c>
      <c r="D22" t="s">
        <v>260</v>
      </c>
      <c r="E22" s="35" t="s">
        <v>261</v>
      </c>
      <c r="F22" s="29" t="s">
        <v>262</v>
      </c>
      <c r="G22" s="36">
        <v>8400</v>
      </c>
      <c r="H22" s="36">
        <v>50.4</v>
      </c>
    </row>
    <row r="23" spans="1:8">
      <c r="A23" s="62">
        <v>135330988071</v>
      </c>
      <c r="B23" t="s">
        <v>263</v>
      </c>
      <c r="C23" s="35" t="s">
        <v>259</v>
      </c>
      <c r="D23" t="s">
        <v>260</v>
      </c>
      <c r="E23" s="35" t="s">
        <v>261</v>
      </c>
      <c r="F23" s="29" t="s">
        <v>262</v>
      </c>
      <c r="G23" s="36">
        <v>50300</v>
      </c>
      <c r="H23" s="36">
        <v>301.8</v>
      </c>
    </row>
    <row r="24" spans="1:8">
      <c r="A24" s="62">
        <v>135949105672</v>
      </c>
      <c r="B24" t="s">
        <v>4</v>
      </c>
      <c r="C24" s="35" t="s">
        <v>261</v>
      </c>
      <c r="D24" t="s">
        <v>260</v>
      </c>
      <c r="E24" s="35" t="s">
        <v>261</v>
      </c>
      <c r="F24" s="29" t="s">
        <v>262</v>
      </c>
      <c r="G24" s="36">
        <v>10100</v>
      </c>
      <c r="H24" s="36">
        <v>60.6</v>
      </c>
    </row>
    <row r="25" spans="1:8">
      <c r="A25" s="62">
        <v>135945997406</v>
      </c>
      <c r="B25" t="s">
        <v>4</v>
      </c>
      <c r="C25" s="35" t="s">
        <v>259</v>
      </c>
      <c r="D25" t="s">
        <v>260</v>
      </c>
      <c r="E25" s="35" t="s">
        <v>261</v>
      </c>
      <c r="F25" s="29" t="s">
        <v>262</v>
      </c>
      <c r="G25" s="36">
        <v>12600</v>
      </c>
      <c r="H25" s="36">
        <v>75.599999999999994</v>
      </c>
    </row>
    <row r="26" spans="1:8">
      <c r="A26" s="62">
        <v>135330440377</v>
      </c>
      <c r="B26" t="s">
        <v>4</v>
      </c>
      <c r="C26" s="35" t="s">
        <v>259</v>
      </c>
      <c r="D26" t="s">
        <v>260</v>
      </c>
      <c r="E26" s="35" t="s">
        <v>261</v>
      </c>
      <c r="F26" s="29" t="s">
        <v>262</v>
      </c>
      <c r="G26" s="36">
        <v>56700</v>
      </c>
      <c r="H26" s="36">
        <v>340.2</v>
      </c>
    </row>
    <row r="27" spans="1:8">
      <c r="A27" s="62">
        <v>135331302959</v>
      </c>
      <c r="B27" t="s">
        <v>4</v>
      </c>
      <c r="C27" s="35" t="s">
        <v>259</v>
      </c>
      <c r="D27" t="s">
        <v>260</v>
      </c>
      <c r="E27" s="35" t="s">
        <v>261</v>
      </c>
      <c r="F27" s="29" t="s">
        <v>262</v>
      </c>
      <c r="G27" s="36">
        <v>16800</v>
      </c>
      <c r="H27" s="36">
        <v>100.8</v>
      </c>
    </row>
    <row r="28" spans="1:8">
      <c r="A28" s="62">
        <v>135979554276</v>
      </c>
      <c r="B28" t="s">
        <v>4</v>
      </c>
      <c r="C28" s="35" t="s">
        <v>261</v>
      </c>
      <c r="D28" t="s">
        <v>260</v>
      </c>
      <c r="E28" s="35" t="s">
        <v>261</v>
      </c>
      <c r="F28" s="29" t="s">
        <v>262</v>
      </c>
      <c r="G28" s="36">
        <v>400000</v>
      </c>
      <c r="H28" s="36">
        <v>2400</v>
      </c>
    </row>
    <row r="29" spans="1:8">
      <c r="A29" s="62">
        <v>135362543637</v>
      </c>
      <c r="B29" t="s">
        <v>4</v>
      </c>
      <c r="C29" s="35" t="s">
        <v>261</v>
      </c>
      <c r="D29" t="s">
        <v>260</v>
      </c>
      <c r="E29" s="35" t="s">
        <v>261</v>
      </c>
      <c r="F29" s="29" t="s">
        <v>262</v>
      </c>
      <c r="G29" s="36">
        <v>551528.92000000004</v>
      </c>
      <c r="H29" s="36">
        <v>3309.17</v>
      </c>
    </row>
    <row r="30" spans="1:8">
      <c r="A30" s="62">
        <v>135734903707</v>
      </c>
      <c r="B30" t="s">
        <v>4</v>
      </c>
      <c r="C30" s="35" t="s">
        <v>264</v>
      </c>
      <c r="D30" t="s">
        <v>260</v>
      </c>
      <c r="E30" s="35" t="s">
        <v>264</v>
      </c>
      <c r="F30" s="29" t="s">
        <v>262</v>
      </c>
      <c r="G30" s="36">
        <v>11999</v>
      </c>
      <c r="H30" s="36">
        <v>71.989999999999995</v>
      </c>
    </row>
    <row r="31" spans="1:8">
      <c r="A31" s="62">
        <v>136364441784</v>
      </c>
      <c r="B31" t="s">
        <v>4</v>
      </c>
      <c r="C31" s="35" t="s">
        <v>264</v>
      </c>
      <c r="D31" t="s">
        <v>260</v>
      </c>
      <c r="E31" s="35" t="s">
        <v>264</v>
      </c>
      <c r="F31" s="29" t="s">
        <v>262</v>
      </c>
      <c r="G31" s="36">
        <v>4800</v>
      </c>
      <c r="H31" s="36">
        <v>28.8</v>
      </c>
    </row>
    <row r="32" spans="1:8">
      <c r="A32" s="62">
        <v>136366138324</v>
      </c>
      <c r="B32" t="s">
        <v>4</v>
      </c>
      <c r="C32" s="35" t="s">
        <v>264</v>
      </c>
      <c r="D32" t="s">
        <v>260</v>
      </c>
      <c r="E32" s="35" t="s">
        <v>264</v>
      </c>
      <c r="F32" s="29" t="s">
        <v>262</v>
      </c>
      <c r="G32" s="36">
        <v>8200</v>
      </c>
      <c r="H32" s="36">
        <v>49.2</v>
      </c>
    </row>
    <row r="33" spans="1:8">
      <c r="A33" s="62">
        <v>135748062571</v>
      </c>
      <c r="B33" t="s">
        <v>263</v>
      </c>
      <c r="C33" s="35" t="s">
        <v>264</v>
      </c>
      <c r="D33" t="s">
        <v>260</v>
      </c>
      <c r="E33" s="35" t="s">
        <v>264</v>
      </c>
      <c r="F33" s="29" t="s">
        <v>262</v>
      </c>
      <c r="G33" s="36">
        <v>48300</v>
      </c>
      <c r="H33" s="36">
        <v>289.8</v>
      </c>
    </row>
    <row r="34" spans="1:8">
      <c r="A34" s="62">
        <v>136373560516</v>
      </c>
      <c r="B34" t="s">
        <v>4</v>
      </c>
      <c r="C34" s="35" t="s">
        <v>264</v>
      </c>
      <c r="D34" t="s">
        <v>260</v>
      </c>
      <c r="E34" s="35" t="s">
        <v>264</v>
      </c>
      <c r="F34" s="29" t="s">
        <v>262</v>
      </c>
      <c r="G34" s="36">
        <v>31000</v>
      </c>
      <c r="H34" s="36">
        <v>186</v>
      </c>
    </row>
    <row r="35" spans="1:8">
      <c r="A35" s="62">
        <v>136374478166</v>
      </c>
      <c r="B35" t="s">
        <v>4</v>
      </c>
      <c r="C35" s="35" t="s">
        <v>264</v>
      </c>
      <c r="D35" t="s">
        <v>260</v>
      </c>
      <c r="E35" s="35" t="s">
        <v>264</v>
      </c>
      <c r="F35" s="29" t="s">
        <v>262</v>
      </c>
      <c r="G35" s="36">
        <v>29800</v>
      </c>
      <c r="H35" s="36">
        <v>178.8</v>
      </c>
    </row>
    <row r="36" spans="1:8">
      <c r="A36" s="62">
        <v>135754447275</v>
      </c>
      <c r="B36" t="s">
        <v>263</v>
      </c>
      <c r="C36" s="35" t="s">
        <v>264</v>
      </c>
      <c r="D36" t="s">
        <v>260</v>
      </c>
      <c r="E36" s="35" t="s">
        <v>264</v>
      </c>
      <c r="F36" s="29" t="s">
        <v>262</v>
      </c>
      <c r="G36" s="36">
        <v>11999</v>
      </c>
      <c r="H36" s="36">
        <v>71.989999999999995</v>
      </c>
    </row>
    <row r="37" spans="1:8">
      <c r="A37" s="62">
        <v>135754874311</v>
      </c>
      <c r="B37" t="s">
        <v>263</v>
      </c>
      <c r="C37" s="35" t="s">
        <v>264</v>
      </c>
      <c r="D37" t="s">
        <v>260</v>
      </c>
      <c r="E37" s="35" t="s">
        <v>264</v>
      </c>
      <c r="F37" s="29" t="s">
        <v>262</v>
      </c>
      <c r="G37" s="36">
        <v>50500</v>
      </c>
      <c r="H37" s="36">
        <v>303</v>
      </c>
    </row>
    <row r="38" spans="1:8">
      <c r="A38" s="62">
        <v>135738371583</v>
      </c>
      <c r="B38" t="s">
        <v>263</v>
      </c>
      <c r="C38" s="35" t="s">
        <v>264</v>
      </c>
      <c r="D38" t="s">
        <v>260</v>
      </c>
      <c r="E38" s="35" t="s">
        <v>264</v>
      </c>
      <c r="F38" s="29" t="s">
        <v>262</v>
      </c>
      <c r="G38" s="36">
        <v>25900</v>
      </c>
      <c r="H38" s="36">
        <v>155.4</v>
      </c>
    </row>
    <row r="39" spans="1:8">
      <c r="A39" s="62">
        <v>135739132419</v>
      </c>
      <c r="B39" t="s">
        <v>263</v>
      </c>
      <c r="C39" s="35" t="s">
        <v>264</v>
      </c>
      <c r="D39" t="s">
        <v>260</v>
      </c>
      <c r="E39" s="35" t="s">
        <v>264</v>
      </c>
      <c r="F39" s="29" t="s">
        <v>262</v>
      </c>
      <c r="G39" s="36">
        <v>16599</v>
      </c>
      <c r="H39" s="36">
        <v>99.59</v>
      </c>
    </row>
    <row r="40" spans="1:8">
      <c r="A40" s="62">
        <v>135757364099</v>
      </c>
      <c r="B40" t="s">
        <v>4</v>
      </c>
      <c r="C40" s="35" t="s">
        <v>264</v>
      </c>
      <c r="D40" t="s">
        <v>260</v>
      </c>
      <c r="E40" s="35" t="s">
        <v>264</v>
      </c>
      <c r="F40" s="29" t="s">
        <v>262</v>
      </c>
      <c r="G40" s="36">
        <v>14600</v>
      </c>
      <c r="H40" s="36">
        <v>87.6</v>
      </c>
    </row>
    <row r="41" spans="1:8">
      <c r="A41" s="62">
        <v>136379529420</v>
      </c>
      <c r="B41" t="s">
        <v>263</v>
      </c>
      <c r="C41" s="35" t="s">
        <v>264</v>
      </c>
      <c r="D41" t="s">
        <v>260</v>
      </c>
      <c r="E41" s="35" t="s">
        <v>264</v>
      </c>
      <c r="F41" s="29" t="s">
        <v>262</v>
      </c>
      <c r="G41" s="36">
        <v>73500</v>
      </c>
      <c r="H41" s="36">
        <v>441</v>
      </c>
    </row>
    <row r="42" spans="1:8">
      <c r="A42" s="62">
        <v>136380032928</v>
      </c>
      <c r="B42" t="s">
        <v>263</v>
      </c>
      <c r="C42" s="35" t="s">
        <v>264</v>
      </c>
      <c r="D42" t="s">
        <v>260</v>
      </c>
      <c r="E42" s="35" t="s">
        <v>264</v>
      </c>
      <c r="F42" s="29" t="s">
        <v>262</v>
      </c>
      <c r="G42" s="36">
        <v>154897</v>
      </c>
      <c r="H42" s="36">
        <v>929.38</v>
      </c>
    </row>
    <row r="43" spans="1:8">
      <c r="A43" s="62">
        <v>136380185164</v>
      </c>
      <c r="B43" t="s">
        <v>4</v>
      </c>
      <c r="C43" s="35" t="s">
        <v>264</v>
      </c>
      <c r="D43" t="s">
        <v>260</v>
      </c>
      <c r="E43" s="35" t="s">
        <v>264</v>
      </c>
      <c r="F43" s="29" t="s">
        <v>262</v>
      </c>
      <c r="G43" s="36">
        <v>50400</v>
      </c>
      <c r="H43" s="36">
        <v>302.39999999999998</v>
      </c>
    </row>
    <row r="44" spans="1:8">
      <c r="A44" s="62">
        <v>135759480719</v>
      </c>
      <c r="B44" t="s">
        <v>4</v>
      </c>
      <c r="C44" s="35" t="s">
        <v>264</v>
      </c>
      <c r="D44" t="s">
        <v>260</v>
      </c>
      <c r="E44" s="35" t="s">
        <v>264</v>
      </c>
      <c r="F44" s="29" t="s">
        <v>262</v>
      </c>
      <c r="G44" s="36">
        <v>23998</v>
      </c>
      <c r="H44" s="36">
        <v>143.99</v>
      </c>
    </row>
    <row r="45" spans="1:8">
      <c r="A45" s="62">
        <v>135759329655</v>
      </c>
      <c r="B45" t="s">
        <v>265</v>
      </c>
      <c r="C45" s="35" t="s">
        <v>264</v>
      </c>
      <c r="D45" t="s">
        <v>260</v>
      </c>
      <c r="E45" s="35" t="s">
        <v>264</v>
      </c>
      <c r="F45" s="29" t="s">
        <v>262</v>
      </c>
      <c r="G45" s="36">
        <v>1199</v>
      </c>
      <c r="H45" s="36">
        <v>7.19</v>
      </c>
    </row>
    <row r="46" spans="1:8">
      <c r="A46" s="62">
        <v>135759894119</v>
      </c>
      <c r="B46" t="s">
        <v>4</v>
      </c>
      <c r="C46" s="35" t="s">
        <v>264</v>
      </c>
      <c r="D46" t="s">
        <v>260</v>
      </c>
      <c r="E46" s="35" t="s">
        <v>264</v>
      </c>
      <c r="F46" s="29" t="s">
        <v>262</v>
      </c>
      <c r="G46" s="36">
        <v>35997</v>
      </c>
      <c r="H46" s="36">
        <v>215.98</v>
      </c>
    </row>
    <row r="47" spans="1:8">
      <c r="A47" s="62">
        <v>135759931927</v>
      </c>
      <c r="B47" t="s">
        <v>4</v>
      </c>
      <c r="C47" s="35" t="s">
        <v>264</v>
      </c>
      <c r="D47" t="s">
        <v>260</v>
      </c>
      <c r="E47" s="35" t="s">
        <v>266</v>
      </c>
      <c r="F47" s="29" t="s">
        <v>262</v>
      </c>
      <c r="G47" s="36">
        <v>8400</v>
      </c>
      <c r="H47" s="36">
        <v>50.4</v>
      </c>
    </row>
    <row r="48" spans="1:8">
      <c r="A48" s="62">
        <v>135760275699</v>
      </c>
      <c r="B48" t="s">
        <v>4</v>
      </c>
      <c r="C48" s="35" t="s">
        <v>264</v>
      </c>
      <c r="D48" t="s">
        <v>260</v>
      </c>
      <c r="E48" s="35" t="s">
        <v>266</v>
      </c>
      <c r="F48" s="29" t="s">
        <v>262</v>
      </c>
      <c r="G48" s="36">
        <v>63500</v>
      </c>
      <c r="H48" s="36">
        <v>381</v>
      </c>
    </row>
    <row r="49" spans="1:8">
      <c r="A49" s="62">
        <v>136364596558</v>
      </c>
      <c r="B49" t="s">
        <v>267</v>
      </c>
      <c r="C49" s="35" t="s">
        <v>264</v>
      </c>
      <c r="D49" t="s">
        <v>260</v>
      </c>
      <c r="E49" s="35" t="s">
        <v>264</v>
      </c>
      <c r="F49" s="29" t="s">
        <v>262</v>
      </c>
      <c r="G49" s="36">
        <v>240</v>
      </c>
      <c r="H49" s="36">
        <v>1.44</v>
      </c>
    </row>
    <row r="50" spans="1:8">
      <c r="A50" s="62">
        <v>136364614462</v>
      </c>
      <c r="B50" t="s">
        <v>263</v>
      </c>
      <c r="C50" s="35" t="s">
        <v>264</v>
      </c>
      <c r="D50" t="s">
        <v>260</v>
      </c>
      <c r="E50" s="35" t="s">
        <v>264</v>
      </c>
      <c r="F50" s="29" t="s">
        <v>262</v>
      </c>
      <c r="G50" s="36">
        <v>9600</v>
      </c>
      <c r="H50" s="36">
        <v>57.6</v>
      </c>
    </row>
    <row r="51" spans="1:8">
      <c r="A51" s="62">
        <v>135762331375</v>
      </c>
      <c r="B51" t="s">
        <v>4</v>
      </c>
      <c r="C51" s="35" t="s">
        <v>264</v>
      </c>
      <c r="D51" t="s">
        <v>260</v>
      </c>
      <c r="E51" s="35" t="s">
        <v>266</v>
      </c>
      <c r="F51" s="29" t="s">
        <v>262</v>
      </c>
      <c r="G51" s="36">
        <v>4900</v>
      </c>
      <c r="H51" s="36">
        <v>29.4</v>
      </c>
    </row>
    <row r="52" spans="1:8">
      <c r="A52" s="62">
        <v>136383695972</v>
      </c>
      <c r="B52" t="s">
        <v>263</v>
      </c>
      <c r="C52" s="35" t="s">
        <v>264</v>
      </c>
      <c r="D52" t="s">
        <v>260</v>
      </c>
      <c r="E52" s="35" t="s">
        <v>266</v>
      </c>
      <c r="F52" s="29" t="s">
        <v>262</v>
      </c>
      <c r="G52" s="36">
        <v>34498</v>
      </c>
      <c r="H52" s="36">
        <v>206.99</v>
      </c>
    </row>
    <row r="53" spans="1:8">
      <c r="A53" s="62">
        <v>135762846725</v>
      </c>
      <c r="B53" t="s">
        <v>268</v>
      </c>
      <c r="C53" s="35" t="s">
        <v>264</v>
      </c>
      <c r="D53" t="s">
        <v>260</v>
      </c>
      <c r="E53" s="35" t="s">
        <v>266</v>
      </c>
      <c r="F53" s="29" t="s">
        <v>262</v>
      </c>
      <c r="G53" s="36">
        <v>1530</v>
      </c>
      <c r="H53" s="36">
        <v>9.18</v>
      </c>
    </row>
    <row r="54" spans="1:8">
      <c r="A54" s="62">
        <v>136384024660</v>
      </c>
      <c r="B54" t="s">
        <v>4</v>
      </c>
      <c r="C54" s="35" t="s">
        <v>264</v>
      </c>
      <c r="D54" t="s">
        <v>260</v>
      </c>
      <c r="E54" s="35" t="s">
        <v>266</v>
      </c>
      <c r="F54" s="29" t="s">
        <v>262</v>
      </c>
      <c r="G54" s="36">
        <v>19400</v>
      </c>
      <c r="H54" s="36">
        <v>116.4</v>
      </c>
    </row>
    <row r="55" spans="1:8">
      <c r="A55" s="62">
        <v>136384104070</v>
      </c>
      <c r="B55" t="s">
        <v>263</v>
      </c>
      <c r="C55" s="35" t="s">
        <v>264</v>
      </c>
      <c r="D55" t="s">
        <v>260</v>
      </c>
      <c r="E55" s="35" t="s">
        <v>266</v>
      </c>
      <c r="F55" s="29" t="s">
        <v>262</v>
      </c>
      <c r="G55" s="36">
        <v>47600</v>
      </c>
      <c r="H55" s="36">
        <v>285.60000000000002</v>
      </c>
    </row>
    <row r="56" spans="1:8">
      <c r="A56" s="62">
        <v>136370129344</v>
      </c>
      <c r="B56" t="s">
        <v>4</v>
      </c>
      <c r="C56" s="35" t="s">
        <v>264</v>
      </c>
      <c r="D56" t="s">
        <v>260</v>
      </c>
      <c r="E56" s="35" t="s">
        <v>264</v>
      </c>
      <c r="F56" s="29" t="s">
        <v>262</v>
      </c>
      <c r="G56" s="36">
        <v>24300</v>
      </c>
      <c r="H56" s="36">
        <v>145.80000000000001</v>
      </c>
    </row>
    <row r="57" spans="1:8">
      <c r="A57" s="62">
        <v>135749825345</v>
      </c>
      <c r="B57" t="s">
        <v>263</v>
      </c>
      <c r="C57" s="35" t="s">
        <v>264</v>
      </c>
      <c r="D57" t="s">
        <v>260</v>
      </c>
      <c r="E57" s="35" t="s">
        <v>264</v>
      </c>
      <c r="F57" s="29" t="s">
        <v>262</v>
      </c>
      <c r="G57" s="36">
        <v>9600</v>
      </c>
      <c r="H57" s="36">
        <v>57.6</v>
      </c>
    </row>
    <row r="58" spans="1:8">
      <c r="A58" s="62">
        <v>136374043234</v>
      </c>
      <c r="B58" t="s">
        <v>4</v>
      </c>
      <c r="C58" s="35" t="s">
        <v>264</v>
      </c>
      <c r="D58" t="s">
        <v>260</v>
      </c>
      <c r="E58" s="35" t="s">
        <v>264</v>
      </c>
      <c r="F58" s="29" t="s">
        <v>262</v>
      </c>
      <c r="G58" s="36">
        <v>14500</v>
      </c>
      <c r="H58" s="36">
        <v>87</v>
      </c>
    </row>
    <row r="59" spans="1:8">
      <c r="A59" s="62">
        <v>135753489523</v>
      </c>
      <c r="B59" t="s">
        <v>4</v>
      </c>
      <c r="C59" s="35" t="s">
        <v>264</v>
      </c>
      <c r="D59" t="s">
        <v>260</v>
      </c>
      <c r="E59" s="35" t="s">
        <v>264</v>
      </c>
      <c r="F59" s="29" t="s">
        <v>262</v>
      </c>
      <c r="G59" s="36">
        <v>8800</v>
      </c>
      <c r="H59" s="36">
        <v>52.8</v>
      </c>
    </row>
    <row r="60" spans="1:8">
      <c r="A60" s="62">
        <v>136374922986</v>
      </c>
      <c r="B60" t="s">
        <v>269</v>
      </c>
      <c r="C60" s="35" t="s">
        <v>264</v>
      </c>
      <c r="D60" t="s">
        <v>260</v>
      </c>
      <c r="E60" s="35" t="s">
        <v>264</v>
      </c>
      <c r="F60" s="29" t="s">
        <v>262</v>
      </c>
      <c r="G60" s="36">
        <v>2889</v>
      </c>
      <c r="H60" s="36">
        <v>17.329999999999998</v>
      </c>
    </row>
    <row r="61" spans="1:8">
      <c r="A61" s="62">
        <v>136374909026</v>
      </c>
      <c r="B61" t="s">
        <v>4</v>
      </c>
      <c r="C61" s="35" t="s">
        <v>264</v>
      </c>
      <c r="D61" t="s">
        <v>260</v>
      </c>
      <c r="E61" s="35" t="s">
        <v>264</v>
      </c>
      <c r="F61" s="29" t="s">
        <v>262</v>
      </c>
      <c r="G61" s="36">
        <v>28898</v>
      </c>
      <c r="H61" s="36">
        <v>173.39</v>
      </c>
    </row>
    <row r="62" spans="1:8">
      <c r="A62" s="62">
        <v>136376223468</v>
      </c>
      <c r="B62" t="s">
        <v>4</v>
      </c>
      <c r="C62" s="35" t="s">
        <v>264</v>
      </c>
      <c r="D62" t="s">
        <v>260</v>
      </c>
      <c r="E62" s="35" t="s">
        <v>264</v>
      </c>
      <c r="F62" s="29" t="s">
        <v>262</v>
      </c>
      <c r="G62" s="36">
        <v>23998</v>
      </c>
      <c r="H62" s="36">
        <v>143.99</v>
      </c>
    </row>
    <row r="63" spans="1:8">
      <c r="A63" s="62">
        <v>136377026240</v>
      </c>
      <c r="B63" t="s">
        <v>263</v>
      </c>
      <c r="C63" s="35" t="s">
        <v>264</v>
      </c>
      <c r="D63" t="s">
        <v>260</v>
      </c>
      <c r="E63" s="35" t="s">
        <v>264</v>
      </c>
      <c r="F63" s="29" t="s">
        <v>262</v>
      </c>
      <c r="G63" s="36">
        <v>33900</v>
      </c>
      <c r="H63" s="36">
        <v>203.4</v>
      </c>
    </row>
    <row r="64" spans="1:8">
      <c r="A64" s="62">
        <v>135757136427</v>
      </c>
      <c r="B64" t="s">
        <v>4</v>
      </c>
      <c r="C64" s="35" t="s">
        <v>264</v>
      </c>
      <c r="D64" t="s">
        <v>260</v>
      </c>
      <c r="E64" s="35" t="s">
        <v>264</v>
      </c>
      <c r="F64" s="29" t="s">
        <v>262</v>
      </c>
      <c r="G64" s="36">
        <v>4800</v>
      </c>
      <c r="H64" s="36">
        <v>28.8</v>
      </c>
    </row>
    <row r="65" spans="1:8">
      <c r="A65" s="62">
        <v>135757391225</v>
      </c>
      <c r="B65" t="s">
        <v>4</v>
      </c>
      <c r="C65" s="35" t="s">
        <v>264</v>
      </c>
      <c r="D65" t="s">
        <v>260</v>
      </c>
      <c r="E65" s="35" t="s">
        <v>264</v>
      </c>
      <c r="F65" s="29" t="s">
        <v>262</v>
      </c>
      <c r="G65" s="36">
        <v>109000</v>
      </c>
      <c r="H65" s="36">
        <v>654</v>
      </c>
    </row>
    <row r="66" spans="1:8">
      <c r="A66" s="62">
        <v>136380675948</v>
      </c>
      <c r="B66" t="s">
        <v>4</v>
      </c>
      <c r="C66" s="35" t="s">
        <v>264</v>
      </c>
      <c r="D66" t="s">
        <v>260</v>
      </c>
      <c r="E66" s="35" t="s">
        <v>264</v>
      </c>
      <c r="F66" s="29" t="s">
        <v>262</v>
      </c>
      <c r="G66" s="36">
        <v>69399</v>
      </c>
      <c r="H66" s="36">
        <v>416.39</v>
      </c>
    </row>
    <row r="67" spans="1:8">
      <c r="A67" s="62">
        <v>136381321286</v>
      </c>
      <c r="B67" t="s">
        <v>4</v>
      </c>
      <c r="C67" s="35" t="s">
        <v>264</v>
      </c>
      <c r="D67" t="s">
        <v>260</v>
      </c>
      <c r="E67" s="35" t="s">
        <v>266</v>
      </c>
      <c r="F67" s="29" t="s">
        <v>262</v>
      </c>
      <c r="G67" s="36">
        <v>10100</v>
      </c>
      <c r="H67" s="36">
        <v>60.6</v>
      </c>
    </row>
    <row r="68" spans="1:8">
      <c r="A68" s="62">
        <v>135760346847</v>
      </c>
      <c r="B68" t="s">
        <v>4</v>
      </c>
      <c r="C68" s="35" t="s">
        <v>264</v>
      </c>
      <c r="D68" t="s">
        <v>260</v>
      </c>
      <c r="E68" s="35" t="s">
        <v>266</v>
      </c>
      <c r="F68" s="29" t="s">
        <v>262</v>
      </c>
      <c r="G68" s="36">
        <v>11999</v>
      </c>
      <c r="H68" s="36">
        <v>71.989999999999995</v>
      </c>
    </row>
    <row r="69" spans="1:8">
      <c r="A69" s="62">
        <v>136382002426</v>
      </c>
      <c r="B69" t="s">
        <v>4</v>
      </c>
      <c r="C69" s="35" t="s">
        <v>264</v>
      </c>
      <c r="D69" t="s">
        <v>260</v>
      </c>
      <c r="E69" s="35" t="s">
        <v>266</v>
      </c>
      <c r="F69" s="29" t="s">
        <v>262</v>
      </c>
      <c r="G69" s="36">
        <v>53700</v>
      </c>
      <c r="H69" s="36">
        <v>322.2</v>
      </c>
    </row>
    <row r="70" spans="1:8">
      <c r="A70" s="62">
        <v>136383829954</v>
      </c>
      <c r="B70" t="s">
        <v>4</v>
      </c>
      <c r="C70" s="35" t="s">
        <v>264</v>
      </c>
      <c r="D70" t="s">
        <v>260</v>
      </c>
      <c r="E70" s="35" t="s">
        <v>266</v>
      </c>
      <c r="F70" s="29" t="s">
        <v>262</v>
      </c>
      <c r="G70" s="36">
        <v>30600</v>
      </c>
      <c r="H70" s="36">
        <v>183.6</v>
      </c>
    </row>
    <row r="71" spans="1:8">
      <c r="A71" s="62">
        <v>135763446201</v>
      </c>
      <c r="B71" t="s">
        <v>4</v>
      </c>
      <c r="C71" s="35" t="s">
        <v>264</v>
      </c>
      <c r="D71" t="s">
        <v>260</v>
      </c>
      <c r="E71" s="35" t="s">
        <v>266</v>
      </c>
      <c r="F71" s="29" t="s">
        <v>262</v>
      </c>
      <c r="G71" s="36">
        <v>21200</v>
      </c>
      <c r="H71" s="36">
        <v>127.2</v>
      </c>
    </row>
    <row r="72" spans="1:8">
      <c r="A72" s="62">
        <v>135877734691</v>
      </c>
      <c r="B72" t="s">
        <v>263</v>
      </c>
      <c r="C72" s="35" t="s">
        <v>266</v>
      </c>
      <c r="D72" t="s">
        <v>260</v>
      </c>
      <c r="E72" s="35" t="s">
        <v>266</v>
      </c>
      <c r="F72" s="29" t="s">
        <v>262</v>
      </c>
      <c r="G72" s="36">
        <v>14700</v>
      </c>
      <c r="H72" s="36">
        <v>88.2</v>
      </c>
    </row>
    <row r="73" spans="1:8">
      <c r="A73" s="62">
        <v>136505473782</v>
      </c>
      <c r="B73" t="s">
        <v>270</v>
      </c>
      <c r="C73" s="35" t="s">
        <v>266</v>
      </c>
      <c r="D73" t="s">
        <v>260</v>
      </c>
      <c r="E73" s="35" t="s">
        <v>266</v>
      </c>
      <c r="F73" s="29" t="s">
        <v>262</v>
      </c>
      <c r="G73" s="36">
        <v>2820</v>
      </c>
      <c r="H73" s="36">
        <v>16.920000000000002</v>
      </c>
    </row>
    <row r="74" spans="1:8">
      <c r="A74" s="62">
        <v>136507926506</v>
      </c>
      <c r="B74" t="s">
        <v>263</v>
      </c>
      <c r="C74" s="35" t="s">
        <v>266</v>
      </c>
      <c r="D74" t="s">
        <v>260</v>
      </c>
      <c r="E74" s="35" t="s">
        <v>266</v>
      </c>
      <c r="F74" s="29" t="s">
        <v>262</v>
      </c>
      <c r="G74" s="36">
        <v>9800</v>
      </c>
      <c r="H74" s="36">
        <v>58.8</v>
      </c>
    </row>
    <row r="75" spans="1:8">
      <c r="A75" s="62">
        <v>135887589531</v>
      </c>
      <c r="B75" t="s">
        <v>263</v>
      </c>
      <c r="C75" s="35" t="s">
        <v>266</v>
      </c>
      <c r="D75" t="s">
        <v>260</v>
      </c>
      <c r="E75" s="35" t="s">
        <v>266</v>
      </c>
      <c r="F75" s="29" t="s">
        <v>262</v>
      </c>
      <c r="G75" s="36">
        <v>8400</v>
      </c>
      <c r="H75" s="36">
        <v>50.4</v>
      </c>
    </row>
    <row r="76" spans="1:8">
      <c r="A76" s="62">
        <v>136521246224</v>
      </c>
      <c r="B76" t="s">
        <v>263</v>
      </c>
      <c r="C76" s="35" t="s">
        <v>266</v>
      </c>
      <c r="D76" t="s">
        <v>260</v>
      </c>
      <c r="E76" s="35" t="s">
        <v>266</v>
      </c>
      <c r="F76" s="29" t="s">
        <v>262</v>
      </c>
      <c r="G76" s="36">
        <v>22700</v>
      </c>
      <c r="H76" s="36">
        <v>136.19999999999999</v>
      </c>
    </row>
    <row r="77" spans="1:8">
      <c r="A77" s="62">
        <v>135899858747</v>
      </c>
      <c r="B77" t="s">
        <v>263</v>
      </c>
      <c r="C77" s="35" t="s">
        <v>266</v>
      </c>
      <c r="D77" t="s">
        <v>260</v>
      </c>
      <c r="E77" s="35" t="s">
        <v>266</v>
      </c>
      <c r="F77" s="29" t="s">
        <v>262</v>
      </c>
      <c r="G77" s="36">
        <v>13600</v>
      </c>
      <c r="H77" s="36">
        <v>81.599999999999994</v>
      </c>
    </row>
    <row r="78" spans="1:8">
      <c r="A78" s="62">
        <v>136505580672</v>
      </c>
      <c r="B78" t="s">
        <v>4</v>
      </c>
      <c r="C78" s="35" t="s">
        <v>266</v>
      </c>
      <c r="D78" t="s">
        <v>260</v>
      </c>
      <c r="E78" s="35" t="s">
        <v>266</v>
      </c>
      <c r="F78" s="29" t="s">
        <v>262</v>
      </c>
      <c r="G78" s="36">
        <v>28200</v>
      </c>
      <c r="H78" s="36">
        <v>169.2</v>
      </c>
    </row>
    <row r="79" spans="1:8">
      <c r="A79" s="62">
        <v>135884884887</v>
      </c>
      <c r="B79" t="s">
        <v>263</v>
      </c>
      <c r="C79" s="35" t="s">
        <v>266</v>
      </c>
      <c r="D79" t="s">
        <v>260</v>
      </c>
      <c r="E79" s="35" t="s">
        <v>266</v>
      </c>
      <c r="F79" s="29" t="s">
        <v>262</v>
      </c>
      <c r="G79" s="36">
        <v>30700</v>
      </c>
      <c r="H79" s="36">
        <v>184.2</v>
      </c>
    </row>
    <row r="80" spans="1:8">
      <c r="A80" s="62">
        <v>135902991043</v>
      </c>
      <c r="B80" t="s">
        <v>4</v>
      </c>
      <c r="C80" s="35" t="s">
        <v>266</v>
      </c>
      <c r="D80" t="s">
        <v>260</v>
      </c>
      <c r="E80" s="35" t="s">
        <v>266</v>
      </c>
      <c r="F80" s="29" t="s">
        <v>262</v>
      </c>
      <c r="G80" s="36">
        <v>14400</v>
      </c>
      <c r="H80" s="36">
        <v>86.4</v>
      </c>
    </row>
    <row r="81" spans="1:8">
      <c r="A81" s="62">
        <v>135903079939</v>
      </c>
      <c r="B81" t="s">
        <v>4</v>
      </c>
      <c r="C81" s="35" t="s">
        <v>266</v>
      </c>
      <c r="D81" t="s">
        <v>260</v>
      </c>
      <c r="E81" s="35" t="s">
        <v>266</v>
      </c>
      <c r="F81" s="29" t="s">
        <v>262</v>
      </c>
      <c r="G81" s="36">
        <v>42300</v>
      </c>
      <c r="H81" s="36">
        <v>253.8</v>
      </c>
    </row>
    <row r="82" spans="1:8">
      <c r="A82" s="62">
        <v>135903824609</v>
      </c>
      <c r="B82" t="s">
        <v>4</v>
      </c>
      <c r="C82" s="35" t="s">
        <v>266</v>
      </c>
      <c r="D82" t="s">
        <v>260</v>
      </c>
      <c r="E82" s="35" t="s">
        <v>266</v>
      </c>
      <c r="F82" s="29" t="s">
        <v>262</v>
      </c>
      <c r="G82" s="36">
        <v>32000</v>
      </c>
      <c r="H82" s="36">
        <v>192</v>
      </c>
    </row>
    <row r="83" spans="1:8">
      <c r="A83" s="62">
        <v>135903962267</v>
      </c>
      <c r="B83" t="s">
        <v>4</v>
      </c>
      <c r="C83" s="35" t="s">
        <v>266</v>
      </c>
      <c r="D83" t="s">
        <v>260</v>
      </c>
      <c r="E83" s="35" t="s">
        <v>266</v>
      </c>
      <c r="F83" s="29" t="s">
        <v>262</v>
      </c>
      <c r="G83" s="36">
        <v>4000</v>
      </c>
      <c r="H83" s="36">
        <v>24</v>
      </c>
    </row>
    <row r="84" spans="1:8">
      <c r="A84" s="62">
        <v>135903889629</v>
      </c>
      <c r="B84" t="s">
        <v>271</v>
      </c>
      <c r="C84" s="35" t="s">
        <v>266</v>
      </c>
      <c r="D84" t="s">
        <v>260</v>
      </c>
      <c r="E84" s="35" t="s">
        <v>266</v>
      </c>
      <c r="F84" s="29" t="s">
        <v>262</v>
      </c>
      <c r="G84" s="36">
        <v>200</v>
      </c>
      <c r="H84" s="36">
        <v>1.2</v>
      </c>
    </row>
    <row r="85" spans="1:8">
      <c r="A85" s="62">
        <v>135903977575</v>
      </c>
      <c r="B85" t="s">
        <v>4</v>
      </c>
      <c r="C85" s="35" t="s">
        <v>266</v>
      </c>
      <c r="D85" t="s">
        <v>260</v>
      </c>
      <c r="E85" s="35" t="s">
        <v>266</v>
      </c>
      <c r="F85" s="29" t="s">
        <v>262</v>
      </c>
      <c r="G85" s="36">
        <v>11000</v>
      </c>
      <c r="H85" s="36">
        <v>66</v>
      </c>
    </row>
    <row r="86" spans="1:8">
      <c r="A86" s="62">
        <v>135904176073</v>
      </c>
      <c r="B86" t="s">
        <v>4</v>
      </c>
      <c r="C86" s="35" t="s">
        <v>266</v>
      </c>
      <c r="D86" t="s">
        <v>260</v>
      </c>
      <c r="E86" s="35" t="s">
        <v>266</v>
      </c>
      <c r="F86" s="29" t="s">
        <v>262</v>
      </c>
      <c r="G86" s="36">
        <v>4800</v>
      </c>
      <c r="H86" s="36">
        <v>28.8</v>
      </c>
    </row>
    <row r="87" spans="1:8">
      <c r="A87" s="62">
        <v>136527051650</v>
      </c>
      <c r="B87" t="s">
        <v>4</v>
      </c>
      <c r="C87" s="35" t="s">
        <v>266</v>
      </c>
      <c r="D87" t="s">
        <v>260</v>
      </c>
      <c r="E87" s="35" t="s">
        <v>266</v>
      </c>
      <c r="F87" s="29" t="s">
        <v>262</v>
      </c>
      <c r="G87" s="36">
        <v>9600</v>
      </c>
      <c r="H87" s="36">
        <v>57.6</v>
      </c>
    </row>
    <row r="88" spans="1:8">
      <c r="A88" s="62">
        <v>136528092580</v>
      </c>
      <c r="B88" t="s">
        <v>4</v>
      </c>
      <c r="C88" s="35" t="s">
        <v>266</v>
      </c>
      <c r="D88" t="s">
        <v>260</v>
      </c>
      <c r="E88" s="35" t="s">
        <v>266</v>
      </c>
      <c r="F88" s="29" t="s">
        <v>262</v>
      </c>
      <c r="G88" s="36">
        <v>23000</v>
      </c>
      <c r="H88" s="36">
        <v>138</v>
      </c>
    </row>
    <row r="89" spans="1:8">
      <c r="A89" s="62">
        <v>136528753792</v>
      </c>
      <c r="B89" t="s">
        <v>4</v>
      </c>
      <c r="C89" s="35" t="s">
        <v>266</v>
      </c>
      <c r="D89" t="s">
        <v>260</v>
      </c>
      <c r="E89" s="35" t="s">
        <v>266</v>
      </c>
      <c r="F89" s="29" t="s">
        <v>262</v>
      </c>
      <c r="G89" s="36">
        <v>14900</v>
      </c>
      <c r="H89" s="36">
        <v>89.4</v>
      </c>
    </row>
    <row r="90" spans="1:8">
      <c r="A90" s="62">
        <v>135889088143</v>
      </c>
      <c r="B90" t="s">
        <v>4</v>
      </c>
      <c r="C90" s="35" t="s">
        <v>266</v>
      </c>
      <c r="D90" t="s">
        <v>260</v>
      </c>
      <c r="E90" s="35" t="s">
        <v>266</v>
      </c>
      <c r="F90" s="29" t="s">
        <v>262</v>
      </c>
      <c r="G90" s="36">
        <v>9900</v>
      </c>
      <c r="H90" s="36">
        <v>59.4</v>
      </c>
    </row>
    <row r="91" spans="1:8">
      <c r="A91" s="62">
        <v>135888975597</v>
      </c>
      <c r="B91" t="s">
        <v>272</v>
      </c>
      <c r="C91" s="35" t="s">
        <v>266</v>
      </c>
      <c r="D91" t="s">
        <v>260</v>
      </c>
      <c r="E91" s="35" t="s">
        <v>266</v>
      </c>
      <c r="F91" s="29" t="s">
        <v>262</v>
      </c>
      <c r="G91" s="36">
        <v>495</v>
      </c>
      <c r="H91" s="36">
        <v>2.97</v>
      </c>
    </row>
    <row r="92" spans="1:8">
      <c r="A92" s="62">
        <v>136529368322</v>
      </c>
      <c r="B92" t="s">
        <v>4</v>
      </c>
      <c r="C92" s="35" t="s">
        <v>266</v>
      </c>
      <c r="D92" t="s">
        <v>260</v>
      </c>
      <c r="E92" s="35" t="s">
        <v>266</v>
      </c>
      <c r="F92" s="29" t="s">
        <v>262</v>
      </c>
      <c r="G92" s="36">
        <v>16500</v>
      </c>
      <c r="H92" s="36">
        <v>99</v>
      </c>
    </row>
    <row r="93" spans="1:8">
      <c r="A93" s="62">
        <v>136512148984</v>
      </c>
      <c r="B93" t="s">
        <v>4</v>
      </c>
      <c r="C93" s="35" t="s">
        <v>266</v>
      </c>
      <c r="D93" t="s">
        <v>260</v>
      </c>
      <c r="E93" s="35" t="s">
        <v>266</v>
      </c>
      <c r="F93" s="29" t="s">
        <v>262</v>
      </c>
      <c r="G93" s="36">
        <v>9800</v>
      </c>
      <c r="H93" s="36">
        <v>58.8</v>
      </c>
    </row>
    <row r="94" spans="1:8">
      <c r="A94" s="62">
        <v>136530047680</v>
      </c>
      <c r="B94" t="s">
        <v>4</v>
      </c>
      <c r="C94" s="35" t="s">
        <v>266</v>
      </c>
      <c r="D94" t="s">
        <v>260</v>
      </c>
      <c r="E94" s="35" t="s">
        <v>266</v>
      </c>
      <c r="F94" s="29" t="s">
        <v>262</v>
      </c>
      <c r="G94" s="36">
        <v>56050</v>
      </c>
      <c r="H94" s="36">
        <v>336.3</v>
      </c>
    </row>
    <row r="95" spans="1:8">
      <c r="A95" s="62">
        <v>135908897041</v>
      </c>
      <c r="B95" t="s">
        <v>4</v>
      </c>
      <c r="C95" s="35" t="s">
        <v>266</v>
      </c>
      <c r="D95" t="s">
        <v>260</v>
      </c>
      <c r="E95" s="35" t="s">
        <v>273</v>
      </c>
      <c r="F95" s="29" t="s">
        <v>262</v>
      </c>
      <c r="G95" s="36">
        <v>47000</v>
      </c>
      <c r="H95" s="36">
        <v>282</v>
      </c>
    </row>
    <row r="96" spans="1:8">
      <c r="A96" s="62">
        <v>136531346928</v>
      </c>
      <c r="B96" t="s">
        <v>274</v>
      </c>
      <c r="C96" s="35" t="s">
        <v>266</v>
      </c>
      <c r="D96" t="s">
        <v>260</v>
      </c>
      <c r="E96" s="35" t="s">
        <v>273</v>
      </c>
      <c r="F96" s="29" t="s">
        <v>262</v>
      </c>
      <c r="G96" s="36">
        <v>2350</v>
      </c>
      <c r="H96" s="36">
        <v>14.1</v>
      </c>
    </row>
    <row r="97" spans="1:8">
      <c r="A97" s="62">
        <v>135909210549</v>
      </c>
      <c r="B97" t="s">
        <v>4</v>
      </c>
      <c r="C97" s="35" t="s">
        <v>266</v>
      </c>
      <c r="D97" t="s">
        <v>260</v>
      </c>
      <c r="E97" s="35" t="s">
        <v>273</v>
      </c>
      <c r="F97" s="29" t="s">
        <v>262</v>
      </c>
      <c r="G97" s="36">
        <v>42800</v>
      </c>
      <c r="H97" s="36">
        <v>256.8</v>
      </c>
    </row>
    <row r="98" spans="1:8">
      <c r="A98" s="62">
        <v>136532271696</v>
      </c>
      <c r="B98" t="s">
        <v>263</v>
      </c>
      <c r="C98" s="35" t="s">
        <v>266</v>
      </c>
      <c r="D98" t="s">
        <v>260</v>
      </c>
      <c r="E98" s="35" t="s">
        <v>273</v>
      </c>
      <c r="F98" s="29" t="s">
        <v>262</v>
      </c>
      <c r="G98" s="36">
        <v>28400</v>
      </c>
      <c r="H98" s="36">
        <v>170.4</v>
      </c>
    </row>
    <row r="99" spans="1:8">
      <c r="A99" s="62">
        <v>135909801847</v>
      </c>
      <c r="B99" t="s">
        <v>4</v>
      </c>
      <c r="C99" s="35" t="s">
        <v>266</v>
      </c>
      <c r="D99" t="s">
        <v>260</v>
      </c>
      <c r="E99" s="35" t="s">
        <v>273</v>
      </c>
      <c r="F99" s="29" t="s">
        <v>262</v>
      </c>
      <c r="G99" s="36">
        <v>24400</v>
      </c>
      <c r="H99" s="36">
        <v>146.4</v>
      </c>
    </row>
    <row r="100" spans="1:8">
      <c r="A100" s="62">
        <v>136532968476</v>
      </c>
      <c r="B100" t="s">
        <v>263</v>
      </c>
      <c r="C100" s="35" t="s">
        <v>266</v>
      </c>
      <c r="D100" t="s">
        <v>260</v>
      </c>
      <c r="E100" s="35" t="s">
        <v>273</v>
      </c>
      <c r="F100" s="29" t="s">
        <v>262</v>
      </c>
      <c r="G100" s="36">
        <v>185650</v>
      </c>
      <c r="H100" s="36">
        <v>1113.9000000000001</v>
      </c>
    </row>
    <row r="101" spans="1:8">
      <c r="A101" s="62">
        <v>135910779181</v>
      </c>
      <c r="B101" t="s">
        <v>263</v>
      </c>
      <c r="C101" s="35" t="s">
        <v>266</v>
      </c>
      <c r="D101" t="s">
        <v>260</v>
      </c>
      <c r="E101" s="35" t="s">
        <v>273</v>
      </c>
      <c r="F101" s="29" t="s">
        <v>262</v>
      </c>
      <c r="G101" s="36">
        <v>6100</v>
      </c>
      <c r="H101" s="36">
        <v>36.6</v>
      </c>
    </row>
    <row r="102" spans="1:8">
      <c r="A102" s="62">
        <v>135910838031</v>
      </c>
      <c r="B102" t="s">
        <v>4</v>
      </c>
      <c r="C102" s="35" t="s">
        <v>266</v>
      </c>
      <c r="D102" t="s">
        <v>260</v>
      </c>
      <c r="E102" s="35" t="s">
        <v>273</v>
      </c>
      <c r="F102" s="29" t="s">
        <v>262</v>
      </c>
      <c r="G102" s="36">
        <v>4500</v>
      </c>
      <c r="H102" s="36">
        <v>27</v>
      </c>
    </row>
    <row r="103" spans="1:8">
      <c r="A103" s="62">
        <v>135911230541</v>
      </c>
      <c r="B103" t="s">
        <v>263</v>
      </c>
      <c r="C103" s="35" t="s">
        <v>266</v>
      </c>
      <c r="D103" t="s">
        <v>260</v>
      </c>
      <c r="E103" s="35" t="s">
        <v>273</v>
      </c>
      <c r="F103" s="29" t="s">
        <v>262</v>
      </c>
      <c r="G103" s="36">
        <v>49900</v>
      </c>
      <c r="H103" s="36">
        <v>299.39999999999998</v>
      </c>
    </row>
    <row r="104" spans="1:8">
      <c r="A104" s="62">
        <v>136535032914</v>
      </c>
      <c r="B104" t="s">
        <v>4</v>
      </c>
      <c r="C104" s="35" t="s">
        <v>266</v>
      </c>
      <c r="D104" t="s">
        <v>260</v>
      </c>
      <c r="E104" s="35" t="s">
        <v>273</v>
      </c>
      <c r="F104" s="29" t="s">
        <v>262</v>
      </c>
      <c r="G104" s="36">
        <v>4900</v>
      </c>
      <c r="H104" s="36">
        <v>29.4</v>
      </c>
    </row>
    <row r="105" spans="1:8">
      <c r="A105" s="62">
        <v>136535221070</v>
      </c>
      <c r="B105" t="s">
        <v>4</v>
      </c>
      <c r="C105" s="35" t="s">
        <v>273</v>
      </c>
      <c r="D105" t="s">
        <v>260</v>
      </c>
      <c r="E105" s="35" t="s">
        <v>273</v>
      </c>
      <c r="F105" s="29" t="s">
        <v>262</v>
      </c>
      <c r="G105" s="36">
        <v>63800</v>
      </c>
      <c r="H105" s="36">
        <v>382.8</v>
      </c>
    </row>
    <row r="106" spans="1:8">
      <c r="A106" s="62">
        <v>135897982183</v>
      </c>
      <c r="B106" t="s">
        <v>263</v>
      </c>
      <c r="C106" s="35" t="s">
        <v>266</v>
      </c>
      <c r="D106" t="s">
        <v>260</v>
      </c>
      <c r="E106" s="35" t="s">
        <v>266</v>
      </c>
      <c r="F106" s="29" t="s">
        <v>262</v>
      </c>
      <c r="G106" s="36">
        <v>4700</v>
      </c>
      <c r="H106" s="36">
        <v>28.2</v>
      </c>
    </row>
    <row r="107" spans="1:8">
      <c r="A107" s="62">
        <v>136520889392</v>
      </c>
      <c r="B107" t="s">
        <v>4</v>
      </c>
      <c r="C107" s="35" t="s">
        <v>266</v>
      </c>
      <c r="D107" t="s">
        <v>260</v>
      </c>
      <c r="E107" s="35" t="s">
        <v>266</v>
      </c>
      <c r="F107" s="29" t="s">
        <v>262</v>
      </c>
      <c r="G107" s="36">
        <v>4800</v>
      </c>
      <c r="H107" s="36">
        <v>28.8</v>
      </c>
    </row>
    <row r="108" spans="1:8">
      <c r="A108" s="62">
        <v>135898239819</v>
      </c>
      <c r="B108" t="s">
        <v>4</v>
      </c>
      <c r="C108" s="35" t="s">
        <v>266</v>
      </c>
      <c r="D108" t="s">
        <v>260</v>
      </c>
      <c r="E108" s="35" t="s">
        <v>266</v>
      </c>
      <c r="F108" s="29" t="s">
        <v>262</v>
      </c>
      <c r="G108" s="36">
        <v>4200</v>
      </c>
      <c r="H108" s="36">
        <v>25.2</v>
      </c>
    </row>
    <row r="109" spans="1:8">
      <c r="A109" s="62">
        <v>135915566345</v>
      </c>
      <c r="B109" t="s">
        <v>4</v>
      </c>
      <c r="C109" s="35" t="s">
        <v>273</v>
      </c>
      <c r="D109" t="s">
        <v>260</v>
      </c>
      <c r="E109" s="35" t="s">
        <v>273</v>
      </c>
      <c r="F109" s="29" t="s">
        <v>262</v>
      </c>
      <c r="G109" s="36">
        <v>24100</v>
      </c>
      <c r="H109" s="36">
        <v>144.6</v>
      </c>
    </row>
    <row r="110" spans="1:8">
      <c r="A110" s="62">
        <v>136539211002</v>
      </c>
      <c r="B110" t="s">
        <v>4</v>
      </c>
      <c r="C110" s="35" t="s">
        <v>273</v>
      </c>
      <c r="D110" t="s">
        <v>260</v>
      </c>
      <c r="E110" s="35" t="s">
        <v>273</v>
      </c>
      <c r="F110" s="29" t="s">
        <v>262</v>
      </c>
      <c r="G110" s="36">
        <v>8750</v>
      </c>
      <c r="H110" s="36">
        <v>52.5</v>
      </c>
    </row>
    <row r="111" spans="1:8">
      <c r="A111" s="62">
        <v>136522852030</v>
      </c>
      <c r="B111" t="s">
        <v>4</v>
      </c>
      <c r="C111" s="35" t="s">
        <v>266</v>
      </c>
      <c r="D111" t="s">
        <v>260</v>
      </c>
      <c r="E111" s="35" t="s">
        <v>266</v>
      </c>
      <c r="F111" s="29" t="s">
        <v>262</v>
      </c>
      <c r="G111" s="36">
        <v>27700</v>
      </c>
      <c r="H111" s="36">
        <v>166.2</v>
      </c>
    </row>
    <row r="112" spans="1:8">
      <c r="A112" s="62">
        <v>135900371775</v>
      </c>
      <c r="B112" t="s">
        <v>263</v>
      </c>
      <c r="C112" s="35" t="s">
        <v>266</v>
      </c>
      <c r="D112" t="s">
        <v>260</v>
      </c>
      <c r="E112" s="35" t="s">
        <v>266</v>
      </c>
      <c r="F112" s="29" t="s">
        <v>262</v>
      </c>
      <c r="G112" s="36">
        <v>15800</v>
      </c>
      <c r="H112" s="36">
        <v>94.8</v>
      </c>
    </row>
    <row r="113" spans="1:8">
      <c r="A113" s="62">
        <v>135900611305</v>
      </c>
      <c r="B113" t="s">
        <v>4</v>
      </c>
      <c r="C113" s="35" t="s">
        <v>266</v>
      </c>
      <c r="D113" t="s">
        <v>260</v>
      </c>
      <c r="E113" s="35" t="s">
        <v>266</v>
      </c>
      <c r="F113" s="29" t="s">
        <v>262</v>
      </c>
      <c r="G113" s="36">
        <v>4200</v>
      </c>
      <c r="H113" s="36">
        <v>25.2</v>
      </c>
    </row>
    <row r="114" spans="1:8">
      <c r="A114" s="62">
        <v>135900601361</v>
      </c>
      <c r="B114" t="s">
        <v>275</v>
      </c>
      <c r="C114" s="35" t="s">
        <v>266</v>
      </c>
      <c r="D114" t="s">
        <v>260</v>
      </c>
      <c r="E114" s="35" t="s">
        <v>266</v>
      </c>
      <c r="F114" s="29" t="s">
        <v>262</v>
      </c>
      <c r="G114" s="36">
        <v>210</v>
      </c>
      <c r="H114" s="36">
        <v>1.26</v>
      </c>
    </row>
    <row r="115" spans="1:8">
      <c r="A115" s="62">
        <v>136523721252</v>
      </c>
      <c r="B115" t="s">
        <v>4</v>
      </c>
      <c r="C115" s="35" t="s">
        <v>266</v>
      </c>
      <c r="D115" t="s">
        <v>260</v>
      </c>
      <c r="E115" s="35" t="s">
        <v>266</v>
      </c>
      <c r="F115" s="29" t="s">
        <v>262</v>
      </c>
      <c r="G115" s="36">
        <v>5500</v>
      </c>
      <c r="H115" s="36">
        <v>33</v>
      </c>
    </row>
    <row r="116" spans="1:8">
      <c r="A116" s="62">
        <v>136523955074</v>
      </c>
      <c r="B116" t="s">
        <v>4</v>
      </c>
      <c r="C116" s="35" t="s">
        <v>266</v>
      </c>
      <c r="D116" t="s">
        <v>260</v>
      </c>
      <c r="E116" s="35" t="s">
        <v>266</v>
      </c>
      <c r="F116" s="29" t="s">
        <v>262</v>
      </c>
      <c r="G116" s="36">
        <v>4100</v>
      </c>
      <c r="H116" s="36">
        <v>24.6</v>
      </c>
    </row>
    <row r="117" spans="1:8">
      <c r="A117" s="62">
        <v>136524590174</v>
      </c>
      <c r="B117" t="s">
        <v>263</v>
      </c>
      <c r="C117" s="35" t="s">
        <v>266</v>
      </c>
      <c r="D117" t="s">
        <v>260</v>
      </c>
      <c r="E117" s="35" t="s">
        <v>266</v>
      </c>
      <c r="F117" s="29" t="s">
        <v>262</v>
      </c>
      <c r="G117" s="36">
        <v>33000</v>
      </c>
      <c r="H117" s="36">
        <v>198</v>
      </c>
    </row>
    <row r="118" spans="1:8">
      <c r="A118" s="62">
        <v>135902300611</v>
      </c>
      <c r="B118" t="s">
        <v>263</v>
      </c>
      <c r="C118" s="35" t="s">
        <v>266</v>
      </c>
      <c r="D118" t="s">
        <v>260</v>
      </c>
      <c r="E118" s="35" t="s">
        <v>266</v>
      </c>
      <c r="F118" s="29" t="s">
        <v>262</v>
      </c>
      <c r="G118" s="36">
        <v>12100</v>
      </c>
      <c r="H118" s="36">
        <v>72.599999999999994</v>
      </c>
    </row>
    <row r="119" spans="1:8">
      <c r="A119" s="62">
        <v>135903488753</v>
      </c>
      <c r="B119" t="s">
        <v>4</v>
      </c>
      <c r="C119" s="35" t="s">
        <v>266</v>
      </c>
      <c r="D119" t="s">
        <v>260</v>
      </c>
      <c r="E119" s="35" t="s">
        <v>266</v>
      </c>
      <c r="F119" s="29" t="s">
        <v>262</v>
      </c>
      <c r="G119" s="36">
        <v>4800</v>
      </c>
      <c r="H119" s="36">
        <v>28.8</v>
      </c>
    </row>
    <row r="120" spans="1:8">
      <c r="A120" s="62">
        <v>136525966018</v>
      </c>
      <c r="B120" t="s">
        <v>4</v>
      </c>
      <c r="C120" s="35" t="s">
        <v>266</v>
      </c>
      <c r="D120" t="s">
        <v>260</v>
      </c>
      <c r="E120" s="35" t="s">
        <v>266</v>
      </c>
      <c r="F120" s="29" t="s">
        <v>262</v>
      </c>
      <c r="G120" s="36">
        <v>5500</v>
      </c>
      <c r="H120" s="36">
        <v>33</v>
      </c>
    </row>
    <row r="121" spans="1:8">
      <c r="A121" s="62">
        <v>135903704321</v>
      </c>
      <c r="B121" t="s">
        <v>4</v>
      </c>
      <c r="C121" s="35" t="s">
        <v>266</v>
      </c>
      <c r="D121" t="s">
        <v>260</v>
      </c>
      <c r="E121" s="35" t="s">
        <v>266</v>
      </c>
      <c r="F121" s="29" t="s">
        <v>262</v>
      </c>
      <c r="G121" s="36">
        <v>4500</v>
      </c>
      <c r="H121" s="36">
        <v>27</v>
      </c>
    </row>
    <row r="122" spans="1:8">
      <c r="A122" s="62">
        <v>135904259461</v>
      </c>
      <c r="B122" t="s">
        <v>276</v>
      </c>
      <c r="C122" s="35" t="s">
        <v>266</v>
      </c>
      <c r="D122" t="s">
        <v>260</v>
      </c>
      <c r="E122" s="35" t="s">
        <v>266</v>
      </c>
      <c r="F122" s="29" t="s">
        <v>262</v>
      </c>
      <c r="G122" s="36">
        <v>240</v>
      </c>
      <c r="H122" s="36">
        <v>1.44</v>
      </c>
    </row>
    <row r="123" spans="1:8">
      <c r="A123" s="62">
        <v>136526927868</v>
      </c>
      <c r="B123" t="s">
        <v>4</v>
      </c>
      <c r="C123" s="35" t="s">
        <v>266</v>
      </c>
      <c r="D123" t="s">
        <v>260</v>
      </c>
      <c r="E123" s="35" t="s">
        <v>266</v>
      </c>
      <c r="F123" s="29" t="s">
        <v>262</v>
      </c>
      <c r="G123" s="36">
        <v>4800</v>
      </c>
      <c r="H123" s="36">
        <v>28.8</v>
      </c>
    </row>
    <row r="124" spans="1:8">
      <c r="A124" s="62">
        <v>136527375236</v>
      </c>
      <c r="B124" t="s">
        <v>4</v>
      </c>
      <c r="C124" s="35" t="s">
        <v>266</v>
      </c>
      <c r="D124" t="s">
        <v>260</v>
      </c>
      <c r="E124" s="35" t="s">
        <v>266</v>
      </c>
      <c r="F124" s="29" t="s">
        <v>262</v>
      </c>
      <c r="G124" s="36">
        <v>9600</v>
      </c>
      <c r="H124" s="36">
        <v>57.6</v>
      </c>
    </row>
    <row r="125" spans="1:8">
      <c r="A125" s="62">
        <v>135904784987</v>
      </c>
      <c r="B125" t="s">
        <v>4</v>
      </c>
      <c r="C125" s="35" t="s">
        <v>266</v>
      </c>
      <c r="D125" t="s">
        <v>260</v>
      </c>
      <c r="E125" s="35" t="s">
        <v>266</v>
      </c>
      <c r="F125" s="29" t="s">
        <v>262</v>
      </c>
      <c r="G125" s="36">
        <v>5500</v>
      </c>
      <c r="H125" s="36">
        <v>33</v>
      </c>
    </row>
    <row r="126" spans="1:8">
      <c r="A126" s="62">
        <v>136527796466</v>
      </c>
      <c r="B126" t="s">
        <v>4</v>
      </c>
      <c r="C126" s="35" t="s">
        <v>266</v>
      </c>
      <c r="D126" t="s">
        <v>260</v>
      </c>
      <c r="E126" s="35" t="s">
        <v>266</v>
      </c>
      <c r="F126" s="29" t="s">
        <v>262</v>
      </c>
      <c r="G126" s="36">
        <v>4100</v>
      </c>
      <c r="H126" s="36">
        <v>24.6</v>
      </c>
    </row>
    <row r="127" spans="1:8">
      <c r="A127" s="62">
        <v>136527826814</v>
      </c>
      <c r="B127" t="s">
        <v>4</v>
      </c>
      <c r="C127" s="35" t="s">
        <v>266</v>
      </c>
      <c r="D127" t="s">
        <v>260</v>
      </c>
      <c r="E127" s="35" t="s">
        <v>266</v>
      </c>
      <c r="F127" s="29" t="s">
        <v>262</v>
      </c>
      <c r="G127" s="36">
        <v>4400</v>
      </c>
      <c r="H127" s="36">
        <v>26.4</v>
      </c>
    </row>
    <row r="128" spans="1:8">
      <c r="A128" s="62">
        <v>136528512600</v>
      </c>
      <c r="B128" t="s">
        <v>4</v>
      </c>
      <c r="C128" s="35" t="s">
        <v>266</v>
      </c>
      <c r="D128" t="s">
        <v>260</v>
      </c>
      <c r="E128" s="35" t="s">
        <v>266</v>
      </c>
      <c r="F128" s="29" t="s">
        <v>262</v>
      </c>
      <c r="G128" s="36">
        <v>5500</v>
      </c>
      <c r="H128" s="36">
        <v>33</v>
      </c>
    </row>
    <row r="129" spans="1:8">
      <c r="A129" s="62">
        <v>136528767468</v>
      </c>
      <c r="B129" t="s">
        <v>4</v>
      </c>
      <c r="C129" s="35" t="s">
        <v>266</v>
      </c>
      <c r="D129" t="s">
        <v>260</v>
      </c>
      <c r="E129" s="35" t="s">
        <v>266</v>
      </c>
      <c r="F129" s="29" t="s">
        <v>262</v>
      </c>
      <c r="G129" s="36">
        <v>4400</v>
      </c>
      <c r="H129" s="36">
        <v>26.4</v>
      </c>
    </row>
    <row r="130" spans="1:8">
      <c r="A130" s="62">
        <v>135906555589</v>
      </c>
      <c r="B130" t="s">
        <v>4</v>
      </c>
      <c r="C130" s="35" t="s">
        <v>266</v>
      </c>
      <c r="D130" t="s">
        <v>260</v>
      </c>
      <c r="E130" s="35" t="s">
        <v>266</v>
      </c>
      <c r="F130" s="29" t="s">
        <v>262</v>
      </c>
      <c r="G130" s="36">
        <v>14400</v>
      </c>
      <c r="H130" s="36">
        <v>86.4</v>
      </c>
    </row>
    <row r="131" spans="1:8">
      <c r="A131" s="62">
        <v>136529601672</v>
      </c>
      <c r="B131" t="s">
        <v>4</v>
      </c>
      <c r="C131" s="35" t="s">
        <v>266</v>
      </c>
      <c r="D131" t="s">
        <v>260</v>
      </c>
      <c r="E131" s="35" t="s">
        <v>266</v>
      </c>
      <c r="F131" s="29" t="s">
        <v>262</v>
      </c>
      <c r="G131" s="36">
        <v>4800</v>
      </c>
      <c r="H131" s="36">
        <v>28.8</v>
      </c>
    </row>
    <row r="132" spans="1:8">
      <c r="A132" s="62">
        <v>136529790482</v>
      </c>
      <c r="B132" t="s">
        <v>4</v>
      </c>
      <c r="C132" s="35" t="s">
        <v>266</v>
      </c>
      <c r="D132" t="s">
        <v>260</v>
      </c>
      <c r="E132" s="35" t="s">
        <v>266</v>
      </c>
      <c r="F132" s="29" t="s">
        <v>262</v>
      </c>
      <c r="G132" s="36">
        <v>4000</v>
      </c>
      <c r="H132" s="36">
        <v>24</v>
      </c>
    </row>
    <row r="133" spans="1:8">
      <c r="A133" s="62">
        <v>135909548389</v>
      </c>
      <c r="B133" t="s">
        <v>4</v>
      </c>
      <c r="C133" s="35" t="s">
        <v>266</v>
      </c>
      <c r="D133" t="s">
        <v>260</v>
      </c>
      <c r="E133" s="35" t="s">
        <v>273</v>
      </c>
      <c r="F133" s="29" t="s">
        <v>262</v>
      </c>
      <c r="G133" s="36">
        <v>19300</v>
      </c>
      <c r="H133" s="36">
        <v>115.8</v>
      </c>
    </row>
    <row r="134" spans="1:8">
      <c r="A134" s="62">
        <v>136532314330</v>
      </c>
      <c r="B134" t="s">
        <v>263</v>
      </c>
      <c r="C134" s="35" t="s">
        <v>266</v>
      </c>
      <c r="D134" t="s">
        <v>260</v>
      </c>
      <c r="E134" s="35" t="s">
        <v>273</v>
      </c>
      <c r="F134" s="29" t="s">
        <v>262</v>
      </c>
      <c r="G134" s="36">
        <v>20900</v>
      </c>
      <c r="H134" s="36">
        <v>125.4</v>
      </c>
    </row>
    <row r="135" spans="1:8">
      <c r="A135" s="62">
        <v>135910347159</v>
      </c>
      <c r="B135" t="s">
        <v>4</v>
      </c>
      <c r="C135" s="35" t="s">
        <v>266</v>
      </c>
      <c r="D135" t="s">
        <v>260</v>
      </c>
      <c r="E135" s="35" t="s">
        <v>273</v>
      </c>
      <c r="F135" s="29" t="s">
        <v>262</v>
      </c>
      <c r="G135" s="36">
        <v>45700</v>
      </c>
      <c r="H135" s="36">
        <v>274.2</v>
      </c>
    </row>
    <row r="136" spans="1:8">
      <c r="A136" s="62">
        <v>135910717417</v>
      </c>
      <c r="B136" t="s">
        <v>263</v>
      </c>
      <c r="C136" s="35" t="s">
        <v>266</v>
      </c>
      <c r="D136" t="s">
        <v>260</v>
      </c>
      <c r="E136" s="35" t="s">
        <v>273</v>
      </c>
      <c r="F136" s="29" t="s">
        <v>262</v>
      </c>
      <c r="G136" s="36">
        <v>88400</v>
      </c>
      <c r="H136" s="36">
        <v>530.4</v>
      </c>
    </row>
    <row r="137" spans="1:8">
      <c r="A137" s="62">
        <v>135910964657</v>
      </c>
      <c r="B137" t="s">
        <v>4</v>
      </c>
      <c r="C137" s="35" t="s">
        <v>266</v>
      </c>
      <c r="D137" t="s">
        <v>260</v>
      </c>
      <c r="E137" s="35" t="s">
        <v>273</v>
      </c>
      <c r="F137" s="29" t="s">
        <v>262</v>
      </c>
      <c r="G137" s="36">
        <v>88200</v>
      </c>
      <c r="H137" s="36">
        <v>529.20000000000005</v>
      </c>
    </row>
    <row r="138" spans="1:8">
      <c r="A138" s="62">
        <v>135911102295</v>
      </c>
      <c r="B138" t="s">
        <v>263</v>
      </c>
      <c r="C138" s="35" t="s">
        <v>266</v>
      </c>
      <c r="D138" t="s">
        <v>260</v>
      </c>
      <c r="E138" s="35" t="s">
        <v>273</v>
      </c>
      <c r="F138" s="29" t="s">
        <v>262</v>
      </c>
      <c r="G138" s="36">
        <v>71500</v>
      </c>
      <c r="H138" s="36">
        <v>429</v>
      </c>
    </row>
    <row r="139" spans="1:8">
      <c r="A139" s="62">
        <v>136534523898</v>
      </c>
      <c r="B139" t="s">
        <v>4</v>
      </c>
      <c r="C139" s="35" t="s">
        <v>266</v>
      </c>
      <c r="D139" t="s">
        <v>260</v>
      </c>
      <c r="E139" s="35" t="s">
        <v>273</v>
      </c>
      <c r="F139" s="29" t="s">
        <v>262</v>
      </c>
      <c r="G139" s="36">
        <v>15800</v>
      </c>
      <c r="H139" s="36">
        <v>94.8</v>
      </c>
    </row>
    <row r="140" spans="1:8">
      <c r="A140" s="62">
        <v>136535378680</v>
      </c>
      <c r="B140" t="s">
        <v>4</v>
      </c>
      <c r="C140" s="35" t="s">
        <v>273</v>
      </c>
      <c r="D140" t="s">
        <v>260</v>
      </c>
      <c r="E140" s="35" t="s">
        <v>273</v>
      </c>
      <c r="F140" s="29" t="s">
        <v>262</v>
      </c>
      <c r="G140" s="36">
        <v>45100</v>
      </c>
      <c r="H140" s="36">
        <v>270.60000000000002</v>
      </c>
    </row>
    <row r="141" spans="1:8">
      <c r="A141" s="62">
        <v>136537920028</v>
      </c>
      <c r="B141" t="s">
        <v>4</v>
      </c>
      <c r="C141" s="35" t="s">
        <v>273</v>
      </c>
      <c r="D141" t="s">
        <v>260</v>
      </c>
      <c r="E141" s="35" t="s">
        <v>273</v>
      </c>
      <c r="F141" s="29" t="s">
        <v>262</v>
      </c>
      <c r="G141" s="36">
        <v>19600</v>
      </c>
      <c r="H141" s="36">
        <v>117.6</v>
      </c>
    </row>
    <row r="142" spans="1:8">
      <c r="A142" s="62">
        <v>135916127391</v>
      </c>
      <c r="B142" t="s">
        <v>4</v>
      </c>
      <c r="C142" s="35" t="s">
        <v>273</v>
      </c>
      <c r="D142" t="s">
        <v>260</v>
      </c>
      <c r="E142" s="35" t="s">
        <v>273</v>
      </c>
      <c r="F142" s="29" t="s">
        <v>262</v>
      </c>
      <c r="G142" s="36">
        <v>41000</v>
      </c>
      <c r="H142" s="36">
        <v>246</v>
      </c>
    </row>
    <row r="143" spans="1:8">
      <c r="A143" s="62" t="s">
        <v>277</v>
      </c>
      <c r="B143" t="s">
        <v>4</v>
      </c>
      <c r="C143" s="35" t="s">
        <v>273</v>
      </c>
      <c r="D143" t="s">
        <v>260</v>
      </c>
      <c r="E143" s="35" t="s">
        <v>273</v>
      </c>
      <c r="F143" s="29" t="s">
        <v>262</v>
      </c>
      <c r="G143" s="36">
        <v>64500</v>
      </c>
      <c r="H143" s="36">
        <v>387</v>
      </c>
    </row>
    <row r="144" spans="1:8">
      <c r="A144" s="62">
        <v>136051543027</v>
      </c>
      <c r="B144" t="s">
        <v>278</v>
      </c>
      <c r="C144" s="35" t="s">
        <v>273</v>
      </c>
      <c r="D144" t="s">
        <v>260</v>
      </c>
      <c r="E144" s="35" t="s">
        <v>273</v>
      </c>
      <c r="F144" s="29" t="s">
        <v>262</v>
      </c>
      <c r="G144" s="36">
        <v>210</v>
      </c>
      <c r="H144" s="36">
        <v>1.26</v>
      </c>
    </row>
    <row r="145" spans="1:8">
      <c r="A145" s="62">
        <v>136052254573</v>
      </c>
      <c r="B145" t="s">
        <v>263</v>
      </c>
      <c r="C145" s="35" t="s">
        <v>273</v>
      </c>
      <c r="D145" t="s">
        <v>260</v>
      </c>
      <c r="E145" s="35" t="s">
        <v>273</v>
      </c>
      <c r="F145" s="29" t="s">
        <v>262</v>
      </c>
      <c r="G145" s="36">
        <v>4800</v>
      </c>
      <c r="H145" s="36">
        <v>28.8</v>
      </c>
    </row>
    <row r="146" spans="1:8">
      <c r="A146" s="62">
        <v>136676483834</v>
      </c>
      <c r="B146" t="s">
        <v>263</v>
      </c>
      <c r="C146" s="35" t="s">
        <v>273</v>
      </c>
      <c r="D146" t="s">
        <v>260</v>
      </c>
      <c r="E146" s="35" t="s">
        <v>273</v>
      </c>
      <c r="F146" s="29" t="s">
        <v>262</v>
      </c>
      <c r="G146" s="36">
        <v>27500</v>
      </c>
      <c r="H146" s="36">
        <v>165</v>
      </c>
    </row>
    <row r="147" spans="1:8">
      <c r="A147" s="62">
        <v>136676932768</v>
      </c>
      <c r="B147" t="s">
        <v>263</v>
      </c>
      <c r="C147" s="35" t="s">
        <v>273</v>
      </c>
      <c r="D147" t="s">
        <v>260</v>
      </c>
      <c r="E147" s="35" t="s">
        <v>273</v>
      </c>
      <c r="F147" s="29" t="s">
        <v>262</v>
      </c>
      <c r="G147" s="36">
        <v>16800</v>
      </c>
      <c r="H147" s="36">
        <v>100.8</v>
      </c>
    </row>
    <row r="148" spans="1:8">
      <c r="A148" s="62">
        <v>136058124483</v>
      </c>
      <c r="B148" t="s">
        <v>4</v>
      </c>
      <c r="C148" s="35" t="s">
        <v>273</v>
      </c>
      <c r="D148" t="s">
        <v>260</v>
      </c>
      <c r="E148" s="35" t="s">
        <v>273</v>
      </c>
      <c r="F148" s="29" t="s">
        <v>262</v>
      </c>
      <c r="G148" s="36">
        <v>9600</v>
      </c>
      <c r="H148" s="36">
        <v>57.6</v>
      </c>
    </row>
    <row r="149" spans="1:8">
      <c r="A149" s="62">
        <v>136684356570</v>
      </c>
      <c r="B149" t="s">
        <v>279</v>
      </c>
      <c r="C149" s="35" t="s">
        <v>273</v>
      </c>
      <c r="D149" t="s">
        <v>260</v>
      </c>
      <c r="E149" s="35" t="s">
        <v>273</v>
      </c>
      <c r="F149" s="29" t="s">
        <v>262</v>
      </c>
      <c r="G149" s="36">
        <v>1375</v>
      </c>
      <c r="H149" s="36">
        <v>8.25</v>
      </c>
    </row>
    <row r="150" spans="1:8">
      <c r="A150" s="62">
        <v>136684524618</v>
      </c>
      <c r="B150" t="s">
        <v>263</v>
      </c>
      <c r="C150" s="35" t="s">
        <v>273</v>
      </c>
      <c r="D150" t="s">
        <v>260</v>
      </c>
      <c r="E150" s="35" t="s">
        <v>273</v>
      </c>
      <c r="F150" s="29" t="s">
        <v>262</v>
      </c>
      <c r="G150" s="36">
        <v>4900</v>
      </c>
      <c r="H150" s="36">
        <v>29.4</v>
      </c>
    </row>
    <row r="151" spans="1:8">
      <c r="A151" s="62">
        <v>136686063362</v>
      </c>
      <c r="B151" t="s">
        <v>4</v>
      </c>
      <c r="C151" s="35" t="s">
        <v>273</v>
      </c>
      <c r="D151" t="s">
        <v>260</v>
      </c>
      <c r="E151" s="35" t="s">
        <v>273</v>
      </c>
      <c r="F151" s="29" t="s">
        <v>262</v>
      </c>
      <c r="G151" s="36">
        <v>9800</v>
      </c>
      <c r="H151" s="36">
        <v>58.8</v>
      </c>
    </row>
    <row r="152" spans="1:8">
      <c r="A152" s="62">
        <v>136689207772</v>
      </c>
      <c r="B152" t="s">
        <v>263</v>
      </c>
      <c r="C152" s="35" t="s">
        <v>273</v>
      </c>
      <c r="D152" t="s">
        <v>260</v>
      </c>
      <c r="E152" s="35" t="s">
        <v>273</v>
      </c>
      <c r="F152" s="29" t="s">
        <v>262</v>
      </c>
      <c r="G152" s="36">
        <v>45400</v>
      </c>
      <c r="H152" s="36">
        <v>272.39999999999998</v>
      </c>
    </row>
    <row r="153" spans="1:8">
      <c r="A153" s="62">
        <v>136067944241</v>
      </c>
      <c r="B153" t="s">
        <v>263</v>
      </c>
      <c r="C153" s="35" t="s">
        <v>273</v>
      </c>
      <c r="D153" t="s">
        <v>260</v>
      </c>
      <c r="E153" s="35" t="s">
        <v>273</v>
      </c>
      <c r="F153" s="29" t="s">
        <v>262</v>
      </c>
      <c r="G153" s="36">
        <v>14500</v>
      </c>
      <c r="H153" s="36">
        <v>87</v>
      </c>
    </row>
    <row r="154" spans="1:8">
      <c r="A154" s="62">
        <v>136675013138</v>
      </c>
      <c r="B154" t="s">
        <v>4</v>
      </c>
      <c r="C154" s="35" t="s">
        <v>273</v>
      </c>
      <c r="D154" t="s">
        <v>260</v>
      </c>
      <c r="E154" s="35" t="s">
        <v>273</v>
      </c>
      <c r="F154" s="29" t="s">
        <v>262</v>
      </c>
      <c r="G154" s="36">
        <v>4200</v>
      </c>
      <c r="H154" s="36">
        <v>25.2</v>
      </c>
    </row>
    <row r="155" spans="1:8">
      <c r="A155" s="62">
        <v>136072576761</v>
      </c>
      <c r="B155" t="s">
        <v>4</v>
      </c>
      <c r="C155" s="35" t="s">
        <v>273</v>
      </c>
      <c r="D155" t="s">
        <v>260</v>
      </c>
      <c r="E155" s="35" t="s">
        <v>273</v>
      </c>
      <c r="F155" s="29" t="s">
        <v>262</v>
      </c>
      <c r="G155" s="36">
        <v>25800</v>
      </c>
      <c r="H155" s="36">
        <v>154.80000000000001</v>
      </c>
    </row>
    <row r="156" spans="1:8">
      <c r="A156" s="62">
        <v>136677967596</v>
      </c>
      <c r="B156" t="s">
        <v>4</v>
      </c>
      <c r="C156" s="35" t="s">
        <v>273</v>
      </c>
      <c r="D156" t="s">
        <v>260</v>
      </c>
      <c r="E156" s="35" t="s">
        <v>273</v>
      </c>
      <c r="F156" s="29" t="s">
        <v>262</v>
      </c>
      <c r="G156" s="36">
        <v>15700</v>
      </c>
      <c r="H156" s="36">
        <v>94.2</v>
      </c>
    </row>
    <row r="157" spans="1:8">
      <c r="A157" s="62">
        <v>136697737900</v>
      </c>
      <c r="B157" t="s">
        <v>4</v>
      </c>
      <c r="C157" s="35" t="s">
        <v>273</v>
      </c>
      <c r="D157" t="s">
        <v>260</v>
      </c>
      <c r="E157" s="35" t="s">
        <v>273</v>
      </c>
      <c r="F157" s="29" t="s">
        <v>262</v>
      </c>
      <c r="G157" s="36">
        <v>30500</v>
      </c>
      <c r="H157" s="36">
        <v>183</v>
      </c>
    </row>
    <row r="158" spans="1:8">
      <c r="A158" s="62">
        <v>136078826713</v>
      </c>
      <c r="B158" t="s">
        <v>4</v>
      </c>
      <c r="C158" s="35" t="s">
        <v>273</v>
      </c>
      <c r="D158" t="s">
        <v>260</v>
      </c>
      <c r="E158" s="35" t="s">
        <v>280</v>
      </c>
      <c r="F158" s="29" t="s">
        <v>262</v>
      </c>
      <c r="G158" s="36">
        <v>38300</v>
      </c>
      <c r="H158" s="36">
        <v>229.8</v>
      </c>
    </row>
    <row r="159" spans="1:8">
      <c r="A159" s="62">
        <v>136079648859</v>
      </c>
      <c r="B159" t="s">
        <v>281</v>
      </c>
      <c r="C159" s="35" t="s">
        <v>273</v>
      </c>
      <c r="D159" t="s">
        <v>260</v>
      </c>
      <c r="E159" s="35" t="s">
        <v>280</v>
      </c>
      <c r="F159" s="29" t="s">
        <v>262</v>
      </c>
      <c r="G159" s="36">
        <v>2935</v>
      </c>
      <c r="H159" s="36">
        <v>17.61</v>
      </c>
    </row>
    <row r="160" spans="1:8">
      <c r="A160" s="62">
        <v>136684362466</v>
      </c>
      <c r="B160" t="s">
        <v>4</v>
      </c>
      <c r="C160" s="35" t="s">
        <v>273</v>
      </c>
      <c r="D160" t="s">
        <v>260</v>
      </c>
      <c r="E160" s="35" t="s">
        <v>273</v>
      </c>
      <c r="F160" s="29" t="s">
        <v>262</v>
      </c>
      <c r="G160" s="36">
        <v>27500</v>
      </c>
      <c r="H160" s="36">
        <v>165</v>
      </c>
    </row>
    <row r="161" spans="1:8">
      <c r="A161" s="62">
        <v>136082556343</v>
      </c>
      <c r="B161" t="s">
        <v>263</v>
      </c>
      <c r="C161" s="35" t="s">
        <v>280</v>
      </c>
      <c r="D161" t="s">
        <v>260</v>
      </c>
      <c r="E161" s="35" t="s">
        <v>280</v>
      </c>
      <c r="F161" s="29" t="s">
        <v>262</v>
      </c>
      <c r="G161" s="36">
        <v>13900</v>
      </c>
      <c r="H161" s="36">
        <v>83.4</v>
      </c>
    </row>
    <row r="162" spans="1:8">
      <c r="A162" s="62">
        <v>136706595996</v>
      </c>
      <c r="B162" t="s">
        <v>4</v>
      </c>
      <c r="C162" s="35" t="s">
        <v>280</v>
      </c>
      <c r="D162" t="s">
        <v>260</v>
      </c>
      <c r="E162" s="35" t="s">
        <v>280</v>
      </c>
      <c r="F162" s="29" t="s">
        <v>262</v>
      </c>
      <c r="G162" s="36">
        <v>85700</v>
      </c>
      <c r="H162" s="36">
        <v>514.20000000000005</v>
      </c>
    </row>
    <row r="163" spans="1:8">
      <c r="A163" s="62">
        <v>136083238703</v>
      </c>
      <c r="B163" t="s">
        <v>4</v>
      </c>
      <c r="C163" s="35" t="s">
        <v>280</v>
      </c>
      <c r="D163" t="s">
        <v>260</v>
      </c>
      <c r="E163" s="35" t="s">
        <v>280</v>
      </c>
      <c r="F163" s="29" t="s">
        <v>262</v>
      </c>
      <c r="G163" s="36">
        <v>46500</v>
      </c>
      <c r="H163" s="36">
        <v>279</v>
      </c>
    </row>
    <row r="164" spans="1:8">
      <c r="A164" s="62">
        <v>136707102110</v>
      </c>
      <c r="B164" t="s">
        <v>4</v>
      </c>
      <c r="C164" s="35" t="s">
        <v>280</v>
      </c>
      <c r="D164" t="s">
        <v>260</v>
      </c>
      <c r="E164" s="35" t="s">
        <v>280</v>
      </c>
      <c r="F164" s="29" t="s">
        <v>262</v>
      </c>
      <c r="G164" s="36">
        <v>20300</v>
      </c>
      <c r="H164" s="36">
        <v>121.8</v>
      </c>
    </row>
    <row r="165" spans="1:8">
      <c r="A165" s="62">
        <v>136707892144</v>
      </c>
      <c r="B165" t="s">
        <v>4</v>
      </c>
      <c r="C165" s="35" t="s">
        <v>280</v>
      </c>
      <c r="D165" t="s">
        <v>260</v>
      </c>
      <c r="E165" s="35" t="s">
        <v>280</v>
      </c>
      <c r="F165" s="29" t="s">
        <v>262</v>
      </c>
      <c r="G165" s="36">
        <v>54400</v>
      </c>
      <c r="H165" s="36">
        <v>326.39999999999998</v>
      </c>
    </row>
    <row r="166" spans="1:8">
      <c r="A166" s="62">
        <v>136708150316</v>
      </c>
      <c r="B166" t="s">
        <v>4</v>
      </c>
      <c r="C166" s="35" t="s">
        <v>280</v>
      </c>
      <c r="D166" t="s">
        <v>260</v>
      </c>
      <c r="E166" s="35" t="s">
        <v>280</v>
      </c>
      <c r="F166" s="29" t="s">
        <v>262</v>
      </c>
      <c r="G166" s="36">
        <v>16500</v>
      </c>
      <c r="H166" s="36">
        <v>99</v>
      </c>
    </row>
    <row r="167" spans="1:8">
      <c r="A167" s="62">
        <v>136708166040</v>
      </c>
      <c r="B167" t="s">
        <v>4</v>
      </c>
      <c r="C167" s="35" t="s">
        <v>280</v>
      </c>
      <c r="D167" t="s">
        <v>260</v>
      </c>
      <c r="E167" s="35" t="s">
        <v>280</v>
      </c>
      <c r="F167" s="29" t="s">
        <v>262</v>
      </c>
      <c r="G167" s="36">
        <v>14000</v>
      </c>
      <c r="H167" s="36">
        <v>84</v>
      </c>
    </row>
    <row r="168" spans="1:8">
      <c r="A168" s="62">
        <v>136085255891</v>
      </c>
      <c r="B168" t="s">
        <v>263</v>
      </c>
      <c r="C168" s="35" t="s">
        <v>280</v>
      </c>
      <c r="D168" t="s">
        <v>260</v>
      </c>
      <c r="E168" s="35" t="s">
        <v>280</v>
      </c>
      <c r="F168" s="29" t="s">
        <v>262</v>
      </c>
      <c r="G168" s="36">
        <v>8800</v>
      </c>
      <c r="H168" s="36">
        <v>52.8</v>
      </c>
    </row>
    <row r="169" spans="1:8">
      <c r="A169" s="62">
        <v>136689125144</v>
      </c>
      <c r="B169" t="s">
        <v>4</v>
      </c>
      <c r="C169" s="35" t="s">
        <v>273</v>
      </c>
      <c r="D169" t="s">
        <v>260</v>
      </c>
      <c r="E169" s="35" t="s">
        <v>273</v>
      </c>
      <c r="F169" s="29" t="s">
        <v>262</v>
      </c>
      <c r="G169" s="36">
        <v>9000</v>
      </c>
      <c r="H169" s="36">
        <v>54</v>
      </c>
    </row>
    <row r="170" spans="1:8">
      <c r="A170" s="62">
        <v>136709365352</v>
      </c>
      <c r="B170" t="s">
        <v>4</v>
      </c>
      <c r="C170" s="35" t="s">
        <v>280</v>
      </c>
      <c r="D170" t="s">
        <v>260</v>
      </c>
      <c r="E170" s="35" t="s">
        <v>280</v>
      </c>
      <c r="F170" s="29" t="s">
        <v>262</v>
      </c>
      <c r="G170" s="36">
        <v>60800</v>
      </c>
      <c r="H170" s="36">
        <v>364.8</v>
      </c>
    </row>
    <row r="171" spans="1:8">
      <c r="A171" s="62">
        <v>136086050167</v>
      </c>
      <c r="B171" t="s">
        <v>4</v>
      </c>
      <c r="C171" s="35" t="s">
        <v>280</v>
      </c>
      <c r="D171" t="s">
        <v>260</v>
      </c>
      <c r="E171" s="35" t="s">
        <v>280</v>
      </c>
      <c r="F171" s="29" t="s">
        <v>262</v>
      </c>
      <c r="G171" s="36">
        <v>10900</v>
      </c>
      <c r="H171" s="36">
        <v>65.400000000000006</v>
      </c>
    </row>
    <row r="172" spans="1:8">
      <c r="A172" s="62">
        <v>136690556608</v>
      </c>
      <c r="B172" t="s">
        <v>263</v>
      </c>
      <c r="C172" s="35" t="s">
        <v>273</v>
      </c>
      <c r="D172" t="s">
        <v>260</v>
      </c>
      <c r="E172" s="35" t="s">
        <v>273</v>
      </c>
      <c r="F172" s="29" t="s">
        <v>262</v>
      </c>
      <c r="G172" s="36">
        <v>16950</v>
      </c>
      <c r="H172" s="36">
        <v>101.7</v>
      </c>
    </row>
    <row r="173" spans="1:8">
      <c r="A173" s="62">
        <v>136067110391</v>
      </c>
      <c r="B173" t="s">
        <v>263</v>
      </c>
      <c r="C173" s="35" t="s">
        <v>273</v>
      </c>
      <c r="D173" t="s">
        <v>260</v>
      </c>
      <c r="E173" s="35" t="s">
        <v>273</v>
      </c>
      <c r="F173" s="29" t="s">
        <v>262</v>
      </c>
      <c r="G173" s="36">
        <v>19750</v>
      </c>
      <c r="H173" s="36">
        <v>118.5</v>
      </c>
    </row>
    <row r="174" spans="1:8">
      <c r="A174" s="62">
        <v>136691246728</v>
      </c>
      <c r="B174" t="s">
        <v>4</v>
      </c>
      <c r="C174" s="35" t="s">
        <v>273</v>
      </c>
      <c r="D174" t="s">
        <v>260</v>
      </c>
      <c r="E174" s="35" t="s">
        <v>273</v>
      </c>
      <c r="F174" s="29" t="s">
        <v>262</v>
      </c>
      <c r="G174" s="36">
        <v>51500</v>
      </c>
      <c r="H174" s="36">
        <v>309</v>
      </c>
    </row>
    <row r="175" spans="1:8">
      <c r="A175" s="62">
        <v>136693286622</v>
      </c>
      <c r="B175" t="s">
        <v>4</v>
      </c>
      <c r="C175" s="35" t="s">
        <v>273</v>
      </c>
      <c r="D175" t="s">
        <v>260</v>
      </c>
      <c r="E175" s="35" t="s">
        <v>273</v>
      </c>
      <c r="F175" s="29" t="s">
        <v>262</v>
      </c>
      <c r="G175" s="36">
        <v>4900</v>
      </c>
      <c r="H175" s="36">
        <v>29.4</v>
      </c>
    </row>
    <row r="176" spans="1:8">
      <c r="A176" s="62">
        <v>136075632673</v>
      </c>
      <c r="B176" t="s">
        <v>4</v>
      </c>
      <c r="C176" s="35" t="s">
        <v>273</v>
      </c>
      <c r="D176" t="s">
        <v>260</v>
      </c>
      <c r="E176" s="35" t="s">
        <v>273</v>
      </c>
      <c r="F176" s="29" t="s">
        <v>262</v>
      </c>
      <c r="G176" s="36">
        <v>65300</v>
      </c>
      <c r="H176" s="36">
        <v>391.8</v>
      </c>
    </row>
    <row r="177" spans="1:8">
      <c r="A177" s="62">
        <v>136699638344</v>
      </c>
      <c r="B177" t="s">
        <v>4</v>
      </c>
      <c r="C177" s="35" t="s">
        <v>273</v>
      </c>
      <c r="D177" t="s">
        <v>260</v>
      </c>
      <c r="E177" s="35" t="s">
        <v>273</v>
      </c>
      <c r="F177" s="29" t="s">
        <v>262</v>
      </c>
      <c r="G177" s="36">
        <v>58900</v>
      </c>
      <c r="H177" s="36">
        <v>353.4</v>
      </c>
    </row>
    <row r="178" spans="1:8">
      <c r="A178" s="62">
        <v>136076832363</v>
      </c>
      <c r="B178" t="s">
        <v>4</v>
      </c>
      <c r="C178" s="35" t="s">
        <v>273</v>
      </c>
      <c r="D178" t="s">
        <v>260</v>
      </c>
      <c r="E178" s="35" t="s">
        <v>273</v>
      </c>
      <c r="F178" s="29" t="s">
        <v>262</v>
      </c>
      <c r="G178" s="36">
        <v>32600</v>
      </c>
      <c r="H178" s="36">
        <v>195.6</v>
      </c>
    </row>
    <row r="179" spans="1:8">
      <c r="A179" s="62">
        <v>136078016419</v>
      </c>
      <c r="B179" t="s">
        <v>4</v>
      </c>
      <c r="C179" s="35" t="s">
        <v>273</v>
      </c>
      <c r="D179" t="s">
        <v>260</v>
      </c>
      <c r="E179" s="35" t="s">
        <v>280</v>
      </c>
      <c r="F179" s="29" t="s">
        <v>262</v>
      </c>
      <c r="G179" s="36">
        <v>40400</v>
      </c>
      <c r="H179" s="36">
        <v>242.4</v>
      </c>
    </row>
    <row r="180" spans="1:8">
      <c r="A180" s="62">
        <v>136703140262</v>
      </c>
      <c r="B180" t="s">
        <v>4</v>
      </c>
      <c r="C180" s="35" t="s">
        <v>273</v>
      </c>
      <c r="D180" t="s">
        <v>260</v>
      </c>
      <c r="E180" s="35" t="s">
        <v>280</v>
      </c>
      <c r="F180" s="29" t="s">
        <v>262</v>
      </c>
      <c r="G180" s="36">
        <v>58700</v>
      </c>
      <c r="H180" s="36">
        <v>352.2</v>
      </c>
    </row>
    <row r="181" spans="1:8">
      <c r="A181" s="62">
        <v>136703920262</v>
      </c>
      <c r="B181" t="s">
        <v>4</v>
      </c>
      <c r="C181" s="35" t="s">
        <v>273</v>
      </c>
      <c r="D181" t="s">
        <v>260</v>
      </c>
      <c r="E181" s="35" t="s">
        <v>280</v>
      </c>
      <c r="F181" s="29" t="s">
        <v>262</v>
      </c>
      <c r="G181" s="36">
        <v>43700</v>
      </c>
      <c r="H181" s="36">
        <v>262.2</v>
      </c>
    </row>
    <row r="182" spans="1:8">
      <c r="A182" s="62">
        <v>136704187344</v>
      </c>
      <c r="B182" t="s">
        <v>263</v>
      </c>
      <c r="C182" s="35" t="s">
        <v>273</v>
      </c>
      <c r="D182" t="s">
        <v>260</v>
      </c>
      <c r="E182" s="35" t="s">
        <v>280</v>
      </c>
      <c r="F182" s="29" t="s">
        <v>262</v>
      </c>
      <c r="G182" s="36">
        <v>23625</v>
      </c>
      <c r="H182" s="36">
        <v>141.75</v>
      </c>
    </row>
    <row r="183" spans="1:8">
      <c r="A183" s="62">
        <v>136080717447</v>
      </c>
      <c r="B183" t="s">
        <v>4</v>
      </c>
      <c r="C183" s="35" t="s">
        <v>273</v>
      </c>
      <c r="D183" t="s">
        <v>260</v>
      </c>
      <c r="E183" s="35" t="s">
        <v>280</v>
      </c>
      <c r="F183" s="29" t="s">
        <v>262</v>
      </c>
      <c r="G183" s="36">
        <v>13800</v>
      </c>
      <c r="H183" s="36">
        <v>82.8</v>
      </c>
    </row>
    <row r="184" spans="1:8">
      <c r="A184" s="62">
        <v>136082008275</v>
      </c>
      <c r="B184" t="s">
        <v>4</v>
      </c>
      <c r="C184" s="35" t="s">
        <v>280</v>
      </c>
      <c r="D184" t="s">
        <v>260</v>
      </c>
      <c r="E184" s="35" t="s">
        <v>280</v>
      </c>
      <c r="F184" s="29" t="s">
        <v>262</v>
      </c>
      <c r="G184" s="36">
        <v>25900</v>
      </c>
      <c r="H184" s="36">
        <v>155.4</v>
      </c>
    </row>
    <row r="185" spans="1:8">
      <c r="A185" s="62">
        <v>136706179074</v>
      </c>
      <c r="B185" t="s">
        <v>4</v>
      </c>
      <c r="C185" s="35" t="s">
        <v>280</v>
      </c>
      <c r="D185" t="s">
        <v>260</v>
      </c>
      <c r="E185" s="35" t="s">
        <v>280</v>
      </c>
      <c r="F185" s="29" t="s">
        <v>262</v>
      </c>
      <c r="G185" s="36">
        <v>96300</v>
      </c>
      <c r="H185" s="36">
        <v>577.79999999999995</v>
      </c>
    </row>
    <row r="186" spans="1:8">
      <c r="A186" s="62">
        <v>136706567546</v>
      </c>
      <c r="B186" t="s">
        <v>4</v>
      </c>
      <c r="C186" s="35" t="s">
        <v>280</v>
      </c>
      <c r="D186" t="s">
        <v>260</v>
      </c>
      <c r="E186" s="35" t="s">
        <v>280</v>
      </c>
      <c r="F186" s="29" t="s">
        <v>262</v>
      </c>
      <c r="G186" s="36">
        <v>19500</v>
      </c>
      <c r="H186" s="36">
        <v>117</v>
      </c>
    </row>
    <row r="187" spans="1:8">
      <c r="A187" s="62">
        <v>136707233790</v>
      </c>
      <c r="B187" t="s">
        <v>4</v>
      </c>
      <c r="C187" s="35" t="s">
        <v>280</v>
      </c>
      <c r="D187" t="s">
        <v>260</v>
      </c>
      <c r="E187" s="35" t="s">
        <v>280</v>
      </c>
      <c r="F187" s="29" t="s">
        <v>262</v>
      </c>
      <c r="G187" s="36">
        <v>49000</v>
      </c>
      <c r="H187" s="36">
        <v>294</v>
      </c>
    </row>
    <row r="188" spans="1:8">
      <c r="A188" s="62">
        <v>136083759929</v>
      </c>
      <c r="B188" t="s">
        <v>282</v>
      </c>
      <c r="C188" s="35" t="s">
        <v>280</v>
      </c>
      <c r="D188" t="s">
        <v>260</v>
      </c>
      <c r="E188" s="35" t="s">
        <v>280</v>
      </c>
      <c r="F188" s="29" t="s">
        <v>262</v>
      </c>
      <c r="G188" s="36">
        <v>4900</v>
      </c>
      <c r="H188" s="36">
        <v>29.4</v>
      </c>
    </row>
    <row r="189" spans="1:8">
      <c r="A189" s="62">
        <v>136085098461</v>
      </c>
      <c r="B189" t="s">
        <v>4</v>
      </c>
      <c r="C189" s="35" t="s">
        <v>280</v>
      </c>
      <c r="D189" t="s">
        <v>260</v>
      </c>
      <c r="E189" s="35" t="s">
        <v>280</v>
      </c>
      <c r="F189" s="29" t="s">
        <v>262</v>
      </c>
      <c r="G189" s="36">
        <v>59600</v>
      </c>
      <c r="H189" s="36">
        <v>357.6</v>
      </c>
    </row>
    <row r="190" spans="1:8">
      <c r="A190" s="62">
        <v>136709093234</v>
      </c>
      <c r="B190" t="s">
        <v>4</v>
      </c>
      <c r="C190" s="35" t="s">
        <v>280</v>
      </c>
      <c r="D190" t="s">
        <v>260</v>
      </c>
      <c r="E190" s="35" t="s">
        <v>280</v>
      </c>
      <c r="F190" s="29" t="s">
        <v>262</v>
      </c>
      <c r="G190" s="36">
        <v>31200</v>
      </c>
      <c r="H190" s="36">
        <v>187.2</v>
      </c>
    </row>
    <row r="191" spans="1:8">
      <c r="A191" s="62">
        <v>136085501779</v>
      </c>
      <c r="B191" t="s">
        <v>283</v>
      </c>
      <c r="C191" s="35" t="s">
        <v>280</v>
      </c>
      <c r="D191" t="s">
        <v>260</v>
      </c>
      <c r="E191" s="35" t="s">
        <v>280</v>
      </c>
      <c r="F191" s="29" t="s">
        <v>262</v>
      </c>
      <c r="G191" s="36">
        <v>1560</v>
      </c>
      <c r="H191" s="36">
        <v>9.36</v>
      </c>
    </row>
    <row r="192" spans="1:8">
      <c r="A192" s="62">
        <v>136709325646</v>
      </c>
      <c r="B192" t="s">
        <v>4</v>
      </c>
      <c r="C192" s="35" t="s">
        <v>280</v>
      </c>
      <c r="D192" t="s">
        <v>260</v>
      </c>
      <c r="E192" s="35" t="s">
        <v>280</v>
      </c>
      <c r="F192" s="29" t="s">
        <v>262</v>
      </c>
      <c r="G192" s="36">
        <v>18000</v>
      </c>
      <c r="H192" s="36">
        <v>108</v>
      </c>
    </row>
    <row r="193" spans="1:8">
      <c r="A193" s="62">
        <v>136709402958</v>
      </c>
      <c r="B193" t="s">
        <v>284</v>
      </c>
      <c r="C193" s="35" t="s">
        <v>280</v>
      </c>
      <c r="D193" t="s">
        <v>260</v>
      </c>
      <c r="E193" s="35" t="s">
        <v>280</v>
      </c>
      <c r="F193" s="29" t="s">
        <v>262</v>
      </c>
      <c r="G193" s="36">
        <v>3040</v>
      </c>
      <c r="H193" s="36">
        <v>18.239999999999998</v>
      </c>
    </row>
    <row r="194" spans="1:8">
      <c r="A194" s="62">
        <v>136086178973</v>
      </c>
      <c r="B194" t="s">
        <v>4</v>
      </c>
      <c r="C194" s="35" t="s">
        <v>280</v>
      </c>
      <c r="D194" t="s">
        <v>260</v>
      </c>
      <c r="E194" s="35" t="s">
        <v>280</v>
      </c>
      <c r="F194" s="29" t="s">
        <v>262</v>
      </c>
      <c r="G194" s="36">
        <v>23500</v>
      </c>
      <c r="H194" s="36">
        <v>141</v>
      </c>
    </row>
    <row r="195" spans="1:8">
      <c r="A195" s="62" t="s">
        <v>286</v>
      </c>
      <c r="B195" t="s">
        <v>285</v>
      </c>
      <c r="C195" s="35" t="s">
        <v>280</v>
      </c>
      <c r="D195" t="s">
        <v>260</v>
      </c>
      <c r="E195" s="35" t="s">
        <v>280</v>
      </c>
      <c r="F195" s="29" t="s">
        <v>262</v>
      </c>
      <c r="G195" s="36">
        <v>30579.88</v>
      </c>
      <c r="H195" s="36">
        <v>183.48</v>
      </c>
    </row>
    <row r="196" spans="1:8">
      <c r="A196" s="62">
        <v>136182589345</v>
      </c>
      <c r="B196" t="s">
        <v>263</v>
      </c>
      <c r="C196" s="35" t="s">
        <v>280</v>
      </c>
      <c r="D196" t="s">
        <v>260</v>
      </c>
      <c r="E196" s="35" t="s">
        <v>280</v>
      </c>
      <c r="F196" s="29" t="s">
        <v>262</v>
      </c>
      <c r="G196" s="36">
        <v>15</v>
      </c>
      <c r="H196" s="36">
        <v>0.09</v>
      </c>
    </row>
    <row r="197" spans="1:8">
      <c r="A197" s="62">
        <v>136197610809</v>
      </c>
      <c r="B197" t="s">
        <v>4</v>
      </c>
      <c r="C197" s="35" t="s">
        <v>280</v>
      </c>
      <c r="D197" t="s">
        <v>260</v>
      </c>
      <c r="E197" s="35" t="s">
        <v>280</v>
      </c>
      <c r="F197" s="29" t="s">
        <v>262</v>
      </c>
      <c r="G197" s="36">
        <v>9600</v>
      </c>
      <c r="H197" s="36">
        <v>57.6</v>
      </c>
    </row>
    <row r="198" spans="1:8">
      <c r="A198" s="62">
        <v>136199301371</v>
      </c>
      <c r="B198" t="s">
        <v>4</v>
      </c>
      <c r="C198" s="35" t="s">
        <v>280</v>
      </c>
      <c r="D198" t="s">
        <v>260</v>
      </c>
      <c r="E198" s="35" t="s">
        <v>280</v>
      </c>
      <c r="F198" s="29" t="s">
        <v>262</v>
      </c>
      <c r="G198" s="36">
        <v>12400</v>
      </c>
      <c r="H198" s="36">
        <v>74.400000000000006</v>
      </c>
    </row>
    <row r="199" spans="1:8">
      <c r="A199" s="62">
        <v>136825810056</v>
      </c>
      <c r="B199" t="s">
        <v>263</v>
      </c>
      <c r="C199" s="35" t="s">
        <v>280</v>
      </c>
      <c r="D199" t="s">
        <v>260</v>
      </c>
      <c r="E199" s="35" t="s">
        <v>280</v>
      </c>
      <c r="F199" s="29" t="s">
        <v>262</v>
      </c>
      <c r="G199" s="36">
        <v>14000</v>
      </c>
      <c r="H199" s="36">
        <v>84</v>
      </c>
    </row>
    <row r="200" spans="1:8">
      <c r="A200" s="62">
        <v>136182589345</v>
      </c>
      <c r="B200" t="s">
        <v>263</v>
      </c>
      <c r="C200" s="35" t="s">
        <v>280</v>
      </c>
      <c r="D200" t="s">
        <v>287</v>
      </c>
      <c r="E200" s="35" t="s">
        <v>280</v>
      </c>
      <c r="F200" s="29" t="s">
        <v>262</v>
      </c>
      <c r="G200" s="36">
        <v>-15</v>
      </c>
      <c r="H200" s="36">
        <v>-0.09</v>
      </c>
    </row>
    <row r="201" spans="1:8">
      <c r="A201" s="62">
        <v>136204861051</v>
      </c>
      <c r="B201" t="s">
        <v>4</v>
      </c>
      <c r="C201" s="35" t="s">
        <v>280</v>
      </c>
      <c r="D201" t="s">
        <v>260</v>
      </c>
      <c r="E201" s="35" t="s">
        <v>280</v>
      </c>
      <c r="F201" s="29" t="s">
        <v>262</v>
      </c>
      <c r="G201" s="36">
        <v>20300</v>
      </c>
      <c r="H201" s="36">
        <v>121.8</v>
      </c>
    </row>
    <row r="202" spans="1:8">
      <c r="A202" s="62">
        <v>136830857486</v>
      </c>
      <c r="B202" t="s">
        <v>4</v>
      </c>
      <c r="C202" s="35" t="s">
        <v>280</v>
      </c>
      <c r="D202" t="s">
        <v>260</v>
      </c>
      <c r="E202" s="35" t="s">
        <v>280</v>
      </c>
      <c r="F202" s="29" t="s">
        <v>262</v>
      </c>
      <c r="G202" s="36">
        <v>9800</v>
      </c>
      <c r="H202" s="36">
        <v>58.8</v>
      </c>
    </row>
    <row r="203" spans="1:8">
      <c r="A203" s="62">
        <v>136831622152</v>
      </c>
      <c r="B203" t="s">
        <v>263</v>
      </c>
      <c r="C203" s="35" t="s">
        <v>280</v>
      </c>
      <c r="D203" t="s">
        <v>260</v>
      </c>
      <c r="E203" s="35" t="s">
        <v>280</v>
      </c>
      <c r="F203" s="29" t="s">
        <v>262</v>
      </c>
      <c r="G203" s="36">
        <v>33600</v>
      </c>
      <c r="H203" s="36">
        <v>201.6</v>
      </c>
    </row>
    <row r="204" spans="1:8">
      <c r="A204" s="62">
        <v>136210105119</v>
      </c>
      <c r="B204" t="s">
        <v>288</v>
      </c>
      <c r="C204" s="35" t="s">
        <v>280</v>
      </c>
      <c r="D204" t="s">
        <v>260</v>
      </c>
      <c r="E204" s="35" t="s">
        <v>280</v>
      </c>
      <c r="F204" s="29" t="s">
        <v>262</v>
      </c>
      <c r="G204" s="36">
        <v>5670</v>
      </c>
      <c r="H204" s="36">
        <v>34.020000000000003</v>
      </c>
    </row>
    <row r="205" spans="1:8">
      <c r="A205" s="62">
        <v>136834993162</v>
      </c>
      <c r="B205" t="s">
        <v>4</v>
      </c>
      <c r="C205" s="35" t="s">
        <v>280</v>
      </c>
      <c r="D205" t="s">
        <v>260</v>
      </c>
      <c r="E205" s="35" t="s">
        <v>280</v>
      </c>
      <c r="F205" s="29" t="s">
        <v>262</v>
      </c>
      <c r="G205" s="36">
        <v>28800</v>
      </c>
      <c r="H205" s="36">
        <v>172.8</v>
      </c>
    </row>
    <row r="206" spans="1:8">
      <c r="A206" s="62">
        <v>136211684499</v>
      </c>
      <c r="B206" t="s">
        <v>263</v>
      </c>
      <c r="C206" s="35" t="s">
        <v>280</v>
      </c>
      <c r="D206" t="s">
        <v>260</v>
      </c>
      <c r="E206" s="35" t="s">
        <v>280</v>
      </c>
      <c r="F206" s="29" t="s">
        <v>262</v>
      </c>
      <c r="G206" s="36">
        <v>8400</v>
      </c>
      <c r="H206" s="36">
        <v>50.4</v>
      </c>
    </row>
    <row r="207" spans="1:8">
      <c r="A207" s="62">
        <v>136215527717</v>
      </c>
      <c r="B207" t="s">
        <v>4</v>
      </c>
      <c r="C207" s="35" t="s">
        <v>280</v>
      </c>
      <c r="D207" t="s">
        <v>260</v>
      </c>
      <c r="E207" s="35" t="s">
        <v>280</v>
      </c>
      <c r="F207" s="29" t="s">
        <v>262</v>
      </c>
      <c r="G207" s="36">
        <v>9800</v>
      </c>
      <c r="H207" s="36">
        <v>58.8</v>
      </c>
    </row>
    <row r="208" spans="1:8">
      <c r="A208" s="62">
        <v>136818536256</v>
      </c>
      <c r="B208" t="s">
        <v>263</v>
      </c>
      <c r="C208" s="35" t="s">
        <v>280</v>
      </c>
      <c r="D208" t="s">
        <v>260</v>
      </c>
      <c r="E208" s="35" t="s">
        <v>280</v>
      </c>
      <c r="F208" s="29" t="s">
        <v>262</v>
      </c>
      <c r="G208" s="36">
        <v>8400</v>
      </c>
      <c r="H208" s="36">
        <v>50.4</v>
      </c>
    </row>
    <row r="209" spans="1:8">
      <c r="A209" s="62">
        <v>136216655895</v>
      </c>
      <c r="B209" t="s">
        <v>4</v>
      </c>
      <c r="C209" s="35" t="s">
        <v>280</v>
      </c>
      <c r="D209" t="s">
        <v>260</v>
      </c>
      <c r="E209" s="35" t="s">
        <v>280</v>
      </c>
      <c r="F209" s="29" t="s">
        <v>262</v>
      </c>
      <c r="G209" s="36">
        <v>74900</v>
      </c>
      <c r="H209" s="36">
        <v>449.4</v>
      </c>
    </row>
    <row r="210" spans="1:8">
      <c r="A210" s="62">
        <v>136842377166</v>
      </c>
      <c r="B210" t="s">
        <v>4</v>
      </c>
      <c r="C210" s="35" t="s">
        <v>280</v>
      </c>
      <c r="D210" t="s">
        <v>260</v>
      </c>
      <c r="E210" s="35" t="s">
        <v>280</v>
      </c>
      <c r="F210" s="29" t="s">
        <v>262</v>
      </c>
      <c r="G210" s="36">
        <v>45900</v>
      </c>
      <c r="H210" s="36">
        <v>275.39999999999998</v>
      </c>
    </row>
    <row r="211" spans="1:8">
      <c r="A211" s="62">
        <v>136218123829</v>
      </c>
      <c r="B211" t="s">
        <v>263</v>
      </c>
      <c r="C211" s="35" t="s">
        <v>280</v>
      </c>
      <c r="D211" t="s">
        <v>260</v>
      </c>
      <c r="E211" s="35" t="s">
        <v>280</v>
      </c>
      <c r="F211" s="29" t="s">
        <v>262</v>
      </c>
      <c r="G211" s="36">
        <v>35400</v>
      </c>
      <c r="H211" s="36">
        <v>212.4</v>
      </c>
    </row>
    <row r="212" spans="1:8">
      <c r="A212" s="62">
        <v>136219156717</v>
      </c>
      <c r="B212" t="s">
        <v>4</v>
      </c>
      <c r="C212" s="35" t="s">
        <v>280</v>
      </c>
      <c r="D212" t="s">
        <v>260</v>
      </c>
      <c r="E212" s="35" t="s">
        <v>280</v>
      </c>
      <c r="F212" s="29" t="s">
        <v>262</v>
      </c>
      <c r="G212" s="36">
        <v>30900</v>
      </c>
      <c r="H212" s="36">
        <v>185.4</v>
      </c>
    </row>
    <row r="213" spans="1:8">
      <c r="A213" s="62">
        <v>136220557227</v>
      </c>
      <c r="B213" t="s">
        <v>4</v>
      </c>
      <c r="C213" s="35" t="s">
        <v>280</v>
      </c>
      <c r="D213" t="s">
        <v>260</v>
      </c>
      <c r="E213" s="35" t="s">
        <v>289</v>
      </c>
      <c r="F213" s="29" t="s">
        <v>262</v>
      </c>
      <c r="G213" s="36">
        <v>40600</v>
      </c>
      <c r="H213" s="36">
        <v>243.6</v>
      </c>
    </row>
    <row r="214" spans="1:8">
      <c r="A214" s="62">
        <v>136220625165</v>
      </c>
      <c r="B214" t="s">
        <v>290</v>
      </c>
      <c r="C214" s="35" t="s">
        <v>280</v>
      </c>
      <c r="D214" t="s">
        <v>260</v>
      </c>
      <c r="E214" s="35" t="s">
        <v>289</v>
      </c>
      <c r="F214" s="29" t="s">
        <v>262</v>
      </c>
      <c r="G214" s="36">
        <v>3370</v>
      </c>
      <c r="H214" s="36">
        <v>20.22</v>
      </c>
    </row>
    <row r="215" spans="1:8">
      <c r="A215" s="62">
        <v>136220730559</v>
      </c>
      <c r="B215" t="s">
        <v>4</v>
      </c>
      <c r="C215" s="35" t="s">
        <v>280</v>
      </c>
      <c r="D215" t="s">
        <v>260</v>
      </c>
      <c r="E215" s="35" t="s">
        <v>289</v>
      </c>
      <c r="F215" s="29" t="s">
        <v>262</v>
      </c>
      <c r="G215" s="36">
        <v>67400</v>
      </c>
      <c r="H215" s="36">
        <v>404.4</v>
      </c>
    </row>
    <row r="216" spans="1:8">
      <c r="A216" s="62">
        <v>136220865009</v>
      </c>
      <c r="B216" t="s">
        <v>4</v>
      </c>
      <c r="C216" s="35" t="s">
        <v>280</v>
      </c>
      <c r="D216" t="s">
        <v>260</v>
      </c>
      <c r="E216" s="35" t="s">
        <v>289</v>
      </c>
      <c r="F216" s="29" t="s">
        <v>262</v>
      </c>
      <c r="G216" s="36">
        <v>108500</v>
      </c>
      <c r="H216" s="36">
        <v>651</v>
      </c>
    </row>
    <row r="217" spans="1:8">
      <c r="A217" s="62">
        <v>136220881265</v>
      </c>
      <c r="B217" t="s">
        <v>4</v>
      </c>
      <c r="C217" s="35" t="s">
        <v>280</v>
      </c>
      <c r="D217" t="s">
        <v>260</v>
      </c>
      <c r="E217" s="35" t="s">
        <v>289</v>
      </c>
      <c r="F217" s="29" t="s">
        <v>262</v>
      </c>
      <c r="G217" s="36">
        <v>4900</v>
      </c>
      <c r="H217" s="36">
        <v>29.4</v>
      </c>
    </row>
    <row r="218" spans="1:8">
      <c r="A218" s="62">
        <v>136845876898</v>
      </c>
      <c r="B218" t="s">
        <v>4</v>
      </c>
      <c r="C218" s="35" t="s">
        <v>280</v>
      </c>
      <c r="D218" t="s">
        <v>260</v>
      </c>
      <c r="E218" s="35" t="s">
        <v>289</v>
      </c>
      <c r="F218" s="29" t="s">
        <v>262</v>
      </c>
      <c r="G218" s="36">
        <v>10000</v>
      </c>
      <c r="H218" s="36">
        <v>60</v>
      </c>
    </row>
    <row r="219" spans="1:8">
      <c r="A219" s="62">
        <v>136845900762</v>
      </c>
      <c r="B219" t="s">
        <v>291</v>
      </c>
      <c r="C219" s="35" t="s">
        <v>280</v>
      </c>
      <c r="D219" t="s">
        <v>260</v>
      </c>
      <c r="E219" s="35" t="s">
        <v>289</v>
      </c>
      <c r="F219" s="29" t="s">
        <v>262</v>
      </c>
      <c r="G219" s="36">
        <v>1000</v>
      </c>
      <c r="H219" s="36">
        <v>6</v>
      </c>
    </row>
    <row r="220" spans="1:8">
      <c r="A220" s="62">
        <v>136222531101</v>
      </c>
      <c r="B220" t="s">
        <v>263</v>
      </c>
      <c r="C220" s="35" t="s">
        <v>280</v>
      </c>
      <c r="D220" t="s">
        <v>260</v>
      </c>
      <c r="E220" s="35" t="s">
        <v>289</v>
      </c>
      <c r="F220" s="29" t="s">
        <v>262</v>
      </c>
      <c r="G220" s="36">
        <v>69800</v>
      </c>
      <c r="H220" s="36">
        <v>418.8</v>
      </c>
    </row>
    <row r="221" spans="1:8">
      <c r="A221" s="62">
        <v>136847009092</v>
      </c>
      <c r="B221" t="s">
        <v>4</v>
      </c>
      <c r="C221" s="35" t="s">
        <v>280</v>
      </c>
      <c r="D221" t="s">
        <v>260</v>
      </c>
      <c r="E221" s="35" t="s">
        <v>289</v>
      </c>
      <c r="F221" s="29" t="s">
        <v>262</v>
      </c>
      <c r="G221" s="36">
        <v>49300</v>
      </c>
      <c r="H221" s="36">
        <v>295.8</v>
      </c>
    </row>
    <row r="222" spans="1:8">
      <c r="A222" s="62">
        <v>136223253361</v>
      </c>
      <c r="B222" t="s">
        <v>4</v>
      </c>
      <c r="C222" s="35" t="s">
        <v>280</v>
      </c>
      <c r="D222" t="s">
        <v>260</v>
      </c>
      <c r="E222" s="35" t="s">
        <v>289</v>
      </c>
      <c r="F222" s="29" t="s">
        <v>262</v>
      </c>
      <c r="G222" s="36">
        <v>40100</v>
      </c>
      <c r="H222" s="36">
        <v>240.6</v>
      </c>
    </row>
    <row r="223" spans="1:8">
      <c r="A223" s="62">
        <v>136847779382</v>
      </c>
      <c r="B223" t="s">
        <v>292</v>
      </c>
      <c r="C223" s="35" t="s">
        <v>280</v>
      </c>
      <c r="D223" t="s">
        <v>260</v>
      </c>
      <c r="E223" s="35" t="s">
        <v>289</v>
      </c>
      <c r="F223" s="29" t="s">
        <v>262</v>
      </c>
      <c r="G223" s="36">
        <v>240</v>
      </c>
      <c r="H223" s="36">
        <v>1.44</v>
      </c>
    </row>
    <row r="224" spans="1:8">
      <c r="A224" s="62">
        <v>136848149164</v>
      </c>
      <c r="B224" t="s">
        <v>263</v>
      </c>
      <c r="C224" s="35" t="s">
        <v>289</v>
      </c>
      <c r="D224" t="s">
        <v>260</v>
      </c>
      <c r="E224" s="35" t="s">
        <v>289</v>
      </c>
      <c r="F224" s="29" t="s">
        <v>262</v>
      </c>
      <c r="G224" s="36">
        <v>8000</v>
      </c>
      <c r="H224" s="36">
        <v>48</v>
      </c>
    </row>
    <row r="225" spans="1:8">
      <c r="A225" s="62">
        <v>136224867297</v>
      </c>
      <c r="B225" t="s">
        <v>263</v>
      </c>
      <c r="C225" s="35" t="s">
        <v>289</v>
      </c>
      <c r="D225" t="s">
        <v>260</v>
      </c>
      <c r="E225" s="35" t="s">
        <v>289</v>
      </c>
      <c r="F225" s="29" t="s">
        <v>262</v>
      </c>
      <c r="G225" s="36">
        <v>15800</v>
      </c>
      <c r="H225" s="36">
        <v>94.8</v>
      </c>
    </row>
    <row r="226" spans="1:8">
      <c r="A226" s="62">
        <v>136849120260</v>
      </c>
      <c r="B226" t="s">
        <v>4</v>
      </c>
      <c r="C226" s="35" t="s">
        <v>289</v>
      </c>
      <c r="D226" t="s">
        <v>260</v>
      </c>
      <c r="E226" s="35" t="s">
        <v>289</v>
      </c>
      <c r="F226" s="29" t="s">
        <v>262</v>
      </c>
      <c r="G226" s="36">
        <v>128400</v>
      </c>
      <c r="H226" s="36">
        <v>770.4</v>
      </c>
    </row>
    <row r="227" spans="1:8">
      <c r="A227" s="62">
        <v>136203880503</v>
      </c>
      <c r="B227" t="s">
        <v>263</v>
      </c>
      <c r="C227" s="35" t="s">
        <v>280</v>
      </c>
      <c r="D227" t="s">
        <v>260</v>
      </c>
      <c r="E227" s="35" t="s">
        <v>280</v>
      </c>
      <c r="F227" s="29" t="s">
        <v>262</v>
      </c>
      <c r="G227" s="36">
        <v>23800</v>
      </c>
      <c r="H227" s="36">
        <v>142.80000000000001</v>
      </c>
    </row>
    <row r="228" spans="1:8">
      <c r="A228" s="62">
        <v>136225395513</v>
      </c>
      <c r="B228" t="s">
        <v>4</v>
      </c>
      <c r="C228" s="35" t="s">
        <v>289</v>
      </c>
      <c r="D228" t="s">
        <v>260</v>
      </c>
      <c r="E228" s="35" t="s">
        <v>289</v>
      </c>
      <c r="F228" s="29" t="s">
        <v>262</v>
      </c>
      <c r="G228" s="36">
        <v>54800</v>
      </c>
      <c r="H228" s="36">
        <v>328.8</v>
      </c>
    </row>
    <row r="229" spans="1:8">
      <c r="A229" s="62">
        <v>136850043496</v>
      </c>
      <c r="B229" t="s">
        <v>4</v>
      </c>
      <c r="C229" s="35" t="s">
        <v>289</v>
      </c>
      <c r="D229" t="s">
        <v>260</v>
      </c>
      <c r="E229" s="35" t="s">
        <v>289</v>
      </c>
      <c r="F229" s="29" t="s">
        <v>262</v>
      </c>
      <c r="G229" s="36">
        <v>8200</v>
      </c>
      <c r="H229" s="36">
        <v>49.2</v>
      </c>
    </row>
    <row r="230" spans="1:8">
      <c r="A230" s="62">
        <v>136225810367</v>
      </c>
      <c r="B230" t="s">
        <v>4</v>
      </c>
      <c r="C230" s="35" t="s">
        <v>289</v>
      </c>
      <c r="D230" t="s">
        <v>260</v>
      </c>
      <c r="E230" s="35" t="s">
        <v>289</v>
      </c>
      <c r="F230" s="29" t="s">
        <v>262</v>
      </c>
      <c r="G230" s="36">
        <v>13600</v>
      </c>
      <c r="H230" s="36">
        <v>81.599999999999994</v>
      </c>
    </row>
    <row r="231" spans="1:8">
      <c r="A231" s="62">
        <v>136829205946</v>
      </c>
      <c r="B231" t="s">
        <v>293</v>
      </c>
      <c r="C231" s="35" t="s">
        <v>280</v>
      </c>
      <c r="D231" t="s">
        <v>260</v>
      </c>
      <c r="E231" s="35" t="s">
        <v>280</v>
      </c>
      <c r="F231" s="29" t="s">
        <v>262</v>
      </c>
      <c r="G231" s="36">
        <v>1015</v>
      </c>
      <c r="H231" s="36">
        <v>6.09</v>
      </c>
    </row>
    <row r="232" spans="1:8">
      <c r="A232" s="62">
        <v>136851154852</v>
      </c>
      <c r="B232" t="s">
        <v>263</v>
      </c>
      <c r="C232" s="35" t="s">
        <v>289</v>
      </c>
      <c r="D232" t="s">
        <v>260</v>
      </c>
      <c r="E232" s="35" t="s">
        <v>289</v>
      </c>
      <c r="F232" s="29" t="s">
        <v>262</v>
      </c>
      <c r="G232" s="36">
        <v>16500</v>
      </c>
      <c r="H232" s="36">
        <v>99</v>
      </c>
    </row>
    <row r="233" spans="1:8">
      <c r="A233" s="62">
        <v>136851820766</v>
      </c>
      <c r="B233" t="s">
        <v>4</v>
      </c>
      <c r="C233" s="35" t="s">
        <v>289</v>
      </c>
      <c r="D233" t="s">
        <v>260</v>
      </c>
      <c r="E233" s="35" t="s">
        <v>289</v>
      </c>
      <c r="F233" s="29" t="s">
        <v>262</v>
      </c>
      <c r="G233" s="36">
        <v>11000</v>
      </c>
      <c r="H233" s="36">
        <v>66</v>
      </c>
    </row>
    <row r="234" spans="1:8">
      <c r="A234" s="62">
        <v>136206758325</v>
      </c>
      <c r="B234" t="s">
        <v>4</v>
      </c>
      <c r="C234" s="35" t="s">
        <v>280</v>
      </c>
      <c r="D234" t="s">
        <v>260</v>
      </c>
      <c r="E234" s="35" t="s">
        <v>280</v>
      </c>
      <c r="F234" s="29" t="s">
        <v>262</v>
      </c>
      <c r="G234" s="36">
        <v>79200</v>
      </c>
      <c r="H234" s="36">
        <v>475.2</v>
      </c>
    </row>
    <row r="235" spans="1:8">
      <c r="A235" s="62">
        <v>136228392459</v>
      </c>
      <c r="B235" t="s">
        <v>263</v>
      </c>
      <c r="C235" s="35" t="s">
        <v>289</v>
      </c>
      <c r="D235" t="s">
        <v>260</v>
      </c>
      <c r="E235" s="35" t="s">
        <v>289</v>
      </c>
      <c r="F235" s="29" t="s">
        <v>262</v>
      </c>
      <c r="G235" s="36">
        <v>9600</v>
      </c>
      <c r="H235" s="36">
        <v>57.6</v>
      </c>
    </row>
    <row r="236" spans="1:8">
      <c r="A236" s="62">
        <v>136206659707</v>
      </c>
      <c r="B236" t="s">
        <v>4</v>
      </c>
      <c r="C236" s="35" t="s">
        <v>280</v>
      </c>
      <c r="D236" t="s">
        <v>260</v>
      </c>
      <c r="E236" s="35" t="s">
        <v>280</v>
      </c>
      <c r="F236" s="29" t="s">
        <v>262</v>
      </c>
      <c r="G236" s="36">
        <v>35800</v>
      </c>
      <c r="H236" s="36">
        <v>214.8</v>
      </c>
    </row>
    <row r="237" spans="1:8">
      <c r="A237" s="62">
        <v>136852498300</v>
      </c>
      <c r="B237" t="s">
        <v>4</v>
      </c>
      <c r="C237" s="35" t="s">
        <v>289</v>
      </c>
      <c r="D237" t="s">
        <v>260</v>
      </c>
      <c r="E237" s="35" t="s">
        <v>289</v>
      </c>
      <c r="F237" s="29" t="s">
        <v>262</v>
      </c>
      <c r="G237" s="36">
        <v>50900</v>
      </c>
      <c r="H237" s="36">
        <v>305.39999999999998</v>
      </c>
    </row>
    <row r="238" spans="1:8">
      <c r="A238" s="62">
        <v>136852538278</v>
      </c>
      <c r="B238" t="s">
        <v>4</v>
      </c>
      <c r="C238" s="35" t="s">
        <v>289</v>
      </c>
      <c r="D238" t="s">
        <v>260</v>
      </c>
      <c r="E238" s="35" t="s">
        <v>289</v>
      </c>
      <c r="F238" s="29" t="s">
        <v>262</v>
      </c>
      <c r="G238" s="36">
        <v>40000</v>
      </c>
      <c r="H238" s="36">
        <v>240</v>
      </c>
    </row>
    <row r="239" spans="1:8">
      <c r="A239" s="62">
        <v>136852399824</v>
      </c>
      <c r="B239" t="s">
        <v>294</v>
      </c>
      <c r="C239" s="35" t="s">
        <v>289</v>
      </c>
      <c r="D239" t="s">
        <v>260</v>
      </c>
      <c r="E239" s="35" t="s">
        <v>289</v>
      </c>
      <c r="F239" s="29" t="s">
        <v>262</v>
      </c>
      <c r="G239" s="36">
        <v>1175</v>
      </c>
      <c r="H239" s="36">
        <v>7.05</v>
      </c>
    </row>
    <row r="240" spans="1:8">
      <c r="A240" s="62">
        <v>136228863049</v>
      </c>
      <c r="B240" t="s">
        <v>4</v>
      </c>
      <c r="C240" s="35" t="s">
        <v>289</v>
      </c>
      <c r="D240" t="s">
        <v>260</v>
      </c>
      <c r="E240" s="35" t="s">
        <v>289</v>
      </c>
      <c r="F240" s="29" t="s">
        <v>262</v>
      </c>
      <c r="G240" s="36">
        <v>23400</v>
      </c>
      <c r="H240" s="36">
        <v>140.4</v>
      </c>
    </row>
    <row r="241" spans="1:8">
      <c r="A241" s="62">
        <v>136853412720</v>
      </c>
      <c r="B241" t="s">
        <v>4</v>
      </c>
      <c r="C241" s="35" t="s">
        <v>289</v>
      </c>
      <c r="D241" t="s">
        <v>260</v>
      </c>
      <c r="E241" s="35" t="s">
        <v>289</v>
      </c>
      <c r="F241" s="29" t="s">
        <v>262</v>
      </c>
      <c r="G241" s="36">
        <v>8900</v>
      </c>
      <c r="H241" s="36">
        <v>53.4</v>
      </c>
    </row>
    <row r="242" spans="1:8">
      <c r="A242" s="62">
        <v>136853256074</v>
      </c>
      <c r="B242" t="s">
        <v>4</v>
      </c>
      <c r="C242" s="35" t="s">
        <v>289</v>
      </c>
      <c r="D242" t="s">
        <v>260</v>
      </c>
      <c r="E242" s="35" t="s">
        <v>289</v>
      </c>
      <c r="F242" s="29" t="s">
        <v>262</v>
      </c>
      <c r="G242" s="36">
        <v>4600</v>
      </c>
      <c r="H242" s="36">
        <v>27.6</v>
      </c>
    </row>
    <row r="243" spans="1:8">
      <c r="A243" s="62">
        <v>136832417604</v>
      </c>
      <c r="B243" t="s">
        <v>263</v>
      </c>
      <c r="C243" s="35" t="s">
        <v>280</v>
      </c>
      <c r="D243" t="s">
        <v>260</v>
      </c>
      <c r="E243" s="35" t="s">
        <v>280</v>
      </c>
      <c r="F243" s="29" t="s">
        <v>262</v>
      </c>
      <c r="G243" s="36">
        <v>9800</v>
      </c>
      <c r="H243" s="36">
        <v>58.8</v>
      </c>
    </row>
    <row r="244" spans="1:8">
      <c r="A244" s="62">
        <v>136832854604</v>
      </c>
      <c r="B244" t="s">
        <v>4</v>
      </c>
      <c r="C244" s="35" t="s">
        <v>280</v>
      </c>
      <c r="D244" t="s">
        <v>260</v>
      </c>
      <c r="E244" s="35" t="s">
        <v>280</v>
      </c>
      <c r="F244" s="29" t="s">
        <v>262</v>
      </c>
      <c r="G244" s="36">
        <v>45900</v>
      </c>
      <c r="H244" s="36">
        <v>275.39999999999998</v>
      </c>
    </row>
    <row r="245" spans="1:8">
      <c r="A245" s="62">
        <v>136833574628</v>
      </c>
      <c r="B245" t="s">
        <v>263</v>
      </c>
      <c r="C245" s="35" t="s">
        <v>280</v>
      </c>
      <c r="D245" t="s">
        <v>260</v>
      </c>
      <c r="E245" s="35" t="s">
        <v>280</v>
      </c>
      <c r="F245" s="29" t="s">
        <v>262</v>
      </c>
      <c r="G245" s="36">
        <v>16700</v>
      </c>
      <c r="H245" s="36">
        <v>100.2</v>
      </c>
    </row>
    <row r="246" spans="1:8">
      <c r="A246" s="62">
        <v>136834634474</v>
      </c>
      <c r="B246" t="s">
        <v>4</v>
      </c>
      <c r="C246" s="35" t="s">
        <v>280</v>
      </c>
      <c r="D246" t="s">
        <v>260</v>
      </c>
      <c r="E246" s="35" t="s">
        <v>280</v>
      </c>
      <c r="F246" s="29" t="s">
        <v>262</v>
      </c>
      <c r="G246" s="36">
        <v>56700</v>
      </c>
      <c r="H246" s="36">
        <v>340.2</v>
      </c>
    </row>
    <row r="247" spans="1:8">
      <c r="A247" s="62">
        <v>136210130003</v>
      </c>
      <c r="B247" t="s">
        <v>263</v>
      </c>
      <c r="C247" s="35" t="s">
        <v>280</v>
      </c>
      <c r="D247" t="s">
        <v>260</v>
      </c>
      <c r="E247" s="35" t="s">
        <v>280</v>
      </c>
      <c r="F247" s="29" t="s">
        <v>262</v>
      </c>
      <c r="G247" s="36">
        <v>9600</v>
      </c>
      <c r="H247" s="36">
        <v>57.6</v>
      </c>
    </row>
    <row r="248" spans="1:8">
      <c r="A248" s="62">
        <v>136213897005</v>
      </c>
      <c r="B248" t="s">
        <v>4</v>
      </c>
      <c r="C248" s="35" t="s">
        <v>280</v>
      </c>
      <c r="D248" t="s">
        <v>260</v>
      </c>
      <c r="E248" s="35" t="s">
        <v>280</v>
      </c>
      <c r="F248" s="29" t="s">
        <v>262</v>
      </c>
      <c r="G248" s="36">
        <v>28600</v>
      </c>
      <c r="H248" s="36">
        <v>171.6</v>
      </c>
    </row>
    <row r="249" spans="1:8">
      <c r="A249" s="62">
        <v>136838943248</v>
      </c>
      <c r="B249" t="s">
        <v>4</v>
      </c>
      <c r="C249" s="35" t="s">
        <v>280</v>
      </c>
      <c r="D249" t="s">
        <v>260</v>
      </c>
      <c r="E249" s="35" t="s">
        <v>280</v>
      </c>
      <c r="F249" s="29" t="s">
        <v>262</v>
      </c>
      <c r="G249" s="36">
        <v>55200</v>
      </c>
      <c r="H249" s="36">
        <v>331.2</v>
      </c>
    </row>
    <row r="250" spans="1:8">
      <c r="A250" s="62">
        <v>136841338408</v>
      </c>
      <c r="B250" t="s">
        <v>263</v>
      </c>
      <c r="C250" s="35" t="s">
        <v>280</v>
      </c>
      <c r="D250" t="s">
        <v>260</v>
      </c>
      <c r="E250" s="35" t="s">
        <v>280</v>
      </c>
      <c r="F250" s="29" t="s">
        <v>262</v>
      </c>
      <c r="G250" s="36">
        <v>30400</v>
      </c>
      <c r="H250" s="36">
        <v>182.4</v>
      </c>
    </row>
    <row r="251" spans="1:8">
      <c r="A251" s="62">
        <v>136218385685</v>
      </c>
      <c r="B251" t="s">
        <v>263</v>
      </c>
      <c r="C251" s="35" t="s">
        <v>280</v>
      </c>
      <c r="D251" t="s">
        <v>260</v>
      </c>
      <c r="E251" s="35" t="s">
        <v>280</v>
      </c>
      <c r="F251" s="29" t="s">
        <v>262</v>
      </c>
      <c r="G251" s="36">
        <v>11900</v>
      </c>
      <c r="H251" s="36">
        <v>71.400000000000006</v>
      </c>
    </row>
    <row r="252" spans="1:8">
      <c r="A252" s="62">
        <v>136843283090</v>
      </c>
      <c r="B252" t="s">
        <v>295</v>
      </c>
      <c r="C252" s="35" t="s">
        <v>280</v>
      </c>
      <c r="D252" t="s">
        <v>260</v>
      </c>
      <c r="E252" s="35" t="s">
        <v>280</v>
      </c>
      <c r="F252" s="29" t="s">
        <v>262</v>
      </c>
      <c r="G252" s="36">
        <v>3090</v>
      </c>
      <c r="H252" s="36">
        <v>18.54</v>
      </c>
    </row>
    <row r="253" spans="1:8">
      <c r="A253" s="62">
        <v>136219694583</v>
      </c>
      <c r="B253" t="s">
        <v>4</v>
      </c>
      <c r="C253" s="35" t="s">
        <v>280</v>
      </c>
      <c r="D253" t="s">
        <v>260</v>
      </c>
      <c r="E253" s="35" t="s">
        <v>280</v>
      </c>
      <c r="F253" s="29" t="s">
        <v>262</v>
      </c>
      <c r="G253" s="36">
        <v>13800</v>
      </c>
      <c r="H253" s="36">
        <v>82.8</v>
      </c>
    </row>
    <row r="254" spans="1:8">
      <c r="A254" s="62">
        <v>136219721357</v>
      </c>
      <c r="B254" t="s">
        <v>4</v>
      </c>
      <c r="C254" s="35" t="s">
        <v>280</v>
      </c>
      <c r="D254" t="s">
        <v>260</v>
      </c>
      <c r="E254" s="35" t="s">
        <v>280</v>
      </c>
      <c r="F254" s="29" t="s">
        <v>262</v>
      </c>
      <c r="G254" s="36">
        <v>47400</v>
      </c>
      <c r="H254" s="36">
        <v>284.39999999999998</v>
      </c>
    </row>
    <row r="255" spans="1:8">
      <c r="A255" s="62">
        <v>136220079091</v>
      </c>
      <c r="B255" t="s">
        <v>4</v>
      </c>
      <c r="C255" s="35" t="s">
        <v>280</v>
      </c>
      <c r="D255" t="s">
        <v>260</v>
      </c>
      <c r="E255" s="35" t="s">
        <v>289</v>
      </c>
      <c r="F255" s="29" t="s">
        <v>262</v>
      </c>
      <c r="G255" s="36">
        <v>40500</v>
      </c>
      <c r="H255" s="36">
        <v>243</v>
      </c>
    </row>
    <row r="256" spans="1:8">
      <c r="A256" s="62">
        <v>136220272599</v>
      </c>
      <c r="B256" t="s">
        <v>263</v>
      </c>
      <c r="C256" s="35" t="s">
        <v>280</v>
      </c>
      <c r="D256" t="s">
        <v>260</v>
      </c>
      <c r="E256" s="35" t="s">
        <v>289</v>
      </c>
      <c r="F256" s="29" t="s">
        <v>262</v>
      </c>
      <c r="G256" s="36">
        <v>78500</v>
      </c>
      <c r="H256" s="36">
        <v>471</v>
      </c>
    </row>
    <row r="257" spans="1:8">
      <c r="A257" s="62">
        <v>136845098224</v>
      </c>
      <c r="B257" t="s">
        <v>296</v>
      </c>
      <c r="C257" s="35" t="s">
        <v>280</v>
      </c>
      <c r="D257" t="s">
        <v>260</v>
      </c>
      <c r="E257" s="35" t="s">
        <v>289</v>
      </c>
      <c r="F257" s="29" t="s">
        <v>262</v>
      </c>
      <c r="G257" s="36">
        <v>490</v>
      </c>
      <c r="H257" s="36">
        <v>2.94</v>
      </c>
    </row>
    <row r="258" spans="1:8">
      <c r="A258" s="62">
        <v>136221145509</v>
      </c>
      <c r="B258" t="s">
        <v>4</v>
      </c>
      <c r="C258" s="35" t="s">
        <v>280</v>
      </c>
      <c r="D258" t="s">
        <v>260</v>
      </c>
      <c r="E258" s="35" t="s">
        <v>289</v>
      </c>
      <c r="F258" s="29" t="s">
        <v>262</v>
      </c>
      <c r="G258" s="36">
        <v>39200</v>
      </c>
      <c r="H258" s="36">
        <v>235.2</v>
      </c>
    </row>
    <row r="259" spans="1:8">
      <c r="A259" s="62">
        <v>136221829339</v>
      </c>
      <c r="B259" t="s">
        <v>4</v>
      </c>
      <c r="C259" s="35" t="s">
        <v>280</v>
      </c>
      <c r="D259" t="s">
        <v>260</v>
      </c>
      <c r="E259" s="35" t="s">
        <v>289</v>
      </c>
      <c r="F259" s="29" t="s">
        <v>262</v>
      </c>
      <c r="G259" s="36">
        <v>67000</v>
      </c>
      <c r="H259" s="36">
        <v>402</v>
      </c>
    </row>
    <row r="260" spans="1:8">
      <c r="A260" s="62">
        <v>136847414214</v>
      </c>
      <c r="B260" t="s">
        <v>263</v>
      </c>
      <c r="C260" s="35" t="s">
        <v>280</v>
      </c>
      <c r="D260" t="s">
        <v>260</v>
      </c>
      <c r="E260" s="35" t="s">
        <v>289</v>
      </c>
      <c r="F260" s="29" t="s">
        <v>262</v>
      </c>
      <c r="G260" s="36">
        <v>125900</v>
      </c>
      <c r="H260" s="36">
        <v>755.4</v>
      </c>
    </row>
    <row r="261" spans="1:8">
      <c r="A261" s="62">
        <v>136223263413</v>
      </c>
      <c r="B261" t="s">
        <v>297</v>
      </c>
      <c r="C261" s="35" t="s">
        <v>280</v>
      </c>
      <c r="D261" t="s">
        <v>260</v>
      </c>
      <c r="E261" s="35" t="s">
        <v>289</v>
      </c>
      <c r="F261" s="29" t="s">
        <v>262</v>
      </c>
      <c r="G261" s="36">
        <v>2005</v>
      </c>
      <c r="H261" s="36">
        <v>12.03</v>
      </c>
    </row>
    <row r="262" spans="1:8">
      <c r="A262" s="62">
        <v>136223962251</v>
      </c>
      <c r="B262" t="s">
        <v>4</v>
      </c>
      <c r="C262" s="35" t="s">
        <v>280</v>
      </c>
      <c r="D262" t="s">
        <v>260</v>
      </c>
      <c r="E262" s="35" t="s">
        <v>289</v>
      </c>
      <c r="F262" s="29" t="s">
        <v>262</v>
      </c>
      <c r="G262" s="36">
        <v>4800</v>
      </c>
      <c r="H262" s="36">
        <v>28.8</v>
      </c>
    </row>
    <row r="263" spans="1:8">
      <c r="A263" s="62">
        <v>136847902518</v>
      </c>
      <c r="B263" t="s">
        <v>4</v>
      </c>
      <c r="C263" s="35" t="s">
        <v>280</v>
      </c>
      <c r="D263" t="s">
        <v>260</v>
      </c>
      <c r="E263" s="35" t="s">
        <v>289</v>
      </c>
      <c r="F263" s="29" t="s">
        <v>262</v>
      </c>
      <c r="G263" s="36">
        <v>35000</v>
      </c>
      <c r="H263" s="36">
        <v>210</v>
      </c>
    </row>
    <row r="264" spans="1:8">
      <c r="A264" s="62">
        <v>136224880879</v>
      </c>
      <c r="B264" t="s">
        <v>263</v>
      </c>
      <c r="C264" s="35" t="s">
        <v>289</v>
      </c>
      <c r="D264" t="s">
        <v>260</v>
      </c>
      <c r="E264" s="35" t="s">
        <v>289</v>
      </c>
      <c r="F264" s="29" t="s">
        <v>262</v>
      </c>
      <c r="G264" s="36">
        <v>30300</v>
      </c>
      <c r="H264" s="36">
        <v>181.8</v>
      </c>
    </row>
    <row r="265" spans="1:8">
      <c r="A265" s="62">
        <v>136849253616</v>
      </c>
      <c r="B265" t="s">
        <v>4</v>
      </c>
      <c r="C265" s="35" t="s">
        <v>289</v>
      </c>
      <c r="D265" t="s">
        <v>260</v>
      </c>
      <c r="E265" s="35" t="s">
        <v>289</v>
      </c>
      <c r="F265" s="29" t="s">
        <v>262</v>
      </c>
      <c r="G265" s="36">
        <v>27000</v>
      </c>
      <c r="H265" s="36">
        <v>162</v>
      </c>
    </row>
    <row r="266" spans="1:8">
      <c r="A266" s="62">
        <v>136849195784</v>
      </c>
      <c r="B266" t="s">
        <v>298</v>
      </c>
      <c r="C266" s="35" t="s">
        <v>289</v>
      </c>
      <c r="D266" t="s">
        <v>260</v>
      </c>
      <c r="E266" s="35" t="s">
        <v>289</v>
      </c>
      <c r="F266" s="29" t="s">
        <v>262</v>
      </c>
      <c r="G266" s="36">
        <v>2700</v>
      </c>
      <c r="H266" s="36">
        <v>16.2</v>
      </c>
    </row>
    <row r="267" spans="1:8">
      <c r="A267" s="62">
        <v>136225228919</v>
      </c>
      <c r="B267" t="s">
        <v>263</v>
      </c>
      <c r="C267" s="35" t="s">
        <v>289</v>
      </c>
      <c r="D267" t="s">
        <v>260</v>
      </c>
      <c r="E267" s="35" t="s">
        <v>289</v>
      </c>
      <c r="F267" s="29" t="s">
        <v>262</v>
      </c>
      <c r="G267" s="36">
        <v>18600</v>
      </c>
      <c r="H267" s="36">
        <v>111.6</v>
      </c>
    </row>
    <row r="268" spans="1:8">
      <c r="A268" s="62">
        <v>136226252295</v>
      </c>
      <c r="B268" t="s">
        <v>4</v>
      </c>
      <c r="C268" s="35" t="s">
        <v>289</v>
      </c>
      <c r="D268" t="s">
        <v>260</v>
      </c>
      <c r="E268" s="35" t="s">
        <v>289</v>
      </c>
      <c r="F268" s="29" t="s">
        <v>262</v>
      </c>
      <c r="G268" s="36">
        <v>39900</v>
      </c>
      <c r="H268" s="36">
        <v>239.4</v>
      </c>
    </row>
    <row r="269" spans="1:8">
      <c r="A269" s="62">
        <v>136850580072</v>
      </c>
      <c r="B269" t="s">
        <v>299</v>
      </c>
      <c r="C269" s="35" t="s">
        <v>289</v>
      </c>
      <c r="D269" t="s">
        <v>260</v>
      </c>
      <c r="E269" s="35" t="s">
        <v>289</v>
      </c>
      <c r="F269" s="29" t="s">
        <v>262</v>
      </c>
      <c r="G269" s="36">
        <v>1995</v>
      </c>
      <c r="H269" s="36">
        <v>11.97</v>
      </c>
    </row>
    <row r="270" spans="1:8">
      <c r="A270" s="62">
        <v>136852576368</v>
      </c>
      <c r="B270" t="s">
        <v>4</v>
      </c>
      <c r="C270" s="35" t="s">
        <v>289</v>
      </c>
      <c r="D270" t="s">
        <v>260</v>
      </c>
      <c r="E270" s="35" t="s">
        <v>289</v>
      </c>
      <c r="F270" s="29" t="s">
        <v>262</v>
      </c>
      <c r="G270" s="36">
        <v>23500</v>
      </c>
      <c r="H270" s="36">
        <v>141</v>
      </c>
    </row>
    <row r="271" spans="1:8">
      <c r="A271" s="62">
        <v>136853004650</v>
      </c>
      <c r="B271" t="s">
        <v>263</v>
      </c>
      <c r="C271" s="35" t="s">
        <v>289</v>
      </c>
      <c r="D271" t="s">
        <v>260</v>
      </c>
      <c r="E271" s="35" t="s">
        <v>289</v>
      </c>
      <c r="F271" s="29" t="s">
        <v>262</v>
      </c>
      <c r="G271" s="36">
        <v>12800</v>
      </c>
      <c r="H271" s="36">
        <v>76.8</v>
      </c>
    </row>
    <row r="272" spans="1:8">
      <c r="A272" s="62">
        <v>136229026095</v>
      </c>
      <c r="B272" t="s">
        <v>4</v>
      </c>
      <c r="C272" s="35" t="s">
        <v>289</v>
      </c>
      <c r="D272" t="s">
        <v>260</v>
      </c>
      <c r="E272" s="35" t="s">
        <v>289</v>
      </c>
      <c r="F272" s="29" t="s">
        <v>262</v>
      </c>
      <c r="G272" s="36">
        <v>11000</v>
      </c>
      <c r="H272" s="36">
        <v>66</v>
      </c>
    </row>
    <row r="273" spans="1:8">
      <c r="A273" s="62">
        <v>136853257216</v>
      </c>
      <c r="B273" t="s">
        <v>263</v>
      </c>
      <c r="C273" s="35" t="s">
        <v>289</v>
      </c>
      <c r="D273" t="s">
        <v>260</v>
      </c>
      <c r="E273" s="35" t="s">
        <v>289</v>
      </c>
      <c r="F273" s="29" t="s">
        <v>262</v>
      </c>
      <c r="G273" s="36">
        <v>9600</v>
      </c>
      <c r="H273" s="36">
        <v>57.6</v>
      </c>
    </row>
    <row r="274" spans="1:8">
      <c r="A274" s="62">
        <v>136853330906</v>
      </c>
      <c r="B274" t="s">
        <v>4</v>
      </c>
      <c r="C274" s="35" t="s">
        <v>289</v>
      </c>
      <c r="D274" t="s">
        <v>260</v>
      </c>
      <c r="E274" s="35" t="s">
        <v>289</v>
      </c>
      <c r="F274" s="29" t="s">
        <v>262</v>
      </c>
      <c r="G274" s="36">
        <v>24100</v>
      </c>
      <c r="H274" s="36">
        <v>144.6</v>
      </c>
    </row>
    <row r="275" spans="1:8">
      <c r="A275" s="62">
        <v>136853572472</v>
      </c>
      <c r="B275" t="s">
        <v>4</v>
      </c>
      <c r="C275" s="35" t="s">
        <v>289</v>
      </c>
      <c r="D275" t="s">
        <v>260</v>
      </c>
      <c r="E275" s="35" t="s">
        <v>289</v>
      </c>
      <c r="F275" s="29" t="s">
        <v>262</v>
      </c>
      <c r="G275" s="36">
        <v>23800</v>
      </c>
      <c r="H275" s="36">
        <v>142.80000000000001</v>
      </c>
    </row>
    <row r="276" spans="1:8">
      <c r="A276" s="62">
        <v>136229366917</v>
      </c>
      <c r="B276" t="s">
        <v>263</v>
      </c>
      <c r="C276" s="35" t="s">
        <v>289</v>
      </c>
      <c r="D276" t="s">
        <v>260</v>
      </c>
      <c r="E276" s="35" t="s">
        <v>289</v>
      </c>
      <c r="F276" s="29" t="s">
        <v>262</v>
      </c>
      <c r="G276" s="36">
        <v>19400</v>
      </c>
      <c r="H276" s="36">
        <v>116.4</v>
      </c>
    </row>
    <row r="277" spans="1:8">
      <c r="A277" s="62">
        <v>136932804102</v>
      </c>
      <c r="B277" t="s">
        <v>4</v>
      </c>
      <c r="C277" s="35" t="s">
        <v>289</v>
      </c>
      <c r="D277" t="s">
        <v>260</v>
      </c>
      <c r="E277" s="35" t="s">
        <v>289</v>
      </c>
      <c r="F277" s="29" t="s">
        <v>262</v>
      </c>
      <c r="G277" s="36">
        <v>19600</v>
      </c>
      <c r="H277" s="36">
        <v>117.6</v>
      </c>
    </row>
    <row r="278" spans="1:8">
      <c r="A278" s="62">
        <v>136308302633</v>
      </c>
      <c r="B278" t="s">
        <v>4</v>
      </c>
      <c r="C278" s="35" t="s">
        <v>289</v>
      </c>
      <c r="D278" t="s">
        <v>260</v>
      </c>
      <c r="E278" s="35" t="s">
        <v>289</v>
      </c>
      <c r="F278" s="29" t="s">
        <v>262</v>
      </c>
      <c r="G278" s="36">
        <v>14500</v>
      </c>
      <c r="H278" s="36">
        <v>87</v>
      </c>
    </row>
    <row r="279" spans="1:8">
      <c r="A279" s="62">
        <v>136310829977</v>
      </c>
      <c r="B279" t="s">
        <v>4</v>
      </c>
      <c r="C279" s="35" t="s">
        <v>289</v>
      </c>
      <c r="D279" t="s">
        <v>260</v>
      </c>
      <c r="E279" s="35" t="s">
        <v>289</v>
      </c>
      <c r="F279" s="29" t="s">
        <v>262</v>
      </c>
      <c r="G279" s="36">
        <v>11600</v>
      </c>
      <c r="H279" s="36">
        <v>69.599999999999994</v>
      </c>
    </row>
    <row r="280" spans="1:8">
      <c r="A280" s="62">
        <v>136936109502</v>
      </c>
      <c r="B280" t="s">
        <v>300</v>
      </c>
      <c r="C280" s="35" t="s">
        <v>289</v>
      </c>
      <c r="D280" t="s">
        <v>260</v>
      </c>
      <c r="E280" s="35" t="s">
        <v>289</v>
      </c>
      <c r="F280" s="29" t="s">
        <v>262</v>
      </c>
      <c r="G280" s="36">
        <v>1455</v>
      </c>
      <c r="H280" s="36">
        <v>8.73</v>
      </c>
    </row>
    <row r="281" spans="1:8">
      <c r="A281" s="62">
        <v>136317195527</v>
      </c>
      <c r="B281" t="s">
        <v>4</v>
      </c>
      <c r="C281" s="35" t="s">
        <v>289</v>
      </c>
      <c r="D281" t="s">
        <v>260</v>
      </c>
      <c r="E281" s="35" t="s">
        <v>289</v>
      </c>
      <c r="F281" s="29" t="s">
        <v>262</v>
      </c>
      <c r="G281" s="36">
        <v>17250</v>
      </c>
      <c r="H281" s="36">
        <v>103.5</v>
      </c>
    </row>
    <row r="282" spans="1:8">
      <c r="A282" s="62">
        <v>136319101835</v>
      </c>
      <c r="B282" t="s">
        <v>4</v>
      </c>
      <c r="C282" s="35" t="s">
        <v>289</v>
      </c>
      <c r="D282" t="s">
        <v>260</v>
      </c>
      <c r="E282" s="35" t="s">
        <v>289</v>
      </c>
      <c r="F282" s="29" t="s">
        <v>262</v>
      </c>
      <c r="G282" s="36">
        <v>9600</v>
      </c>
      <c r="H282" s="36">
        <v>57.6</v>
      </c>
    </row>
    <row r="283" spans="1:8">
      <c r="A283" s="62">
        <v>136943872826</v>
      </c>
      <c r="B283" t="s">
        <v>4</v>
      </c>
      <c r="C283" s="35" t="s">
        <v>289</v>
      </c>
      <c r="D283" t="s">
        <v>260</v>
      </c>
      <c r="E283" s="35" t="s">
        <v>289</v>
      </c>
      <c r="F283" s="29" t="s">
        <v>262</v>
      </c>
      <c r="G283" s="36">
        <v>28200</v>
      </c>
      <c r="H283" s="36">
        <v>169.2</v>
      </c>
    </row>
    <row r="284" spans="1:8">
      <c r="A284" s="62">
        <v>136943914206</v>
      </c>
      <c r="B284" t="s">
        <v>301</v>
      </c>
      <c r="C284" s="35" t="s">
        <v>289</v>
      </c>
      <c r="D284" t="s">
        <v>260</v>
      </c>
      <c r="E284" s="35" t="s">
        <v>289</v>
      </c>
      <c r="F284" s="29" t="s">
        <v>262</v>
      </c>
      <c r="G284" s="36">
        <v>2820</v>
      </c>
      <c r="H284" s="36">
        <v>16.920000000000002</v>
      </c>
    </row>
    <row r="285" spans="1:8">
      <c r="A285" s="62">
        <v>136944124048</v>
      </c>
      <c r="B285" t="s">
        <v>4</v>
      </c>
      <c r="C285" s="35" t="s">
        <v>289</v>
      </c>
      <c r="D285" t="s">
        <v>260</v>
      </c>
      <c r="E285" s="35" t="s">
        <v>289</v>
      </c>
      <c r="F285" s="29" t="s">
        <v>262</v>
      </c>
      <c r="G285" s="36">
        <v>8900</v>
      </c>
      <c r="H285" s="36">
        <v>53.4</v>
      </c>
    </row>
    <row r="286" spans="1:8">
      <c r="A286" s="62">
        <v>136319916303</v>
      </c>
      <c r="B286" t="s">
        <v>4</v>
      </c>
      <c r="C286" s="35" t="s">
        <v>289</v>
      </c>
      <c r="D286" t="s">
        <v>260</v>
      </c>
      <c r="E286" s="35" t="s">
        <v>289</v>
      </c>
      <c r="F286" s="29" t="s">
        <v>262</v>
      </c>
      <c r="G286" s="36">
        <v>62800</v>
      </c>
      <c r="H286" s="36">
        <v>376.8</v>
      </c>
    </row>
    <row r="287" spans="1:8">
      <c r="A287" s="62">
        <v>136945689714</v>
      </c>
      <c r="B287" t="s">
        <v>4</v>
      </c>
      <c r="C287" s="35" t="s">
        <v>289</v>
      </c>
      <c r="D287" t="s">
        <v>260</v>
      </c>
      <c r="E287" s="35" t="s">
        <v>289</v>
      </c>
      <c r="F287" s="29" t="s">
        <v>262</v>
      </c>
      <c r="G287" s="36">
        <v>45400</v>
      </c>
      <c r="H287" s="36">
        <v>272.39999999999998</v>
      </c>
    </row>
    <row r="288" spans="1:8">
      <c r="A288" s="62">
        <v>136321226061</v>
      </c>
      <c r="B288" t="s">
        <v>4</v>
      </c>
      <c r="C288" s="35" t="s">
        <v>289</v>
      </c>
      <c r="D288" t="s">
        <v>260</v>
      </c>
      <c r="E288" s="35" t="s">
        <v>289</v>
      </c>
      <c r="F288" s="29" t="s">
        <v>262</v>
      </c>
      <c r="G288" s="36">
        <v>46200</v>
      </c>
      <c r="H288" s="36">
        <v>277.2</v>
      </c>
    </row>
    <row r="289" spans="1:8">
      <c r="A289" s="62">
        <v>136946176762</v>
      </c>
      <c r="B289" t="s">
        <v>263</v>
      </c>
      <c r="C289" s="35" t="s">
        <v>289</v>
      </c>
      <c r="D289" t="s">
        <v>260</v>
      </c>
      <c r="E289" s="35" t="s">
        <v>289</v>
      </c>
      <c r="F289" s="29" t="s">
        <v>262</v>
      </c>
      <c r="G289" s="36">
        <v>81100</v>
      </c>
      <c r="H289" s="36">
        <v>486.6</v>
      </c>
    </row>
    <row r="290" spans="1:8">
      <c r="A290" s="62">
        <v>136946271262</v>
      </c>
      <c r="B290" t="s">
        <v>4</v>
      </c>
      <c r="C290" s="35" t="s">
        <v>289</v>
      </c>
      <c r="D290" t="s">
        <v>260</v>
      </c>
      <c r="E290" s="35" t="s">
        <v>289</v>
      </c>
      <c r="F290" s="29" t="s">
        <v>262</v>
      </c>
      <c r="G290" s="36">
        <v>4800</v>
      </c>
      <c r="H290" s="36">
        <v>28.8</v>
      </c>
    </row>
    <row r="291" spans="1:8">
      <c r="A291" s="62">
        <v>136321620855</v>
      </c>
      <c r="B291" t="s">
        <v>302</v>
      </c>
      <c r="C291" s="35" t="s">
        <v>289</v>
      </c>
      <c r="D291" t="s">
        <v>260</v>
      </c>
      <c r="E291" s="35" t="s">
        <v>289</v>
      </c>
      <c r="F291" s="29" t="s">
        <v>262</v>
      </c>
      <c r="G291" s="36">
        <v>240</v>
      </c>
      <c r="H291" s="36">
        <v>1.44</v>
      </c>
    </row>
    <row r="292" spans="1:8">
      <c r="A292" s="62">
        <v>136324281207</v>
      </c>
      <c r="B292" t="s">
        <v>263</v>
      </c>
      <c r="C292" s="35" t="s">
        <v>289</v>
      </c>
      <c r="D292" t="s">
        <v>260</v>
      </c>
      <c r="E292" s="35" t="s">
        <v>289</v>
      </c>
      <c r="F292" s="29" t="s">
        <v>262</v>
      </c>
      <c r="G292" s="36">
        <v>39700</v>
      </c>
      <c r="H292" s="36">
        <v>238.2</v>
      </c>
    </row>
    <row r="293" spans="1:8">
      <c r="A293" s="62">
        <v>136324797799</v>
      </c>
      <c r="B293" t="s">
        <v>263</v>
      </c>
      <c r="C293" s="35" t="s">
        <v>289</v>
      </c>
      <c r="D293" t="s">
        <v>260</v>
      </c>
      <c r="E293" s="35" t="s">
        <v>289</v>
      </c>
      <c r="F293" s="29" t="s">
        <v>262</v>
      </c>
      <c r="G293" s="36">
        <v>40300</v>
      </c>
      <c r="H293" s="36">
        <v>241.8</v>
      </c>
    </row>
    <row r="294" spans="1:8">
      <c r="A294" s="62">
        <v>136325278171</v>
      </c>
      <c r="B294" t="s">
        <v>263</v>
      </c>
      <c r="C294" s="35" t="s">
        <v>289</v>
      </c>
      <c r="D294" t="s">
        <v>260</v>
      </c>
      <c r="E294" s="35" t="s">
        <v>289</v>
      </c>
      <c r="F294" s="29" t="s">
        <v>262</v>
      </c>
      <c r="G294" s="36">
        <v>9800</v>
      </c>
      <c r="H294" s="36">
        <v>58.8</v>
      </c>
    </row>
    <row r="295" spans="1:8">
      <c r="A295" s="62">
        <v>136950108244</v>
      </c>
      <c r="B295" t="s">
        <v>4</v>
      </c>
      <c r="C295" s="35" t="s">
        <v>289</v>
      </c>
      <c r="D295" t="s">
        <v>260</v>
      </c>
      <c r="E295" s="35" t="s">
        <v>289</v>
      </c>
      <c r="F295" s="29" t="s">
        <v>262</v>
      </c>
      <c r="G295" s="36">
        <v>10300</v>
      </c>
      <c r="H295" s="36">
        <v>61.8</v>
      </c>
    </row>
    <row r="296" spans="1:8">
      <c r="A296" s="62">
        <v>136950669354</v>
      </c>
      <c r="B296" t="s">
        <v>263</v>
      </c>
      <c r="C296" s="35" t="s">
        <v>289</v>
      </c>
      <c r="D296" t="s">
        <v>260</v>
      </c>
      <c r="E296" s="35" t="s">
        <v>289</v>
      </c>
      <c r="F296" s="29" t="s">
        <v>262</v>
      </c>
      <c r="G296" s="36">
        <v>36600</v>
      </c>
      <c r="H296" s="36">
        <v>219.6</v>
      </c>
    </row>
    <row r="297" spans="1:8">
      <c r="A297" s="62">
        <v>136326731001</v>
      </c>
      <c r="B297" t="s">
        <v>4</v>
      </c>
      <c r="C297" s="35" t="s">
        <v>289</v>
      </c>
      <c r="D297" t="s">
        <v>260</v>
      </c>
      <c r="E297" s="35" t="s">
        <v>289</v>
      </c>
      <c r="F297" s="29" t="s">
        <v>262</v>
      </c>
      <c r="G297" s="36">
        <v>11900</v>
      </c>
      <c r="H297" s="36">
        <v>71.400000000000006</v>
      </c>
    </row>
    <row r="298" spans="1:8">
      <c r="A298" s="62">
        <v>136327286571</v>
      </c>
      <c r="B298" t="s">
        <v>4</v>
      </c>
      <c r="C298" s="35" t="s">
        <v>289</v>
      </c>
      <c r="D298" t="s">
        <v>260</v>
      </c>
      <c r="E298" s="35" t="s">
        <v>289</v>
      </c>
      <c r="F298" s="29" t="s">
        <v>262</v>
      </c>
      <c r="G298" s="36">
        <v>19900</v>
      </c>
      <c r="H298" s="36">
        <v>119.4</v>
      </c>
    </row>
    <row r="299" spans="1:8">
      <c r="A299" s="62">
        <v>136952289620</v>
      </c>
      <c r="B299" t="s">
        <v>4</v>
      </c>
      <c r="C299" s="35" t="s">
        <v>289</v>
      </c>
      <c r="D299" t="s">
        <v>260</v>
      </c>
      <c r="E299" s="35" t="s">
        <v>289</v>
      </c>
      <c r="F299" s="29" t="s">
        <v>262</v>
      </c>
      <c r="G299" s="36">
        <v>4900</v>
      </c>
      <c r="H299" s="36">
        <v>29.4</v>
      </c>
    </row>
    <row r="300" spans="1:8">
      <c r="A300" s="62">
        <v>136328449873</v>
      </c>
      <c r="B300" t="s">
        <v>4</v>
      </c>
      <c r="C300" s="35" t="s">
        <v>289</v>
      </c>
      <c r="D300" t="s">
        <v>260</v>
      </c>
      <c r="E300" s="35" t="s">
        <v>289</v>
      </c>
      <c r="F300" s="29" t="s">
        <v>262</v>
      </c>
      <c r="G300" s="36">
        <v>145100</v>
      </c>
      <c r="H300" s="36">
        <v>870.6</v>
      </c>
    </row>
    <row r="301" spans="1:8">
      <c r="A301" s="62">
        <v>136307742213</v>
      </c>
      <c r="B301" t="s">
        <v>4</v>
      </c>
      <c r="C301" s="35" t="s">
        <v>289</v>
      </c>
      <c r="D301" t="s">
        <v>260</v>
      </c>
      <c r="E301" s="35" t="s">
        <v>289</v>
      </c>
      <c r="F301" s="29" t="s">
        <v>262</v>
      </c>
      <c r="G301" s="36">
        <v>14200</v>
      </c>
      <c r="H301" s="36">
        <v>85.2</v>
      </c>
    </row>
    <row r="302" spans="1:8">
      <c r="A302" s="62">
        <v>136328990057</v>
      </c>
      <c r="B302" t="s">
        <v>263</v>
      </c>
      <c r="C302" s="35" t="s">
        <v>289</v>
      </c>
      <c r="D302" t="s">
        <v>260</v>
      </c>
      <c r="E302" s="35" t="s">
        <v>289</v>
      </c>
      <c r="F302" s="29" t="s">
        <v>262</v>
      </c>
      <c r="G302" s="36">
        <v>56700</v>
      </c>
      <c r="H302" s="36">
        <v>340.2</v>
      </c>
    </row>
    <row r="303" spans="1:8">
      <c r="A303" s="62">
        <v>136953884316</v>
      </c>
      <c r="B303" t="s">
        <v>263</v>
      </c>
      <c r="C303" s="35" t="s">
        <v>289</v>
      </c>
      <c r="D303" t="s">
        <v>260</v>
      </c>
      <c r="E303" s="35" t="s">
        <v>289</v>
      </c>
      <c r="F303" s="29" t="s">
        <v>262</v>
      </c>
      <c r="G303" s="36">
        <v>48000</v>
      </c>
      <c r="H303" s="36">
        <v>288</v>
      </c>
    </row>
    <row r="304" spans="1:8">
      <c r="A304" s="62">
        <v>136308330289</v>
      </c>
      <c r="B304" t="s">
        <v>303</v>
      </c>
      <c r="C304" s="35" t="s">
        <v>289</v>
      </c>
      <c r="D304" t="s">
        <v>260</v>
      </c>
      <c r="E304" s="35" t="s">
        <v>289</v>
      </c>
      <c r="F304" s="29" t="s">
        <v>262</v>
      </c>
      <c r="G304" s="36">
        <v>725</v>
      </c>
      <c r="H304" s="36">
        <v>4.3499999999999996</v>
      </c>
    </row>
    <row r="305" spans="1:8">
      <c r="A305" s="62">
        <v>136954494152</v>
      </c>
      <c r="B305" t="s">
        <v>263</v>
      </c>
      <c r="C305" s="35" t="s">
        <v>289</v>
      </c>
      <c r="D305" t="s">
        <v>260</v>
      </c>
      <c r="E305" s="35" t="s">
        <v>304</v>
      </c>
      <c r="F305" s="29" t="s">
        <v>262</v>
      </c>
      <c r="G305" s="36">
        <v>28800</v>
      </c>
      <c r="H305" s="36">
        <v>172.8</v>
      </c>
    </row>
    <row r="306" spans="1:8">
      <c r="A306" s="62">
        <v>136330605015</v>
      </c>
      <c r="B306" t="s">
        <v>263</v>
      </c>
      <c r="C306" s="35" t="s">
        <v>289</v>
      </c>
      <c r="D306" t="s">
        <v>260</v>
      </c>
      <c r="E306" s="35" t="s">
        <v>304</v>
      </c>
      <c r="F306" s="29" t="s">
        <v>262</v>
      </c>
      <c r="G306" s="36">
        <v>19700</v>
      </c>
      <c r="H306" s="36">
        <v>118.2</v>
      </c>
    </row>
    <row r="307" spans="1:8">
      <c r="A307" s="62">
        <v>136330599489</v>
      </c>
      <c r="B307" t="s">
        <v>4</v>
      </c>
      <c r="C307" s="35" t="s">
        <v>289</v>
      </c>
      <c r="D307" t="s">
        <v>260</v>
      </c>
      <c r="E307" s="35" t="s">
        <v>304</v>
      </c>
      <c r="F307" s="29" t="s">
        <v>262</v>
      </c>
      <c r="G307" s="36">
        <v>75900</v>
      </c>
      <c r="H307" s="36">
        <v>455.4</v>
      </c>
    </row>
    <row r="308" spans="1:8">
      <c r="A308" s="62">
        <v>136330964239</v>
      </c>
      <c r="B308" t="s">
        <v>4</v>
      </c>
      <c r="C308" s="35" t="s">
        <v>289</v>
      </c>
      <c r="D308" t="s">
        <v>260</v>
      </c>
      <c r="E308" s="35" t="s">
        <v>304</v>
      </c>
      <c r="F308" s="29" t="s">
        <v>262</v>
      </c>
      <c r="G308" s="36">
        <v>59400</v>
      </c>
      <c r="H308" s="36">
        <v>356.4</v>
      </c>
    </row>
    <row r="309" spans="1:8">
      <c r="A309" s="62">
        <v>136331418449</v>
      </c>
      <c r="B309" t="s">
        <v>263</v>
      </c>
      <c r="C309" s="35" t="s">
        <v>289</v>
      </c>
      <c r="D309" t="s">
        <v>260</v>
      </c>
      <c r="E309" s="35" t="s">
        <v>304</v>
      </c>
      <c r="F309" s="29" t="s">
        <v>262</v>
      </c>
      <c r="G309" s="36">
        <v>56600</v>
      </c>
      <c r="H309" s="36">
        <v>339.6</v>
      </c>
    </row>
    <row r="310" spans="1:8">
      <c r="A310" s="62">
        <v>136331423567</v>
      </c>
      <c r="B310" t="s">
        <v>4</v>
      </c>
      <c r="C310" s="35" t="s">
        <v>289</v>
      </c>
      <c r="D310" t="s">
        <v>260</v>
      </c>
      <c r="E310" s="35" t="s">
        <v>304</v>
      </c>
      <c r="F310" s="29" t="s">
        <v>262</v>
      </c>
      <c r="G310" s="36">
        <v>44200</v>
      </c>
      <c r="H310" s="36">
        <v>265.2</v>
      </c>
    </row>
    <row r="311" spans="1:8">
      <c r="A311" s="62">
        <v>136956585806</v>
      </c>
      <c r="B311" t="s">
        <v>305</v>
      </c>
      <c r="C311" s="35" t="s">
        <v>289</v>
      </c>
      <c r="D311" t="s">
        <v>260</v>
      </c>
      <c r="E311" s="35" t="s">
        <v>304</v>
      </c>
      <c r="F311" s="29" t="s">
        <v>262</v>
      </c>
      <c r="G311" s="36">
        <v>1145</v>
      </c>
      <c r="H311" s="36">
        <v>6.87</v>
      </c>
    </row>
    <row r="312" spans="1:8">
      <c r="A312" s="62">
        <v>136956816280</v>
      </c>
      <c r="B312" t="s">
        <v>263</v>
      </c>
      <c r="C312" s="35" t="s">
        <v>289</v>
      </c>
      <c r="D312" t="s">
        <v>260</v>
      </c>
      <c r="E312" s="35" t="s">
        <v>304</v>
      </c>
      <c r="F312" s="29" t="s">
        <v>262</v>
      </c>
      <c r="G312" s="36">
        <v>23000</v>
      </c>
      <c r="H312" s="36">
        <v>138</v>
      </c>
    </row>
    <row r="313" spans="1:8">
      <c r="A313" s="62">
        <v>136311573047</v>
      </c>
      <c r="B313" t="s">
        <v>4</v>
      </c>
      <c r="C313" s="35" t="s">
        <v>289</v>
      </c>
      <c r="D313" t="s">
        <v>260</v>
      </c>
      <c r="E313" s="35" t="s">
        <v>289</v>
      </c>
      <c r="F313" s="29" t="s">
        <v>262</v>
      </c>
      <c r="G313" s="36">
        <v>29100</v>
      </c>
      <c r="H313" s="36">
        <v>174.6</v>
      </c>
    </row>
    <row r="314" spans="1:8">
      <c r="A314" s="62">
        <v>136332882027</v>
      </c>
      <c r="B314" t="s">
        <v>263</v>
      </c>
      <c r="C314" s="35" t="s">
        <v>304</v>
      </c>
      <c r="D314" t="s">
        <v>260</v>
      </c>
      <c r="E314" s="35" t="s">
        <v>304</v>
      </c>
      <c r="F314" s="29" t="s">
        <v>262</v>
      </c>
      <c r="G314" s="36">
        <v>80900</v>
      </c>
      <c r="H314" s="36">
        <v>485.4</v>
      </c>
    </row>
    <row r="315" spans="1:8">
      <c r="A315" s="62">
        <v>136936831094</v>
      </c>
      <c r="B315" t="s">
        <v>4</v>
      </c>
      <c r="C315" s="35" t="s">
        <v>289</v>
      </c>
      <c r="D315" t="s">
        <v>260</v>
      </c>
      <c r="E315" s="35" t="s">
        <v>289</v>
      </c>
      <c r="F315" s="29" t="s">
        <v>262</v>
      </c>
      <c r="G315" s="36">
        <v>9800</v>
      </c>
      <c r="H315" s="36">
        <v>58.8</v>
      </c>
    </row>
    <row r="316" spans="1:8">
      <c r="A316" s="62">
        <v>136958169118</v>
      </c>
      <c r="B316" t="s">
        <v>4</v>
      </c>
      <c r="C316" s="35" t="s">
        <v>304</v>
      </c>
      <c r="D316" t="s">
        <v>260</v>
      </c>
      <c r="E316" s="35" t="s">
        <v>304</v>
      </c>
      <c r="F316" s="29" t="s">
        <v>262</v>
      </c>
      <c r="G316" s="36">
        <v>61100</v>
      </c>
      <c r="H316" s="36">
        <v>366.6</v>
      </c>
    </row>
    <row r="317" spans="1:8">
      <c r="A317" s="62">
        <v>136333640811</v>
      </c>
      <c r="B317" t="s">
        <v>263</v>
      </c>
      <c r="C317" s="35" t="s">
        <v>304</v>
      </c>
      <c r="D317" t="s">
        <v>260</v>
      </c>
      <c r="E317" s="35" t="s">
        <v>304</v>
      </c>
      <c r="F317" s="29" t="s">
        <v>262</v>
      </c>
      <c r="G317" s="36">
        <v>8900</v>
      </c>
      <c r="H317" s="36">
        <v>53.4</v>
      </c>
    </row>
    <row r="318" spans="1:8">
      <c r="A318" s="62">
        <v>136333603887</v>
      </c>
      <c r="B318" t="s">
        <v>4</v>
      </c>
      <c r="C318" s="35" t="s">
        <v>304</v>
      </c>
      <c r="D318" t="s">
        <v>260</v>
      </c>
      <c r="E318" s="35" t="s">
        <v>304</v>
      </c>
      <c r="F318" s="29" t="s">
        <v>262</v>
      </c>
      <c r="G318" s="36">
        <v>32700</v>
      </c>
      <c r="H318" s="36">
        <v>196.2</v>
      </c>
    </row>
    <row r="319" spans="1:8">
      <c r="A319" s="62">
        <v>136333911623</v>
      </c>
      <c r="B319" t="s">
        <v>306</v>
      </c>
      <c r="C319" s="35" t="s">
        <v>304</v>
      </c>
      <c r="D319" t="s">
        <v>260</v>
      </c>
      <c r="E319" s="35" t="s">
        <v>304</v>
      </c>
      <c r="F319" s="29" t="s">
        <v>262</v>
      </c>
      <c r="G319" s="36">
        <v>2415</v>
      </c>
      <c r="H319" s="36">
        <v>14.49</v>
      </c>
    </row>
    <row r="320" spans="1:8">
      <c r="A320" s="62">
        <v>136334028143</v>
      </c>
      <c r="B320" t="s">
        <v>4</v>
      </c>
      <c r="C320" s="35" t="s">
        <v>304</v>
      </c>
      <c r="D320" t="s">
        <v>260</v>
      </c>
      <c r="E320" s="35" t="s">
        <v>304</v>
      </c>
      <c r="F320" s="29" t="s">
        <v>262</v>
      </c>
      <c r="G320" s="36">
        <v>48300</v>
      </c>
      <c r="H320" s="36">
        <v>289.8</v>
      </c>
    </row>
    <row r="321" spans="1:8">
      <c r="A321" s="62">
        <v>136958415842</v>
      </c>
      <c r="B321" t="s">
        <v>4</v>
      </c>
      <c r="C321" s="35" t="s">
        <v>304</v>
      </c>
      <c r="D321" t="s">
        <v>260</v>
      </c>
      <c r="E321" s="35" t="s">
        <v>304</v>
      </c>
      <c r="F321" s="29" t="s">
        <v>262</v>
      </c>
      <c r="G321" s="36">
        <v>18200</v>
      </c>
      <c r="H321" s="36">
        <v>109.2</v>
      </c>
    </row>
    <row r="322" spans="1:8">
      <c r="A322" s="62">
        <v>136958889094</v>
      </c>
      <c r="B322" t="s">
        <v>4</v>
      </c>
      <c r="C322" s="35" t="s">
        <v>304</v>
      </c>
      <c r="D322" t="s">
        <v>260</v>
      </c>
      <c r="E322" s="35" t="s">
        <v>304</v>
      </c>
      <c r="F322" s="29" t="s">
        <v>262</v>
      </c>
      <c r="G322" s="36">
        <v>20200</v>
      </c>
      <c r="H322" s="36">
        <v>121.2</v>
      </c>
    </row>
    <row r="323" spans="1:8">
      <c r="A323" s="62">
        <v>136334392821</v>
      </c>
      <c r="B323" t="s">
        <v>307</v>
      </c>
      <c r="C323" s="35" t="s">
        <v>304</v>
      </c>
      <c r="D323" t="s">
        <v>260</v>
      </c>
      <c r="E323" s="35" t="s">
        <v>304</v>
      </c>
      <c r="F323" s="29" t="s">
        <v>262</v>
      </c>
      <c r="G323" s="36">
        <v>475</v>
      </c>
      <c r="H323" s="36">
        <v>2.85</v>
      </c>
    </row>
    <row r="324" spans="1:8">
      <c r="A324" s="62">
        <v>136334494425</v>
      </c>
      <c r="B324" t="s">
        <v>4</v>
      </c>
      <c r="C324" s="35" t="s">
        <v>304</v>
      </c>
      <c r="D324" t="s">
        <v>260</v>
      </c>
      <c r="E324" s="35" t="s">
        <v>304</v>
      </c>
      <c r="F324" s="29" t="s">
        <v>262</v>
      </c>
      <c r="G324" s="36">
        <v>26200</v>
      </c>
      <c r="H324" s="36">
        <v>157.19999999999999</v>
      </c>
    </row>
    <row r="325" spans="1:8">
      <c r="A325" s="62">
        <v>136959425226</v>
      </c>
      <c r="B325" t="s">
        <v>4</v>
      </c>
      <c r="C325" s="35" t="s">
        <v>304</v>
      </c>
      <c r="D325" t="s">
        <v>260</v>
      </c>
      <c r="E325" s="35" t="s">
        <v>304</v>
      </c>
      <c r="F325" s="29" t="s">
        <v>262</v>
      </c>
      <c r="G325" s="36">
        <v>16800</v>
      </c>
      <c r="H325" s="36">
        <v>100.8</v>
      </c>
    </row>
    <row r="326" spans="1:8">
      <c r="A326" s="62">
        <v>136334778599</v>
      </c>
      <c r="B326" t="s">
        <v>263</v>
      </c>
      <c r="C326" s="35" t="s">
        <v>304</v>
      </c>
      <c r="D326" t="s">
        <v>260</v>
      </c>
      <c r="E326" s="35" t="s">
        <v>304</v>
      </c>
      <c r="F326" s="29" t="s">
        <v>262</v>
      </c>
      <c r="G326" s="36">
        <v>88500</v>
      </c>
      <c r="H326" s="36">
        <v>531</v>
      </c>
    </row>
    <row r="327" spans="1:8">
      <c r="A327" s="62">
        <v>136334889161</v>
      </c>
      <c r="B327" t="s">
        <v>308</v>
      </c>
      <c r="C327" s="35" t="s">
        <v>304</v>
      </c>
      <c r="D327" t="s">
        <v>260</v>
      </c>
      <c r="E327" s="35" t="s">
        <v>304</v>
      </c>
      <c r="F327" s="29" t="s">
        <v>262</v>
      </c>
      <c r="G327" s="36">
        <v>3620</v>
      </c>
      <c r="H327" s="36">
        <v>21.72</v>
      </c>
    </row>
    <row r="328" spans="1:8">
      <c r="A328" s="62">
        <v>136959626564</v>
      </c>
      <c r="B328" t="s">
        <v>263</v>
      </c>
      <c r="C328" s="35" t="s">
        <v>304</v>
      </c>
      <c r="D328" t="s">
        <v>260</v>
      </c>
      <c r="E328" s="35" t="s">
        <v>304</v>
      </c>
      <c r="F328" s="29" t="s">
        <v>262</v>
      </c>
      <c r="G328" s="36">
        <v>19200</v>
      </c>
      <c r="H328" s="36">
        <v>115.2</v>
      </c>
    </row>
    <row r="329" spans="1:8">
      <c r="A329" s="62">
        <v>136334877837</v>
      </c>
      <c r="B329" t="s">
        <v>4</v>
      </c>
      <c r="C329" s="35" t="s">
        <v>304</v>
      </c>
      <c r="D329" t="s">
        <v>260</v>
      </c>
      <c r="E329" s="35" t="s">
        <v>304</v>
      </c>
      <c r="F329" s="29" t="s">
        <v>262</v>
      </c>
      <c r="G329" s="36">
        <v>14700</v>
      </c>
      <c r="H329" s="36">
        <v>88.2</v>
      </c>
    </row>
    <row r="330" spans="1:8">
      <c r="A330" s="62">
        <v>136959665908</v>
      </c>
      <c r="B330" t="s">
        <v>4</v>
      </c>
      <c r="C330" s="35" t="s">
        <v>304</v>
      </c>
      <c r="D330" t="s">
        <v>260</v>
      </c>
      <c r="E330" s="35" t="s">
        <v>304</v>
      </c>
      <c r="F330" s="29" t="s">
        <v>262</v>
      </c>
      <c r="G330" s="36">
        <v>15300</v>
      </c>
      <c r="H330" s="36">
        <v>91.8</v>
      </c>
    </row>
    <row r="331" spans="1:8">
      <c r="A331" s="62">
        <v>136959788742</v>
      </c>
      <c r="B331" t="s">
        <v>263</v>
      </c>
      <c r="C331" s="35" t="s">
        <v>304</v>
      </c>
      <c r="D331" t="s">
        <v>260</v>
      </c>
      <c r="E331" s="35" t="s">
        <v>304</v>
      </c>
      <c r="F331" s="29" t="s">
        <v>262</v>
      </c>
      <c r="G331" s="36">
        <v>11000</v>
      </c>
      <c r="H331" s="36">
        <v>66</v>
      </c>
    </row>
    <row r="332" spans="1:8">
      <c r="A332" s="62">
        <v>136941329056</v>
      </c>
      <c r="B332" t="s">
        <v>263</v>
      </c>
      <c r="C332" s="35" t="s">
        <v>289</v>
      </c>
      <c r="D332" t="s">
        <v>260</v>
      </c>
      <c r="E332" s="35" t="s">
        <v>289</v>
      </c>
      <c r="F332" s="29" t="s">
        <v>262</v>
      </c>
      <c r="G332" s="36">
        <v>8400</v>
      </c>
      <c r="H332" s="36">
        <v>50.4</v>
      </c>
    </row>
    <row r="333" spans="1:8">
      <c r="A333" s="62">
        <v>136319904505</v>
      </c>
      <c r="B333" t="s">
        <v>309</v>
      </c>
      <c r="C333" s="35" t="s">
        <v>289</v>
      </c>
      <c r="D333" t="s">
        <v>260</v>
      </c>
      <c r="E333" s="35" t="s">
        <v>289</v>
      </c>
      <c r="F333" s="29" t="s">
        <v>262</v>
      </c>
      <c r="G333" s="36">
        <v>6280</v>
      </c>
      <c r="H333" s="36">
        <v>37.68</v>
      </c>
    </row>
    <row r="334" spans="1:8">
      <c r="A334" s="62">
        <v>136319893937</v>
      </c>
      <c r="B334" t="s">
        <v>263</v>
      </c>
      <c r="C334" s="35" t="s">
        <v>289</v>
      </c>
      <c r="D334" t="s">
        <v>260</v>
      </c>
      <c r="E334" s="35" t="s">
        <v>289</v>
      </c>
      <c r="F334" s="29" t="s">
        <v>262</v>
      </c>
      <c r="G334" s="36">
        <v>75400</v>
      </c>
      <c r="H334" s="36">
        <v>452.4</v>
      </c>
    </row>
    <row r="335" spans="1:8">
      <c r="A335" s="62">
        <v>136320927381</v>
      </c>
      <c r="B335" t="s">
        <v>263</v>
      </c>
      <c r="C335" s="35" t="s">
        <v>289</v>
      </c>
      <c r="D335" t="s">
        <v>260</v>
      </c>
      <c r="E335" s="35" t="s">
        <v>289</v>
      </c>
      <c r="F335" s="29" t="s">
        <v>262</v>
      </c>
      <c r="G335" s="36">
        <v>31200</v>
      </c>
      <c r="H335" s="36">
        <v>187.2</v>
      </c>
    </row>
    <row r="336" spans="1:8">
      <c r="A336" s="62">
        <v>136321148165</v>
      </c>
      <c r="B336" t="s">
        <v>4</v>
      </c>
      <c r="C336" s="35" t="s">
        <v>289</v>
      </c>
      <c r="D336" t="s">
        <v>260</v>
      </c>
      <c r="E336" s="35" t="s">
        <v>289</v>
      </c>
      <c r="F336" s="29" t="s">
        <v>262</v>
      </c>
      <c r="G336" s="36">
        <v>9600</v>
      </c>
      <c r="H336" s="36">
        <v>57.6</v>
      </c>
    </row>
    <row r="337" spans="1:8">
      <c r="A337" s="62">
        <v>136321853917</v>
      </c>
      <c r="B337" t="s">
        <v>263</v>
      </c>
      <c r="C337" s="35" t="s">
        <v>289</v>
      </c>
      <c r="D337" t="s">
        <v>260</v>
      </c>
      <c r="E337" s="35" t="s">
        <v>289</v>
      </c>
      <c r="F337" s="29" t="s">
        <v>262</v>
      </c>
      <c r="G337" s="36">
        <v>42000</v>
      </c>
      <c r="H337" s="36">
        <v>252</v>
      </c>
    </row>
    <row r="338" spans="1:8">
      <c r="A338" s="62">
        <v>136948433642</v>
      </c>
      <c r="B338" t="s">
        <v>4</v>
      </c>
      <c r="C338" s="35" t="s">
        <v>289</v>
      </c>
      <c r="D338" t="s">
        <v>260</v>
      </c>
      <c r="E338" s="35" t="s">
        <v>289</v>
      </c>
      <c r="F338" s="29" t="s">
        <v>262</v>
      </c>
      <c r="G338" s="36">
        <v>30400</v>
      </c>
      <c r="H338" s="36">
        <v>182.4</v>
      </c>
    </row>
    <row r="339" spans="1:8">
      <c r="A339" s="62">
        <v>136324541637</v>
      </c>
      <c r="B339" t="s">
        <v>263</v>
      </c>
      <c r="C339" s="35" t="s">
        <v>289</v>
      </c>
      <c r="D339" t="s">
        <v>260</v>
      </c>
      <c r="E339" s="35" t="s">
        <v>289</v>
      </c>
      <c r="F339" s="29" t="s">
        <v>262</v>
      </c>
      <c r="G339" s="36">
        <v>38400</v>
      </c>
      <c r="H339" s="36">
        <v>230.4</v>
      </c>
    </row>
    <row r="340" spans="1:8">
      <c r="A340" s="62">
        <v>136950519952</v>
      </c>
      <c r="B340" t="s">
        <v>310</v>
      </c>
      <c r="C340" s="35" t="s">
        <v>289</v>
      </c>
      <c r="D340" t="s">
        <v>260</v>
      </c>
      <c r="E340" s="35" t="s">
        <v>289</v>
      </c>
      <c r="F340" s="29" t="s">
        <v>262</v>
      </c>
      <c r="G340" s="36">
        <v>3730</v>
      </c>
      <c r="H340" s="36">
        <v>22.38</v>
      </c>
    </row>
    <row r="341" spans="1:8">
      <c r="A341" s="62">
        <v>136326087677</v>
      </c>
      <c r="B341" t="s">
        <v>4</v>
      </c>
      <c r="C341" s="35" t="s">
        <v>289</v>
      </c>
      <c r="D341" t="s">
        <v>260</v>
      </c>
      <c r="E341" s="35" t="s">
        <v>289</v>
      </c>
      <c r="F341" s="29" t="s">
        <v>262</v>
      </c>
      <c r="G341" s="36">
        <v>37300</v>
      </c>
      <c r="H341" s="36">
        <v>223.8</v>
      </c>
    </row>
    <row r="342" spans="1:8">
      <c r="A342" s="62">
        <v>136326212539</v>
      </c>
      <c r="B342" t="s">
        <v>263</v>
      </c>
      <c r="C342" s="35" t="s">
        <v>289</v>
      </c>
      <c r="D342" t="s">
        <v>260</v>
      </c>
      <c r="E342" s="35" t="s">
        <v>289</v>
      </c>
      <c r="F342" s="29" t="s">
        <v>262</v>
      </c>
      <c r="G342" s="36">
        <v>35000</v>
      </c>
      <c r="H342" s="36">
        <v>210</v>
      </c>
    </row>
    <row r="343" spans="1:8">
      <c r="A343" s="62">
        <v>136951233398</v>
      </c>
      <c r="B343" t="s">
        <v>4</v>
      </c>
      <c r="C343" s="35" t="s">
        <v>289</v>
      </c>
      <c r="D343" t="s">
        <v>260</v>
      </c>
      <c r="E343" s="35" t="s">
        <v>289</v>
      </c>
      <c r="F343" s="29" t="s">
        <v>262</v>
      </c>
      <c r="G343" s="36">
        <v>61100</v>
      </c>
      <c r="H343" s="36">
        <v>366.6</v>
      </c>
    </row>
    <row r="344" spans="1:8">
      <c r="A344" s="62">
        <v>136951857762</v>
      </c>
      <c r="B344" t="s">
        <v>4</v>
      </c>
      <c r="C344" s="35" t="s">
        <v>289</v>
      </c>
      <c r="D344" t="s">
        <v>260</v>
      </c>
      <c r="E344" s="35" t="s">
        <v>289</v>
      </c>
      <c r="F344" s="29" t="s">
        <v>262</v>
      </c>
      <c r="G344" s="36">
        <v>40600</v>
      </c>
      <c r="H344" s="36">
        <v>243.6</v>
      </c>
    </row>
    <row r="345" spans="1:8">
      <c r="A345" s="62">
        <v>136952258442</v>
      </c>
      <c r="B345" t="s">
        <v>4</v>
      </c>
      <c r="C345" s="35" t="s">
        <v>289</v>
      </c>
      <c r="D345" t="s">
        <v>260</v>
      </c>
      <c r="E345" s="35" t="s">
        <v>289</v>
      </c>
      <c r="F345" s="29" t="s">
        <v>262</v>
      </c>
      <c r="G345" s="36">
        <v>48800</v>
      </c>
      <c r="H345" s="36">
        <v>292.8</v>
      </c>
    </row>
    <row r="346" spans="1:8">
      <c r="A346" s="62">
        <v>136329284763</v>
      </c>
      <c r="B346" t="s">
        <v>4</v>
      </c>
      <c r="C346" s="35" t="s">
        <v>289</v>
      </c>
      <c r="D346" t="s">
        <v>260</v>
      </c>
      <c r="E346" s="35" t="s">
        <v>289</v>
      </c>
      <c r="F346" s="29" t="s">
        <v>262</v>
      </c>
      <c r="G346" s="36">
        <v>33800</v>
      </c>
      <c r="H346" s="36">
        <v>202.8</v>
      </c>
    </row>
    <row r="347" spans="1:8">
      <c r="A347" s="62">
        <v>136330783263</v>
      </c>
      <c r="B347" t="s">
        <v>263</v>
      </c>
      <c r="C347" s="35" t="s">
        <v>289</v>
      </c>
      <c r="D347" t="s">
        <v>260</v>
      </c>
      <c r="E347" s="35" t="s">
        <v>304</v>
      </c>
      <c r="F347" s="29" t="s">
        <v>262</v>
      </c>
      <c r="G347" s="36">
        <v>11000</v>
      </c>
      <c r="H347" s="36">
        <v>66</v>
      </c>
    </row>
    <row r="348" spans="1:8">
      <c r="A348" s="62">
        <v>136955923120</v>
      </c>
      <c r="B348" t="s">
        <v>4</v>
      </c>
      <c r="C348" s="35" t="s">
        <v>289</v>
      </c>
      <c r="D348" t="s">
        <v>260</v>
      </c>
      <c r="E348" s="35" t="s">
        <v>304</v>
      </c>
      <c r="F348" s="29" t="s">
        <v>262</v>
      </c>
      <c r="G348" s="36">
        <v>9500</v>
      </c>
      <c r="H348" s="36">
        <v>57</v>
      </c>
    </row>
    <row r="349" spans="1:8">
      <c r="A349" s="62">
        <v>136956632996</v>
      </c>
      <c r="B349" t="s">
        <v>4</v>
      </c>
      <c r="C349" s="35" t="s">
        <v>289</v>
      </c>
      <c r="D349" t="s">
        <v>260</v>
      </c>
      <c r="E349" s="35" t="s">
        <v>304</v>
      </c>
      <c r="F349" s="29" t="s">
        <v>262</v>
      </c>
      <c r="G349" s="36">
        <v>22900</v>
      </c>
      <c r="H349" s="36">
        <v>137.4</v>
      </c>
    </row>
    <row r="350" spans="1:8">
      <c r="A350" s="62">
        <v>136956905972</v>
      </c>
      <c r="B350" t="s">
        <v>4</v>
      </c>
      <c r="C350" s="35" t="s">
        <v>289</v>
      </c>
      <c r="D350" t="s">
        <v>260</v>
      </c>
      <c r="E350" s="35" t="s">
        <v>304</v>
      </c>
      <c r="F350" s="29" t="s">
        <v>262</v>
      </c>
      <c r="G350" s="36">
        <v>43800</v>
      </c>
      <c r="H350" s="36">
        <v>262.8</v>
      </c>
    </row>
    <row r="351" spans="1:8">
      <c r="A351" s="62">
        <v>136333515769</v>
      </c>
      <c r="B351" t="s">
        <v>263</v>
      </c>
      <c r="C351" s="35" t="s">
        <v>304</v>
      </c>
      <c r="D351" t="s">
        <v>260</v>
      </c>
      <c r="E351" s="35" t="s">
        <v>304</v>
      </c>
      <c r="F351" s="29" t="s">
        <v>262</v>
      </c>
      <c r="G351" s="36">
        <v>3000</v>
      </c>
      <c r="H351" s="36">
        <v>18</v>
      </c>
    </row>
    <row r="352" spans="1:8">
      <c r="A352" s="62">
        <v>136333850811</v>
      </c>
      <c r="B352" t="s">
        <v>4</v>
      </c>
      <c r="C352" s="35" t="s">
        <v>304</v>
      </c>
      <c r="D352" t="s">
        <v>260</v>
      </c>
      <c r="E352" s="35" t="s">
        <v>304</v>
      </c>
      <c r="F352" s="29" t="s">
        <v>262</v>
      </c>
      <c r="G352" s="36">
        <v>12200</v>
      </c>
      <c r="H352" s="36">
        <v>73.2</v>
      </c>
    </row>
    <row r="353" spans="1:8">
      <c r="A353" s="62">
        <v>136334135265</v>
      </c>
      <c r="B353" t="s">
        <v>4</v>
      </c>
      <c r="C353" s="35" t="s">
        <v>304</v>
      </c>
      <c r="D353" t="s">
        <v>260</v>
      </c>
      <c r="E353" s="35" t="s">
        <v>304</v>
      </c>
      <c r="F353" s="29" t="s">
        <v>262</v>
      </c>
      <c r="G353" s="36">
        <v>30000</v>
      </c>
      <c r="H353" s="36">
        <v>180</v>
      </c>
    </row>
    <row r="354" spans="1:8">
      <c r="A354" s="62">
        <v>136334261105</v>
      </c>
      <c r="B354" t="s">
        <v>4</v>
      </c>
      <c r="C354" s="35" t="s">
        <v>304</v>
      </c>
      <c r="D354" t="s">
        <v>260</v>
      </c>
      <c r="E354" s="35" t="s">
        <v>304</v>
      </c>
      <c r="F354" s="29" t="s">
        <v>262</v>
      </c>
      <c r="G354" s="36">
        <v>7900</v>
      </c>
      <c r="H354" s="36">
        <v>47.4</v>
      </c>
    </row>
    <row r="355" spans="1:8">
      <c r="A355" s="62">
        <v>136334300589</v>
      </c>
      <c r="B355" t="s">
        <v>311</v>
      </c>
      <c r="C355" s="35" t="s">
        <v>304</v>
      </c>
      <c r="D355" t="s">
        <v>260</v>
      </c>
      <c r="E355" s="35" t="s">
        <v>304</v>
      </c>
      <c r="F355" s="29" t="s">
        <v>262</v>
      </c>
      <c r="G355" s="36">
        <v>395</v>
      </c>
      <c r="H355" s="36">
        <v>2.37</v>
      </c>
    </row>
    <row r="356" spans="1:8">
      <c r="A356" s="62">
        <v>136334273453</v>
      </c>
      <c r="B356" t="s">
        <v>4</v>
      </c>
      <c r="C356" s="35" t="s">
        <v>304</v>
      </c>
      <c r="D356" t="s">
        <v>260</v>
      </c>
      <c r="E356" s="35" t="s">
        <v>304</v>
      </c>
      <c r="F356" s="29" t="s">
        <v>262</v>
      </c>
      <c r="G356" s="36">
        <v>15800</v>
      </c>
      <c r="H356" s="36">
        <v>94.8</v>
      </c>
    </row>
    <row r="357" spans="1:8">
      <c r="A357" s="62">
        <v>136958796086</v>
      </c>
      <c r="B357" t="s">
        <v>312</v>
      </c>
      <c r="C357" s="35" t="s">
        <v>304</v>
      </c>
      <c r="D357" t="s">
        <v>260</v>
      </c>
      <c r="E357" s="35" t="s">
        <v>304</v>
      </c>
      <c r="F357" s="29" t="s">
        <v>262</v>
      </c>
      <c r="G357" s="36">
        <v>1010</v>
      </c>
      <c r="H357" s="36">
        <v>6.06</v>
      </c>
    </row>
    <row r="358" spans="1:8">
      <c r="A358" s="62">
        <v>136958915420</v>
      </c>
      <c r="B358" t="s">
        <v>4</v>
      </c>
      <c r="C358" s="35" t="s">
        <v>304</v>
      </c>
      <c r="D358" t="s">
        <v>260</v>
      </c>
      <c r="E358" s="35" t="s">
        <v>304</v>
      </c>
      <c r="F358" s="29" t="s">
        <v>262</v>
      </c>
      <c r="G358" s="36">
        <v>9500</v>
      </c>
      <c r="H358" s="36">
        <v>57</v>
      </c>
    </row>
    <row r="359" spans="1:8">
      <c r="A359" s="62">
        <v>136959531074</v>
      </c>
      <c r="B359" t="s">
        <v>4</v>
      </c>
      <c r="C359" s="35" t="s">
        <v>304</v>
      </c>
      <c r="D359" t="s">
        <v>260</v>
      </c>
      <c r="E359" s="35" t="s">
        <v>304</v>
      </c>
      <c r="F359" s="29" t="s">
        <v>262</v>
      </c>
      <c r="G359" s="36">
        <v>21200</v>
      </c>
      <c r="H359" s="36">
        <v>127.2</v>
      </c>
    </row>
    <row r="360" spans="1:8">
      <c r="A360" s="62">
        <v>136334764081</v>
      </c>
      <c r="B360" t="s">
        <v>4</v>
      </c>
      <c r="C360" s="35" t="s">
        <v>304</v>
      </c>
      <c r="D360" t="s">
        <v>260</v>
      </c>
      <c r="E360" s="35" t="s">
        <v>304</v>
      </c>
      <c r="F360" s="29" t="s">
        <v>262</v>
      </c>
      <c r="G360" s="36">
        <v>28800</v>
      </c>
      <c r="H360" s="36">
        <v>172.8</v>
      </c>
    </row>
    <row r="361" spans="1:8">
      <c r="A361" s="62">
        <v>136334940399</v>
      </c>
      <c r="B361" t="s">
        <v>4</v>
      </c>
      <c r="C361" s="35" t="s">
        <v>304</v>
      </c>
      <c r="D361" t="s">
        <v>260</v>
      </c>
      <c r="E361" s="35" t="s">
        <v>304</v>
      </c>
      <c r="F361" s="29" t="s">
        <v>262</v>
      </c>
      <c r="G361" s="36">
        <v>36200</v>
      </c>
      <c r="H361" s="36">
        <v>217.2</v>
      </c>
    </row>
    <row r="362" spans="1:8">
      <c r="A362" s="62">
        <v>136335028573</v>
      </c>
      <c r="B362" t="s">
        <v>4</v>
      </c>
      <c r="C362" s="35" t="s">
        <v>304</v>
      </c>
      <c r="D362" t="s">
        <v>260</v>
      </c>
      <c r="E362" s="35" t="s">
        <v>304</v>
      </c>
      <c r="F362" s="29" t="s">
        <v>262</v>
      </c>
      <c r="G362" s="36">
        <v>10600</v>
      </c>
      <c r="H362" s="36">
        <v>63.6</v>
      </c>
    </row>
    <row r="363" spans="1:8">
      <c r="A363" s="62">
        <v>136334931569</v>
      </c>
      <c r="B363" t="s">
        <v>313</v>
      </c>
      <c r="C363" s="35" t="s">
        <v>304</v>
      </c>
      <c r="D363" t="s">
        <v>260</v>
      </c>
      <c r="E363" s="35" t="s">
        <v>304</v>
      </c>
      <c r="F363" s="29" t="s">
        <v>262</v>
      </c>
      <c r="G363" s="36">
        <v>530</v>
      </c>
      <c r="H363" s="36">
        <v>3.18</v>
      </c>
    </row>
    <row r="364" spans="1:8">
      <c r="A364" s="62">
        <v>136335038561</v>
      </c>
      <c r="B364" t="s">
        <v>4</v>
      </c>
      <c r="C364" s="35" t="s">
        <v>304</v>
      </c>
      <c r="D364" t="s">
        <v>260</v>
      </c>
      <c r="E364" s="35" t="s">
        <v>304</v>
      </c>
      <c r="F364" s="29" t="s">
        <v>262</v>
      </c>
      <c r="G364" s="36">
        <v>20800</v>
      </c>
      <c r="H364" s="36">
        <v>124.8</v>
      </c>
    </row>
    <row r="365" spans="1:8">
      <c r="A365" s="62">
        <v>136959627750</v>
      </c>
      <c r="B365" t="s">
        <v>314</v>
      </c>
      <c r="C365" s="35" t="s">
        <v>304</v>
      </c>
      <c r="D365" t="s">
        <v>260</v>
      </c>
      <c r="E365" s="35" t="s">
        <v>304</v>
      </c>
      <c r="F365" s="29" t="s">
        <v>262</v>
      </c>
      <c r="G365" s="36">
        <v>1040</v>
      </c>
      <c r="H365" s="36">
        <v>6.24</v>
      </c>
    </row>
    <row r="366" spans="1:8">
      <c r="A366" s="62">
        <v>137266249568</v>
      </c>
      <c r="B366" t="s">
        <v>4</v>
      </c>
      <c r="C366" s="35" t="s">
        <v>315</v>
      </c>
      <c r="D366" t="s">
        <v>260</v>
      </c>
      <c r="E366" s="35" t="s">
        <v>315</v>
      </c>
      <c r="F366" s="29" t="s">
        <v>262</v>
      </c>
      <c r="G366" s="36">
        <v>500000</v>
      </c>
      <c r="H366" s="36">
        <v>3000</v>
      </c>
    </row>
    <row r="367" spans="1:8">
      <c r="A367" s="62" t="s">
        <v>316</v>
      </c>
      <c r="B367" t="s">
        <v>4</v>
      </c>
      <c r="C367" s="35" t="s">
        <v>315</v>
      </c>
      <c r="D367" t="s">
        <v>260</v>
      </c>
      <c r="E367" s="35" t="s">
        <v>315</v>
      </c>
      <c r="F367" s="29" t="s">
        <v>262</v>
      </c>
      <c r="G367" s="36">
        <v>2354477.79</v>
      </c>
      <c r="H367" s="36">
        <v>14126.87</v>
      </c>
    </row>
    <row r="368" spans="1:8">
      <c r="A368" s="62" t="s">
        <v>317</v>
      </c>
      <c r="B368" t="s">
        <v>4</v>
      </c>
      <c r="C368" s="35" t="s">
        <v>315</v>
      </c>
      <c r="D368" t="s">
        <v>260</v>
      </c>
      <c r="E368" s="35" t="s">
        <v>315</v>
      </c>
      <c r="F368" s="29" t="s">
        <v>262</v>
      </c>
      <c r="G368" s="36">
        <v>31399</v>
      </c>
      <c r="H368" s="36">
        <v>188.39</v>
      </c>
    </row>
    <row r="369" spans="1:8">
      <c r="A369" s="62">
        <v>136740668549</v>
      </c>
      <c r="B369" t="s">
        <v>4</v>
      </c>
      <c r="C369" s="35" t="s">
        <v>315</v>
      </c>
      <c r="D369" t="s">
        <v>260</v>
      </c>
      <c r="E369" s="35" t="s">
        <v>315</v>
      </c>
      <c r="F369" s="29" t="s">
        <v>262</v>
      </c>
      <c r="G369" s="36">
        <v>4200</v>
      </c>
      <c r="H369" s="36">
        <v>25.2</v>
      </c>
    </row>
    <row r="370" spans="1:8">
      <c r="A370" s="62">
        <v>137373870662</v>
      </c>
      <c r="B370" t="s">
        <v>263</v>
      </c>
      <c r="C370" s="35" t="s">
        <v>315</v>
      </c>
      <c r="D370" t="s">
        <v>260</v>
      </c>
      <c r="E370" s="35" t="s">
        <v>315</v>
      </c>
      <c r="F370" s="29" t="s">
        <v>262</v>
      </c>
      <c r="G370" s="36">
        <v>31100</v>
      </c>
      <c r="H370" s="36">
        <v>186.6</v>
      </c>
    </row>
    <row r="371" spans="1:8">
      <c r="A371" s="62">
        <v>136743127343</v>
      </c>
      <c r="B371" t="s">
        <v>4</v>
      </c>
      <c r="C371" s="35" t="s">
        <v>315</v>
      </c>
      <c r="D371" t="s">
        <v>260</v>
      </c>
      <c r="E371" s="35" t="s">
        <v>315</v>
      </c>
      <c r="F371" s="29" t="s">
        <v>262</v>
      </c>
      <c r="G371" s="36">
        <v>9700</v>
      </c>
      <c r="H371" s="36">
        <v>58.2</v>
      </c>
    </row>
    <row r="372" spans="1:8">
      <c r="A372" s="62">
        <v>137375738068</v>
      </c>
      <c r="B372" t="s">
        <v>4</v>
      </c>
      <c r="C372" s="35" t="s">
        <v>315</v>
      </c>
      <c r="D372" t="s">
        <v>260</v>
      </c>
      <c r="E372" s="35" t="s">
        <v>315</v>
      </c>
      <c r="F372" s="29" t="s">
        <v>262</v>
      </c>
      <c r="G372" s="36">
        <v>38800</v>
      </c>
      <c r="H372" s="36">
        <v>232.8</v>
      </c>
    </row>
    <row r="373" spans="1:8">
      <c r="A373" s="62" t="s">
        <v>318</v>
      </c>
      <c r="B373" t="s">
        <v>4</v>
      </c>
      <c r="C373" s="35" t="s">
        <v>315</v>
      </c>
      <c r="D373" t="s">
        <v>260</v>
      </c>
      <c r="E373" s="35" t="s">
        <v>315</v>
      </c>
      <c r="F373" s="29" t="s">
        <v>262</v>
      </c>
      <c r="G373" s="36">
        <v>212800</v>
      </c>
      <c r="H373" s="36">
        <v>1276.8</v>
      </c>
    </row>
    <row r="374" spans="1:8">
      <c r="A374" s="62">
        <v>136750250721</v>
      </c>
      <c r="B374" t="s">
        <v>4</v>
      </c>
      <c r="C374" s="35" t="s">
        <v>315</v>
      </c>
      <c r="D374" t="s">
        <v>260</v>
      </c>
      <c r="E374" s="35" t="s">
        <v>315</v>
      </c>
      <c r="F374" s="29" t="s">
        <v>262</v>
      </c>
      <c r="G374" s="36">
        <v>25899</v>
      </c>
      <c r="H374" s="36">
        <v>155.38999999999999</v>
      </c>
    </row>
    <row r="375" spans="1:8">
      <c r="A375" s="62">
        <v>136751554233</v>
      </c>
      <c r="B375" t="s">
        <v>4</v>
      </c>
      <c r="C375" s="35" t="s">
        <v>315</v>
      </c>
      <c r="D375" t="s">
        <v>260</v>
      </c>
      <c r="E375" s="35" t="s">
        <v>315</v>
      </c>
      <c r="F375" s="29" t="s">
        <v>262</v>
      </c>
      <c r="G375" s="36">
        <v>57000</v>
      </c>
      <c r="H375" s="36">
        <v>342</v>
      </c>
    </row>
    <row r="376" spans="1:8">
      <c r="A376" s="62">
        <v>137382793626</v>
      </c>
      <c r="B376" t="s">
        <v>263</v>
      </c>
      <c r="C376" s="35" t="s">
        <v>315</v>
      </c>
      <c r="D376" t="s">
        <v>260</v>
      </c>
      <c r="E376" s="35" t="s">
        <v>315</v>
      </c>
      <c r="F376" s="29" t="s">
        <v>262</v>
      </c>
      <c r="G376" s="36">
        <v>61700</v>
      </c>
      <c r="H376" s="36">
        <v>370.2</v>
      </c>
    </row>
    <row r="377" spans="1:8">
      <c r="A377" s="62">
        <v>136754028045</v>
      </c>
      <c r="B377" t="s">
        <v>263</v>
      </c>
      <c r="C377" s="35" t="s">
        <v>315</v>
      </c>
      <c r="D377" t="s">
        <v>260</v>
      </c>
      <c r="E377" s="35" t="s">
        <v>315</v>
      </c>
      <c r="F377" s="29" t="s">
        <v>262</v>
      </c>
      <c r="G377" s="36">
        <v>39798</v>
      </c>
      <c r="H377" s="36">
        <v>238.79</v>
      </c>
    </row>
    <row r="378" spans="1:8">
      <c r="A378" s="62">
        <v>136754357781</v>
      </c>
      <c r="B378" t="s">
        <v>4</v>
      </c>
      <c r="C378" s="35" t="s">
        <v>315</v>
      </c>
      <c r="D378" t="s">
        <v>260</v>
      </c>
      <c r="E378" s="35" t="s">
        <v>315</v>
      </c>
      <c r="F378" s="29" t="s">
        <v>262</v>
      </c>
      <c r="G378" s="36">
        <v>37000</v>
      </c>
      <c r="H378" s="36">
        <v>222</v>
      </c>
    </row>
    <row r="379" spans="1:8">
      <c r="A379" s="62">
        <v>136759583173</v>
      </c>
      <c r="B379" t="s">
        <v>319</v>
      </c>
      <c r="C379" s="35" t="s">
        <v>315</v>
      </c>
      <c r="D379" t="s">
        <v>260</v>
      </c>
      <c r="E379" s="35" t="s">
        <v>320</v>
      </c>
      <c r="F379" s="29" t="s">
        <v>262</v>
      </c>
      <c r="G379" s="36">
        <v>3340</v>
      </c>
      <c r="H379" s="36">
        <v>20.04</v>
      </c>
    </row>
    <row r="380" spans="1:8">
      <c r="A380" s="62" t="s">
        <v>321</v>
      </c>
      <c r="B380" t="s">
        <v>4</v>
      </c>
      <c r="C380" s="35" t="s">
        <v>320</v>
      </c>
      <c r="D380" t="s">
        <v>260</v>
      </c>
      <c r="E380" s="35" t="s">
        <v>320</v>
      </c>
      <c r="F380" s="29" t="s">
        <v>262</v>
      </c>
      <c r="G380" s="36">
        <v>23998</v>
      </c>
      <c r="H380" s="36">
        <v>143.99</v>
      </c>
    </row>
    <row r="381" spans="1:8">
      <c r="A381" s="62">
        <v>136743612291</v>
      </c>
      <c r="B381" t="s">
        <v>263</v>
      </c>
      <c r="C381" s="35" t="s">
        <v>315</v>
      </c>
      <c r="D381" t="s">
        <v>260</v>
      </c>
      <c r="E381" s="35" t="s">
        <v>315</v>
      </c>
      <c r="F381" s="29" t="s">
        <v>262</v>
      </c>
      <c r="G381" s="36">
        <v>39600</v>
      </c>
      <c r="H381" s="36">
        <v>237.6</v>
      </c>
    </row>
    <row r="382" spans="1:8">
      <c r="A382" s="62">
        <v>136763246569</v>
      </c>
      <c r="B382" t="s">
        <v>4</v>
      </c>
      <c r="C382" s="35" t="s">
        <v>320</v>
      </c>
      <c r="D382" t="s">
        <v>260</v>
      </c>
      <c r="E382" s="35" t="s">
        <v>320</v>
      </c>
      <c r="F382" s="29" t="s">
        <v>262</v>
      </c>
      <c r="G382" s="36">
        <v>18900</v>
      </c>
      <c r="H382" s="36">
        <v>113.4</v>
      </c>
    </row>
    <row r="383" spans="1:8">
      <c r="A383" s="62">
        <v>137381180222</v>
      </c>
      <c r="B383" t="s">
        <v>322</v>
      </c>
      <c r="C383" s="35" t="s">
        <v>315</v>
      </c>
      <c r="D383" t="s">
        <v>260</v>
      </c>
      <c r="E383" s="35" t="s">
        <v>315</v>
      </c>
      <c r="F383" s="29" t="s">
        <v>262</v>
      </c>
      <c r="G383" s="36">
        <v>1294</v>
      </c>
      <c r="H383" s="36">
        <v>7.76</v>
      </c>
    </row>
    <row r="384" spans="1:8">
      <c r="A384" s="62">
        <v>137381613934</v>
      </c>
      <c r="B384" t="s">
        <v>4</v>
      </c>
      <c r="C384" s="35" t="s">
        <v>315</v>
      </c>
      <c r="D384" t="s">
        <v>260</v>
      </c>
      <c r="E384" s="35" t="s">
        <v>315</v>
      </c>
      <c r="F384" s="29" t="s">
        <v>262</v>
      </c>
      <c r="G384" s="36">
        <v>41398</v>
      </c>
      <c r="H384" s="36">
        <v>248.39</v>
      </c>
    </row>
    <row r="385" spans="1:8">
      <c r="A385" s="62">
        <v>136751051819</v>
      </c>
      <c r="B385" t="s">
        <v>263</v>
      </c>
      <c r="C385" s="35" t="s">
        <v>315</v>
      </c>
      <c r="D385" t="s">
        <v>260</v>
      </c>
      <c r="E385" s="35" t="s">
        <v>315</v>
      </c>
      <c r="F385" s="29" t="s">
        <v>262</v>
      </c>
      <c r="G385" s="36">
        <v>127397</v>
      </c>
      <c r="H385" s="36">
        <v>764.38</v>
      </c>
    </row>
    <row r="386" spans="1:8">
      <c r="A386" s="62">
        <v>136752846325</v>
      </c>
      <c r="B386" t="s">
        <v>263</v>
      </c>
      <c r="C386" s="35" t="s">
        <v>315</v>
      </c>
      <c r="D386" t="s">
        <v>260</v>
      </c>
      <c r="E386" s="35" t="s">
        <v>315</v>
      </c>
      <c r="F386" s="29" t="s">
        <v>262</v>
      </c>
      <c r="G386" s="36">
        <v>52896</v>
      </c>
      <c r="H386" s="36">
        <v>317.38</v>
      </c>
    </row>
    <row r="387" spans="1:8">
      <c r="A387" s="62">
        <v>136754376295</v>
      </c>
      <c r="B387" t="s">
        <v>263</v>
      </c>
      <c r="C387" s="35" t="s">
        <v>315</v>
      </c>
      <c r="D387" t="s">
        <v>260</v>
      </c>
      <c r="E387" s="35" t="s">
        <v>315</v>
      </c>
      <c r="F387" s="29" t="s">
        <v>262</v>
      </c>
      <c r="G387" s="36">
        <v>9600</v>
      </c>
      <c r="H387" s="36">
        <v>57.6</v>
      </c>
    </row>
    <row r="388" spans="1:8">
      <c r="A388" s="62">
        <v>136756050703</v>
      </c>
      <c r="B388" t="s">
        <v>4</v>
      </c>
      <c r="C388" s="35" t="s">
        <v>315</v>
      </c>
      <c r="D388" t="s">
        <v>260</v>
      </c>
      <c r="E388" s="35" t="s">
        <v>315</v>
      </c>
      <c r="F388" s="29" t="s">
        <v>262</v>
      </c>
      <c r="G388" s="36">
        <v>40600</v>
      </c>
      <c r="H388" s="36">
        <v>243.6</v>
      </c>
    </row>
    <row r="389" spans="1:8">
      <c r="A389" s="62">
        <v>137387028658</v>
      </c>
      <c r="B389" t="s">
        <v>4</v>
      </c>
      <c r="C389" s="35" t="s">
        <v>315</v>
      </c>
      <c r="D389" t="s">
        <v>260</v>
      </c>
      <c r="E389" s="35" t="s">
        <v>315</v>
      </c>
      <c r="F389" s="29" t="s">
        <v>262</v>
      </c>
      <c r="G389" s="36">
        <v>53400</v>
      </c>
      <c r="H389" s="36">
        <v>320.39999999999998</v>
      </c>
    </row>
    <row r="390" spans="1:8">
      <c r="A390" s="62" t="s">
        <v>323</v>
      </c>
      <c r="B390" t="s">
        <v>4</v>
      </c>
      <c r="C390" s="35" t="s">
        <v>315</v>
      </c>
      <c r="D390" t="s">
        <v>260</v>
      </c>
      <c r="E390" s="35" t="s">
        <v>320</v>
      </c>
      <c r="F390" s="29" t="s">
        <v>262</v>
      </c>
      <c r="G390" s="36">
        <v>27500</v>
      </c>
      <c r="H390" s="36">
        <v>165</v>
      </c>
    </row>
    <row r="391" spans="1:8">
      <c r="A391" s="62">
        <v>137388651946</v>
      </c>
      <c r="B391" t="s">
        <v>4</v>
      </c>
      <c r="C391" s="35" t="s">
        <v>315</v>
      </c>
      <c r="D391" t="s">
        <v>260</v>
      </c>
      <c r="E391" s="35" t="s">
        <v>320</v>
      </c>
      <c r="F391" s="29" t="s">
        <v>262</v>
      </c>
      <c r="G391" s="36">
        <v>23000</v>
      </c>
      <c r="H391" s="36">
        <v>138</v>
      </c>
    </row>
    <row r="392" spans="1:8">
      <c r="A392" s="62">
        <v>136758090307</v>
      </c>
      <c r="B392" t="s">
        <v>4</v>
      </c>
      <c r="C392" s="35" t="s">
        <v>315</v>
      </c>
      <c r="D392" t="s">
        <v>260</v>
      </c>
      <c r="E392" s="35" t="s">
        <v>320</v>
      </c>
      <c r="F392" s="29" t="s">
        <v>262</v>
      </c>
      <c r="G392" s="36">
        <v>8400</v>
      </c>
      <c r="H392" s="36">
        <v>50.4</v>
      </c>
    </row>
    <row r="393" spans="1:8">
      <c r="A393" s="62">
        <v>137389146058</v>
      </c>
      <c r="B393" t="s">
        <v>4</v>
      </c>
      <c r="C393" s="35" t="s">
        <v>315</v>
      </c>
      <c r="D393" t="s">
        <v>260</v>
      </c>
      <c r="E393" s="35" t="s">
        <v>320</v>
      </c>
      <c r="F393" s="29" t="s">
        <v>262</v>
      </c>
      <c r="G393" s="36">
        <v>47996</v>
      </c>
      <c r="H393" s="36">
        <v>287.98</v>
      </c>
    </row>
    <row r="394" spans="1:8">
      <c r="A394" s="62">
        <v>136759600983</v>
      </c>
      <c r="B394" t="s">
        <v>4</v>
      </c>
      <c r="C394" s="35" t="s">
        <v>315</v>
      </c>
      <c r="D394" t="s">
        <v>260</v>
      </c>
      <c r="E394" s="35" t="s">
        <v>320</v>
      </c>
      <c r="F394" s="29" t="s">
        <v>262</v>
      </c>
      <c r="G394" s="36">
        <v>66800</v>
      </c>
      <c r="H394" s="36">
        <v>400.8</v>
      </c>
    </row>
    <row r="395" spans="1:8">
      <c r="A395" s="62" t="s">
        <v>324</v>
      </c>
      <c r="B395" t="s">
        <v>4</v>
      </c>
      <c r="C395" s="35" t="s">
        <v>315</v>
      </c>
      <c r="D395" t="s">
        <v>260</v>
      </c>
      <c r="E395" s="35" t="s">
        <v>320</v>
      </c>
      <c r="F395" s="29" t="s">
        <v>262</v>
      </c>
      <c r="G395" s="36">
        <v>8200</v>
      </c>
      <c r="H395" s="36">
        <v>49.2</v>
      </c>
    </row>
    <row r="396" spans="1:8">
      <c r="A396" s="62">
        <v>137392666128</v>
      </c>
      <c r="B396" t="s">
        <v>4</v>
      </c>
      <c r="C396" s="35" t="s">
        <v>320</v>
      </c>
      <c r="D396" t="s">
        <v>260</v>
      </c>
      <c r="E396" s="35" t="s">
        <v>320</v>
      </c>
      <c r="F396" s="29" t="s">
        <v>262</v>
      </c>
      <c r="G396" s="36">
        <v>15500</v>
      </c>
      <c r="H396" s="36">
        <v>93</v>
      </c>
    </row>
    <row r="397" spans="1:8">
      <c r="A397" s="62">
        <v>136761788097</v>
      </c>
      <c r="B397" t="s">
        <v>263</v>
      </c>
      <c r="C397" s="35" t="s">
        <v>320</v>
      </c>
      <c r="D397" t="s">
        <v>260</v>
      </c>
      <c r="E397" s="35" t="s">
        <v>320</v>
      </c>
      <c r="F397" s="29" t="s">
        <v>262</v>
      </c>
      <c r="G397" s="36">
        <v>17000</v>
      </c>
      <c r="H397" s="36">
        <v>102</v>
      </c>
    </row>
    <row r="398" spans="1:8">
      <c r="A398" s="62">
        <v>136762890073</v>
      </c>
      <c r="B398" t="s">
        <v>263</v>
      </c>
      <c r="C398" s="35" t="s">
        <v>320</v>
      </c>
      <c r="D398" t="s">
        <v>260</v>
      </c>
      <c r="E398" s="35" t="s">
        <v>320</v>
      </c>
      <c r="F398" s="29" t="s">
        <v>262</v>
      </c>
      <c r="G398" s="36">
        <v>28000</v>
      </c>
      <c r="H398" s="36">
        <v>168</v>
      </c>
    </row>
    <row r="399" spans="1:8">
      <c r="A399" s="62">
        <v>136763226203</v>
      </c>
      <c r="B399" t="s">
        <v>325</v>
      </c>
      <c r="C399" s="35" t="s">
        <v>320</v>
      </c>
      <c r="D399" t="s">
        <v>260</v>
      </c>
      <c r="E399" s="35" t="s">
        <v>320</v>
      </c>
      <c r="F399" s="29" t="s">
        <v>262</v>
      </c>
      <c r="G399" s="36">
        <v>1020</v>
      </c>
      <c r="H399" s="36">
        <v>6.12</v>
      </c>
    </row>
    <row r="400" spans="1:8">
      <c r="A400" s="62">
        <v>136763077907</v>
      </c>
      <c r="B400" t="s">
        <v>4</v>
      </c>
      <c r="C400" s="35" t="s">
        <v>320</v>
      </c>
      <c r="D400" t="s">
        <v>260</v>
      </c>
      <c r="E400" s="35" t="s">
        <v>320</v>
      </c>
      <c r="F400" s="29" t="s">
        <v>262</v>
      </c>
      <c r="G400" s="36">
        <v>20400</v>
      </c>
      <c r="H400" s="36">
        <v>122.4</v>
      </c>
    </row>
    <row r="401" spans="1:8">
      <c r="A401" s="62">
        <v>136763251849</v>
      </c>
      <c r="B401" t="s">
        <v>4</v>
      </c>
      <c r="C401" s="35" t="s">
        <v>320</v>
      </c>
      <c r="D401" t="s">
        <v>260</v>
      </c>
      <c r="E401" s="35" t="s">
        <v>320</v>
      </c>
      <c r="F401" s="29" t="s">
        <v>262</v>
      </c>
      <c r="G401" s="36">
        <v>91598</v>
      </c>
      <c r="H401" s="36">
        <v>549.59</v>
      </c>
    </row>
    <row r="402" spans="1:8">
      <c r="A402" s="62">
        <v>137509141570</v>
      </c>
      <c r="B402" t="s">
        <v>4</v>
      </c>
      <c r="C402" s="35" t="s">
        <v>320</v>
      </c>
      <c r="D402" t="s">
        <v>260</v>
      </c>
      <c r="E402" s="35" t="s">
        <v>320</v>
      </c>
      <c r="F402" s="29" t="s">
        <v>262</v>
      </c>
      <c r="G402" s="36">
        <v>8800</v>
      </c>
      <c r="H402" s="36">
        <v>52.8</v>
      </c>
    </row>
    <row r="403" spans="1:8">
      <c r="A403" s="62">
        <v>137514965726</v>
      </c>
      <c r="B403" t="s">
        <v>263</v>
      </c>
      <c r="C403" s="35" t="s">
        <v>320</v>
      </c>
      <c r="D403" t="s">
        <v>260</v>
      </c>
      <c r="E403" s="35" t="s">
        <v>320</v>
      </c>
      <c r="F403" s="29" t="s">
        <v>262</v>
      </c>
      <c r="G403" s="36">
        <v>15300</v>
      </c>
      <c r="H403" s="36">
        <v>91.8</v>
      </c>
    </row>
    <row r="404" spans="1:8">
      <c r="A404" s="62">
        <v>136888633383</v>
      </c>
      <c r="B404" t="s">
        <v>326</v>
      </c>
      <c r="C404" s="35" t="s">
        <v>320</v>
      </c>
      <c r="D404" t="s">
        <v>260</v>
      </c>
      <c r="E404" s="35" t="s">
        <v>320</v>
      </c>
      <c r="F404" s="29" t="s">
        <v>262</v>
      </c>
      <c r="G404" s="36">
        <v>2090</v>
      </c>
      <c r="H404" s="36">
        <v>12.54</v>
      </c>
    </row>
    <row r="405" spans="1:8">
      <c r="A405" s="62">
        <v>137523926554</v>
      </c>
      <c r="B405" t="s">
        <v>4</v>
      </c>
      <c r="C405" s="35" t="s">
        <v>320</v>
      </c>
      <c r="D405" t="s">
        <v>260</v>
      </c>
      <c r="E405" s="35" t="s">
        <v>320</v>
      </c>
      <c r="F405" s="29" t="s">
        <v>262</v>
      </c>
      <c r="G405" s="36">
        <v>29300</v>
      </c>
      <c r="H405" s="36">
        <v>175.8</v>
      </c>
    </row>
    <row r="406" spans="1:8">
      <c r="A406" s="62">
        <v>136890753563</v>
      </c>
      <c r="B406" t="s">
        <v>263</v>
      </c>
      <c r="C406" s="35" t="s">
        <v>320</v>
      </c>
      <c r="D406" t="s">
        <v>260</v>
      </c>
      <c r="E406" s="35" t="s">
        <v>320</v>
      </c>
      <c r="F406" s="29" t="s">
        <v>262</v>
      </c>
      <c r="G406" s="36">
        <v>22200</v>
      </c>
      <c r="H406" s="36">
        <v>133.19999999999999</v>
      </c>
    </row>
    <row r="407" spans="1:8">
      <c r="A407" s="62">
        <v>137504808854</v>
      </c>
      <c r="B407" t="s">
        <v>4</v>
      </c>
      <c r="C407" s="35" t="s">
        <v>320</v>
      </c>
      <c r="D407" t="s">
        <v>260</v>
      </c>
      <c r="E407" s="35" t="s">
        <v>320</v>
      </c>
      <c r="F407" s="29" t="s">
        <v>262</v>
      </c>
      <c r="G407" s="36">
        <v>16800</v>
      </c>
      <c r="H407" s="36">
        <v>100.8</v>
      </c>
    </row>
    <row r="408" spans="1:8">
      <c r="A408" s="62">
        <v>137505117298</v>
      </c>
      <c r="B408" t="s">
        <v>263</v>
      </c>
      <c r="C408" s="35" t="s">
        <v>320</v>
      </c>
      <c r="D408" t="s">
        <v>260</v>
      </c>
      <c r="E408" s="35" t="s">
        <v>320</v>
      </c>
      <c r="F408" s="29" t="s">
        <v>262</v>
      </c>
      <c r="G408" s="36">
        <v>10200</v>
      </c>
      <c r="H408" s="36">
        <v>61.2</v>
      </c>
    </row>
    <row r="409" spans="1:8">
      <c r="A409" s="62">
        <v>136893538091</v>
      </c>
      <c r="B409" t="s">
        <v>4</v>
      </c>
      <c r="C409" s="35" t="s">
        <v>320</v>
      </c>
      <c r="D409" t="s">
        <v>260</v>
      </c>
      <c r="E409" s="35" t="s">
        <v>320</v>
      </c>
      <c r="F409" s="29" t="s">
        <v>262</v>
      </c>
      <c r="G409" s="36">
        <v>10700</v>
      </c>
      <c r="H409" s="36">
        <v>64.2</v>
      </c>
    </row>
    <row r="410" spans="1:8">
      <c r="A410" s="62">
        <v>136894464427</v>
      </c>
      <c r="B410" t="s">
        <v>4</v>
      </c>
      <c r="C410" s="35" t="s">
        <v>320</v>
      </c>
      <c r="D410" t="s">
        <v>260</v>
      </c>
      <c r="E410" s="35" t="s">
        <v>320</v>
      </c>
      <c r="F410" s="29" t="s">
        <v>262</v>
      </c>
      <c r="G410" s="36">
        <v>4800</v>
      </c>
      <c r="H410" s="36">
        <v>28.8</v>
      </c>
    </row>
    <row r="411" spans="1:8">
      <c r="A411" s="62">
        <v>136894824195</v>
      </c>
      <c r="B411" t="s">
        <v>4</v>
      </c>
      <c r="C411" s="35" t="s">
        <v>320</v>
      </c>
      <c r="D411" t="s">
        <v>260</v>
      </c>
      <c r="E411" s="35" t="s">
        <v>320</v>
      </c>
      <c r="F411" s="29" t="s">
        <v>262</v>
      </c>
      <c r="G411" s="36">
        <v>34300</v>
      </c>
      <c r="H411" s="36">
        <v>205.8</v>
      </c>
    </row>
    <row r="412" spans="1:8">
      <c r="A412" s="62">
        <v>137530279132</v>
      </c>
      <c r="B412" t="s">
        <v>4</v>
      </c>
      <c r="C412" s="35" t="s">
        <v>320</v>
      </c>
      <c r="D412" t="s">
        <v>260</v>
      </c>
      <c r="E412" s="35" t="s">
        <v>320</v>
      </c>
      <c r="F412" s="29" t="s">
        <v>262</v>
      </c>
      <c r="G412" s="36">
        <v>4200</v>
      </c>
      <c r="H412" s="36">
        <v>25.2</v>
      </c>
    </row>
    <row r="413" spans="1:8">
      <c r="A413" s="62">
        <v>137531931628</v>
      </c>
      <c r="B413" t="s">
        <v>4</v>
      </c>
      <c r="C413" s="35" t="s">
        <v>320</v>
      </c>
      <c r="D413" t="s">
        <v>260</v>
      </c>
      <c r="E413" s="35" t="s">
        <v>320</v>
      </c>
      <c r="F413" s="29" t="s">
        <v>262</v>
      </c>
      <c r="G413" s="36">
        <v>7200</v>
      </c>
      <c r="H413" s="36">
        <v>43.2</v>
      </c>
    </row>
    <row r="414" spans="1:8">
      <c r="A414" s="62">
        <v>137533326606</v>
      </c>
      <c r="B414" t="s">
        <v>263</v>
      </c>
      <c r="C414" s="35" t="s">
        <v>320</v>
      </c>
      <c r="D414" t="s">
        <v>260</v>
      </c>
      <c r="E414" s="35" t="s">
        <v>320</v>
      </c>
      <c r="F414" s="29" t="s">
        <v>262</v>
      </c>
      <c r="G414" s="36">
        <v>17800</v>
      </c>
      <c r="H414" s="36">
        <v>106.8</v>
      </c>
    </row>
    <row r="415" spans="1:8">
      <c r="A415" s="62">
        <v>136900364237</v>
      </c>
      <c r="B415" t="s">
        <v>4</v>
      </c>
      <c r="C415" s="35" t="s">
        <v>320</v>
      </c>
      <c r="D415" t="s">
        <v>260</v>
      </c>
      <c r="E415" s="35" t="s">
        <v>320</v>
      </c>
      <c r="F415" s="29" t="s">
        <v>262</v>
      </c>
      <c r="G415" s="36">
        <v>9600</v>
      </c>
      <c r="H415" s="36">
        <v>57.6</v>
      </c>
    </row>
    <row r="416" spans="1:8">
      <c r="A416" s="62">
        <v>137533431786</v>
      </c>
      <c r="B416" t="s">
        <v>4</v>
      </c>
      <c r="C416" s="35" t="s">
        <v>320</v>
      </c>
      <c r="D416" t="s">
        <v>260</v>
      </c>
      <c r="E416" s="35" t="s">
        <v>320</v>
      </c>
      <c r="F416" s="29" t="s">
        <v>262</v>
      </c>
      <c r="G416" s="36">
        <v>4800</v>
      </c>
      <c r="H416" s="36">
        <v>28.8</v>
      </c>
    </row>
    <row r="417" spans="1:8">
      <c r="A417" s="62">
        <v>136901010631</v>
      </c>
      <c r="B417" t="s">
        <v>4</v>
      </c>
      <c r="C417" s="35" t="s">
        <v>320</v>
      </c>
      <c r="D417" t="s">
        <v>260</v>
      </c>
      <c r="E417" s="35" t="s">
        <v>320</v>
      </c>
      <c r="F417" s="29" t="s">
        <v>262</v>
      </c>
      <c r="G417" s="36">
        <v>11000</v>
      </c>
      <c r="H417" s="36">
        <v>66</v>
      </c>
    </row>
    <row r="418" spans="1:8">
      <c r="A418" s="62">
        <v>136901033757</v>
      </c>
      <c r="B418" t="s">
        <v>263</v>
      </c>
      <c r="C418" s="35" t="s">
        <v>320</v>
      </c>
      <c r="D418" t="s">
        <v>260</v>
      </c>
      <c r="E418" s="35" t="s">
        <v>320</v>
      </c>
      <c r="F418" s="29" t="s">
        <v>262</v>
      </c>
      <c r="G418" s="36">
        <v>4800</v>
      </c>
      <c r="H418" s="36">
        <v>28.8</v>
      </c>
    </row>
    <row r="419" spans="1:8">
      <c r="A419" s="62">
        <v>136901169545</v>
      </c>
      <c r="B419" t="s">
        <v>4</v>
      </c>
      <c r="C419" s="35" t="s">
        <v>320</v>
      </c>
      <c r="D419" t="s">
        <v>260</v>
      </c>
      <c r="E419" s="35" t="s">
        <v>320</v>
      </c>
      <c r="F419" s="29" t="s">
        <v>262</v>
      </c>
      <c r="G419" s="36">
        <v>9500</v>
      </c>
      <c r="H419" s="36">
        <v>57</v>
      </c>
    </row>
    <row r="420" spans="1:8">
      <c r="A420" s="62">
        <v>137534515306</v>
      </c>
      <c r="B420" t="s">
        <v>4</v>
      </c>
      <c r="C420" s="35" t="s">
        <v>320</v>
      </c>
      <c r="D420" t="s">
        <v>260</v>
      </c>
      <c r="E420" s="35" t="s">
        <v>320</v>
      </c>
      <c r="F420" s="29" t="s">
        <v>262</v>
      </c>
      <c r="G420" s="36">
        <v>4400</v>
      </c>
      <c r="H420" s="36">
        <v>26.4</v>
      </c>
    </row>
    <row r="421" spans="1:8">
      <c r="A421" s="62">
        <v>136901930449</v>
      </c>
      <c r="B421" t="s">
        <v>4</v>
      </c>
      <c r="C421" s="35" t="s">
        <v>320</v>
      </c>
      <c r="D421" t="s">
        <v>260</v>
      </c>
      <c r="E421" s="35" t="s">
        <v>320</v>
      </c>
      <c r="F421" s="29" t="s">
        <v>262</v>
      </c>
      <c r="G421" s="36">
        <v>4900</v>
      </c>
      <c r="H421" s="36">
        <v>29.4</v>
      </c>
    </row>
    <row r="422" spans="1:8">
      <c r="A422" s="62">
        <v>136901875985</v>
      </c>
      <c r="B422" t="s">
        <v>4</v>
      </c>
      <c r="C422" s="35" t="s">
        <v>320</v>
      </c>
      <c r="D422" t="s">
        <v>260</v>
      </c>
      <c r="E422" s="35" t="s">
        <v>320</v>
      </c>
      <c r="F422" s="29" t="s">
        <v>262</v>
      </c>
      <c r="G422" s="36">
        <v>11000</v>
      </c>
      <c r="H422" s="36">
        <v>66</v>
      </c>
    </row>
    <row r="423" spans="1:8">
      <c r="A423" s="62">
        <v>137516316134</v>
      </c>
      <c r="B423" t="s">
        <v>263</v>
      </c>
      <c r="C423" s="35" t="s">
        <v>320</v>
      </c>
      <c r="D423" t="s">
        <v>260</v>
      </c>
      <c r="E423" s="35" t="s">
        <v>320</v>
      </c>
      <c r="F423" s="29" t="s">
        <v>262</v>
      </c>
      <c r="G423" s="36">
        <v>27100</v>
      </c>
      <c r="H423" s="36">
        <v>162.6</v>
      </c>
    </row>
    <row r="424" spans="1:8">
      <c r="A424" s="62">
        <v>137517341310</v>
      </c>
      <c r="B424" t="s">
        <v>263</v>
      </c>
      <c r="C424" s="35" t="s">
        <v>320</v>
      </c>
      <c r="D424" t="s">
        <v>260</v>
      </c>
      <c r="E424" s="35" t="s">
        <v>320</v>
      </c>
      <c r="F424" s="29" t="s">
        <v>262</v>
      </c>
      <c r="G424" s="36">
        <v>14200</v>
      </c>
      <c r="H424" s="36">
        <v>85.2</v>
      </c>
    </row>
    <row r="425" spans="1:8">
      <c r="A425" s="62">
        <v>137536970538</v>
      </c>
      <c r="B425" t="s">
        <v>263</v>
      </c>
      <c r="C425" s="35" t="s">
        <v>320</v>
      </c>
      <c r="D425" t="s">
        <v>260</v>
      </c>
      <c r="E425" s="35" t="s">
        <v>320</v>
      </c>
      <c r="F425" s="29" t="s">
        <v>262</v>
      </c>
      <c r="G425" s="36">
        <v>6000</v>
      </c>
      <c r="H425" s="36">
        <v>36</v>
      </c>
    </row>
    <row r="426" spans="1:8">
      <c r="A426" s="62">
        <v>136903665553</v>
      </c>
      <c r="B426" t="s">
        <v>4</v>
      </c>
      <c r="C426" s="35" t="s">
        <v>320</v>
      </c>
      <c r="D426" t="s">
        <v>260</v>
      </c>
      <c r="E426" s="35" t="s">
        <v>320</v>
      </c>
      <c r="F426" s="29" t="s">
        <v>262</v>
      </c>
      <c r="G426" s="36">
        <v>38850</v>
      </c>
      <c r="H426" s="36">
        <v>233.1</v>
      </c>
    </row>
    <row r="427" spans="1:8">
      <c r="A427" s="62">
        <v>136903944835</v>
      </c>
      <c r="B427" t="s">
        <v>4</v>
      </c>
      <c r="C427" s="35" t="s">
        <v>320</v>
      </c>
      <c r="D427" t="s">
        <v>260</v>
      </c>
      <c r="E427" s="35" t="s">
        <v>320</v>
      </c>
      <c r="F427" s="29" t="s">
        <v>262</v>
      </c>
      <c r="G427" s="36">
        <v>52200</v>
      </c>
      <c r="H427" s="36">
        <v>313.2</v>
      </c>
    </row>
    <row r="428" spans="1:8">
      <c r="A428" s="62">
        <v>136904069765</v>
      </c>
      <c r="B428" t="s">
        <v>4</v>
      </c>
      <c r="C428" s="35" t="s">
        <v>320</v>
      </c>
      <c r="D428" t="s">
        <v>260</v>
      </c>
      <c r="E428" s="35" t="s">
        <v>320</v>
      </c>
      <c r="F428" s="29" t="s">
        <v>262</v>
      </c>
      <c r="G428" s="36">
        <v>59900</v>
      </c>
      <c r="H428" s="36">
        <v>359.4</v>
      </c>
    </row>
    <row r="429" spans="1:8">
      <c r="A429" s="62">
        <v>136904745081</v>
      </c>
      <c r="B429" t="s">
        <v>4</v>
      </c>
      <c r="C429" s="35" t="s">
        <v>320</v>
      </c>
      <c r="D429" t="s">
        <v>260</v>
      </c>
      <c r="E429" s="35" t="s">
        <v>320</v>
      </c>
      <c r="F429" s="29" t="s">
        <v>262</v>
      </c>
      <c r="G429" s="36">
        <v>4800</v>
      </c>
      <c r="H429" s="36">
        <v>28.8</v>
      </c>
    </row>
    <row r="430" spans="1:8">
      <c r="A430" s="62">
        <v>137538383964</v>
      </c>
      <c r="B430" t="s">
        <v>263</v>
      </c>
      <c r="C430" s="35" t="s">
        <v>320</v>
      </c>
      <c r="D430" t="s">
        <v>260</v>
      </c>
      <c r="E430" s="35" t="s">
        <v>320</v>
      </c>
      <c r="F430" s="29" t="s">
        <v>262</v>
      </c>
      <c r="G430" s="36">
        <v>77100</v>
      </c>
      <c r="H430" s="36">
        <v>462.6</v>
      </c>
    </row>
    <row r="431" spans="1:8">
      <c r="A431" s="62">
        <v>136905808451</v>
      </c>
      <c r="B431" t="s">
        <v>4</v>
      </c>
      <c r="C431" s="35" t="s">
        <v>320</v>
      </c>
      <c r="D431" t="s">
        <v>260</v>
      </c>
      <c r="E431" s="35" t="s">
        <v>320</v>
      </c>
      <c r="F431" s="29" t="s">
        <v>262</v>
      </c>
      <c r="G431" s="36">
        <v>8400</v>
      </c>
      <c r="H431" s="36">
        <v>50.4</v>
      </c>
    </row>
    <row r="432" spans="1:8">
      <c r="A432" s="62">
        <v>136905906851</v>
      </c>
      <c r="B432" t="s">
        <v>4</v>
      </c>
      <c r="C432" s="35" t="s">
        <v>320</v>
      </c>
      <c r="D432" t="s">
        <v>260</v>
      </c>
      <c r="E432" s="35" t="s">
        <v>320</v>
      </c>
      <c r="F432" s="29" t="s">
        <v>262</v>
      </c>
      <c r="G432" s="36">
        <v>4800</v>
      </c>
      <c r="H432" s="36">
        <v>28.8</v>
      </c>
    </row>
    <row r="433" spans="1:8">
      <c r="A433" s="62">
        <v>137539449132</v>
      </c>
      <c r="B433" t="s">
        <v>4</v>
      </c>
      <c r="C433" s="35" t="s">
        <v>320</v>
      </c>
      <c r="D433" t="s">
        <v>260</v>
      </c>
      <c r="E433" s="35" t="s">
        <v>320</v>
      </c>
      <c r="F433" s="29" t="s">
        <v>262</v>
      </c>
      <c r="G433" s="36">
        <v>42200</v>
      </c>
      <c r="H433" s="36">
        <v>253.2</v>
      </c>
    </row>
    <row r="434" spans="1:8">
      <c r="A434" s="62">
        <v>136906571367</v>
      </c>
      <c r="B434" t="s">
        <v>4</v>
      </c>
      <c r="C434" s="35" t="s">
        <v>320</v>
      </c>
      <c r="D434" t="s">
        <v>260</v>
      </c>
      <c r="E434" s="35" t="s">
        <v>320</v>
      </c>
      <c r="F434" s="29" t="s">
        <v>262</v>
      </c>
      <c r="G434" s="36">
        <v>15800</v>
      </c>
      <c r="H434" s="36">
        <v>94.8</v>
      </c>
    </row>
    <row r="435" spans="1:8">
      <c r="A435" s="62">
        <v>136888436805</v>
      </c>
      <c r="B435" t="s">
        <v>263</v>
      </c>
      <c r="C435" s="35" t="s">
        <v>320</v>
      </c>
      <c r="D435" t="s">
        <v>260</v>
      </c>
      <c r="E435" s="35" t="s">
        <v>320</v>
      </c>
      <c r="F435" s="29" t="s">
        <v>262</v>
      </c>
      <c r="G435" s="36">
        <v>27850</v>
      </c>
      <c r="H435" s="36">
        <v>167.1</v>
      </c>
    </row>
    <row r="436" spans="1:8">
      <c r="A436" s="62">
        <v>137521468712</v>
      </c>
      <c r="B436" t="s">
        <v>4</v>
      </c>
      <c r="C436" s="35" t="s">
        <v>320</v>
      </c>
      <c r="D436" t="s">
        <v>260</v>
      </c>
      <c r="E436" s="35" t="s">
        <v>320</v>
      </c>
      <c r="F436" s="29" t="s">
        <v>262</v>
      </c>
      <c r="G436" s="36">
        <v>20900</v>
      </c>
      <c r="H436" s="36">
        <v>125.4</v>
      </c>
    </row>
    <row r="437" spans="1:8">
      <c r="A437" s="62">
        <v>136907146003</v>
      </c>
      <c r="B437" t="s">
        <v>4</v>
      </c>
      <c r="C437" s="35" t="s">
        <v>320</v>
      </c>
      <c r="D437" t="s">
        <v>260</v>
      </c>
      <c r="E437" s="35" t="s">
        <v>327</v>
      </c>
      <c r="F437" s="29" t="s">
        <v>262</v>
      </c>
      <c r="G437" s="36">
        <v>46200</v>
      </c>
      <c r="H437" s="36">
        <v>277.2</v>
      </c>
    </row>
    <row r="438" spans="1:8">
      <c r="A438" s="62">
        <v>137540388010</v>
      </c>
      <c r="B438" t="s">
        <v>4</v>
      </c>
      <c r="C438" s="35" t="s">
        <v>320</v>
      </c>
      <c r="D438" t="s">
        <v>260</v>
      </c>
      <c r="E438" s="35" t="s">
        <v>327</v>
      </c>
      <c r="F438" s="29" t="s">
        <v>262</v>
      </c>
      <c r="G438" s="36">
        <v>9600</v>
      </c>
      <c r="H438" s="36">
        <v>57.6</v>
      </c>
    </row>
    <row r="439" spans="1:8">
      <c r="A439" s="62">
        <v>137540595612</v>
      </c>
      <c r="B439" t="s">
        <v>4</v>
      </c>
      <c r="C439" s="35" t="s">
        <v>320</v>
      </c>
      <c r="D439" t="s">
        <v>260</v>
      </c>
      <c r="E439" s="35" t="s">
        <v>327</v>
      </c>
      <c r="F439" s="29" t="s">
        <v>262</v>
      </c>
      <c r="G439" s="36">
        <v>4000</v>
      </c>
      <c r="H439" s="36">
        <v>24</v>
      </c>
    </row>
    <row r="440" spans="1:8">
      <c r="A440" s="62">
        <v>137541156138</v>
      </c>
      <c r="B440" t="s">
        <v>4</v>
      </c>
      <c r="C440" s="35" t="s">
        <v>320</v>
      </c>
      <c r="D440" t="s">
        <v>260</v>
      </c>
      <c r="E440" s="35" t="s">
        <v>327</v>
      </c>
      <c r="F440" s="29" t="s">
        <v>262</v>
      </c>
      <c r="G440" s="36">
        <v>12800</v>
      </c>
      <c r="H440" s="36">
        <v>76.8</v>
      </c>
    </row>
    <row r="441" spans="1:8">
      <c r="A441" s="62">
        <v>137541514796</v>
      </c>
      <c r="B441" t="s">
        <v>4</v>
      </c>
      <c r="C441" s="35" t="s">
        <v>320</v>
      </c>
      <c r="D441" t="s">
        <v>260</v>
      </c>
      <c r="E441" s="35" t="s">
        <v>327</v>
      </c>
      <c r="F441" s="29" t="s">
        <v>262</v>
      </c>
      <c r="G441" s="36">
        <v>4100</v>
      </c>
      <c r="H441" s="36">
        <v>24.6</v>
      </c>
    </row>
    <row r="442" spans="1:8">
      <c r="A442" s="62">
        <v>137541617978</v>
      </c>
      <c r="B442" t="s">
        <v>4</v>
      </c>
      <c r="C442" s="35" t="s">
        <v>320</v>
      </c>
      <c r="D442" t="s">
        <v>260</v>
      </c>
      <c r="E442" s="35" t="s">
        <v>327</v>
      </c>
      <c r="F442" s="29" t="s">
        <v>262</v>
      </c>
      <c r="G442" s="36">
        <v>4400</v>
      </c>
      <c r="H442" s="36">
        <v>26.4</v>
      </c>
    </row>
    <row r="443" spans="1:8">
      <c r="A443" s="62">
        <v>137542387224</v>
      </c>
      <c r="B443" t="s">
        <v>4</v>
      </c>
      <c r="C443" s="35" t="s">
        <v>320</v>
      </c>
      <c r="D443" t="s">
        <v>260</v>
      </c>
      <c r="E443" s="35" t="s">
        <v>327</v>
      </c>
      <c r="F443" s="29" t="s">
        <v>262</v>
      </c>
      <c r="G443" s="36">
        <v>45500</v>
      </c>
      <c r="H443" s="36">
        <v>273</v>
      </c>
    </row>
    <row r="444" spans="1:8">
      <c r="A444" s="62">
        <v>136909607997</v>
      </c>
      <c r="B444" t="s">
        <v>4</v>
      </c>
      <c r="C444" s="35" t="s">
        <v>320</v>
      </c>
      <c r="D444" t="s">
        <v>260</v>
      </c>
      <c r="E444" s="35" t="s">
        <v>327</v>
      </c>
      <c r="F444" s="29" t="s">
        <v>262</v>
      </c>
      <c r="G444" s="36">
        <v>4800</v>
      </c>
      <c r="H444" s="36">
        <v>28.8</v>
      </c>
    </row>
    <row r="445" spans="1:8">
      <c r="A445" s="62">
        <v>137542736688</v>
      </c>
      <c r="B445" t="s">
        <v>263</v>
      </c>
      <c r="C445" s="35" t="s">
        <v>320</v>
      </c>
      <c r="D445" t="s">
        <v>260</v>
      </c>
      <c r="E445" s="35" t="s">
        <v>327</v>
      </c>
      <c r="F445" s="29" t="s">
        <v>262</v>
      </c>
      <c r="G445" s="36">
        <v>9600</v>
      </c>
      <c r="H445" s="36">
        <v>57.6</v>
      </c>
    </row>
    <row r="446" spans="1:8">
      <c r="A446" s="62">
        <v>136893462517</v>
      </c>
      <c r="B446" t="s">
        <v>263</v>
      </c>
      <c r="C446" s="35" t="s">
        <v>320</v>
      </c>
      <c r="D446" t="s">
        <v>260</v>
      </c>
      <c r="E446" s="35" t="s">
        <v>320</v>
      </c>
      <c r="F446" s="29" t="s">
        <v>262</v>
      </c>
      <c r="G446" s="36">
        <v>12400</v>
      </c>
      <c r="H446" s="36">
        <v>74.400000000000006</v>
      </c>
    </row>
    <row r="447" spans="1:8">
      <c r="A447" s="62">
        <v>137545150932</v>
      </c>
      <c r="B447" t="s">
        <v>4</v>
      </c>
      <c r="C447" s="35" t="s">
        <v>327</v>
      </c>
      <c r="D447" t="s">
        <v>260</v>
      </c>
      <c r="E447" s="35" t="s">
        <v>327</v>
      </c>
      <c r="F447" s="29" t="s">
        <v>262</v>
      </c>
      <c r="G447" s="36">
        <v>4800</v>
      </c>
      <c r="H447" s="36">
        <v>28.8</v>
      </c>
    </row>
    <row r="448" spans="1:8">
      <c r="A448" s="62">
        <v>137545257514</v>
      </c>
      <c r="B448" t="s">
        <v>4</v>
      </c>
      <c r="C448" s="35" t="s">
        <v>327</v>
      </c>
      <c r="D448" t="s">
        <v>260</v>
      </c>
      <c r="E448" s="35" t="s">
        <v>327</v>
      </c>
      <c r="F448" s="29" t="s">
        <v>262</v>
      </c>
      <c r="G448" s="36">
        <v>21500</v>
      </c>
      <c r="H448" s="36">
        <v>129</v>
      </c>
    </row>
    <row r="449" spans="1:8">
      <c r="A449" s="62">
        <v>137545399844</v>
      </c>
      <c r="B449" t="s">
        <v>4</v>
      </c>
      <c r="C449" s="35" t="s">
        <v>327</v>
      </c>
      <c r="D449" t="s">
        <v>260</v>
      </c>
      <c r="E449" s="35" t="s">
        <v>327</v>
      </c>
      <c r="F449" s="29" t="s">
        <v>262</v>
      </c>
      <c r="G449" s="36">
        <v>44000</v>
      </c>
      <c r="H449" s="36">
        <v>264</v>
      </c>
    </row>
    <row r="450" spans="1:8">
      <c r="A450" s="62">
        <v>136912525375</v>
      </c>
      <c r="B450" t="s">
        <v>4</v>
      </c>
      <c r="C450" s="35" t="s">
        <v>327</v>
      </c>
      <c r="D450" t="s">
        <v>260</v>
      </c>
      <c r="E450" s="35" t="s">
        <v>327</v>
      </c>
      <c r="F450" s="29" t="s">
        <v>262</v>
      </c>
      <c r="G450" s="36">
        <v>23400</v>
      </c>
      <c r="H450" s="36">
        <v>140.4</v>
      </c>
    </row>
    <row r="451" spans="1:8">
      <c r="A451" s="62">
        <v>136912585861</v>
      </c>
      <c r="B451" t="s">
        <v>4</v>
      </c>
      <c r="C451" s="35" t="s">
        <v>327</v>
      </c>
      <c r="D451" t="s">
        <v>260</v>
      </c>
      <c r="E451" s="35" t="s">
        <v>327</v>
      </c>
      <c r="F451" s="29" t="s">
        <v>262</v>
      </c>
      <c r="G451" s="36">
        <v>23400</v>
      </c>
      <c r="H451" s="36">
        <v>140.4</v>
      </c>
    </row>
    <row r="452" spans="1:8">
      <c r="A452" s="62">
        <v>136912751489</v>
      </c>
      <c r="B452" t="s">
        <v>4</v>
      </c>
      <c r="C452" s="35" t="s">
        <v>327</v>
      </c>
      <c r="D452" t="s">
        <v>260</v>
      </c>
      <c r="E452" s="35" t="s">
        <v>327</v>
      </c>
      <c r="F452" s="29" t="s">
        <v>262</v>
      </c>
      <c r="G452" s="36">
        <v>13600</v>
      </c>
      <c r="H452" s="36">
        <v>81.599999999999994</v>
      </c>
    </row>
    <row r="453" spans="1:8">
      <c r="A453" s="62">
        <v>136912732043</v>
      </c>
      <c r="B453" t="s">
        <v>4</v>
      </c>
      <c r="C453" s="35" t="s">
        <v>327</v>
      </c>
      <c r="D453" t="s">
        <v>260</v>
      </c>
      <c r="E453" s="35" t="s">
        <v>327</v>
      </c>
      <c r="F453" s="29" t="s">
        <v>262</v>
      </c>
      <c r="G453" s="36">
        <v>8400</v>
      </c>
      <c r="H453" s="36">
        <v>50.4</v>
      </c>
    </row>
    <row r="454" spans="1:8">
      <c r="A454" s="62">
        <v>136912975121</v>
      </c>
      <c r="B454" t="s">
        <v>4</v>
      </c>
      <c r="C454" s="35" t="s">
        <v>327</v>
      </c>
      <c r="D454" t="s">
        <v>260</v>
      </c>
      <c r="E454" s="35" t="s">
        <v>327</v>
      </c>
      <c r="F454" s="29" t="s">
        <v>262</v>
      </c>
      <c r="G454" s="36">
        <v>62000</v>
      </c>
      <c r="H454" s="36">
        <v>372</v>
      </c>
    </row>
    <row r="455" spans="1:8">
      <c r="A455" s="62">
        <v>137546227878</v>
      </c>
      <c r="B455" t="s">
        <v>4</v>
      </c>
      <c r="C455" s="35" t="s">
        <v>327</v>
      </c>
      <c r="D455" t="s">
        <v>260</v>
      </c>
      <c r="E455" s="35" t="s">
        <v>327</v>
      </c>
      <c r="F455" s="29" t="s">
        <v>262</v>
      </c>
      <c r="G455" s="36">
        <v>12900</v>
      </c>
      <c r="H455" s="36">
        <v>77.400000000000006</v>
      </c>
    </row>
    <row r="456" spans="1:8">
      <c r="A456" s="62">
        <v>137546578068</v>
      </c>
      <c r="B456" t="s">
        <v>4</v>
      </c>
      <c r="C456" s="35" t="s">
        <v>327</v>
      </c>
      <c r="D456" t="s">
        <v>260</v>
      </c>
      <c r="E456" s="35" t="s">
        <v>327</v>
      </c>
      <c r="F456" s="29" t="s">
        <v>262</v>
      </c>
      <c r="G456" s="36">
        <v>7900</v>
      </c>
      <c r="H456" s="36">
        <v>47.4</v>
      </c>
    </row>
    <row r="457" spans="1:8">
      <c r="A457" s="62">
        <v>137547228792</v>
      </c>
      <c r="B457" t="s">
        <v>263</v>
      </c>
      <c r="C457" s="35" t="s">
        <v>327</v>
      </c>
      <c r="D457" t="s">
        <v>260</v>
      </c>
      <c r="E457" s="35" t="s">
        <v>327</v>
      </c>
      <c r="F457" s="29" t="s">
        <v>262</v>
      </c>
      <c r="G457" s="36">
        <v>9600</v>
      </c>
      <c r="H457" s="36">
        <v>57.6</v>
      </c>
    </row>
    <row r="458" spans="1:8">
      <c r="A458" s="62">
        <v>136914446137</v>
      </c>
      <c r="B458" t="s">
        <v>4</v>
      </c>
      <c r="C458" s="35" t="s">
        <v>327</v>
      </c>
      <c r="D458" t="s">
        <v>260</v>
      </c>
      <c r="E458" s="35" t="s">
        <v>327</v>
      </c>
      <c r="F458" s="29" t="s">
        <v>262</v>
      </c>
      <c r="G458" s="36">
        <v>5800</v>
      </c>
      <c r="H458" s="36">
        <v>34.799999999999997</v>
      </c>
    </row>
    <row r="459" spans="1:8">
      <c r="A459" s="62">
        <v>136914570765</v>
      </c>
      <c r="B459" t="s">
        <v>4</v>
      </c>
      <c r="C459" s="35" t="s">
        <v>327</v>
      </c>
      <c r="D459" t="s">
        <v>260</v>
      </c>
      <c r="E459" s="35" t="s">
        <v>327</v>
      </c>
      <c r="F459" s="29" t="s">
        <v>262</v>
      </c>
      <c r="G459" s="36">
        <v>21300</v>
      </c>
      <c r="H459" s="36">
        <v>127.8</v>
      </c>
    </row>
    <row r="460" spans="1:8">
      <c r="A460" s="62">
        <v>136914671357</v>
      </c>
      <c r="B460" t="s">
        <v>4</v>
      </c>
      <c r="C460" s="35" t="s">
        <v>327</v>
      </c>
      <c r="D460" t="s">
        <v>260</v>
      </c>
      <c r="E460" s="35" t="s">
        <v>327</v>
      </c>
      <c r="F460" s="29" t="s">
        <v>262</v>
      </c>
      <c r="G460" s="36">
        <v>27600</v>
      </c>
      <c r="H460" s="36">
        <v>165.6</v>
      </c>
    </row>
    <row r="461" spans="1:8">
      <c r="A461" s="62">
        <v>136915272579</v>
      </c>
      <c r="B461" t="s">
        <v>263</v>
      </c>
      <c r="C461" s="35" t="s">
        <v>327</v>
      </c>
      <c r="D461" t="s">
        <v>260</v>
      </c>
      <c r="E461" s="35" t="s">
        <v>327</v>
      </c>
      <c r="F461" s="29" t="s">
        <v>262</v>
      </c>
      <c r="G461" s="36">
        <v>7900</v>
      </c>
      <c r="H461" s="36">
        <v>47.4</v>
      </c>
    </row>
    <row r="462" spans="1:8">
      <c r="A462" s="62">
        <v>136898510177</v>
      </c>
      <c r="B462" t="s">
        <v>263</v>
      </c>
      <c r="C462" s="35" t="s">
        <v>320</v>
      </c>
      <c r="D462" t="s">
        <v>260</v>
      </c>
      <c r="E462" s="35" t="s">
        <v>320</v>
      </c>
      <c r="F462" s="29" t="s">
        <v>262</v>
      </c>
      <c r="G462" s="36">
        <v>36300</v>
      </c>
      <c r="H462" s="36">
        <v>217.8</v>
      </c>
    </row>
    <row r="463" spans="1:8">
      <c r="A463" s="62">
        <v>136898457817</v>
      </c>
      <c r="B463" t="s">
        <v>263</v>
      </c>
      <c r="C463" s="35" t="s">
        <v>320</v>
      </c>
      <c r="D463" t="s">
        <v>260</v>
      </c>
      <c r="E463" s="35" t="s">
        <v>320</v>
      </c>
      <c r="F463" s="29" t="s">
        <v>262</v>
      </c>
      <c r="G463" s="36">
        <v>4800</v>
      </c>
      <c r="H463" s="36">
        <v>28.8</v>
      </c>
    </row>
    <row r="464" spans="1:8">
      <c r="A464" s="62">
        <v>137548968332</v>
      </c>
      <c r="B464" t="s">
        <v>263</v>
      </c>
      <c r="C464" s="35" t="s">
        <v>327</v>
      </c>
      <c r="D464" t="s">
        <v>260</v>
      </c>
      <c r="E464" s="35" t="s">
        <v>327</v>
      </c>
      <c r="F464" s="29" t="s">
        <v>262</v>
      </c>
      <c r="G464" s="36">
        <v>20900</v>
      </c>
      <c r="H464" s="36">
        <v>125.4</v>
      </c>
    </row>
    <row r="465" spans="1:8">
      <c r="A465" s="62">
        <v>137549612728</v>
      </c>
      <c r="B465" t="s">
        <v>4</v>
      </c>
      <c r="C465" s="35" t="s">
        <v>327</v>
      </c>
      <c r="D465" t="s">
        <v>260</v>
      </c>
      <c r="E465" s="35" t="s">
        <v>327</v>
      </c>
      <c r="F465" s="29" t="s">
        <v>262</v>
      </c>
      <c r="G465" s="36">
        <v>218500</v>
      </c>
      <c r="H465" s="36">
        <v>1311</v>
      </c>
    </row>
    <row r="466" spans="1:8">
      <c r="A466" s="62">
        <v>137549459378</v>
      </c>
      <c r="B466" t="s">
        <v>4</v>
      </c>
      <c r="C466" s="35" t="s">
        <v>327</v>
      </c>
      <c r="D466" t="s">
        <v>260</v>
      </c>
      <c r="E466" s="35" t="s">
        <v>327</v>
      </c>
      <c r="F466" s="29" t="s">
        <v>262</v>
      </c>
      <c r="G466" s="36">
        <v>8800</v>
      </c>
      <c r="H466" s="36">
        <v>52.8</v>
      </c>
    </row>
    <row r="467" spans="1:8">
      <c r="A467" s="62">
        <v>136901524811</v>
      </c>
      <c r="B467" t="s">
        <v>4</v>
      </c>
      <c r="C467" s="35" t="s">
        <v>320</v>
      </c>
      <c r="D467" t="s">
        <v>260</v>
      </c>
      <c r="E467" s="35" t="s">
        <v>320</v>
      </c>
      <c r="F467" s="29" t="s">
        <v>262</v>
      </c>
      <c r="G467" s="36">
        <v>13600</v>
      </c>
      <c r="H467" s="36">
        <v>81.599999999999994</v>
      </c>
    </row>
    <row r="468" spans="1:8">
      <c r="A468" s="62">
        <v>136902088409</v>
      </c>
      <c r="B468" t="s">
        <v>328</v>
      </c>
      <c r="C468" s="35" t="s">
        <v>320</v>
      </c>
      <c r="D468" t="s">
        <v>260</v>
      </c>
      <c r="E468" s="35" t="s">
        <v>320</v>
      </c>
      <c r="F468" s="29" t="s">
        <v>262</v>
      </c>
      <c r="G468" s="36">
        <v>1100</v>
      </c>
      <c r="H468" s="36">
        <v>6.6</v>
      </c>
    </row>
    <row r="469" spans="1:8">
      <c r="A469" s="62">
        <v>136902227587</v>
      </c>
      <c r="B469" t="s">
        <v>4</v>
      </c>
      <c r="C469" s="35" t="s">
        <v>320</v>
      </c>
      <c r="D469" t="s">
        <v>260</v>
      </c>
      <c r="E469" s="35" t="s">
        <v>320</v>
      </c>
      <c r="F469" s="29" t="s">
        <v>262</v>
      </c>
      <c r="G469" s="36">
        <v>9400</v>
      </c>
      <c r="H469" s="36">
        <v>56.4</v>
      </c>
    </row>
    <row r="470" spans="1:8">
      <c r="A470" s="62">
        <v>137535694252</v>
      </c>
      <c r="B470" t="s">
        <v>4</v>
      </c>
      <c r="C470" s="35" t="s">
        <v>320</v>
      </c>
      <c r="D470" t="s">
        <v>260</v>
      </c>
      <c r="E470" s="35" t="s">
        <v>320</v>
      </c>
      <c r="F470" s="29" t="s">
        <v>262</v>
      </c>
      <c r="G470" s="36">
        <v>4800</v>
      </c>
      <c r="H470" s="36">
        <v>28.8</v>
      </c>
    </row>
    <row r="471" spans="1:8">
      <c r="A471" s="62">
        <v>136902790397</v>
      </c>
      <c r="B471" t="s">
        <v>4</v>
      </c>
      <c r="C471" s="35" t="s">
        <v>320</v>
      </c>
      <c r="D471" t="s">
        <v>260</v>
      </c>
      <c r="E471" s="35" t="s">
        <v>320</v>
      </c>
      <c r="F471" s="29" t="s">
        <v>262</v>
      </c>
      <c r="G471" s="36">
        <v>4800</v>
      </c>
      <c r="H471" s="36">
        <v>28.8</v>
      </c>
    </row>
    <row r="472" spans="1:8">
      <c r="A472" s="62">
        <v>136903070923</v>
      </c>
      <c r="B472" t="s">
        <v>4</v>
      </c>
      <c r="C472" s="35" t="s">
        <v>320</v>
      </c>
      <c r="D472" t="s">
        <v>260</v>
      </c>
      <c r="E472" s="35" t="s">
        <v>320</v>
      </c>
      <c r="F472" s="29" t="s">
        <v>262</v>
      </c>
      <c r="G472" s="36">
        <v>4800</v>
      </c>
      <c r="H472" s="36">
        <v>28.8</v>
      </c>
    </row>
    <row r="473" spans="1:8">
      <c r="A473" s="62">
        <v>137536620552</v>
      </c>
      <c r="B473" t="s">
        <v>4</v>
      </c>
      <c r="C473" s="35" t="s">
        <v>320</v>
      </c>
      <c r="D473" t="s">
        <v>260</v>
      </c>
      <c r="E473" s="35" t="s">
        <v>320</v>
      </c>
      <c r="F473" s="29" t="s">
        <v>262</v>
      </c>
      <c r="G473" s="36">
        <v>37700</v>
      </c>
      <c r="H473" s="36">
        <v>226.2</v>
      </c>
    </row>
    <row r="474" spans="1:8">
      <c r="A474" s="62">
        <v>136903852707</v>
      </c>
      <c r="B474" t="s">
        <v>263</v>
      </c>
      <c r="C474" s="35" t="s">
        <v>320</v>
      </c>
      <c r="D474" t="s">
        <v>260</v>
      </c>
      <c r="E474" s="35" t="s">
        <v>320</v>
      </c>
      <c r="F474" s="29" t="s">
        <v>262</v>
      </c>
      <c r="G474" s="36">
        <v>71500</v>
      </c>
      <c r="H474" s="36">
        <v>429</v>
      </c>
    </row>
    <row r="475" spans="1:8">
      <c r="A475" s="62">
        <v>136903887707</v>
      </c>
      <c r="B475" t="s">
        <v>4</v>
      </c>
      <c r="C475" s="35" t="s">
        <v>320</v>
      </c>
      <c r="D475" t="s">
        <v>260</v>
      </c>
      <c r="E475" s="35" t="s">
        <v>320</v>
      </c>
      <c r="F475" s="29" t="s">
        <v>262</v>
      </c>
      <c r="G475" s="36">
        <v>4800</v>
      </c>
      <c r="H475" s="36">
        <v>28.8</v>
      </c>
    </row>
    <row r="476" spans="1:8">
      <c r="A476" s="62">
        <v>136904114823</v>
      </c>
      <c r="B476" t="s">
        <v>4</v>
      </c>
      <c r="C476" s="35" t="s">
        <v>320</v>
      </c>
      <c r="D476" t="s">
        <v>260</v>
      </c>
      <c r="E476" s="35" t="s">
        <v>320</v>
      </c>
      <c r="F476" s="29" t="s">
        <v>262</v>
      </c>
      <c r="G476" s="36">
        <v>4200</v>
      </c>
      <c r="H476" s="36">
        <v>25.2</v>
      </c>
    </row>
    <row r="477" spans="1:8">
      <c r="A477" s="62">
        <v>137537835128</v>
      </c>
      <c r="B477" t="s">
        <v>329</v>
      </c>
      <c r="C477" s="35" t="s">
        <v>320</v>
      </c>
      <c r="D477" t="s">
        <v>260</v>
      </c>
      <c r="E477" s="35" t="s">
        <v>320</v>
      </c>
      <c r="F477" s="29" t="s">
        <v>262</v>
      </c>
      <c r="G477" s="36">
        <v>240</v>
      </c>
      <c r="H477" s="36">
        <v>1.44</v>
      </c>
    </row>
    <row r="478" spans="1:8">
      <c r="A478" s="62">
        <v>137539201804</v>
      </c>
      <c r="B478" t="s">
        <v>4</v>
      </c>
      <c r="C478" s="35" t="s">
        <v>320</v>
      </c>
      <c r="D478" t="s">
        <v>260</v>
      </c>
      <c r="E478" s="35" t="s">
        <v>320</v>
      </c>
      <c r="F478" s="29" t="s">
        <v>262</v>
      </c>
      <c r="G478" s="36">
        <v>4100</v>
      </c>
      <c r="H478" s="36">
        <v>24.6</v>
      </c>
    </row>
    <row r="479" spans="1:8">
      <c r="A479" s="62">
        <v>136906923221</v>
      </c>
      <c r="B479" t="s">
        <v>4</v>
      </c>
      <c r="C479" s="35" t="s">
        <v>320</v>
      </c>
      <c r="D479" t="s">
        <v>260</v>
      </c>
      <c r="E479" s="35" t="s">
        <v>320</v>
      </c>
      <c r="F479" s="29" t="s">
        <v>262</v>
      </c>
      <c r="G479" s="36">
        <v>109500</v>
      </c>
      <c r="H479" s="36">
        <v>657</v>
      </c>
    </row>
    <row r="480" spans="1:8">
      <c r="A480" s="62">
        <v>137540105336</v>
      </c>
      <c r="B480" t="s">
        <v>4</v>
      </c>
      <c r="C480" s="35" t="s">
        <v>320</v>
      </c>
      <c r="D480" t="s">
        <v>260</v>
      </c>
      <c r="E480" s="35" t="s">
        <v>327</v>
      </c>
      <c r="F480" s="29" t="s">
        <v>262</v>
      </c>
      <c r="G480" s="36">
        <v>4800</v>
      </c>
      <c r="H480" s="36">
        <v>28.8</v>
      </c>
    </row>
    <row r="481" spans="1:8">
      <c r="A481" s="62">
        <v>137541122404</v>
      </c>
      <c r="B481" t="s">
        <v>330</v>
      </c>
      <c r="C481" s="35" t="s">
        <v>320</v>
      </c>
      <c r="D481" t="s">
        <v>260</v>
      </c>
      <c r="E481" s="35" t="s">
        <v>327</v>
      </c>
      <c r="F481" s="29" t="s">
        <v>262</v>
      </c>
      <c r="G481" s="36">
        <v>1280</v>
      </c>
      <c r="H481" s="36">
        <v>7.68</v>
      </c>
    </row>
    <row r="482" spans="1:8">
      <c r="A482" s="62">
        <v>137541218458</v>
      </c>
      <c r="B482" t="s">
        <v>4</v>
      </c>
      <c r="C482" s="35" t="s">
        <v>320</v>
      </c>
      <c r="D482" t="s">
        <v>260</v>
      </c>
      <c r="E482" s="35" t="s">
        <v>327</v>
      </c>
      <c r="F482" s="29" t="s">
        <v>262</v>
      </c>
      <c r="G482" s="36">
        <v>4800</v>
      </c>
      <c r="H482" s="36">
        <v>28.8</v>
      </c>
    </row>
    <row r="483" spans="1:8">
      <c r="A483" s="62">
        <v>136907946313</v>
      </c>
      <c r="B483" t="s">
        <v>263</v>
      </c>
      <c r="C483" s="35" t="s">
        <v>320</v>
      </c>
      <c r="D483" t="s">
        <v>260</v>
      </c>
      <c r="E483" s="35" t="s">
        <v>327</v>
      </c>
      <c r="F483" s="29" t="s">
        <v>262</v>
      </c>
      <c r="G483" s="36">
        <v>30000</v>
      </c>
      <c r="H483" s="36">
        <v>180</v>
      </c>
    </row>
    <row r="484" spans="1:8">
      <c r="A484" s="62">
        <v>137542444234</v>
      </c>
      <c r="B484" t="s">
        <v>4</v>
      </c>
      <c r="C484" s="35" t="s">
        <v>320</v>
      </c>
      <c r="D484" t="s">
        <v>260</v>
      </c>
      <c r="E484" s="35" t="s">
        <v>327</v>
      </c>
      <c r="F484" s="29" t="s">
        <v>262</v>
      </c>
      <c r="G484" s="36">
        <v>48100</v>
      </c>
      <c r="H484" s="36">
        <v>288.60000000000002</v>
      </c>
    </row>
    <row r="485" spans="1:8">
      <c r="A485" s="62">
        <v>137542727460</v>
      </c>
      <c r="B485" t="s">
        <v>4</v>
      </c>
      <c r="C485" s="35" t="s">
        <v>320</v>
      </c>
      <c r="D485" t="s">
        <v>260</v>
      </c>
      <c r="E485" s="35" t="s">
        <v>327</v>
      </c>
      <c r="F485" s="29" t="s">
        <v>262</v>
      </c>
      <c r="G485" s="36">
        <v>18400</v>
      </c>
      <c r="H485" s="36">
        <v>110.4</v>
      </c>
    </row>
    <row r="486" spans="1:8">
      <c r="A486" s="62">
        <v>136910253133</v>
      </c>
      <c r="B486" t="s">
        <v>4</v>
      </c>
      <c r="C486" s="35" t="s">
        <v>320</v>
      </c>
      <c r="D486" t="s">
        <v>260</v>
      </c>
      <c r="E486" s="35" t="s">
        <v>327</v>
      </c>
      <c r="F486" s="29" t="s">
        <v>262</v>
      </c>
      <c r="G486" s="36">
        <v>8000</v>
      </c>
      <c r="H486" s="36">
        <v>48</v>
      </c>
    </row>
    <row r="487" spans="1:8">
      <c r="A487" s="62">
        <v>137543547888</v>
      </c>
      <c r="B487" t="s">
        <v>4</v>
      </c>
      <c r="C487" s="35" t="s">
        <v>320</v>
      </c>
      <c r="D487" t="s">
        <v>260</v>
      </c>
      <c r="E487" s="35" t="s">
        <v>327</v>
      </c>
      <c r="F487" s="29" t="s">
        <v>262</v>
      </c>
      <c r="G487" s="36">
        <v>40500</v>
      </c>
      <c r="H487" s="36">
        <v>243</v>
      </c>
    </row>
    <row r="488" spans="1:8">
      <c r="A488" s="62">
        <v>137544322996</v>
      </c>
      <c r="B488" t="s">
        <v>263</v>
      </c>
      <c r="C488" s="35" t="s">
        <v>327</v>
      </c>
      <c r="D488" t="s">
        <v>260</v>
      </c>
      <c r="E488" s="35" t="s">
        <v>327</v>
      </c>
      <c r="F488" s="29" t="s">
        <v>262</v>
      </c>
      <c r="G488" s="36">
        <v>92100</v>
      </c>
      <c r="H488" s="36">
        <v>552.6</v>
      </c>
    </row>
    <row r="489" spans="1:8">
      <c r="A489" s="62">
        <v>137544399486</v>
      </c>
      <c r="B489" t="s">
        <v>4</v>
      </c>
      <c r="C489" s="35" t="s">
        <v>327</v>
      </c>
      <c r="D489" t="s">
        <v>260</v>
      </c>
      <c r="E489" s="35" t="s">
        <v>327</v>
      </c>
      <c r="F489" s="29" t="s">
        <v>262</v>
      </c>
      <c r="G489" s="36">
        <v>4200</v>
      </c>
      <c r="H489" s="36">
        <v>25.2</v>
      </c>
    </row>
    <row r="490" spans="1:8">
      <c r="A490" s="62">
        <v>136911982075</v>
      </c>
      <c r="B490" t="s">
        <v>4</v>
      </c>
      <c r="C490" s="35" t="s">
        <v>327</v>
      </c>
      <c r="D490" t="s">
        <v>260</v>
      </c>
      <c r="E490" s="35" t="s">
        <v>327</v>
      </c>
      <c r="F490" s="29" t="s">
        <v>262</v>
      </c>
      <c r="G490" s="36">
        <v>14700</v>
      </c>
      <c r="H490" s="36">
        <v>88.2</v>
      </c>
    </row>
    <row r="491" spans="1:8">
      <c r="A491" s="62">
        <v>136912149021</v>
      </c>
      <c r="B491" t="s">
        <v>4</v>
      </c>
      <c r="C491" s="35" t="s">
        <v>327</v>
      </c>
      <c r="D491" t="s">
        <v>260</v>
      </c>
      <c r="E491" s="35" t="s">
        <v>327</v>
      </c>
      <c r="F491" s="29" t="s">
        <v>262</v>
      </c>
      <c r="G491" s="36">
        <v>106500</v>
      </c>
      <c r="H491" s="36">
        <v>639</v>
      </c>
    </row>
    <row r="492" spans="1:8">
      <c r="A492" s="62">
        <v>136912380571</v>
      </c>
      <c r="B492" t="s">
        <v>263</v>
      </c>
      <c r="C492" s="35" t="s">
        <v>327</v>
      </c>
      <c r="D492" t="s">
        <v>260</v>
      </c>
      <c r="E492" s="35" t="s">
        <v>327</v>
      </c>
      <c r="F492" s="29" t="s">
        <v>262</v>
      </c>
      <c r="G492" s="36">
        <v>20900</v>
      </c>
      <c r="H492" s="36">
        <v>125.4</v>
      </c>
    </row>
    <row r="493" spans="1:8">
      <c r="A493" s="62">
        <v>137545478442</v>
      </c>
      <c r="B493" t="s">
        <v>4</v>
      </c>
      <c r="C493" s="35" t="s">
        <v>327</v>
      </c>
      <c r="D493" t="s">
        <v>260</v>
      </c>
      <c r="E493" s="35" t="s">
        <v>327</v>
      </c>
      <c r="F493" s="29" t="s">
        <v>262</v>
      </c>
      <c r="G493" s="36">
        <v>12000</v>
      </c>
      <c r="H493" s="36">
        <v>72</v>
      </c>
    </row>
    <row r="494" spans="1:8">
      <c r="A494" s="62">
        <v>136912524459</v>
      </c>
      <c r="B494" t="s">
        <v>4</v>
      </c>
      <c r="C494" s="35" t="s">
        <v>327</v>
      </c>
      <c r="D494" t="s">
        <v>260</v>
      </c>
      <c r="E494" s="35" t="s">
        <v>327</v>
      </c>
      <c r="F494" s="29" t="s">
        <v>262</v>
      </c>
      <c r="G494" s="36">
        <v>27500</v>
      </c>
      <c r="H494" s="36">
        <v>165</v>
      </c>
    </row>
    <row r="495" spans="1:8">
      <c r="A495" s="62">
        <v>137545666916</v>
      </c>
      <c r="B495" t="s">
        <v>331</v>
      </c>
      <c r="C495" s="35" t="s">
        <v>327</v>
      </c>
      <c r="D495" t="s">
        <v>260</v>
      </c>
      <c r="E495" s="35" t="s">
        <v>327</v>
      </c>
      <c r="F495" s="29" t="s">
        <v>262</v>
      </c>
      <c r="G495" s="36">
        <v>2200</v>
      </c>
      <c r="H495" s="36">
        <v>13.2</v>
      </c>
    </row>
    <row r="496" spans="1:8">
      <c r="A496" s="62">
        <v>137546451270</v>
      </c>
      <c r="B496" t="s">
        <v>4</v>
      </c>
      <c r="C496" s="35" t="s">
        <v>327</v>
      </c>
      <c r="D496" t="s">
        <v>260</v>
      </c>
      <c r="E496" s="35" t="s">
        <v>327</v>
      </c>
      <c r="F496" s="29" t="s">
        <v>262</v>
      </c>
      <c r="G496" s="36">
        <v>13500</v>
      </c>
      <c r="H496" s="36">
        <v>81</v>
      </c>
    </row>
    <row r="497" spans="1:8">
      <c r="A497" s="62">
        <v>136913470977</v>
      </c>
      <c r="B497" t="s">
        <v>263</v>
      </c>
      <c r="C497" s="35" t="s">
        <v>327</v>
      </c>
      <c r="D497" t="s">
        <v>260</v>
      </c>
      <c r="E497" s="35" t="s">
        <v>327</v>
      </c>
      <c r="F497" s="29" t="s">
        <v>262</v>
      </c>
      <c r="G497" s="36">
        <v>9600</v>
      </c>
      <c r="H497" s="36">
        <v>57.6</v>
      </c>
    </row>
    <row r="498" spans="1:8">
      <c r="A498" s="62">
        <v>136914112129</v>
      </c>
      <c r="B498" t="s">
        <v>4</v>
      </c>
      <c r="C498" s="35" t="s">
        <v>327</v>
      </c>
      <c r="D498" t="s">
        <v>260</v>
      </c>
      <c r="E498" s="35" t="s">
        <v>327</v>
      </c>
      <c r="F498" s="29" t="s">
        <v>262</v>
      </c>
      <c r="G498" s="36">
        <v>4800</v>
      </c>
      <c r="H498" s="36">
        <v>28.8</v>
      </c>
    </row>
    <row r="499" spans="1:8">
      <c r="A499" s="62">
        <v>136914272051</v>
      </c>
      <c r="B499" t="s">
        <v>4</v>
      </c>
      <c r="C499" s="35" t="s">
        <v>327</v>
      </c>
      <c r="D499" t="s">
        <v>260</v>
      </c>
      <c r="E499" s="35" t="s">
        <v>327</v>
      </c>
      <c r="F499" s="29" t="s">
        <v>262</v>
      </c>
      <c r="G499" s="36">
        <v>12700</v>
      </c>
      <c r="H499" s="36">
        <v>76.2</v>
      </c>
    </row>
    <row r="500" spans="1:8">
      <c r="A500" s="62">
        <v>136914524535</v>
      </c>
      <c r="B500" t="s">
        <v>4</v>
      </c>
      <c r="C500" s="35" t="s">
        <v>327</v>
      </c>
      <c r="D500" t="s">
        <v>260</v>
      </c>
      <c r="E500" s="35" t="s">
        <v>327</v>
      </c>
      <c r="F500" s="29" t="s">
        <v>262</v>
      </c>
      <c r="G500" s="36">
        <v>4800</v>
      </c>
      <c r="H500" s="36">
        <v>28.8</v>
      </c>
    </row>
    <row r="501" spans="1:8">
      <c r="A501" s="62">
        <v>137547309798</v>
      </c>
      <c r="B501" t="s">
        <v>4</v>
      </c>
      <c r="C501" s="35" t="s">
        <v>327</v>
      </c>
      <c r="D501" t="s">
        <v>260</v>
      </c>
      <c r="E501" s="35" t="s">
        <v>327</v>
      </c>
      <c r="F501" s="29" t="s">
        <v>262</v>
      </c>
      <c r="G501" s="36">
        <v>9600</v>
      </c>
      <c r="H501" s="36">
        <v>57.6</v>
      </c>
    </row>
    <row r="502" spans="1:8">
      <c r="A502" s="62">
        <v>136915988399</v>
      </c>
      <c r="B502" t="s">
        <v>4</v>
      </c>
      <c r="C502" s="35" t="s">
        <v>327</v>
      </c>
      <c r="D502" t="s">
        <v>260</v>
      </c>
      <c r="E502" s="35" t="s">
        <v>327</v>
      </c>
      <c r="F502" s="29" t="s">
        <v>262</v>
      </c>
      <c r="G502" s="36">
        <v>26000</v>
      </c>
      <c r="H502" s="36">
        <v>156</v>
      </c>
    </row>
    <row r="503" spans="1:8">
      <c r="A503" s="62">
        <v>137549050936</v>
      </c>
      <c r="B503" t="s">
        <v>4</v>
      </c>
      <c r="C503" s="35" t="s">
        <v>327</v>
      </c>
      <c r="D503" t="s">
        <v>260</v>
      </c>
      <c r="E503" s="35" t="s">
        <v>327</v>
      </c>
      <c r="F503" s="29" t="s">
        <v>262</v>
      </c>
      <c r="G503" s="36">
        <v>76200</v>
      </c>
      <c r="H503" s="36">
        <v>457.2</v>
      </c>
    </row>
    <row r="504" spans="1:8">
      <c r="A504" s="62">
        <v>136916514577</v>
      </c>
      <c r="B504" t="s">
        <v>332</v>
      </c>
      <c r="C504" s="35" t="s">
        <v>327</v>
      </c>
      <c r="D504" t="s">
        <v>260</v>
      </c>
      <c r="E504" s="35" t="s">
        <v>327</v>
      </c>
      <c r="F504" s="29" t="s">
        <v>262</v>
      </c>
      <c r="G504" s="36">
        <v>550</v>
      </c>
      <c r="H504" s="36">
        <v>3.3</v>
      </c>
    </row>
    <row r="505" spans="1:8">
      <c r="A505" s="62">
        <v>136916562339</v>
      </c>
      <c r="B505" t="s">
        <v>4</v>
      </c>
      <c r="C505" s="35" t="s">
        <v>327</v>
      </c>
      <c r="D505" t="s">
        <v>260</v>
      </c>
      <c r="E505" s="35" t="s">
        <v>327</v>
      </c>
      <c r="F505" s="29" t="s">
        <v>262</v>
      </c>
      <c r="G505" s="36">
        <v>11000</v>
      </c>
      <c r="H505" s="36">
        <v>66</v>
      </c>
    </row>
    <row r="506" spans="1:8">
      <c r="A506" s="62">
        <v>136916652431</v>
      </c>
      <c r="B506" t="s">
        <v>4</v>
      </c>
      <c r="C506" s="35" t="s">
        <v>327</v>
      </c>
      <c r="D506" t="s">
        <v>260</v>
      </c>
      <c r="E506" s="35" t="s">
        <v>327</v>
      </c>
      <c r="F506" s="29" t="s">
        <v>262</v>
      </c>
      <c r="G506" s="36">
        <v>4800</v>
      </c>
      <c r="H506" s="36">
        <v>28.8</v>
      </c>
    </row>
    <row r="507" spans="1:8">
      <c r="A507" s="62">
        <v>137549976466</v>
      </c>
      <c r="B507" t="s">
        <v>4</v>
      </c>
      <c r="C507" s="35" t="s">
        <v>327</v>
      </c>
      <c r="D507" t="s">
        <v>260</v>
      </c>
      <c r="E507" s="35" t="s">
        <v>327</v>
      </c>
      <c r="F507" s="29" t="s">
        <v>262</v>
      </c>
      <c r="G507" s="36">
        <v>42200</v>
      </c>
      <c r="H507" s="36">
        <v>253.2</v>
      </c>
    </row>
    <row r="508" spans="1:8">
      <c r="A508" s="62">
        <v>137550029106</v>
      </c>
      <c r="B508" t="s">
        <v>263</v>
      </c>
      <c r="C508" s="35" t="s">
        <v>327</v>
      </c>
      <c r="D508" t="s">
        <v>260</v>
      </c>
      <c r="E508" s="35" t="s">
        <v>327</v>
      </c>
      <c r="F508" s="29" t="s">
        <v>262</v>
      </c>
      <c r="G508" s="36">
        <v>37900</v>
      </c>
      <c r="H508" s="36">
        <v>227.4</v>
      </c>
    </row>
    <row r="509" spans="1:8">
      <c r="A509" s="62">
        <v>136916906659</v>
      </c>
      <c r="B509" t="s">
        <v>4</v>
      </c>
      <c r="C509" s="35" t="s">
        <v>327</v>
      </c>
      <c r="D509" t="s">
        <v>260</v>
      </c>
      <c r="E509" s="35" t="s">
        <v>327</v>
      </c>
      <c r="F509" s="29" t="s">
        <v>262</v>
      </c>
      <c r="G509" s="36">
        <v>11400</v>
      </c>
      <c r="H509" s="36">
        <v>68.400000000000006</v>
      </c>
    </row>
    <row r="510" spans="1:8">
      <c r="A510" s="62">
        <v>137549963508</v>
      </c>
      <c r="B510" t="s">
        <v>333</v>
      </c>
      <c r="C510" s="35" t="s">
        <v>327</v>
      </c>
      <c r="D510" t="s">
        <v>260</v>
      </c>
      <c r="E510" s="35" t="s">
        <v>327</v>
      </c>
      <c r="F510" s="29" t="s">
        <v>262</v>
      </c>
      <c r="G510" s="36">
        <v>570</v>
      </c>
      <c r="H510" s="36">
        <v>3.42</v>
      </c>
    </row>
    <row r="511" spans="1:8">
      <c r="A511" s="62">
        <v>137611435372</v>
      </c>
      <c r="B511" t="s">
        <v>334</v>
      </c>
      <c r="C511" s="35" t="s">
        <v>327</v>
      </c>
      <c r="D511" t="s">
        <v>260</v>
      </c>
      <c r="E511" s="35" t="s">
        <v>327</v>
      </c>
      <c r="F511" s="29" t="s">
        <v>262</v>
      </c>
      <c r="G511" s="36">
        <v>143789.59</v>
      </c>
      <c r="H511" s="36">
        <v>862.74</v>
      </c>
    </row>
    <row r="512" spans="1:8">
      <c r="A512" s="62">
        <v>137649717546</v>
      </c>
      <c r="B512" t="s">
        <v>4</v>
      </c>
      <c r="C512" s="35" t="s">
        <v>327</v>
      </c>
      <c r="D512" t="s">
        <v>260</v>
      </c>
      <c r="E512" s="35" t="s">
        <v>327</v>
      </c>
      <c r="F512" s="29" t="s">
        <v>262</v>
      </c>
      <c r="G512" s="36">
        <v>9600</v>
      </c>
      <c r="H512" s="36">
        <v>57.6</v>
      </c>
    </row>
    <row r="513" spans="1:8">
      <c r="A513" s="62">
        <v>137035785219</v>
      </c>
      <c r="B513" t="s">
        <v>4</v>
      </c>
      <c r="C513" s="35" t="s">
        <v>327</v>
      </c>
      <c r="D513" t="s">
        <v>260</v>
      </c>
      <c r="E513" s="35" t="s">
        <v>327</v>
      </c>
      <c r="F513" s="29" t="s">
        <v>262</v>
      </c>
      <c r="G513" s="36">
        <v>26400</v>
      </c>
      <c r="H513" s="36">
        <v>158.4</v>
      </c>
    </row>
    <row r="514" spans="1:8">
      <c r="A514" s="62">
        <v>137671009436</v>
      </c>
      <c r="B514" t="s">
        <v>4</v>
      </c>
      <c r="C514" s="35" t="s">
        <v>327</v>
      </c>
      <c r="D514" t="s">
        <v>260</v>
      </c>
      <c r="E514" s="35" t="s">
        <v>327</v>
      </c>
      <c r="F514" s="29" t="s">
        <v>262</v>
      </c>
      <c r="G514" s="36">
        <v>20200</v>
      </c>
      <c r="H514" s="36">
        <v>121.2</v>
      </c>
    </row>
    <row r="515" spans="1:8">
      <c r="A515" s="62">
        <v>137676231468</v>
      </c>
      <c r="B515" t="s">
        <v>4</v>
      </c>
      <c r="C515" s="35" t="s">
        <v>327</v>
      </c>
      <c r="D515" t="s">
        <v>260</v>
      </c>
      <c r="E515" s="35" t="s">
        <v>327</v>
      </c>
      <c r="F515" s="29" t="s">
        <v>262</v>
      </c>
      <c r="G515" s="36">
        <v>4800</v>
      </c>
      <c r="H515" s="36">
        <v>28.8</v>
      </c>
    </row>
    <row r="516" spans="1:8">
      <c r="A516" s="62">
        <v>137677529088</v>
      </c>
      <c r="B516" t="s">
        <v>4</v>
      </c>
      <c r="C516" s="35" t="s">
        <v>327</v>
      </c>
      <c r="D516" t="s">
        <v>260</v>
      </c>
      <c r="E516" s="35" t="s">
        <v>327</v>
      </c>
      <c r="F516" s="29" t="s">
        <v>262</v>
      </c>
      <c r="G516" s="36">
        <v>9800</v>
      </c>
      <c r="H516" s="36">
        <v>58.8</v>
      </c>
    </row>
    <row r="517" spans="1:8">
      <c r="A517" s="62">
        <v>137044469955</v>
      </c>
      <c r="B517" t="s">
        <v>4</v>
      </c>
      <c r="C517" s="35" t="s">
        <v>327</v>
      </c>
      <c r="D517" t="s">
        <v>260</v>
      </c>
      <c r="E517" s="35" t="s">
        <v>327</v>
      </c>
      <c r="F517" s="29" t="s">
        <v>262</v>
      </c>
      <c r="G517" s="36">
        <v>94600</v>
      </c>
      <c r="H517" s="36">
        <v>567.6</v>
      </c>
    </row>
    <row r="518" spans="1:8">
      <c r="A518" s="62">
        <v>137680805420</v>
      </c>
      <c r="B518" t="s">
        <v>4</v>
      </c>
      <c r="C518" s="35" t="s">
        <v>327</v>
      </c>
      <c r="D518" t="s">
        <v>260</v>
      </c>
      <c r="E518" s="35" t="s">
        <v>327</v>
      </c>
      <c r="F518" s="29" t="s">
        <v>262</v>
      </c>
      <c r="G518" s="36">
        <v>14700</v>
      </c>
      <c r="H518" s="36">
        <v>88.2</v>
      </c>
    </row>
    <row r="519" spans="1:8">
      <c r="A519" s="62">
        <v>137048989753</v>
      </c>
      <c r="B519" t="s">
        <v>335</v>
      </c>
      <c r="C519" s="35" t="s">
        <v>327</v>
      </c>
      <c r="D519" t="s">
        <v>260</v>
      </c>
      <c r="E519" s="35" t="s">
        <v>327</v>
      </c>
      <c r="F519" s="29" t="s">
        <v>262</v>
      </c>
      <c r="G519" s="36">
        <v>2780</v>
      </c>
      <c r="H519" s="36">
        <v>16.68</v>
      </c>
    </row>
    <row r="520" spans="1:8">
      <c r="A520" s="62">
        <v>137682428878</v>
      </c>
      <c r="B520" t="s">
        <v>4</v>
      </c>
      <c r="C520" s="35" t="s">
        <v>327</v>
      </c>
      <c r="D520" t="s">
        <v>260</v>
      </c>
      <c r="E520" s="35" t="s">
        <v>327</v>
      </c>
      <c r="F520" s="29" t="s">
        <v>262</v>
      </c>
      <c r="G520" s="36">
        <v>55600</v>
      </c>
      <c r="H520" s="36">
        <v>333.6</v>
      </c>
    </row>
    <row r="521" spans="1:8">
      <c r="A521" s="62">
        <v>137684305360</v>
      </c>
      <c r="B521" t="s">
        <v>4</v>
      </c>
      <c r="C521" s="35" t="s">
        <v>327</v>
      </c>
      <c r="D521" t="s">
        <v>260</v>
      </c>
      <c r="E521" s="35" t="s">
        <v>327</v>
      </c>
      <c r="F521" s="29" t="s">
        <v>262</v>
      </c>
      <c r="G521" s="36">
        <v>35600</v>
      </c>
      <c r="H521" s="36">
        <v>213.6</v>
      </c>
    </row>
    <row r="522" spans="1:8">
      <c r="A522" s="62">
        <v>137051456749</v>
      </c>
      <c r="B522" t="s">
        <v>263</v>
      </c>
      <c r="C522" s="35" t="s">
        <v>327</v>
      </c>
      <c r="D522" t="s">
        <v>260</v>
      </c>
      <c r="E522" s="35" t="s">
        <v>327</v>
      </c>
      <c r="F522" s="29" t="s">
        <v>262</v>
      </c>
      <c r="G522" s="36">
        <v>31400</v>
      </c>
      <c r="H522" s="36">
        <v>188.4</v>
      </c>
    </row>
    <row r="523" spans="1:8">
      <c r="A523" s="62">
        <v>137051650943</v>
      </c>
      <c r="B523" t="s">
        <v>263</v>
      </c>
      <c r="C523" s="35" t="s">
        <v>327</v>
      </c>
      <c r="D523" t="s">
        <v>260</v>
      </c>
      <c r="E523" s="35" t="s">
        <v>327</v>
      </c>
      <c r="F523" s="29" t="s">
        <v>262</v>
      </c>
      <c r="G523" s="36">
        <v>37800</v>
      </c>
      <c r="H523" s="36">
        <v>226.8</v>
      </c>
    </row>
    <row r="524" spans="1:8">
      <c r="A524" s="62">
        <v>137685229660</v>
      </c>
      <c r="B524" t="s">
        <v>4</v>
      </c>
      <c r="C524" s="35" t="s">
        <v>327</v>
      </c>
      <c r="D524" t="s">
        <v>260</v>
      </c>
      <c r="E524" s="35" t="s">
        <v>327</v>
      </c>
      <c r="F524" s="29" t="s">
        <v>262</v>
      </c>
      <c r="G524" s="36">
        <v>19000</v>
      </c>
      <c r="H524" s="36">
        <v>114</v>
      </c>
    </row>
    <row r="525" spans="1:8">
      <c r="A525" s="62">
        <v>137052814137</v>
      </c>
      <c r="B525" t="s">
        <v>4</v>
      </c>
      <c r="C525" s="35" t="s">
        <v>327</v>
      </c>
      <c r="D525" t="s">
        <v>260</v>
      </c>
      <c r="E525" s="35" t="s">
        <v>327</v>
      </c>
      <c r="F525" s="29" t="s">
        <v>262</v>
      </c>
      <c r="G525" s="36">
        <v>20900</v>
      </c>
      <c r="H525" s="36">
        <v>125.4</v>
      </c>
    </row>
    <row r="526" spans="1:8">
      <c r="A526" s="62">
        <v>137053592771</v>
      </c>
      <c r="B526" t="s">
        <v>4</v>
      </c>
      <c r="C526" s="35" t="s">
        <v>327</v>
      </c>
      <c r="D526" t="s">
        <v>260</v>
      </c>
      <c r="E526" s="35" t="s">
        <v>327</v>
      </c>
      <c r="F526" s="29" t="s">
        <v>262</v>
      </c>
      <c r="G526" s="36">
        <v>18400</v>
      </c>
      <c r="H526" s="36">
        <v>110.4</v>
      </c>
    </row>
    <row r="527" spans="1:8">
      <c r="A527" s="62">
        <v>137688911668</v>
      </c>
      <c r="B527" t="s">
        <v>4</v>
      </c>
      <c r="C527" s="35" t="s">
        <v>327</v>
      </c>
      <c r="D527" t="s">
        <v>260</v>
      </c>
      <c r="E527" s="35" t="s">
        <v>336</v>
      </c>
      <c r="F527" s="29" t="s">
        <v>262</v>
      </c>
      <c r="G527" s="36">
        <v>4900</v>
      </c>
      <c r="H527" s="36">
        <v>29.4</v>
      </c>
    </row>
    <row r="528" spans="1:8">
      <c r="A528" s="62">
        <v>137055724405</v>
      </c>
      <c r="B528" t="s">
        <v>4</v>
      </c>
      <c r="C528" s="35" t="s">
        <v>327</v>
      </c>
      <c r="D528" t="s">
        <v>260</v>
      </c>
      <c r="E528" s="35" t="s">
        <v>336</v>
      </c>
      <c r="F528" s="29" t="s">
        <v>262</v>
      </c>
      <c r="G528" s="36">
        <v>33700</v>
      </c>
      <c r="H528" s="36">
        <v>202.2</v>
      </c>
    </row>
    <row r="529" spans="1:8">
      <c r="A529" s="62">
        <v>137689978402</v>
      </c>
      <c r="B529" t="s">
        <v>263</v>
      </c>
      <c r="C529" s="35" t="s">
        <v>327</v>
      </c>
      <c r="D529" t="s">
        <v>260</v>
      </c>
      <c r="E529" s="35" t="s">
        <v>336</v>
      </c>
      <c r="F529" s="29" t="s">
        <v>262</v>
      </c>
      <c r="G529" s="36">
        <v>50900</v>
      </c>
      <c r="H529" s="36">
        <v>305.39999999999998</v>
      </c>
    </row>
    <row r="530" spans="1:8">
      <c r="A530" s="62">
        <v>137056843823</v>
      </c>
      <c r="B530" t="s">
        <v>4</v>
      </c>
      <c r="C530" s="35" t="s">
        <v>327</v>
      </c>
      <c r="D530" t="s">
        <v>260</v>
      </c>
      <c r="E530" s="35" t="s">
        <v>336</v>
      </c>
      <c r="F530" s="29" t="s">
        <v>262</v>
      </c>
      <c r="G530" s="36">
        <v>41400</v>
      </c>
      <c r="H530" s="36">
        <v>248.4</v>
      </c>
    </row>
    <row r="531" spans="1:8">
      <c r="A531" s="62">
        <v>137670538274</v>
      </c>
      <c r="B531" t="s">
        <v>263</v>
      </c>
      <c r="C531" s="35" t="s">
        <v>327</v>
      </c>
      <c r="D531" t="s">
        <v>260</v>
      </c>
      <c r="E531" s="35" t="s">
        <v>327</v>
      </c>
      <c r="F531" s="29" t="s">
        <v>262</v>
      </c>
      <c r="G531" s="36">
        <v>4000</v>
      </c>
      <c r="H531" s="36">
        <v>24</v>
      </c>
    </row>
    <row r="532" spans="1:8">
      <c r="A532" s="62">
        <v>137057370005</v>
      </c>
      <c r="B532" t="s">
        <v>4</v>
      </c>
      <c r="C532" s="35" t="s">
        <v>327</v>
      </c>
      <c r="D532" t="s">
        <v>260</v>
      </c>
      <c r="E532" s="35" t="s">
        <v>336</v>
      </c>
      <c r="F532" s="29" t="s">
        <v>262</v>
      </c>
      <c r="G532" s="36">
        <v>42800</v>
      </c>
      <c r="H532" s="36">
        <v>256.8</v>
      </c>
    </row>
    <row r="533" spans="1:8">
      <c r="A533" s="62">
        <v>137057641201</v>
      </c>
      <c r="B533" t="s">
        <v>4</v>
      </c>
      <c r="C533" s="35" t="s">
        <v>327</v>
      </c>
      <c r="D533" t="s">
        <v>260</v>
      </c>
      <c r="E533" s="35" t="s">
        <v>336</v>
      </c>
      <c r="F533" s="29" t="s">
        <v>262</v>
      </c>
      <c r="G533" s="36">
        <v>35800</v>
      </c>
      <c r="H533" s="36">
        <v>214.8</v>
      </c>
    </row>
    <row r="534" spans="1:8">
      <c r="A534" s="62">
        <v>137057721637</v>
      </c>
      <c r="B534" t="s">
        <v>263</v>
      </c>
      <c r="C534" s="35" t="s">
        <v>327</v>
      </c>
      <c r="D534" t="s">
        <v>260</v>
      </c>
      <c r="E534" s="35" t="s">
        <v>336</v>
      </c>
      <c r="F534" s="29" t="s">
        <v>262</v>
      </c>
      <c r="G534" s="36">
        <v>43200</v>
      </c>
      <c r="H534" s="36">
        <v>259.2</v>
      </c>
    </row>
    <row r="535" spans="1:8">
      <c r="A535" s="62">
        <v>137691353480</v>
      </c>
      <c r="B535" t="s">
        <v>4</v>
      </c>
      <c r="C535" s="35" t="s">
        <v>327</v>
      </c>
      <c r="D535" t="s">
        <v>260</v>
      </c>
      <c r="E535" s="35" t="s">
        <v>336</v>
      </c>
      <c r="F535" s="29" t="s">
        <v>262</v>
      </c>
      <c r="G535" s="36">
        <v>20000</v>
      </c>
      <c r="H535" s="36">
        <v>120</v>
      </c>
    </row>
    <row r="536" spans="1:8">
      <c r="A536" s="62">
        <v>137058045427</v>
      </c>
      <c r="B536" t="s">
        <v>4</v>
      </c>
      <c r="C536" s="35" t="s">
        <v>327</v>
      </c>
      <c r="D536" t="s">
        <v>260</v>
      </c>
      <c r="E536" s="35" t="s">
        <v>336</v>
      </c>
      <c r="F536" s="29" t="s">
        <v>262</v>
      </c>
      <c r="G536" s="36">
        <v>49100</v>
      </c>
      <c r="H536" s="36">
        <v>294.60000000000002</v>
      </c>
    </row>
    <row r="537" spans="1:8">
      <c r="A537" s="62">
        <v>137691630590</v>
      </c>
      <c r="B537" t="s">
        <v>263</v>
      </c>
      <c r="C537" s="35" t="s">
        <v>327</v>
      </c>
      <c r="D537" t="s">
        <v>260</v>
      </c>
      <c r="E537" s="35" t="s">
        <v>336</v>
      </c>
      <c r="F537" s="29" t="s">
        <v>262</v>
      </c>
      <c r="G537" s="36">
        <v>4800</v>
      </c>
      <c r="H537" s="36">
        <v>28.8</v>
      </c>
    </row>
    <row r="538" spans="1:8">
      <c r="A538" s="62">
        <v>137058507115</v>
      </c>
      <c r="B538" t="s">
        <v>4</v>
      </c>
      <c r="C538" s="35" t="s">
        <v>327</v>
      </c>
      <c r="D538" t="s">
        <v>260</v>
      </c>
      <c r="E538" s="35" t="s">
        <v>336</v>
      </c>
      <c r="F538" s="29" t="s">
        <v>262</v>
      </c>
      <c r="G538" s="36">
        <v>24300</v>
      </c>
      <c r="H538" s="36">
        <v>145.80000000000001</v>
      </c>
    </row>
    <row r="539" spans="1:8">
      <c r="A539" s="62">
        <v>137058637227</v>
      </c>
      <c r="B539" t="s">
        <v>4</v>
      </c>
      <c r="C539" s="35" t="s">
        <v>327</v>
      </c>
      <c r="D539" t="s">
        <v>260</v>
      </c>
      <c r="E539" s="35" t="s">
        <v>336</v>
      </c>
      <c r="F539" s="29" t="s">
        <v>262</v>
      </c>
      <c r="G539" s="36">
        <v>43800</v>
      </c>
      <c r="H539" s="36">
        <v>262.8</v>
      </c>
    </row>
    <row r="540" spans="1:8">
      <c r="A540" s="62">
        <v>137058747509</v>
      </c>
      <c r="B540" t="s">
        <v>4</v>
      </c>
      <c r="C540" s="35" t="s">
        <v>327</v>
      </c>
      <c r="D540" t="s">
        <v>260</v>
      </c>
      <c r="E540" s="35" t="s">
        <v>336</v>
      </c>
      <c r="F540" s="29" t="s">
        <v>262</v>
      </c>
      <c r="G540" s="36">
        <v>58400</v>
      </c>
      <c r="H540" s="36">
        <v>350.4</v>
      </c>
    </row>
    <row r="541" spans="1:8">
      <c r="A541" s="62">
        <v>137060218899</v>
      </c>
      <c r="B541" t="s">
        <v>4</v>
      </c>
      <c r="C541" s="35" t="s">
        <v>336</v>
      </c>
      <c r="D541" t="s">
        <v>260</v>
      </c>
      <c r="E541" s="35" t="s">
        <v>336</v>
      </c>
      <c r="F541" s="29" t="s">
        <v>262</v>
      </c>
      <c r="G541" s="36">
        <v>16500</v>
      </c>
      <c r="H541" s="36">
        <v>99</v>
      </c>
    </row>
    <row r="542" spans="1:8">
      <c r="A542" s="62">
        <v>137040182521</v>
      </c>
      <c r="B542" t="s">
        <v>4</v>
      </c>
      <c r="C542" s="35" t="s">
        <v>327</v>
      </c>
      <c r="D542" t="s">
        <v>260</v>
      </c>
      <c r="E542" s="35" t="s">
        <v>327</v>
      </c>
      <c r="F542" s="29" t="s">
        <v>262</v>
      </c>
      <c r="G542" s="36">
        <v>9800</v>
      </c>
      <c r="H542" s="36">
        <v>58.8</v>
      </c>
    </row>
    <row r="543" spans="1:8">
      <c r="A543" s="62">
        <v>137673449798</v>
      </c>
      <c r="B543" t="s">
        <v>263</v>
      </c>
      <c r="C543" s="35" t="s">
        <v>327</v>
      </c>
      <c r="D543" t="s">
        <v>260</v>
      </c>
      <c r="E543" s="35" t="s">
        <v>327</v>
      </c>
      <c r="F543" s="29" t="s">
        <v>262</v>
      </c>
      <c r="G543" s="36">
        <v>9600</v>
      </c>
      <c r="H543" s="36">
        <v>57.6</v>
      </c>
    </row>
    <row r="544" spans="1:8">
      <c r="A544" s="62">
        <v>137694142296</v>
      </c>
      <c r="B544" t="s">
        <v>4</v>
      </c>
      <c r="C544" s="35" t="s">
        <v>336</v>
      </c>
      <c r="D544" t="s">
        <v>260</v>
      </c>
      <c r="E544" s="35" t="s">
        <v>336</v>
      </c>
      <c r="F544" s="29" t="s">
        <v>262</v>
      </c>
      <c r="G544" s="36">
        <v>82100</v>
      </c>
      <c r="H544" s="36">
        <v>492.6</v>
      </c>
    </row>
    <row r="545" spans="1:8">
      <c r="A545" s="62">
        <v>137694288196</v>
      </c>
      <c r="B545" t="s">
        <v>4</v>
      </c>
      <c r="C545" s="35" t="s">
        <v>336</v>
      </c>
      <c r="D545" t="s">
        <v>260</v>
      </c>
      <c r="E545" s="35" t="s">
        <v>336</v>
      </c>
      <c r="F545" s="29" t="s">
        <v>262</v>
      </c>
      <c r="G545" s="36">
        <v>4800</v>
      </c>
      <c r="H545" s="36">
        <v>28.8</v>
      </c>
    </row>
    <row r="546" spans="1:8">
      <c r="A546" s="62">
        <v>137694509248</v>
      </c>
      <c r="B546" t="s">
        <v>4</v>
      </c>
      <c r="C546" s="35" t="s">
        <v>336</v>
      </c>
      <c r="D546" t="s">
        <v>260</v>
      </c>
      <c r="E546" s="35" t="s">
        <v>336</v>
      </c>
      <c r="F546" s="29" t="s">
        <v>262</v>
      </c>
      <c r="G546" s="36">
        <v>51400</v>
      </c>
      <c r="H546" s="36">
        <v>308.39999999999998</v>
      </c>
    </row>
    <row r="547" spans="1:8">
      <c r="A547" s="62">
        <v>137694716170</v>
      </c>
      <c r="B547" t="s">
        <v>4</v>
      </c>
      <c r="C547" s="35" t="s">
        <v>336</v>
      </c>
      <c r="D547" t="s">
        <v>260</v>
      </c>
      <c r="E547" s="35" t="s">
        <v>336</v>
      </c>
      <c r="F547" s="29" t="s">
        <v>262</v>
      </c>
      <c r="G547" s="36">
        <v>14700</v>
      </c>
      <c r="H547" s="36">
        <v>88.2</v>
      </c>
    </row>
    <row r="548" spans="1:8">
      <c r="A548" s="62">
        <v>137695785864</v>
      </c>
      <c r="B548" t="s">
        <v>4</v>
      </c>
      <c r="C548" s="35" t="s">
        <v>336</v>
      </c>
      <c r="D548" t="s">
        <v>260</v>
      </c>
      <c r="E548" s="35" t="s">
        <v>336</v>
      </c>
      <c r="F548" s="29" t="s">
        <v>262</v>
      </c>
      <c r="G548" s="36">
        <v>4200</v>
      </c>
      <c r="H548" s="36">
        <v>25.2</v>
      </c>
    </row>
    <row r="549" spans="1:8">
      <c r="A549" s="62">
        <v>137042830597</v>
      </c>
      <c r="B549" t="s">
        <v>263</v>
      </c>
      <c r="C549" s="35" t="s">
        <v>327</v>
      </c>
      <c r="D549" t="s">
        <v>260</v>
      </c>
      <c r="E549" s="35" t="s">
        <v>327</v>
      </c>
      <c r="F549" s="29" t="s">
        <v>262</v>
      </c>
      <c r="G549" s="36">
        <v>5800</v>
      </c>
      <c r="H549" s="36">
        <v>34.799999999999997</v>
      </c>
    </row>
    <row r="550" spans="1:8">
      <c r="A550" s="62">
        <v>137063694987</v>
      </c>
      <c r="B550" t="s">
        <v>4</v>
      </c>
      <c r="C550" s="35" t="s">
        <v>336</v>
      </c>
      <c r="D550" t="s">
        <v>260</v>
      </c>
      <c r="E550" s="35" t="s">
        <v>336</v>
      </c>
      <c r="F550" s="29" t="s">
        <v>262</v>
      </c>
      <c r="G550" s="36">
        <v>31600</v>
      </c>
      <c r="H550" s="36">
        <v>189.6</v>
      </c>
    </row>
    <row r="551" spans="1:8">
      <c r="A551" s="62">
        <v>137063936513</v>
      </c>
      <c r="B551" t="s">
        <v>4</v>
      </c>
      <c r="C551" s="35" t="s">
        <v>336</v>
      </c>
      <c r="D551" t="s">
        <v>260</v>
      </c>
      <c r="E551" s="35" t="s">
        <v>336</v>
      </c>
      <c r="F551" s="29" t="s">
        <v>262</v>
      </c>
      <c r="G551" s="36">
        <v>7900</v>
      </c>
      <c r="H551" s="36">
        <v>47.4</v>
      </c>
    </row>
    <row r="552" spans="1:8">
      <c r="A552" s="62">
        <v>137697604934</v>
      </c>
      <c r="B552" t="s">
        <v>4</v>
      </c>
      <c r="C552" s="35" t="s">
        <v>336</v>
      </c>
      <c r="D552" t="s">
        <v>260</v>
      </c>
      <c r="E552" s="35" t="s">
        <v>336</v>
      </c>
      <c r="F552" s="29" t="s">
        <v>262</v>
      </c>
      <c r="G552" s="36">
        <v>9800</v>
      </c>
      <c r="H552" s="36">
        <v>58.8</v>
      </c>
    </row>
    <row r="553" spans="1:8">
      <c r="A553" s="62">
        <v>137064470797</v>
      </c>
      <c r="B553" t="s">
        <v>337</v>
      </c>
      <c r="C553" s="35" t="s">
        <v>336</v>
      </c>
      <c r="D553" t="s">
        <v>260</v>
      </c>
      <c r="E553" s="35" t="s">
        <v>336</v>
      </c>
      <c r="F553" s="29" t="s">
        <v>262</v>
      </c>
      <c r="G553" s="36">
        <v>1500</v>
      </c>
      <c r="H553" s="36">
        <v>9</v>
      </c>
    </row>
    <row r="554" spans="1:8">
      <c r="A554" s="62">
        <v>137064461761</v>
      </c>
      <c r="B554" t="s">
        <v>263</v>
      </c>
      <c r="C554" s="35" t="s">
        <v>336</v>
      </c>
      <c r="D554" t="s">
        <v>260</v>
      </c>
      <c r="E554" s="35" t="s">
        <v>336</v>
      </c>
      <c r="F554" s="29" t="s">
        <v>262</v>
      </c>
      <c r="G554" s="36">
        <v>19500</v>
      </c>
      <c r="H554" s="36">
        <v>117</v>
      </c>
    </row>
    <row r="555" spans="1:8">
      <c r="A555" s="62">
        <v>137697947034</v>
      </c>
      <c r="B555" t="s">
        <v>338</v>
      </c>
      <c r="C555" s="35" t="s">
        <v>336</v>
      </c>
      <c r="D555" t="s">
        <v>260</v>
      </c>
      <c r="E555" s="35" t="s">
        <v>336</v>
      </c>
      <c r="F555" s="29" t="s">
        <v>262</v>
      </c>
      <c r="G555" s="36">
        <v>1065</v>
      </c>
      <c r="H555" s="36">
        <v>6.39</v>
      </c>
    </row>
    <row r="556" spans="1:8">
      <c r="A556" s="62">
        <v>137698157966</v>
      </c>
      <c r="B556" t="s">
        <v>4</v>
      </c>
      <c r="C556" s="35" t="s">
        <v>336</v>
      </c>
      <c r="D556" t="s">
        <v>260</v>
      </c>
      <c r="E556" s="35" t="s">
        <v>336</v>
      </c>
      <c r="F556" s="29" t="s">
        <v>262</v>
      </c>
      <c r="G556" s="36">
        <v>12000</v>
      </c>
      <c r="H556" s="36">
        <v>72</v>
      </c>
    </row>
    <row r="557" spans="1:8">
      <c r="A557" s="62">
        <v>137044959869</v>
      </c>
      <c r="B557" t="s">
        <v>4</v>
      </c>
      <c r="C557" s="35" t="s">
        <v>327</v>
      </c>
      <c r="D557" t="s">
        <v>260</v>
      </c>
      <c r="E557" s="35" t="s">
        <v>327</v>
      </c>
      <c r="F557" s="29" t="s">
        <v>262</v>
      </c>
      <c r="G557" s="36">
        <v>63800</v>
      </c>
      <c r="H557" s="36">
        <v>382.8</v>
      </c>
    </row>
    <row r="558" spans="1:8">
      <c r="A558" s="62">
        <v>137678741226</v>
      </c>
      <c r="B558" t="s">
        <v>263</v>
      </c>
      <c r="C558" s="35" t="s">
        <v>327</v>
      </c>
      <c r="D558" t="s">
        <v>260</v>
      </c>
      <c r="E558" s="35" t="s">
        <v>327</v>
      </c>
      <c r="F558" s="29" t="s">
        <v>262</v>
      </c>
      <c r="G558" s="36">
        <v>8000</v>
      </c>
      <c r="H558" s="36">
        <v>48</v>
      </c>
    </row>
    <row r="559" spans="1:8">
      <c r="A559" s="62">
        <v>137680175054</v>
      </c>
      <c r="B559" t="s">
        <v>263</v>
      </c>
      <c r="C559" s="35" t="s">
        <v>327</v>
      </c>
      <c r="D559" t="s">
        <v>260</v>
      </c>
      <c r="E559" s="35" t="s">
        <v>327</v>
      </c>
      <c r="F559" s="29" t="s">
        <v>262</v>
      </c>
      <c r="G559" s="36">
        <v>4800</v>
      </c>
      <c r="H559" s="36">
        <v>28.8</v>
      </c>
    </row>
    <row r="560" spans="1:8">
      <c r="A560" s="62">
        <v>137681279634</v>
      </c>
      <c r="B560" t="s">
        <v>4</v>
      </c>
      <c r="C560" s="35" t="s">
        <v>327</v>
      </c>
      <c r="D560" t="s">
        <v>260</v>
      </c>
      <c r="E560" s="35" t="s">
        <v>327</v>
      </c>
      <c r="F560" s="29" t="s">
        <v>262</v>
      </c>
      <c r="G560" s="36">
        <v>82900</v>
      </c>
      <c r="H560" s="36">
        <v>497.4</v>
      </c>
    </row>
    <row r="561" spans="1:8">
      <c r="A561" s="62">
        <v>137048670453</v>
      </c>
      <c r="B561" t="s">
        <v>263</v>
      </c>
      <c r="C561" s="35" t="s">
        <v>327</v>
      </c>
      <c r="D561" t="s">
        <v>260</v>
      </c>
      <c r="E561" s="35" t="s">
        <v>327</v>
      </c>
      <c r="F561" s="29" t="s">
        <v>262</v>
      </c>
      <c r="G561" s="36">
        <v>31800</v>
      </c>
      <c r="H561" s="36">
        <v>190.8</v>
      </c>
    </row>
    <row r="562" spans="1:8">
      <c r="A562" s="62">
        <v>137683959550</v>
      </c>
      <c r="B562" t="s">
        <v>263</v>
      </c>
      <c r="C562" s="35" t="s">
        <v>327</v>
      </c>
      <c r="D562" t="s">
        <v>260</v>
      </c>
      <c r="E562" s="35" t="s">
        <v>327</v>
      </c>
      <c r="F562" s="29" t="s">
        <v>262</v>
      </c>
      <c r="G562" s="36">
        <v>4900</v>
      </c>
      <c r="H562" s="36">
        <v>29.4</v>
      </c>
    </row>
    <row r="563" spans="1:8">
      <c r="A563" s="62">
        <v>137052357047</v>
      </c>
      <c r="B563" t="s">
        <v>4</v>
      </c>
      <c r="C563" s="35" t="s">
        <v>327</v>
      </c>
      <c r="D563" t="s">
        <v>260</v>
      </c>
      <c r="E563" s="35" t="s">
        <v>327</v>
      </c>
      <c r="F563" s="29" t="s">
        <v>262</v>
      </c>
      <c r="G563" s="36">
        <v>14400</v>
      </c>
      <c r="H563" s="36">
        <v>86.4</v>
      </c>
    </row>
    <row r="564" spans="1:8">
      <c r="A564" s="62">
        <v>137685932216</v>
      </c>
      <c r="B564" t="s">
        <v>4</v>
      </c>
      <c r="C564" s="35" t="s">
        <v>327</v>
      </c>
      <c r="D564" t="s">
        <v>260</v>
      </c>
      <c r="E564" s="35" t="s">
        <v>327</v>
      </c>
      <c r="F564" s="29" t="s">
        <v>262</v>
      </c>
      <c r="G564" s="36">
        <v>25400</v>
      </c>
      <c r="H564" s="36">
        <v>152.4</v>
      </c>
    </row>
    <row r="565" spans="1:8">
      <c r="A565" s="62">
        <v>137053159275</v>
      </c>
      <c r="B565" t="s">
        <v>4</v>
      </c>
      <c r="C565" s="35" t="s">
        <v>327</v>
      </c>
      <c r="D565" t="s">
        <v>260</v>
      </c>
      <c r="E565" s="35" t="s">
        <v>327</v>
      </c>
      <c r="F565" s="29" t="s">
        <v>262</v>
      </c>
      <c r="G565" s="36">
        <v>51900</v>
      </c>
      <c r="H565" s="36">
        <v>311.39999999999998</v>
      </c>
    </row>
    <row r="566" spans="1:8">
      <c r="A566" s="62">
        <v>137053262509</v>
      </c>
      <c r="B566" t="s">
        <v>339</v>
      </c>
      <c r="C566" s="35" t="s">
        <v>327</v>
      </c>
      <c r="D566" t="s">
        <v>260</v>
      </c>
      <c r="E566" s="35" t="s">
        <v>327</v>
      </c>
      <c r="F566" s="29" t="s">
        <v>262</v>
      </c>
      <c r="G566" s="36">
        <v>5190</v>
      </c>
      <c r="H566" s="36">
        <v>31.14</v>
      </c>
    </row>
    <row r="567" spans="1:8">
      <c r="A567" s="62">
        <v>137053991521</v>
      </c>
      <c r="B567" t="s">
        <v>263</v>
      </c>
      <c r="C567" s="35" t="s">
        <v>327</v>
      </c>
      <c r="D567" t="s">
        <v>260</v>
      </c>
      <c r="E567" s="35" t="s">
        <v>327</v>
      </c>
      <c r="F567" s="29" t="s">
        <v>262</v>
      </c>
      <c r="G567" s="36">
        <v>45600</v>
      </c>
      <c r="H567" s="36">
        <v>273.60000000000002</v>
      </c>
    </row>
    <row r="568" spans="1:8">
      <c r="A568" s="62">
        <v>137054667043</v>
      </c>
      <c r="B568" t="s">
        <v>4</v>
      </c>
      <c r="C568" s="35" t="s">
        <v>327</v>
      </c>
      <c r="D568" t="s">
        <v>260</v>
      </c>
      <c r="E568" s="35" t="s">
        <v>327</v>
      </c>
      <c r="F568" s="29" t="s">
        <v>262</v>
      </c>
      <c r="G568" s="36">
        <v>46100</v>
      </c>
      <c r="H568" s="36">
        <v>276.60000000000002</v>
      </c>
    </row>
    <row r="569" spans="1:8">
      <c r="A569" s="62">
        <v>137688726850</v>
      </c>
      <c r="B569" t="s">
        <v>263</v>
      </c>
      <c r="C569" s="35" t="s">
        <v>327</v>
      </c>
      <c r="D569" t="s">
        <v>260</v>
      </c>
      <c r="E569" s="35" t="s">
        <v>327</v>
      </c>
      <c r="F569" s="29" t="s">
        <v>262</v>
      </c>
      <c r="G569" s="36">
        <v>36100</v>
      </c>
      <c r="H569" s="36">
        <v>216.6</v>
      </c>
    </row>
    <row r="570" spans="1:8">
      <c r="A570" s="62">
        <v>137056849773</v>
      </c>
      <c r="B570" t="s">
        <v>340</v>
      </c>
      <c r="C570" s="35" t="s">
        <v>327</v>
      </c>
      <c r="D570" t="s">
        <v>260</v>
      </c>
      <c r="E570" s="35" t="s">
        <v>336</v>
      </c>
      <c r="F570" s="29" t="s">
        <v>262</v>
      </c>
      <c r="G570" s="36">
        <v>2070</v>
      </c>
      <c r="H570" s="36">
        <v>12.42</v>
      </c>
    </row>
    <row r="571" spans="1:8">
      <c r="A571" s="62">
        <v>137691015632</v>
      </c>
      <c r="B571" t="s">
        <v>341</v>
      </c>
      <c r="C571" s="35" t="s">
        <v>327</v>
      </c>
      <c r="D571" t="s">
        <v>260</v>
      </c>
      <c r="E571" s="35" t="s">
        <v>336</v>
      </c>
      <c r="F571" s="29" t="s">
        <v>262</v>
      </c>
      <c r="G571" s="36">
        <v>1790</v>
      </c>
      <c r="H571" s="36">
        <v>10.74</v>
      </c>
    </row>
    <row r="572" spans="1:8">
      <c r="A572" s="62">
        <v>137057745919</v>
      </c>
      <c r="B572" t="s">
        <v>263</v>
      </c>
      <c r="C572" s="35" t="s">
        <v>327</v>
      </c>
      <c r="D572" t="s">
        <v>260</v>
      </c>
      <c r="E572" s="35" t="s">
        <v>336</v>
      </c>
      <c r="F572" s="29" t="s">
        <v>262</v>
      </c>
      <c r="G572" s="36">
        <v>29100</v>
      </c>
      <c r="H572" s="36">
        <v>174.6</v>
      </c>
    </row>
    <row r="573" spans="1:8">
      <c r="A573" s="62">
        <v>137057923599</v>
      </c>
      <c r="B573" t="s">
        <v>4</v>
      </c>
      <c r="C573" s="35" t="s">
        <v>327</v>
      </c>
      <c r="D573" t="s">
        <v>260</v>
      </c>
      <c r="E573" s="35" t="s">
        <v>336</v>
      </c>
      <c r="F573" s="29" t="s">
        <v>262</v>
      </c>
      <c r="G573" s="36">
        <v>41300</v>
      </c>
      <c r="H573" s="36">
        <v>247.8</v>
      </c>
    </row>
    <row r="574" spans="1:8">
      <c r="A574" s="62">
        <v>137691754334</v>
      </c>
      <c r="B574" t="s">
        <v>4</v>
      </c>
      <c r="C574" s="35" t="s">
        <v>327</v>
      </c>
      <c r="D574" t="s">
        <v>260</v>
      </c>
      <c r="E574" s="35" t="s">
        <v>336</v>
      </c>
      <c r="F574" s="29" t="s">
        <v>262</v>
      </c>
      <c r="G574" s="36">
        <v>16000</v>
      </c>
      <c r="H574" s="36">
        <v>96</v>
      </c>
    </row>
    <row r="575" spans="1:8">
      <c r="A575" s="62">
        <v>137692068996</v>
      </c>
      <c r="B575" t="s">
        <v>263</v>
      </c>
      <c r="C575" s="35" t="s">
        <v>327</v>
      </c>
      <c r="D575" t="s">
        <v>260</v>
      </c>
      <c r="E575" s="35" t="s">
        <v>336</v>
      </c>
      <c r="F575" s="29" t="s">
        <v>262</v>
      </c>
      <c r="G575" s="36">
        <v>222100</v>
      </c>
      <c r="H575" s="36">
        <v>1332.6</v>
      </c>
    </row>
    <row r="576" spans="1:8">
      <c r="A576" s="62">
        <v>137059550407</v>
      </c>
      <c r="B576" t="s">
        <v>263</v>
      </c>
      <c r="C576" s="35" t="s">
        <v>327</v>
      </c>
      <c r="D576" t="s">
        <v>260</v>
      </c>
      <c r="E576" s="35" t="s">
        <v>336</v>
      </c>
      <c r="F576" s="29" t="s">
        <v>262</v>
      </c>
      <c r="G576" s="36">
        <v>35500</v>
      </c>
      <c r="H576" s="36">
        <v>213</v>
      </c>
    </row>
    <row r="577" spans="1:8">
      <c r="A577" s="62">
        <v>137693029234</v>
      </c>
      <c r="B577" t="s">
        <v>4</v>
      </c>
      <c r="C577" s="35" t="s">
        <v>336</v>
      </c>
      <c r="D577" t="s">
        <v>260</v>
      </c>
      <c r="E577" s="35" t="s">
        <v>336</v>
      </c>
      <c r="F577" s="29" t="s">
        <v>262</v>
      </c>
      <c r="G577" s="36">
        <v>22000</v>
      </c>
      <c r="H577" s="36">
        <v>132</v>
      </c>
    </row>
    <row r="578" spans="1:8">
      <c r="A578" s="62">
        <v>137694132400</v>
      </c>
      <c r="B578" t="s">
        <v>342</v>
      </c>
      <c r="C578" s="35" t="s">
        <v>336</v>
      </c>
      <c r="D578" t="s">
        <v>260</v>
      </c>
      <c r="E578" s="35" t="s">
        <v>336</v>
      </c>
      <c r="F578" s="29" t="s">
        <v>262</v>
      </c>
      <c r="G578" s="36">
        <v>4105</v>
      </c>
      <c r="H578" s="36">
        <v>24.63</v>
      </c>
    </row>
    <row r="579" spans="1:8">
      <c r="A579" s="62">
        <v>137060803417</v>
      </c>
      <c r="B579" t="s">
        <v>4</v>
      </c>
      <c r="C579" s="35" t="s">
        <v>336</v>
      </c>
      <c r="D579" t="s">
        <v>260</v>
      </c>
      <c r="E579" s="35" t="s">
        <v>336</v>
      </c>
      <c r="F579" s="29" t="s">
        <v>262</v>
      </c>
      <c r="G579" s="36">
        <v>164900</v>
      </c>
      <c r="H579" s="36">
        <v>989.4</v>
      </c>
    </row>
    <row r="580" spans="1:8">
      <c r="A580" s="62">
        <v>137061031397</v>
      </c>
      <c r="B580" t="s">
        <v>4</v>
      </c>
      <c r="C580" s="35" t="s">
        <v>336</v>
      </c>
      <c r="D580" t="s">
        <v>260</v>
      </c>
      <c r="E580" s="35" t="s">
        <v>336</v>
      </c>
      <c r="F580" s="29" t="s">
        <v>262</v>
      </c>
      <c r="G580" s="36">
        <v>45800</v>
      </c>
      <c r="H580" s="36">
        <v>274.8</v>
      </c>
    </row>
    <row r="581" spans="1:8">
      <c r="A581" s="62">
        <v>137061792333</v>
      </c>
      <c r="B581" t="s">
        <v>4</v>
      </c>
      <c r="C581" s="35" t="s">
        <v>336</v>
      </c>
      <c r="D581" t="s">
        <v>260</v>
      </c>
      <c r="E581" s="35" t="s">
        <v>336</v>
      </c>
      <c r="F581" s="29" t="s">
        <v>262</v>
      </c>
      <c r="G581" s="36">
        <v>59800</v>
      </c>
      <c r="H581" s="36">
        <v>358.8</v>
      </c>
    </row>
    <row r="582" spans="1:8">
      <c r="A582" s="62">
        <v>137062018711</v>
      </c>
      <c r="B582" t="s">
        <v>4</v>
      </c>
      <c r="C582" s="35" t="s">
        <v>336</v>
      </c>
      <c r="D582" t="s">
        <v>260</v>
      </c>
      <c r="E582" s="35" t="s">
        <v>336</v>
      </c>
      <c r="F582" s="29" t="s">
        <v>262</v>
      </c>
      <c r="G582" s="36">
        <v>11000</v>
      </c>
      <c r="H582" s="36">
        <v>66</v>
      </c>
    </row>
    <row r="583" spans="1:8">
      <c r="A583" s="62">
        <v>137695460966</v>
      </c>
      <c r="B583" t="s">
        <v>4</v>
      </c>
      <c r="C583" s="35" t="s">
        <v>336</v>
      </c>
      <c r="D583" t="s">
        <v>260</v>
      </c>
      <c r="E583" s="35" t="s">
        <v>336</v>
      </c>
      <c r="F583" s="29" t="s">
        <v>262</v>
      </c>
      <c r="G583" s="36">
        <v>9700</v>
      </c>
      <c r="H583" s="36">
        <v>58.2</v>
      </c>
    </row>
    <row r="584" spans="1:8">
      <c r="A584" s="62">
        <v>137695742258</v>
      </c>
      <c r="B584" t="s">
        <v>4</v>
      </c>
      <c r="C584" s="35" t="s">
        <v>336</v>
      </c>
      <c r="D584" t="s">
        <v>260</v>
      </c>
      <c r="E584" s="35" t="s">
        <v>336</v>
      </c>
      <c r="F584" s="29" t="s">
        <v>262</v>
      </c>
      <c r="G584" s="36">
        <v>4800</v>
      </c>
      <c r="H584" s="36">
        <v>28.8</v>
      </c>
    </row>
    <row r="585" spans="1:8">
      <c r="A585" s="62">
        <v>137696623912</v>
      </c>
      <c r="B585" t="s">
        <v>4</v>
      </c>
      <c r="C585" s="35" t="s">
        <v>336</v>
      </c>
      <c r="D585" t="s">
        <v>260</v>
      </c>
      <c r="E585" s="35" t="s">
        <v>336</v>
      </c>
      <c r="F585" s="29" t="s">
        <v>262</v>
      </c>
      <c r="G585" s="36">
        <v>9700</v>
      </c>
      <c r="H585" s="36">
        <v>58.2</v>
      </c>
    </row>
    <row r="586" spans="1:8">
      <c r="A586" s="62">
        <v>137697056830</v>
      </c>
      <c r="B586" t="s">
        <v>4</v>
      </c>
      <c r="C586" s="35" t="s">
        <v>336</v>
      </c>
      <c r="D586" t="s">
        <v>260</v>
      </c>
      <c r="E586" s="35" t="s">
        <v>336</v>
      </c>
      <c r="F586" s="29" t="s">
        <v>262</v>
      </c>
      <c r="G586" s="36">
        <v>9700</v>
      </c>
      <c r="H586" s="36">
        <v>58.2</v>
      </c>
    </row>
    <row r="587" spans="1:8">
      <c r="A587" s="62">
        <v>137697186668</v>
      </c>
      <c r="B587" t="s">
        <v>4</v>
      </c>
      <c r="C587" s="35" t="s">
        <v>336</v>
      </c>
      <c r="D587" t="s">
        <v>260</v>
      </c>
      <c r="E587" s="35" t="s">
        <v>336</v>
      </c>
      <c r="F587" s="29" t="s">
        <v>262</v>
      </c>
      <c r="G587" s="36">
        <v>8000</v>
      </c>
      <c r="H587" s="36">
        <v>48</v>
      </c>
    </row>
    <row r="588" spans="1:8">
      <c r="A588" s="62">
        <v>137063983389</v>
      </c>
      <c r="B588" t="s">
        <v>4</v>
      </c>
      <c r="C588" s="35" t="s">
        <v>336</v>
      </c>
      <c r="D588" t="s">
        <v>260</v>
      </c>
      <c r="E588" s="35" t="s">
        <v>336</v>
      </c>
      <c r="F588" s="29" t="s">
        <v>262</v>
      </c>
      <c r="G588" s="36">
        <v>23000</v>
      </c>
      <c r="H588" s="36">
        <v>138</v>
      </c>
    </row>
    <row r="589" spans="1:8">
      <c r="A589" s="62">
        <v>137064486565</v>
      </c>
      <c r="B589" t="s">
        <v>4</v>
      </c>
      <c r="C589" s="35" t="s">
        <v>336</v>
      </c>
      <c r="D589" t="s">
        <v>260</v>
      </c>
      <c r="E589" s="35" t="s">
        <v>336</v>
      </c>
      <c r="F589" s="29" t="s">
        <v>262</v>
      </c>
      <c r="G589" s="36">
        <v>10000</v>
      </c>
      <c r="H589" s="36">
        <v>60</v>
      </c>
    </row>
    <row r="590" spans="1:8">
      <c r="A590" s="62">
        <v>137697994520</v>
      </c>
      <c r="B590" t="s">
        <v>4</v>
      </c>
      <c r="C590" s="35" t="s">
        <v>336</v>
      </c>
      <c r="D590" t="s">
        <v>260</v>
      </c>
      <c r="E590" s="35" t="s">
        <v>336</v>
      </c>
      <c r="F590" s="29" t="s">
        <v>262</v>
      </c>
      <c r="G590" s="36">
        <v>21300</v>
      </c>
      <c r="H590" s="36">
        <v>127.8</v>
      </c>
    </row>
    <row r="591" spans="1:8">
      <c r="A591" s="62">
        <v>137796402012</v>
      </c>
      <c r="B591" t="s">
        <v>4</v>
      </c>
      <c r="C591" s="35" t="s">
        <v>336</v>
      </c>
      <c r="D591" t="s">
        <v>260</v>
      </c>
      <c r="E591" s="35" t="s">
        <v>336</v>
      </c>
      <c r="F591" s="29" t="s">
        <v>262</v>
      </c>
      <c r="G591" s="36">
        <v>9800</v>
      </c>
      <c r="H591" s="36">
        <v>58.8</v>
      </c>
    </row>
    <row r="592" spans="1:8">
      <c r="A592" s="62">
        <v>137178342215</v>
      </c>
      <c r="B592" t="s">
        <v>4</v>
      </c>
      <c r="C592" s="35" t="s">
        <v>336</v>
      </c>
      <c r="D592" t="s">
        <v>260</v>
      </c>
      <c r="E592" s="35" t="s">
        <v>336</v>
      </c>
      <c r="F592" s="29" t="s">
        <v>262</v>
      </c>
      <c r="G592" s="36">
        <v>4900</v>
      </c>
      <c r="H592" s="36">
        <v>29.4</v>
      </c>
    </row>
    <row r="593" spans="1:8">
      <c r="A593" s="62">
        <v>137814381636</v>
      </c>
      <c r="B593" t="s">
        <v>263</v>
      </c>
      <c r="C593" s="35" t="s">
        <v>336</v>
      </c>
      <c r="D593" t="s">
        <v>260</v>
      </c>
      <c r="E593" s="35" t="s">
        <v>336</v>
      </c>
      <c r="F593" s="29" t="s">
        <v>262</v>
      </c>
      <c r="G593" s="36">
        <v>32000</v>
      </c>
      <c r="H593" s="36">
        <v>192</v>
      </c>
    </row>
    <row r="594" spans="1:8">
      <c r="A594" s="62">
        <v>137181617531</v>
      </c>
      <c r="B594" t="s">
        <v>343</v>
      </c>
      <c r="C594" s="35" t="s">
        <v>336</v>
      </c>
      <c r="D594" t="s">
        <v>260</v>
      </c>
      <c r="E594" s="35" t="s">
        <v>336</v>
      </c>
      <c r="F594" s="29" t="s">
        <v>262</v>
      </c>
      <c r="G594" s="36">
        <v>5630</v>
      </c>
      <c r="H594" s="36">
        <v>33.78</v>
      </c>
    </row>
    <row r="595" spans="1:8">
      <c r="A595" s="62">
        <v>137815561874</v>
      </c>
      <c r="B595" t="s">
        <v>4</v>
      </c>
      <c r="C595" s="35" t="s">
        <v>336</v>
      </c>
      <c r="D595" t="s">
        <v>260</v>
      </c>
      <c r="E595" s="35" t="s">
        <v>336</v>
      </c>
      <c r="F595" s="29" t="s">
        <v>262</v>
      </c>
      <c r="G595" s="36">
        <v>56300</v>
      </c>
      <c r="H595" s="36">
        <v>337.8</v>
      </c>
    </row>
    <row r="596" spans="1:8">
      <c r="A596" s="62">
        <v>137183950129</v>
      </c>
      <c r="B596" t="s">
        <v>344</v>
      </c>
      <c r="C596" s="35" t="s">
        <v>336</v>
      </c>
      <c r="D596" t="s">
        <v>260</v>
      </c>
      <c r="E596" s="35" t="s">
        <v>336</v>
      </c>
      <c r="F596" s="29" t="s">
        <v>262</v>
      </c>
      <c r="G596" s="36">
        <v>1820</v>
      </c>
      <c r="H596" s="36">
        <v>10.92</v>
      </c>
    </row>
    <row r="597" spans="1:8">
      <c r="A597" s="62">
        <v>137821059358</v>
      </c>
      <c r="B597" t="s">
        <v>263</v>
      </c>
      <c r="C597" s="35" t="s">
        <v>336</v>
      </c>
      <c r="D597" t="s">
        <v>260</v>
      </c>
      <c r="E597" s="35" t="s">
        <v>336</v>
      </c>
      <c r="F597" s="29" t="s">
        <v>262</v>
      </c>
      <c r="G597" s="36">
        <v>23900</v>
      </c>
      <c r="H597" s="36">
        <v>143.4</v>
      </c>
    </row>
    <row r="598" spans="1:8">
      <c r="A598" s="62">
        <v>137187223345</v>
      </c>
      <c r="B598" t="s">
        <v>263</v>
      </c>
      <c r="C598" s="35" t="s">
        <v>336</v>
      </c>
      <c r="D598" t="s">
        <v>260</v>
      </c>
      <c r="E598" s="35" t="s">
        <v>336</v>
      </c>
      <c r="F598" s="29" t="s">
        <v>262</v>
      </c>
      <c r="G598" s="36">
        <v>48300</v>
      </c>
      <c r="H598" s="36">
        <v>289.8</v>
      </c>
    </row>
    <row r="599" spans="1:8">
      <c r="A599" s="62">
        <v>137187632023</v>
      </c>
      <c r="B599" t="s">
        <v>4</v>
      </c>
      <c r="C599" s="35" t="s">
        <v>336</v>
      </c>
      <c r="D599" t="s">
        <v>260</v>
      </c>
      <c r="E599" s="35" t="s">
        <v>336</v>
      </c>
      <c r="F599" s="29" t="s">
        <v>262</v>
      </c>
      <c r="G599" s="36">
        <v>9800</v>
      </c>
      <c r="H599" s="36">
        <v>58.8</v>
      </c>
    </row>
    <row r="600" spans="1:8">
      <c r="A600" s="62">
        <v>137188599895</v>
      </c>
      <c r="B600" t="s">
        <v>263</v>
      </c>
      <c r="C600" s="35" t="s">
        <v>336</v>
      </c>
      <c r="D600" t="s">
        <v>260</v>
      </c>
      <c r="E600" s="35" t="s">
        <v>345</v>
      </c>
      <c r="F600" s="29" t="s">
        <v>262</v>
      </c>
      <c r="G600" s="36">
        <v>87500</v>
      </c>
      <c r="H600" s="36">
        <v>525</v>
      </c>
    </row>
    <row r="601" spans="1:8">
      <c r="A601" s="62">
        <v>137823153712</v>
      </c>
      <c r="B601" t="s">
        <v>4</v>
      </c>
      <c r="C601" s="35" t="s">
        <v>336</v>
      </c>
      <c r="D601" t="s">
        <v>260</v>
      </c>
      <c r="E601" s="35" t="s">
        <v>345</v>
      </c>
      <c r="F601" s="29" t="s">
        <v>262</v>
      </c>
      <c r="G601" s="36">
        <v>4200</v>
      </c>
      <c r="H601" s="36">
        <v>25.2</v>
      </c>
    </row>
    <row r="602" spans="1:8">
      <c r="A602" s="62">
        <v>137192517701</v>
      </c>
      <c r="B602" t="s">
        <v>4</v>
      </c>
      <c r="C602" s="35" t="s">
        <v>345</v>
      </c>
      <c r="D602" t="s">
        <v>260</v>
      </c>
      <c r="E602" s="35" t="s">
        <v>345</v>
      </c>
      <c r="F602" s="29" t="s">
        <v>262</v>
      </c>
      <c r="G602" s="36">
        <v>9700</v>
      </c>
      <c r="H602" s="36">
        <v>58.2</v>
      </c>
    </row>
    <row r="603" spans="1:8">
      <c r="A603" s="62">
        <v>137193138653</v>
      </c>
      <c r="B603" t="s">
        <v>263</v>
      </c>
      <c r="C603" s="35" t="s">
        <v>345</v>
      </c>
      <c r="D603" t="s">
        <v>260</v>
      </c>
      <c r="E603" s="35" t="s">
        <v>345</v>
      </c>
      <c r="F603" s="29" t="s">
        <v>262</v>
      </c>
      <c r="G603" s="36">
        <v>34200</v>
      </c>
      <c r="H603" s="36">
        <v>205.2</v>
      </c>
    </row>
    <row r="604" spans="1:8">
      <c r="A604" s="62">
        <v>137193254909</v>
      </c>
      <c r="B604" t="s">
        <v>263</v>
      </c>
      <c r="C604" s="35" t="s">
        <v>345</v>
      </c>
      <c r="D604" t="s">
        <v>260</v>
      </c>
      <c r="E604" s="35" t="s">
        <v>345</v>
      </c>
      <c r="F604" s="29" t="s">
        <v>262</v>
      </c>
      <c r="G604" s="36">
        <v>90200</v>
      </c>
      <c r="H604" s="36">
        <v>541.20000000000005</v>
      </c>
    </row>
    <row r="605" spans="1:8">
      <c r="A605" s="62">
        <v>137827259984</v>
      </c>
      <c r="B605" t="s">
        <v>263</v>
      </c>
      <c r="C605" s="35" t="s">
        <v>345</v>
      </c>
      <c r="D605" t="s">
        <v>260</v>
      </c>
      <c r="E605" s="35" t="s">
        <v>345</v>
      </c>
      <c r="F605" s="29" t="s">
        <v>262</v>
      </c>
      <c r="G605" s="36">
        <v>16400</v>
      </c>
      <c r="H605" s="36">
        <v>98.4</v>
      </c>
    </row>
    <row r="606" spans="1:8">
      <c r="A606" s="62">
        <v>137193951755</v>
      </c>
      <c r="B606" t="s">
        <v>4</v>
      </c>
      <c r="C606" s="35" t="s">
        <v>345</v>
      </c>
      <c r="D606" t="s">
        <v>260</v>
      </c>
      <c r="E606" s="35" t="s">
        <v>345</v>
      </c>
      <c r="F606" s="29" t="s">
        <v>262</v>
      </c>
      <c r="G606" s="36">
        <v>36100</v>
      </c>
      <c r="H606" s="36">
        <v>216.6</v>
      </c>
    </row>
    <row r="607" spans="1:8">
      <c r="A607" s="62">
        <v>137194236351</v>
      </c>
      <c r="B607" t="s">
        <v>346</v>
      </c>
      <c r="C607" s="35" t="s">
        <v>345</v>
      </c>
      <c r="D607" t="s">
        <v>260</v>
      </c>
      <c r="E607" s="35" t="s">
        <v>345</v>
      </c>
      <c r="F607" s="29" t="s">
        <v>262</v>
      </c>
      <c r="G607" s="36">
        <v>2675</v>
      </c>
      <c r="H607" s="36">
        <v>16.05</v>
      </c>
    </row>
    <row r="608" spans="1:8">
      <c r="A608" s="62">
        <v>137828514220</v>
      </c>
      <c r="B608" t="s">
        <v>4</v>
      </c>
      <c r="C608" s="35" t="s">
        <v>345</v>
      </c>
      <c r="D608" t="s">
        <v>260</v>
      </c>
      <c r="E608" s="35" t="s">
        <v>345</v>
      </c>
      <c r="F608" s="29" t="s">
        <v>262</v>
      </c>
      <c r="G608" s="36">
        <v>18700</v>
      </c>
      <c r="H608" s="36">
        <v>112.2</v>
      </c>
    </row>
    <row r="609" spans="1:8">
      <c r="A609" s="62">
        <v>137828669992</v>
      </c>
      <c r="B609" t="s">
        <v>4</v>
      </c>
      <c r="C609" s="35" t="s">
        <v>345</v>
      </c>
      <c r="D609" t="s">
        <v>260</v>
      </c>
      <c r="E609" s="35" t="s">
        <v>345</v>
      </c>
      <c r="F609" s="29" t="s">
        <v>262</v>
      </c>
      <c r="G609" s="36">
        <v>30500</v>
      </c>
      <c r="H609" s="36">
        <v>183</v>
      </c>
    </row>
    <row r="610" spans="1:8">
      <c r="A610" s="62">
        <v>137828683812</v>
      </c>
      <c r="B610" t="s">
        <v>347</v>
      </c>
      <c r="C610" s="35" t="s">
        <v>345</v>
      </c>
      <c r="D610" t="s">
        <v>260</v>
      </c>
      <c r="E610" s="35" t="s">
        <v>345</v>
      </c>
      <c r="F610" s="29" t="s">
        <v>262</v>
      </c>
      <c r="G610" s="36">
        <v>1525</v>
      </c>
      <c r="H610" s="36">
        <v>9.15</v>
      </c>
    </row>
    <row r="611" spans="1:8">
      <c r="A611" s="62">
        <v>137171793459</v>
      </c>
      <c r="B611" t="s">
        <v>263</v>
      </c>
      <c r="C611" s="35" t="s">
        <v>336</v>
      </c>
      <c r="D611" t="s">
        <v>260</v>
      </c>
      <c r="E611" s="35" t="s">
        <v>336</v>
      </c>
      <c r="F611" s="29" t="s">
        <v>262</v>
      </c>
      <c r="G611" s="36">
        <v>9600</v>
      </c>
      <c r="H611" s="36">
        <v>57.6</v>
      </c>
    </row>
    <row r="612" spans="1:8">
      <c r="A612" s="62">
        <v>137194977689</v>
      </c>
      <c r="B612" t="s">
        <v>4</v>
      </c>
      <c r="C612" s="35" t="s">
        <v>345</v>
      </c>
      <c r="D612" t="s">
        <v>260</v>
      </c>
      <c r="E612" s="35" t="s">
        <v>345</v>
      </c>
      <c r="F612" s="29" t="s">
        <v>262</v>
      </c>
      <c r="G612" s="36">
        <v>14900</v>
      </c>
      <c r="H612" s="36">
        <v>89.4</v>
      </c>
    </row>
    <row r="613" spans="1:8">
      <c r="A613" s="62">
        <v>137171897863</v>
      </c>
      <c r="B613" t="s">
        <v>263</v>
      </c>
      <c r="C613" s="35" t="s">
        <v>336</v>
      </c>
      <c r="D613" t="s">
        <v>260</v>
      </c>
      <c r="E613" s="35" t="s">
        <v>336</v>
      </c>
      <c r="F613" s="29" t="s">
        <v>262</v>
      </c>
      <c r="G613" s="36">
        <v>9600</v>
      </c>
      <c r="H613" s="36">
        <v>57.6</v>
      </c>
    </row>
    <row r="614" spans="1:8">
      <c r="A614" s="62">
        <v>137195240283</v>
      </c>
      <c r="B614" t="s">
        <v>4</v>
      </c>
      <c r="C614" s="35" t="s">
        <v>345</v>
      </c>
      <c r="D614" t="s">
        <v>260</v>
      </c>
      <c r="E614" s="35" t="s">
        <v>345</v>
      </c>
      <c r="F614" s="29" t="s">
        <v>262</v>
      </c>
      <c r="G614" s="36">
        <v>5500</v>
      </c>
      <c r="H614" s="36">
        <v>33</v>
      </c>
    </row>
    <row r="615" spans="1:8">
      <c r="A615" s="62">
        <v>137195238631</v>
      </c>
      <c r="B615" t="s">
        <v>4</v>
      </c>
      <c r="C615" s="35" t="s">
        <v>345</v>
      </c>
      <c r="D615" t="s">
        <v>260</v>
      </c>
      <c r="E615" s="35" t="s">
        <v>345</v>
      </c>
      <c r="F615" s="29" t="s">
        <v>262</v>
      </c>
      <c r="G615" s="36">
        <v>34500</v>
      </c>
      <c r="H615" s="36">
        <v>207</v>
      </c>
    </row>
    <row r="616" spans="1:8">
      <c r="A616" s="62">
        <v>137195257543</v>
      </c>
      <c r="B616" t="s">
        <v>4</v>
      </c>
      <c r="C616" s="35" t="s">
        <v>345</v>
      </c>
      <c r="D616" t="s">
        <v>260</v>
      </c>
      <c r="E616" s="35" t="s">
        <v>345</v>
      </c>
      <c r="F616" s="29" t="s">
        <v>262</v>
      </c>
      <c r="G616" s="36">
        <v>106800</v>
      </c>
      <c r="H616" s="36">
        <v>640.79999999999995</v>
      </c>
    </row>
    <row r="617" spans="1:8">
      <c r="A617" s="62">
        <v>137829359830</v>
      </c>
      <c r="B617" t="s">
        <v>4</v>
      </c>
      <c r="C617" s="35" t="s">
        <v>345</v>
      </c>
      <c r="D617" t="s">
        <v>260</v>
      </c>
      <c r="E617" s="35" t="s">
        <v>345</v>
      </c>
      <c r="F617" s="29" t="s">
        <v>262</v>
      </c>
      <c r="G617" s="36">
        <v>13400</v>
      </c>
      <c r="H617" s="36">
        <v>80.400000000000006</v>
      </c>
    </row>
    <row r="618" spans="1:8">
      <c r="A618" s="62">
        <v>137195473277</v>
      </c>
      <c r="B618" t="s">
        <v>4</v>
      </c>
      <c r="C618" s="35" t="s">
        <v>345</v>
      </c>
      <c r="D618" t="s">
        <v>260</v>
      </c>
      <c r="E618" s="35" t="s">
        <v>345</v>
      </c>
      <c r="F618" s="29" t="s">
        <v>262</v>
      </c>
      <c r="G618" s="36">
        <v>22300</v>
      </c>
      <c r="H618" s="36">
        <v>133.80000000000001</v>
      </c>
    </row>
    <row r="619" spans="1:8">
      <c r="A619" s="62">
        <v>137829747920</v>
      </c>
      <c r="B619" t="s">
        <v>4</v>
      </c>
      <c r="C619" s="35" t="s">
        <v>345</v>
      </c>
      <c r="D619" t="s">
        <v>260</v>
      </c>
      <c r="E619" s="35" t="s">
        <v>345</v>
      </c>
      <c r="F619" s="29" t="s">
        <v>262</v>
      </c>
      <c r="G619" s="36">
        <v>10600</v>
      </c>
      <c r="H619" s="36">
        <v>63.6</v>
      </c>
    </row>
    <row r="620" spans="1:8">
      <c r="A620" s="62">
        <v>137830863958</v>
      </c>
      <c r="B620" t="s">
        <v>4</v>
      </c>
      <c r="C620" s="35" t="s">
        <v>345</v>
      </c>
      <c r="D620" t="s">
        <v>260</v>
      </c>
      <c r="E620" s="35" t="s">
        <v>345</v>
      </c>
      <c r="F620" s="29" t="s">
        <v>262</v>
      </c>
      <c r="G620" s="36">
        <v>167800</v>
      </c>
      <c r="H620" s="36">
        <v>1006.8</v>
      </c>
    </row>
    <row r="621" spans="1:8">
      <c r="A621" s="62">
        <v>137831029106</v>
      </c>
      <c r="B621" t="s">
        <v>4</v>
      </c>
      <c r="C621" s="35" t="s">
        <v>345</v>
      </c>
      <c r="D621" t="s">
        <v>260</v>
      </c>
      <c r="E621" s="35" t="s">
        <v>345</v>
      </c>
      <c r="F621" s="29" t="s">
        <v>262</v>
      </c>
      <c r="G621" s="36">
        <v>8900</v>
      </c>
      <c r="H621" s="36">
        <v>53.4</v>
      </c>
    </row>
    <row r="622" spans="1:8">
      <c r="A622" s="62">
        <v>137197267481</v>
      </c>
      <c r="B622" t="s">
        <v>4</v>
      </c>
      <c r="C622" s="35" t="s">
        <v>345</v>
      </c>
      <c r="D622" t="s">
        <v>260</v>
      </c>
      <c r="E622" s="35" t="s">
        <v>345</v>
      </c>
      <c r="F622" s="29" t="s">
        <v>262</v>
      </c>
      <c r="G622" s="36">
        <v>15300</v>
      </c>
      <c r="H622" s="36">
        <v>91.8</v>
      </c>
    </row>
    <row r="623" spans="1:8">
      <c r="A623" s="62">
        <v>137831433098</v>
      </c>
      <c r="B623" t="s">
        <v>4</v>
      </c>
      <c r="C623" s="35" t="s">
        <v>345</v>
      </c>
      <c r="D623" t="s">
        <v>260</v>
      </c>
      <c r="E623" s="35" t="s">
        <v>345</v>
      </c>
      <c r="F623" s="29" t="s">
        <v>262</v>
      </c>
      <c r="G623" s="36">
        <v>14700</v>
      </c>
      <c r="H623" s="36">
        <v>88.2</v>
      </c>
    </row>
    <row r="624" spans="1:8">
      <c r="A624" s="62">
        <v>137177682381</v>
      </c>
      <c r="B624" t="s">
        <v>4</v>
      </c>
      <c r="C624" s="35" t="s">
        <v>336</v>
      </c>
      <c r="D624" t="s">
        <v>260</v>
      </c>
      <c r="E624" s="35" t="s">
        <v>336</v>
      </c>
      <c r="F624" s="29" t="s">
        <v>262</v>
      </c>
      <c r="G624" s="36">
        <v>33600</v>
      </c>
      <c r="H624" s="36">
        <v>201.6</v>
      </c>
    </row>
    <row r="625" spans="1:8">
      <c r="A625" s="62">
        <v>137812067506</v>
      </c>
      <c r="B625" t="s">
        <v>263</v>
      </c>
      <c r="C625" s="35" t="s">
        <v>336</v>
      </c>
      <c r="D625" t="s">
        <v>260</v>
      </c>
      <c r="E625" s="35" t="s">
        <v>336</v>
      </c>
      <c r="F625" s="29" t="s">
        <v>262</v>
      </c>
      <c r="G625" s="36">
        <v>42900</v>
      </c>
      <c r="H625" s="36">
        <v>257.39999999999998</v>
      </c>
    </row>
    <row r="626" spans="1:8">
      <c r="A626" s="62">
        <v>137813773910</v>
      </c>
      <c r="B626" t="s">
        <v>263</v>
      </c>
      <c r="C626" s="35" t="s">
        <v>336</v>
      </c>
      <c r="D626" t="s">
        <v>260</v>
      </c>
      <c r="E626" s="35" t="s">
        <v>336</v>
      </c>
      <c r="F626" s="29" t="s">
        <v>262</v>
      </c>
      <c r="G626" s="36">
        <v>45200</v>
      </c>
      <c r="H626" s="36">
        <v>271.2</v>
      </c>
    </row>
    <row r="627" spans="1:8">
      <c r="A627" s="62">
        <v>137815445676</v>
      </c>
      <c r="B627" t="s">
        <v>263</v>
      </c>
      <c r="C627" s="35" t="s">
        <v>336</v>
      </c>
      <c r="D627" t="s">
        <v>260</v>
      </c>
      <c r="E627" s="35" t="s">
        <v>336</v>
      </c>
      <c r="F627" s="29" t="s">
        <v>262</v>
      </c>
      <c r="G627" s="36">
        <v>4900</v>
      </c>
      <c r="H627" s="36">
        <v>29.4</v>
      </c>
    </row>
    <row r="628" spans="1:8">
      <c r="A628" s="62">
        <v>137815657922</v>
      </c>
      <c r="B628" t="s">
        <v>4</v>
      </c>
      <c r="C628" s="35" t="s">
        <v>336</v>
      </c>
      <c r="D628" t="s">
        <v>260</v>
      </c>
      <c r="E628" s="35" t="s">
        <v>336</v>
      </c>
      <c r="F628" s="29" t="s">
        <v>262</v>
      </c>
      <c r="G628" s="36">
        <v>4200</v>
      </c>
      <c r="H628" s="36">
        <v>25.2</v>
      </c>
    </row>
    <row r="629" spans="1:8">
      <c r="A629" s="62">
        <v>137816314558</v>
      </c>
      <c r="B629" t="s">
        <v>263</v>
      </c>
      <c r="C629" s="35" t="s">
        <v>336</v>
      </c>
      <c r="D629" t="s">
        <v>260</v>
      </c>
      <c r="E629" s="35" t="s">
        <v>336</v>
      </c>
      <c r="F629" s="29" t="s">
        <v>262</v>
      </c>
      <c r="G629" s="36">
        <v>29800</v>
      </c>
      <c r="H629" s="36">
        <v>178.8</v>
      </c>
    </row>
    <row r="630" spans="1:8">
      <c r="A630" s="62">
        <v>137817891008</v>
      </c>
      <c r="B630" t="s">
        <v>4</v>
      </c>
      <c r="C630" s="35" t="s">
        <v>336</v>
      </c>
      <c r="D630" t="s">
        <v>260</v>
      </c>
      <c r="E630" s="35" t="s">
        <v>336</v>
      </c>
      <c r="F630" s="29" t="s">
        <v>262</v>
      </c>
      <c r="G630" s="36">
        <v>18200</v>
      </c>
      <c r="H630" s="36">
        <v>109.2</v>
      </c>
    </row>
    <row r="631" spans="1:8">
      <c r="A631" s="62">
        <v>137818539048</v>
      </c>
      <c r="B631" t="s">
        <v>263</v>
      </c>
      <c r="C631" s="35" t="s">
        <v>336</v>
      </c>
      <c r="D631" t="s">
        <v>260</v>
      </c>
      <c r="E631" s="35" t="s">
        <v>336</v>
      </c>
      <c r="F631" s="29" t="s">
        <v>262</v>
      </c>
      <c r="G631" s="36">
        <v>44800</v>
      </c>
      <c r="H631" s="36">
        <v>268.8</v>
      </c>
    </row>
    <row r="632" spans="1:8">
      <c r="A632" s="62">
        <v>137184969243</v>
      </c>
      <c r="B632" t="s">
        <v>263</v>
      </c>
      <c r="C632" s="35" t="s">
        <v>336</v>
      </c>
      <c r="D632" t="s">
        <v>260</v>
      </c>
      <c r="E632" s="35" t="s">
        <v>336</v>
      </c>
      <c r="F632" s="29" t="s">
        <v>262</v>
      </c>
      <c r="G632" s="36">
        <v>48900</v>
      </c>
      <c r="H632" s="36">
        <v>293.39999999999998</v>
      </c>
    </row>
    <row r="633" spans="1:8">
      <c r="A633" s="62">
        <v>137819965468</v>
      </c>
      <c r="B633" t="s">
        <v>4</v>
      </c>
      <c r="C633" s="35" t="s">
        <v>336</v>
      </c>
      <c r="D633" t="s">
        <v>260</v>
      </c>
      <c r="E633" s="35" t="s">
        <v>336</v>
      </c>
      <c r="F633" s="29" t="s">
        <v>262</v>
      </c>
      <c r="G633" s="36">
        <v>8800</v>
      </c>
      <c r="H633" s="36">
        <v>52.8</v>
      </c>
    </row>
    <row r="634" spans="1:8">
      <c r="A634" s="62">
        <v>137187141275</v>
      </c>
      <c r="B634" t="s">
        <v>263</v>
      </c>
      <c r="C634" s="35" t="s">
        <v>336</v>
      </c>
      <c r="D634" t="s">
        <v>260</v>
      </c>
      <c r="E634" s="35" t="s">
        <v>336</v>
      </c>
      <c r="F634" s="29" t="s">
        <v>262</v>
      </c>
      <c r="G634" s="36">
        <v>17500</v>
      </c>
      <c r="H634" s="36">
        <v>105</v>
      </c>
    </row>
    <row r="635" spans="1:8">
      <c r="A635" s="62">
        <v>137188255017</v>
      </c>
      <c r="B635" t="s">
        <v>4</v>
      </c>
      <c r="C635" s="35" t="s">
        <v>336</v>
      </c>
      <c r="D635" t="s">
        <v>260</v>
      </c>
      <c r="E635" s="35" t="s">
        <v>336</v>
      </c>
      <c r="F635" s="29" t="s">
        <v>262</v>
      </c>
      <c r="G635" s="36">
        <v>31300</v>
      </c>
      <c r="H635" s="36">
        <v>187.8</v>
      </c>
    </row>
    <row r="636" spans="1:8">
      <c r="A636" s="62">
        <v>137188753725</v>
      </c>
      <c r="B636" t="s">
        <v>263</v>
      </c>
      <c r="C636" s="35" t="s">
        <v>336</v>
      </c>
      <c r="D636" t="s">
        <v>260</v>
      </c>
      <c r="E636" s="35" t="s">
        <v>345</v>
      </c>
      <c r="F636" s="29" t="s">
        <v>262</v>
      </c>
      <c r="G636" s="36">
        <v>36100</v>
      </c>
      <c r="H636" s="36">
        <v>216.6</v>
      </c>
    </row>
    <row r="637" spans="1:8">
      <c r="A637" s="62">
        <v>137188881167</v>
      </c>
      <c r="B637" t="s">
        <v>4</v>
      </c>
      <c r="C637" s="35" t="s">
        <v>336</v>
      </c>
      <c r="D637" t="s">
        <v>260</v>
      </c>
      <c r="E637" s="35" t="s">
        <v>345</v>
      </c>
      <c r="F637" s="29" t="s">
        <v>262</v>
      </c>
      <c r="G637" s="36">
        <v>9600</v>
      </c>
      <c r="H637" s="36">
        <v>57.6</v>
      </c>
    </row>
    <row r="638" spans="1:8">
      <c r="A638" s="62">
        <v>137823102664</v>
      </c>
      <c r="B638" t="s">
        <v>263</v>
      </c>
      <c r="C638" s="35" t="s">
        <v>336</v>
      </c>
      <c r="D638" t="s">
        <v>260</v>
      </c>
      <c r="E638" s="35" t="s">
        <v>345</v>
      </c>
      <c r="F638" s="29" t="s">
        <v>262</v>
      </c>
      <c r="G638" s="36">
        <v>20900</v>
      </c>
      <c r="H638" s="36">
        <v>125.4</v>
      </c>
    </row>
    <row r="639" spans="1:8">
      <c r="A639" s="62">
        <v>137825138680</v>
      </c>
      <c r="B639" t="s">
        <v>263</v>
      </c>
      <c r="C639" s="35" t="s">
        <v>336</v>
      </c>
      <c r="D639" t="s">
        <v>260</v>
      </c>
      <c r="E639" s="35" t="s">
        <v>345</v>
      </c>
      <c r="F639" s="29" t="s">
        <v>262</v>
      </c>
      <c r="G639" s="36">
        <v>34400</v>
      </c>
      <c r="H639" s="36">
        <v>206.4</v>
      </c>
    </row>
    <row r="640" spans="1:8">
      <c r="A640" s="62">
        <v>137825644378</v>
      </c>
      <c r="B640" t="s">
        <v>4</v>
      </c>
      <c r="C640" s="35" t="s">
        <v>336</v>
      </c>
      <c r="D640" t="s">
        <v>260</v>
      </c>
      <c r="E640" s="35" t="s">
        <v>345</v>
      </c>
      <c r="F640" s="29" t="s">
        <v>262</v>
      </c>
      <c r="G640" s="36">
        <v>32800</v>
      </c>
      <c r="H640" s="36">
        <v>196.8</v>
      </c>
    </row>
    <row r="641" spans="1:8">
      <c r="A641" s="62">
        <v>137828147806</v>
      </c>
      <c r="B641" t="s">
        <v>4</v>
      </c>
      <c r="C641" s="35" t="s">
        <v>345</v>
      </c>
      <c r="D641" t="s">
        <v>260</v>
      </c>
      <c r="E641" s="35" t="s">
        <v>345</v>
      </c>
      <c r="F641" s="29" t="s">
        <v>262</v>
      </c>
      <c r="G641" s="36">
        <v>53900</v>
      </c>
      <c r="H641" s="36">
        <v>323.39999999999998</v>
      </c>
    </row>
    <row r="642" spans="1:8">
      <c r="A642" s="62">
        <v>137194166731</v>
      </c>
      <c r="B642" t="s">
        <v>348</v>
      </c>
      <c r="C642" s="35" t="s">
        <v>345</v>
      </c>
      <c r="D642" t="s">
        <v>260</v>
      </c>
      <c r="E642" s="35" t="s">
        <v>345</v>
      </c>
      <c r="F642" s="29" t="s">
        <v>262</v>
      </c>
      <c r="G642" s="36">
        <v>5390</v>
      </c>
      <c r="H642" s="36">
        <v>32.340000000000003</v>
      </c>
    </row>
    <row r="643" spans="1:8">
      <c r="A643" s="62">
        <v>137194238351</v>
      </c>
      <c r="B643" t="s">
        <v>4</v>
      </c>
      <c r="C643" s="35" t="s">
        <v>345</v>
      </c>
      <c r="D643" t="s">
        <v>260</v>
      </c>
      <c r="E643" s="35" t="s">
        <v>345</v>
      </c>
      <c r="F643" s="29" t="s">
        <v>262</v>
      </c>
      <c r="G643" s="36">
        <v>53500</v>
      </c>
      <c r="H643" s="36">
        <v>321</v>
      </c>
    </row>
    <row r="644" spans="1:8">
      <c r="A644" s="62">
        <v>137829278598</v>
      </c>
      <c r="B644" t="s">
        <v>349</v>
      </c>
      <c r="C644" s="35" t="s">
        <v>345</v>
      </c>
      <c r="D644" t="s">
        <v>260</v>
      </c>
      <c r="E644" s="35" t="s">
        <v>345</v>
      </c>
      <c r="F644" s="29" t="s">
        <v>262</v>
      </c>
      <c r="G644" s="36">
        <v>275</v>
      </c>
      <c r="H644" s="36">
        <v>1.65</v>
      </c>
    </row>
    <row r="645" spans="1:8">
      <c r="A645" s="62">
        <v>137829499784</v>
      </c>
      <c r="B645" t="s">
        <v>350</v>
      </c>
      <c r="C645" s="35" t="s">
        <v>345</v>
      </c>
      <c r="D645" t="s">
        <v>260</v>
      </c>
      <c r="E645" s="35" t="s">
        <v>345</v>
      </c>
      <c r="F645" s="29" t="s">
        <v>262</v>
      </c>
      <c r="G645" s="36">
        <v>1060</v>
      </c>
      <c r="H645" s="36">
        <v>6.36</v>
      </c>
    </row>
    <row r="646" spans="1:8">
      <c r="A646" s="62">
        <v>137829503666</v>
      </c>
      <c r="B646" t="s">
        <v>4</v>
      </c>
      <c r="C646" s="35" t="s">
        <v>345</v>
      </c>
      <c r="D646" t="s">
        <v>260</v>
      </c>
      <c r="E646" s="35" t="s">
        <v>345</v>
      </c>
      <c r="F646" s="29" t="s">
        <v>262</v>
      </c>
      <c r="G646" s="36">
        <v>21200</v>
      </c>
      <c r="H646" s="36">
        <v>127.2</v>
      </c>
    </row>
    <row r="647" spans="1:8">
      <c r="A647" s="62">
        <v>137196458579</v>
      </c>
      <c r="B647" t="s">
        <v>4</v>
      </c>
      <c r="C647" s="35" t="s">
        <v>345</v>
      </c>
      <c r="D647" t="s">
        <v>260</v>
      </c>
      <c r="E647" s="35" t="s">
        <v>345</v>
      </c>
      <c r="F647" s="29" t="s">
        <v>262</v>
      </c>
      <c r="G647" s="36">
        <v>51600</v>
      </c>
      <c r="H647" s="36">
        <v>309.60000000000002</v>
      </c>
    </row>
    <row r="648" spans="1:8">
      <c r="A648" s="62">
        <v>137831398946</v>
      </c>
      <c r="B648" t="s">
        <v>4</v>
      </c>
      <c r="C648" s="35" t="s">
        <v>345</v>
      </c>
      <c r="D648" t="s">
        <v>260</v>
      </c>
      <c r="E648" s="35" t="s">
        <v>345</v>
      </c>
      <c r="F648" s="29" t="s">
        <v>262</v>
      </c>
      <c r="G648" s="36">
        <v>22000</v>
      </c>
      <c r="H648" s="36">
        <v>132</v>
      </c>
    </row>
    <row r="649" spans="1:8">
      <c r="A649" s="62">
        <v>137272856787</v>
      </c>
      <c r="B649" t="s">
        <v>4</v>
      </c>
      <c r="C649" s="35" t="s">
        <v>345</v>
      </c>
      <c r="D649" t="s">
        <v>260</v>
      </c>
      <c r="E649" s="35" t="s">
        <v>345</v>
      </c>
      <c r="F649" s="29" t="s">
        <v>262</v>
      </c>
      <c r="G649" s="36">
        <v>26000</v>
      </c>
      <c r="H649" s="36">
        <v>156</v>
      </c>
    </row>
    <row r="650" spans="1:8">
      <c r="A650" s="62">
        <v>137274462155</v>
      </c>
      <c r="B650" t="s">
        <v>263</v>
      </c>
      <c r="C650" s="35" t="s">
        <v>345</v>
      </c>
      <c r="D650" t="s">
        <v>260</v>
      </c>
      <c r="E650" s="35" t="s">
        <v>345</v>
      </c>
      <c r="F650" s="29" t="s">
        <v>262</v>
      </c>
      <c r="G650" s="36">
        <v>59100</v>
      </c>
      <c r="H650" s="36">
        <v>354.6</v>
      </c>
    </row>
    <row r="651" spans="1:8">
      <c r="A651" s="62">
        <v>137917455156</v>
      </c>
      <c r="B651" t="s">
        <v>263</v>
      </c>
      <c r="C651" s="35" t="s">
        <v>345</v>
      </c>
      <c r="D651" t="s">
        <v>260</v>
      </c>
      <c r="E651" s="35" t="s">
        <v>345</v>
      </c>
      <c r="F651" s="29" t="s">
        <v>262</v>
      </c>
      <c r="G651" s="36">
        <v>19200</v>
      </c>
      <c r="H651" s="36">
        <v>115.2</v>
      </c>
    </row>
    <row r="652" spans="1:8">
      <c r="A652" s="62">
        <v>137283589283</v>
      </c>
      <c r="B652" t="s">
        <v>351</v>
      </c>
      <c r="C652" s="35" t="s">
        <v>345</v>
      </c>
      <c r="D652" t="s">
        <v>260</v>
      </c>
      <c r="E652" s="35" t="s">
        <v>345</v>
      </c>
      <c r="F652" s="29" t="s">
        <v>262</v>
      </c>
      <c r="G652" s="36">
        <v>4900</v>
      </c>
      <c r="H652" s="36">
        <v>29.4</v>
      </c>
    </row>
    <row r="653" spans="1:8">
      <c r="A653" s="62">
        <v>137918261544</v>
      </c>
      <c r="B653" t="s">
        <v>4</v>
      </c>
      <c r="C653" s="35" t="s">
        <v>345</v>
      </c>
      <c r="D653" t="s">
        <v>260</v>
      </c>
      <c r="E653" s="35" t="s">
        <v>345</v>
      </c>
      <c r="F653" s="29" t="s">
        <v>262</v>
      </c>
      <c r="G653" s="36">
        <v>49000</v>
      </c>
      <c r="H653" s="36">
        <v>294</v>
      </c>
    </row>
    <row r="654" spans="1:8">
      <c r="A654" s="62">
        <v>137284390157</v>
      </c>
      <c r="B654" t="s">
        <v>4</v>
      </c>
      <c r="C654" s="35" t="s">
        <v>345</v>
      </c>
      <c r="D654" t="s">
        <v>260</v>
      </c>
      <c r="E654" s="35" t="s">
        <v>345</v>
      </c>
      <c r="F654" s="29" t="s">
        <v>262</v>
      </c>
      <c r="G654" s="36">
        <v>17200</v>
      </c>
      <c r="H654" s="36">
        <v>103.2</v>
      </c>
    </row>
    <row r="655" spans="1:8">
      <c r="A655" s="62">
        <v>137919655398</v>
      </c>
      <c r="B655" t="s">
        <v>263</v>
      </c>
      <c r="C655" s="35" t="s">
        <v>345</v>
      </c>
      <c r="D655" t="s">
        <v>260</v>
      </c>
      <c r="E655" s="35" t="s">
        <v>345</v>
      </c>
      <c r="F655" s="29" t="s">
        <v>262</v>
      </c>
      <c r="G655" s="36">
        <v>4900</v>
      </c>
      <c r="H655" s="36">
        <v>29.4</v>
      </c>
    </row>
    <row r="656" spans="1:8">
      <c r="A656" s="62">
        <v>137919990346</v>
      </c>
      <c r="B656" t="s">
        <v>4</v>
      </c>
      <c r="C656" s="35" t="s">
        <v>345</v>
      </c>
      <c r="D656" t="s">
        <v>260</v>
      </c>
      <c r="E656" s="35" t="s">
        <v>345</v>
      </c>
      <c r="F656" s="29" t="s">
        <v>262</v>
      </c>
      <c r="G656" s="36">
        <v>4900</v>
      </c>
      <c r="H656" s="36">
        <v>29.4</v>
      </c>
    </row>
    <row r="657" spans="1:8">
      <c r="A657" s="62">
        <v>137920602650</v>
      </c>
      <c r="B657" t="s">
        <v>263</v>
      </c>
      <c r="C657" s="35" t="s">
        <v>345</v>
      </c>
      <c r="D657" t="s">
        <v>260</v>
      </c>
      <c r="E657" s="35" t="s">
        <v>345</v>
      </c>
      <c r="F657" s="29" t="s">
        <v>262</v>
      </c>
      <c r="G657" s="36">
        <v>78100</v>
      </c>
      <c r="H657" s="36">
        <v>468.6</v>
      </c>
    </row>
    <row r="658" spans="1:8">
      <c r="A658" s="62">
        <v>137920633474</v>
      </c>
      <c r="B658" t="s">
        <v>352</v>
      </c>
      <c r="C658" s="35" t="s">
        <v>345</v>
      </c>
      <c r="D658" t="s">
        <v>260</v>
      </c>
      <c r="E658" s="35" t="s">
        <v>345</v>
      </c>
      <c r="F658" s="29" t="s">
        <v>262</v>
      </c>
      <c r="G658" s="36">
        <v>1975</v>
      </c>
      <c r="H658" s="36">
        <v>11.85</v>
      </c>
    </row>
    <row r="659" spans="1:8">
      <c r="A659" s="62">
        <v>137287882597</v>
      </c>
      <c r="B659" t="s">
        <v>4</v>
      </c>
      <c r="C659" s="35" t="s">
        <v>345</v>
      </c>
      <c r="D659" t="s">
        <v>260</v>
      </c>
      <c r="E659" s="35" t="s">
        <v>345</v>
      </c>
      <c r="F659" s="29" t="s">
        <v>262</v>
      </c>
      <c r="G659" s="36">
        <v>108800</v>
      </c>
      <c r="H659" s="36">
        <v>652.79999999999995</v>
      </c>
    </row>
    <row r="660" spans="1:8">
      <c r="A660" s="62">
        <v>137288757543</v>
      </c>
      <c r="B660" t="s">
        <v>263</v>
      </c>
      <c r="C660" s="35" t="s">
        <v>345</v>
      </c>
      <c r="D660" t="s">
        <v>260</v>
      </c>
      <c r="E660" s="35" t="s">
        <v>345</v>
      </c>
      <c r="F660" s="29" t="s">
        <v>262</v>
      </c>
      <c r="G660" s="36">
        <v>4900</v>
      </c>
      <c r="H660" s="36">
        <v>29.4</v>
      </c>
    </row>
    <row r="661" spans="1:8">
      <c r="A661" s="62">
        <v>137924517588</v>
      </c>
      <c r="B661" t="s">
        <v>263</v>
      </c>
      <c r="C661" s="35" t="s">
        <v>345</v>
      </c>
      <c r="D661" t="s">
        <v>260</v>
      </c>
      <c r="E661" s="35" t="s">
        <v>345</v>
      </c>
      <c r="F661" s="29" t="s">
        <v>262</v>
      </c>
      <c r="G661" s="36">
        <v>42500</v>
      </c>
      <c r="H661" s="36">
        <v>255</v>
      </c>
    </row>
    <row r="662" spans="1:8">
      <c r="A662" s="62">
        <v>137290068965</v>
      </c>
      <c r="B662" t="s">
        <v>4</v>
      </c>
      <c r="C662" s="35" t="s">
        <v>345</v>
      </c>
      <c r="D662" t="s">
        <v>260</v>
      </c>
      <c r="E662" s="35" t="s">
        <v>345</v>
      </c>
      <c r="F662" s="29" t="s">
        <v>262</v>
      </c>
      <c r="G662" s="36">
        <v>9400</v>
      </c>
      <c r="H662" s="36">
        <v>56.4</v>
      </c>
    </row>
    <row r="663" spans="1:8">
      <c r="A663" s="62">
        <v>137926143226</v>
      </c>
      <c r="B663" t="s">
        <v>4</v>
      </c>
      <c r="C663" s="35" t="s">
        <v>345</v>
      </c>
      <c r="D663" t="s">
        <v>260</v>
      </c>
      <c r="E663" s="35" t="s">
        <v>345</v>
      </c>
      <c r="F663" s="29" t="s">
        <v>262</v>
      </c>
      <c r="G663" s="36">
        <v>4800</v>
      </c>
      <c r="H663" s="36">
        <v>28.8</v>
      </c>
    </row>
    <row r="664" spans="1:8">
      <c r="A664" s="62">
        <v>137926260696</v>
      </c>
      <c r="B664" t="s">
        <v>353</v>
      </c>
      <c r="C664" s="35" t="s">
        <v>345</v>
      </c>
      <c r="D664" t="s">
        <v>260</v>
      </c>
      <c r="E664" s="35" t="s">
        <v>345</v>
      </c>
      <c r="F664" s="29" t="s">
        <v>262</v>
      </c>
      <c r="G664" s="36">
        <v>240</v>
      </c>
      <c r="H664" s="36">
        <v>1.44</v>
      </c>
    </row>
    <row r="665" spans="1:8">
      <c r="A665" s="62">
        <v>137926389112</v>
      </c>
      <c r="B665" t="s">
        <v>263</v>
      </c>
      <c r="C665" s="35" t="s">
        <v>345</v>
      </c>
      <c r="D665" t="s">
        <v>260</v>
      </c>
      <c r="E665" s="35" t="s">
        <v>345</v>
      </c>
      <c r="F665" s="29" t="s">
        <v>262</v>
      </c>
      <c r="G665" s="36">
        <v>31100</v>
      </c>
      <c r="H665" s="36">
        <v>186.6</v>
      </c>
    </row>
    <row r="666" spans="1:8">
      <c r="A666" s="62">
        <v>137915080182</v>
      </c>
      <c r="B666" t="s">
        <v>263</v>
      </c>
      <c r="C666" s="35" t="s">
        <v>345</v>
      </c>
      <c r="D666" t="s">
        <v>260</v>
      </c>
      <c r="E666" s="35" t="s">
        <v>345</v>
      </c>
      <c r="F666" s="29" t="s">
        <v>262</v>
      </c>
      <c r="G666" s="36">
        <v>31500</v>
      </c>
      <c r="H666" s="36">
        <v>189</v>
      </c>
    </row>
    <row r="667" spans="1:8">
      <c r="A667" s="62">
        <v>137920760336</v>
      </c>
      <c r="B667" t="s">
        <v>4</v>
      </c>
      <c r="C667" s="35" t="s">
        <v>345</v>
      </c>
      <c r="D667" t="s">
        <v>260</v>
      </c>
      <c r="E667" s="35" t="s">
        <v>345</v>
      </c>
      <c r="F667" s="29" t="s">
        <v>262</v>
      </c>
      <c r="G667" s="36">
        <v>39500</v>
      </c>
      <c r="H667" s="36">
        <v>237</v>
      </c>
    </row>
    <row r="668" spans="1:8">
      <c r="A668" s="62">
        <v>137286737407</v>
      </c>
      <c r="B668" t="s">
        <v>4</v>
      </c>
      <c r="C668" s="35" t="s">
        <v>345</v>
      </c>
      <c r="D668" t="s">
        <v>260</v>
      </c>
      <c r="E668" s="35" t="s">
        <v>345</v>
      </c>
      <c r="F668" s="29" t="s">
        <v>262</v>
      </c>
      <c r="G668" s="36">
        <v>98700</v>
      </c>
      <c r="H668" s="36">
        <v>592.20000000000005</v>
      </c>
    </row>
    <row r="669" spans="1:8">
      <c r="A669" s="62">
        <v>137287058345</v>
      </c>
      <c r="B669" t="s">
        <v>4</v>
      </c>
      <c r="C669" s="35" t="s">
        <v>345</v>
      </c>
      <c r="D669" t="s">
        <v>260</v>
      </c>
      <c r="E669" s="35" t="s">
        <v>345</v>
      </c>
      <c r="F669" s="29" t="s">
        <v>262</v>
      </c>
      <c r="G669" s="36">
        <v>73400</v>
      </c>
      <c r="H669" s="36">
        <v>440.4</v>
      </c>
    </row>
    <row r="670" spans="1:8">
      <c r="A670" s="62">
        <v>137287763759</v>
      </c>
      <c r="B670" t="s">
        <v>263</v>
      </c>
      <c r="C670" s="35" t="s">
        <v>345</v>
      </c>
      <c r="D670" t="s">
        <v>260</v>
      </c>
      <c r="E670" s="35" t="s">
        <v>345</v>
      </c>
      <c r="F670" s="29" t="s">
        <v>262</v>
      </c>
      <c r="G670" s="36">
        <v>71500</v>
      </c>
      <c r="H670" s="36">
        <v>429</v>
      </c>
    </row>
    <row r="671" spans="1:8">
      <c r="A671" s="62">
        <v>137291943369</v>
      </c>
      <c r="B671" t="s">
        <v>4</v>
      </c>
      <c r="C671" s="35" t="s">
        <v>345</v>
      </c>
      <c r="D671" t="s">
        <v>260</v>
      </c>
      <c r="E671" s="35" t="s">
        <v>345</v>
      </c>
      <c r="F671" s="29" t="s">
        <v>262</v>
      </c>
      <c r="G671" s="36">
        <v>14400</v>
      </c>
      <c r="H671" s="36">
        <v>86.4</v>
      </c>
    </row>
    <row r="672" spans="1:8">
      <c r="A672" s="62">
        <v>137292138799</v>
      </c>
      <c r="B672" t="s">
        <v>4</v>
      </c>
      <c r="C672" s="35" t="s">
        <v>345</v>
      </c>
      <c r="D672" t="s">
        <v>260</v>
      </c>
      <c r="E672" s="35" t="s">
        <v>345</v>
      </c>
      <c r="F672" s="29" t="s">
        <v>262</v>
      </c>
      <c r="G672" s="36">
        <v>4900</v>
      </c>
      <c r="H672" s="36">
        <v>29.4</v>
      </c>
    </row>
    <row r="673" spans="1:8">
      <c r="A673" s="62">
        <v>137926932048</v>
      </c>
      <c r="B673" t="s">
        <v>4</v>
      </c>
      <c r="C673" s="35" t="s">
        <v>345</v>
      </c>
      <c r="D673" t="s">
        <v>260</v>
      </c>
      <c r="E673" s="35" t="s">
        <v>345</v>
      </c>
      <c r="F673" s="29" t="s">
        <v>262</v>
      </c>
      <c r="G673" s="36">
        <v>16000</v>
      </c>
      <c r="H673" s="36">
        <v>96</v>
      </c>
    </row>
    <row r="674" spans="1:8">
      <c r="A674" s="62">
        <v>137927636060</v>
      </c>
      <c r="B674" t="s">
        <v>4</v>
      </c>
      <c r="C674" s="35" t="s">
        <v>345</v>
      </c>
      <c r="D674" t="s">
        <v>260</v>
      </c>
      <c r="E674" s="35" t="s">
        <v>354</v>
      </c>
      <c r="F674" s="29" t="s">
        <v>262</v>
      </c>
      <c r="G674" s="36">
        <v>45300</v>
      </c>
      <c r="H674" s="36">
        <v>271.8</v>
      </c>
    </row>
    <row r="675" spans="1:8">
      <c r="A675" s="62">
        <v>137293936969</v>
      </c>
      <c r="B675" t="s">
        <v>4</v>
      </c>
      <c r="C675" s="35" t="s">
        <v>345</v>
      </c>
      <c r="D675" t="s">
        <v>260</v>
      </c>
      <c r="E675" s="35" t="s">
        <v>354</v>
      </c>
      <c r="F675" s="29" t="s">
        <v>262</v>
      </c>
      <c r="G675" s="36">
        <v>12000</v>
      </c>
      <c r="H675" s="36">
        <v>72</v>
      </c>
    </row>
    <row r="676" spans="1:8">
      <c r="A676" s="62">
        <v>137928893544</v>
      </c>
      <c r="B676" t="s">
        <v>4</v>
      </c>
      <c r="C676" s="35" t="s">
        <v>345</v>
      </c>
      <c r="D676" t="s">
        <v>260</v>
      </c>
      <c r="E676" s="35" t="s">
        <v>354</v>
      </c>
      <c r="F676" s="29" t="s">
        <v>262</v>
      </c>
      <c r="G676" s="36">
        <v>35800</v>
      </c>
      <c r="H676" s="36">
        <v>214.8</v>
      </c>
    </row>
    <row r="677" spans="1:8">
      <c r="A677" s="62">
        <v>137929233114</v>
      </c>
      <c r="B677" t="s">
        <v>4</v>
      </c>
      <c r="C677" s="35" t="s">
        <v>345</v>
      </c>
      <c r="D677" t="s">
        <v>260</v>
      </c>
      <c r="E677" s="35" t="s">
        <v>354</v>
      </c>
      <c r="F677" s="29" t="s">
        <v>262</v>
      </c>
      <c r="G677" s="36">
        <v>9600</v>
      </c>
      <c r="H677" s="36">
        <v>57.6</v>
      </c>
    </row>
    <row r="678" spans="1:8">
      <c r="A678" s="62">
        <v>137295139849</v>
      </c>
      <c r="B678" t="s">
        <v>4</v>
      </c>
      <c r="C678" s="35" t="s">
        <v>345</v>
      </c>
      <c r="D678" t="s">
        <v>260</v>
      </c>
      <c r="E678" s="35" t="s">
        <v>354</v>
      </c>
      <c r="F678" s="29" t="s">
        <v>262</v>
      </c>
      <c r="G678" s="36">
        <v>9800</v>
      </c>
      <c r="H678" s="36">
        <v>58.8</v>
      </c>
    </row>
    <row r="679" spans="1:8">
      <c r="A679" s="62">
        <v>137930498598</v>
      </c>
      <c r="B679" t="s">
        <v>4</v>
      </c>
      <c r="C679" s="35" t="s">
        <v>345</v>
      </c>
      <c r="D679" t="s">
        <v>260</v>
      </c>
      <c r="E679" s="35" t="s">
        <v>354</v>
      </c>
      <c r="F679" s="29" t="s">
        <v>262</v>
      </c>
      <c r="G679" s="36">
        <v>27800</v>
      </c>
      <c r="H679" s="36">
        <v>166.8</v>
      </c>
    </row>
    <row r="680" spans="1:8">
      <c r="A680" s="62">
        <v>137931462000</v>
      </c>
      <c r="B680" t="s">
        <v>4</v>
      </c>
      <c r="C680" s="35" t="s">
        <v>354</v>
      </c>
      <c r="D680" t="s">
        <v>260</v>
      </c>
      <c r="E680" s="35" t="s">
        <v>354</v>
      </c>
      <c r="F680" s="29" t="s">
        <v>262</v>
      </c>
      <c r="G680" s="36">
        <v>18600</v>
      </c>
      <c r="H680" s="36">
        <v>111.6</v>
      </c>
    </row>
    <row r="681" spans="1:8">
      <c r="A681" s="62" t="s">
        <v>356</v>
      </c>
      <c r="B681" t="s">
        <v>4</v>
      </c>
      <c r="C681" s="35" t="s">
        <v>355</v>
      </c>
      <c r="D681" t="s">
        <v>260</v>
      </c>
      <c r="E681" s="35" t="s">
        <v>355</v>
      </c>
      <c r="F681" s="29" t="s">
        <v>262</v>
      </c>
      <c r="G681" s="36">
        <v>364800</v>
      </c>
      <c r="H681" s="36">
        <v>2188.8000000000002</v>
      </c>
    </row>
    <row r="682" spans="1:8">
      <c r="A682" s="62">
        <v>137625617225</v>
      </c>
      <c r="B682" t="s">
        <v>4</v>
      </c>
      <c r="C682" s="35" t="s">
        <v>355</v>
      </c>
      <c r="D682" t="s">
        <v>260</v>
      </c>
      <c r="E682" s="35" t="s">
        <v>355</v>
      </c>
      <c r="F682" s="29" t="s">
        <v>262</v>
      </c>
      <c r="G682" s="36">
        <v>300000</v>
      </c>
      <c r="H682" s="36">
        <v>1800</v>
      </c>
    </row>
    <row r="683" spans="1:8">
      <c r="A683" s="62">
        <v>137676769397</v>
      </c>
      <c r="B683" t="s">
        <v>357</v>
      </c>
      <c r="C683" s="35" t="s">
        <v>355</v>
      </c>
      <c r="D683" t="s">
        <v>260</v>
      </c>
      <c r="E683" s="35" t="s">
        <v>355</v>
      </c>
      <c r="F683" s="29" t="s">
        <v>262</v>
      </c>
      <c r="G683" s="36">
        <v>88974</v>
      </c>
      <c r="H683" s="36">
        <v>533.84</v>
      </c>
    </row>
    <row r="684" spans="1:8">
      <c r="A684" s="62" t="s">
        <v>359</v>
      </c>
      <c r="B684" t="s">
        <v>358</v>
      </c>
      <c r="C684" s="35" t="s">
        <v>355</v>
      </c>
      <c r="D684" t="s">
        <v>260</v>
      </c>
      <c r="E684" s="35" t="s">
        <v>355</v>
      </c>
      <c r="F684" s="29" t="s">
        <v>262</v>
      </c>
      <c r="G684" s="36">
        <v>118000</v>
      </c>
      <c r="H684" s="36">
        <v>708</v>
      </c>
    </row>
    <row r="685" spans="1:8">
      <c r="A685" s="62">
        <v>137718027151</v>
      </c>
      <c r="B685" t="s">
        <v>4</v>
      </c>
      <c r="C685" s="35" t="s">
        <v>355</v>
      </c>
      <c r="D685" t="s">
        <v>260</v>
      </c>
      <c r="E685" s="35" t="s">
        <v>355</v>
      </c>
      <c r="F685" s="29" t="s">
        <v>262</v>
      </c>
      <c r="G685" s="36">
        <v>27600</v>
      </c>
      <c r="H685" s="36">
        <v>165.6</v>
      </c>
    </row>
    <row r="686" spans="1:8">
      <c r="A686" s="62">
        <v>138364372438</v>
      </c>
      <c r="B686" t="s">
        <v>4</v>
      </c>
      <c r="C686" s="35" t="s">
        <v>355</v>
      </c>
      <c r="D686" t="s">
        <v>260</v>
      </c>
      <c r="E686" s="35" t="s">
        <v>355</v>
      </c>
      <c r="F686" s="29" t="s">
        <v>262</v>
      </c>
      <c r="G686" s="36">
        <v>24300</v>
      </c>
      <c r="H686" s="36">
        <v>145.80000000000001</v>
      </c>
    </row>
    <row r="687" spans="1:8">
      <c r="A687" s="62">
        <v>137732048829</v>
      </c>
      <c r="B687" t="s">
        <v>263</v>
      </c>
      <c r="C687" s="35" t="s">
        <v>355</v>
      </c>
      <c r="D687" t="s">
        <v>260</v>
      </c>
      <c r="E687" s="35" t="s">
        <v>355</v>
      </c>
      <c r="F687" s="29" t="s">
        <v>262</v>
      </c>
      <c r="G687" s="36">
        <v>47897</v>
      </c>
      <c r="H687" s="36">
        <v>287.38</v>
      </c>
    </row>
    <row r="688" spans="1:8">
      <c r="A688" s="62">
        <v>137732395913</v>
      </c>
      <c r="B688" t="s">
        <v>4</v>
      </c>
      <c r="C688" s="35" t="s">
        <v>355</v>
      </c>
      <c r="D688" t="s">
        <v>260</v>
      </c>
      <c r="E688" s="35" t="s">
        <v>355</v>
      </c>
      <c r="F688" s="29" t="s">
        <v>262</v>
      </c>
      <c r="G688" s="36">
        <v>4800</v>
      </c>
      <c r="H688" s="36">
        <v>28.8</v>
      </c>
    </row>
    <row r="689" spans="1:8">
      <c r="A689" s="62">
        <v>138370811186</v>
      </c>
      <c r="B689" t="s">
        <v>4</v>
      </c>
      <c r="C689" s="35" t="s">
        <v>355</v>
      </c>
      <c r="D689" t="s">
        <v>260</v>
      </c>
      <c r="E689" s="35" t="s">
        <v>355</v>
      </c>
      <c r="F689" s="29" t="s">
        <v>262</v>
      </c>
      <c r="G689" s="36">
        <v>23998</v>
      </c>
      <c r="H689" s="36">
        <v>143.99</v>
      </c>
    </row>
    <row r="690" spans="1:8">
      <c r="A690" s="62">
        <v>137733585351</v>
      </c>
      <c r="B690" t="s">
        <v>4</v>
      </c>
      <c r="C690" s="35" t="s">
        <v>355</v>
      </c>
      <c r="D690" t="s">
        <v>260</v>
      </c>
      <c r="E690" s="35" t="s">
        <v>355</v>
      </c>
      <c r="F690" s="29" t="s">
        <v>262</v>
      </c>
      <c r="G690" s="36">
        <v>47996</v>
      </c>
      <c r="H690" s="36">
        <v>287.98</v>
      </c>
    </row>
    <row r="691" spans="1:8">
      <c r="A691" s="62">
        <v>137735636327</v>
      </c>
      <c r="B691" t="s">
        <v>4</v>
      </c>
      <c r="C691" s="35" t="s">
        <v>355</v>
      </c>
      <c r="D691" t="s">
        <v>260</v>
      </c>
      <c r="E691" s="35" t="s">
        <v>355</v>
      </c>
      <c r="F691" s="29" t="s">
        <v>262</v>
      </c>
      <c r="G691" s="36">
        <v>23998</v>
      </c>
      <c r="H691" s="36">
        <v>143.99</v>
      </c>
    </row>
    <row r="692" spans="1:8">
      <c r="A692" s="62">
        <v>137735718137</v>
      </c>
      <c r="B692" t="s">
        <v>4</v>
      </c>
      <c r="C692" s="35" t="s">
        <v>355</v>
      </c>
      <c r="D692" t="s">
        <v>260</v>
      </c>
      <c r="E692" s="35" t="s">
        <v>355</v>
      </c>
      <c r="F692" s="29" t="s">
        <v>262</v>
      </c>
      <c r="G692" s="36">
        <v>69200</v>
      </c>
      <c r="H692" s="36">
        <v>415.2</v>
      </c>
    </row>
    <row r="693" spans="1:8">
      <c r="A693" s="62">
        <v>138375001336</v>
      </c>
      <c r="B693" t="s">
        <v>263</v>
      </c>
      <c r="C693" s="35" t="s">
        <v>355</v>
      </c>
      <c r="D693" t="s">
        <v>260</v>
      </c>
      <c r="E693" s="35" t="s">
        <v>355</v>
      </c>
      <c r="F693" s="29" t="s">
        <v>262</v>
      </c>
      <c r="G693" s="36">
        <v>8400</v>
      </c>
      <c r="H693" s="36">
        <v>50.4</v>
      </c>
    </row>
    <row r="694" spans="1:8">
      <c r="A694" s="62">
        <v>137736891041</v>
      </c>
      <c r="B694" t="s">
        <v>4</v>
      </c>
      <c r="C694" s="35" t="s">
        <v>355</v>
      </c>
      <c r="D694" t="s">
        <v>260</v>
      </c>
      <c r="E694" s="35" t="s">
        <v>355</v>
      </c>
      <c r="F694" s="29" t="s">
        <v>262</v>
      </c>
      <c r="G694" s="36">
        <v>8700</v>
      </c>
      <c r="H694" s="36">
        <v>52.2</v>
      </c>
    </row>
    <row r="695" spans="1:8">
      <c r="A695" s="62">
        <v>137737033763</v>
      </c>
      <c r="B695" t="s">
        <v>4</v>
      </c>
      <c r="C695" s="35" t="s">
        <v>355</v>
      </c>
      <c r="D695" t="s">
        <v>260</v>
      </c>
      <c r="E695" s="35" t="s">
        <v>355</v>
      </c>
      <c r="F695" s="29" t="s">
        <v>262</v>
      </c>
      <c r="G695" s="36">
        <v>38099</v>
      </c>
      <c r="H695" s="36">
        <v>228.59</v>
      </c>
    </row>
    <row r="696" spans="1:8">
      <c r="A696" s="62">
        <v>138375441034</v>
      </c>
      <c r="B696" t="s">
        <v>4</v>
      </c>
      <c r="C696" s="35" t="s">
        <v>355</v>
      </c>
      <c r="D696" t="s">
        <v>260</v>
      </c>
      <c r="E696" s="35" t="s">
        <v>355</v>
      </c>
      <c r="F696" s="29" t="s">
        <v>262</v>
      </c>
      <c r="G696" s="36">
        <v>21300</v>
      </c>
      <c r="H696" s="36">
        <v>127.8</v>
      </c>
    </row>
    <row r="697" spans="1:8">
      <c r="A697" s="62">
        <v>138377865080</v>
      </c>
      <c r="B697" t="s">
        <v>4</v>
      </c>
      <c r="C697" s="35" t="s">
        <v>355</v>
      </c>
      <c r="D697" t="s">
        <v>260</v>
      </c>
      <c r="E697" s="35" t="s">
        <v>355</v>
      </c>
      <c r="F697" s="29" t="s">
        <v>262</v>
      </c>
      <c r="G697" s="36">
        <v>67000</v>
      </c>
      <c r="H697" s="36">
        <v>402</v>
      </c>
    </row>
    <row r="698" spans="1:8">
      <c r="A698" s="62">
        <v>138380103176</v>
      </c>
      <c r="B698" t="s">
        <v>4</v>
      </c>
      <c r="C698" s="35" t="s">
        <v>355</v>
      </c>
      <c r="D698" t="s">
        <v>260</v>
      </c>
      <c r="E698" s="35" t="s">
        <v>355</v>
      </c>
      <c r="F698" s="29" t="s">
        <v>262</v>
      </c>
      <c r="G698" s="36">
        <v>51200</v>
      </c>
      <c r="H698" s="36">
        <v>307.2</v>
      </c>
    </row>
    <row r="699" spans="1:8">
      <c r="A699" s="62">
        <v>137726653777</v>
      </c>
      <c r="B699" t="s">
        <v>4</v>
      </c>
      <c r="C699" s="35" t="s">
        <v>355</v>
      </c>
      <c r="D699" t="s">
        <v>260</v>
      </c>
      <c r="E699" s="35" t="s">
        <v>355</v>
      </c>
      <c r="F699" s="29" t="s">
        <v>262</v>
      </c>
      <c r="G699" s="36">
        <v>9500</v>
      </c>
      <c r="H699" s="36">
        <v>57</v>
      </c>
    </row>
    <row r="700" spans="1:8">
      <c r="A700" s="62">
        <v>137727368801</v>
      </c>
      <c r="B700" t="s">
        <v>4</v>
      </c>
      <c r="C700" s="35" t="s">
        <v>355</v>
      </c>
      <c r="D700" t="s">
        <v>260</v>
      </c>
      <c r="E700" s="35" t="s">
        <v>355</v>
      </c>
      <c r="F700" s="29" t="s">
        <v>262</v>
      </c>
      <c r="G700" s="36">
        <v>4900</v>
      </c>
      <c r="H700" s="36">
        <v>29.4</v>
      </c>
    </row>
    <row r="701" spans="1:8">
      <c r="A701" s="62">
        <v>138386617202</v>
      </c>
      <c r="B701" t="s">
        <v>4</v>
      </c>
      <c r="C701" s="35" t="s">
        <v>360</v>
      </c>
      <c r="D701" t="s">
        <v>260</v>
      </c>
      <c r="E701" s="35" t="s">
        <v>360</v>
      </c>
      <c r="F701" s="29" t="s">
        <v>262</v>
      </c>
      <c r="G701" s="36">
        <v>4000</v>
      </c>
      <c r="H701" s="36">
        <v>24</v>
      </c>
    </row>
    <row r="702" spans="1:8">
      <c r="A702" s="62">
        <v>138366452506</v>
      </c>
      <c r="B702" t="s">
        <v>4</v>
      </c>
      <c r="C702" s="35" t="s">
        <v>355</v>
      </c>
      <c r="D702" t="s">
        <v>260</v>
      </c>
      <c r="E702" s="35" t="s">
        <v>355</v>
      </c>
      <c r="F702" s="29" t="s">
        <v>262</v>
      </c>
      <c r="G702" s="36">
        <v>12900</v>
      </c>
      <c r="H702" s="36">
        <v>77.400000000000006</v>
      </c>
    </row>
    <row r="703" spans="1:8">
      <c r="A703" s="62">
        <v>137748725081</v>
      </c>
      <c r="B703" t="s">
        <v>4</v>
      </c>
      <c r="C703" s="35" t="s">
        <v>360</v>
      </c>
      <c r="D703" t="s">
        <v>260</v>
      </c>
      <c r="E703" s="35" t="s">
        <v>360</v>
      </c>
      <c r="F703" s="29" t="s">
        <v>262</v>
      </c>
      <c r="G703" s="36">
        <v>18800</v>
      </c>
      <c r="H703" s="36">
        <v>112.8</v>
      </c>
    </row>
    <row r="704" spans="1:8">
      <c r="A704" s="62">
        <v>137748780603</v>
      </c>
      <c r="B704" t="s">
        <v>263</v>
      </c>
      <c r="C704" s="35" t="s">
        <v>360</v>
      </c>
      <c r="D704" t="s">
        <v>260</v>
      </c>
      <c r="E704" s="35" t="s">
        <v>360</v>
      </c>
      <c r="F704" s="29" t="s">
        <v>262</v>
      </c>
      <c r="G704" s="36">
        <v>20399</v>
      </c>
      <c r="H704" s="36">
        <v>122.39</v>
      </c>
    </row>
    <row r="705" spans="1:8">
      <c r="A705" s="62">
        <v>138387393028</v>
      </c>
      <c r="B705" t="s">
        <v>4</v>
      </c>
      <c r="C705" s="35" t="s">
        <v>360</v>
      </c>
      <c r="D705" t="s">
        <v>260</v>
      </c>
      <c r="E705" s="35" t="s">
        <v>360</v>
      </c>
      <c r="F705" s="29" t="s">
        <v>262</v>
      </c>
      <c r="G705" s="36">
        <v>34000</v>
      </c>
      <c r="H705" s="36">
        <v>204</v>
      </c>
    </row>
    <row r="706" spans="1:8">
      <c r="A706" s="62">
        <v>137729187113</v>
      </c>
      <c r="B706" t="s">
        <v>263</v>
      </c>
      <c r="C706" s="35" t="s">
        <v>355</v>
      </c>
      <c r="D706" t="s">
        <v>260</v>
      </c>
      <c r="E706" s="35" t="s">
        <v>355</v>
      </c>
      <c r="F706" s="29" t="s">
        <v>262</v>
      </c>
      <c r="G706" s="36">
        <v>14700</v>
      </c>
      <c r="H706" s="36">
        <v>88.2</v>
      </c>
    </row>
    <row r="707" spans="1:8">
      <c r="A707" s="62">
        <v>138370582356</v>
      </c>
      <c r="B707" t="s">
        <v>4</v>
      </c>
      <c r="C707" s="35" t="s">
        <v>355</v>
      </c>
      <c r="D707" t="s">
        <v>260</v>
      </c>
      <c r="E707" s="35" t="s">
        <v>355</v>
      </c>
      <c r="F707" s="29" t="s">
        <v>262</v>
      </c>
      <c r="G707" s="36">
        <v>8400</v>
      </c>
      <c r="H707" s="36">
        <v>50.4</v>
      </c>
    </row>
    <row r="708" spans="1:8">
      <c r="A708" s="62">
        <v>138371875180</v>
      </c>
      <c r="B708" t="s">
        <v>361</v>
      </c>
      <c r="C708" s="35" t="s">
        <v>355</v>
      </c>
      <c r="D708" t="s">
        <v>260</v>
      </c>
      <c r="E708" s="35" t="s">
        <v>355</v>
      </c>
      <c r="F708" s="29" t="s">
        <v>262</v>
      </c>
      <c r="G708" s="36">
        <v>2399</v>
      </c>
      <c r="H708" s="36">
        <v>14.39</v>
      </c>
    </row>
    <row r="709" spans="1:8">
      <c r="A709" s="62">
        <v>138376025552</v>
      </c>
      <c r="B709" t="s">
        <v>4</v>
      </c>
      <c r="C709" s="35" t="s">
        <v>355</v>
      </c>
      <c r="D709" t="s">
        <v>260</v>
      </c>
      <c r="E709" s="35" t="s">
        <v>355</v>
      </c>
      <c r="F709" s="29" t="s">
        <v>262</v>
      </c>
      <c r="G709" s="36">
        <v>27500</v>
      </c>
      <c r="H709" s="36">
        <v>165</v>
      </c>
    </row>
    <row r="710" spans="1:8">
      <c r="A710" s="62">
        <v>137738555625</v>
      </c>
      <c r="B710" t="s">
        <v>263</v>
      </c>
      <c r="C710" s="35" t="s">
        <v>355</v>
      </c>
      <c r="D710" t="s">
        <v>260</v>
      </c>
      <c r="E710" s="35" t="s">
        <v>355</v>
      </c>
      <c r="F710" s="29" t="s">
        <v>262</v>
      </c>
      <c r="G710" s="36">
        <v>4900</v>
      </c>
      <c r="H710" s="36">
        <v>29.4</v>
      </c>
    </row>
    <row r="711" spans="1:8">
      <c r="A711" s="62">
        <v>137739797245</v>
      </c>
      <c r="B711" t="s">
        <v>362</v>
      </c>
      <c r="C711" s="35" t="s">
        <v>355</v>
      </c>
      <c r="D711" t="s">
        <v>260</v>
      </c>
      <c r="E711" s="35" t="s">
        <v>355</v>
      </c>
      <c r="F711" s="29" t="s">
        <v>262</v>
      </c>
      <c r="G711" s="36">
        <v>6190</v>
      </c>
      <c r="H711" s="36">
        <v>37.14</v>
      </c>
    </row>
    <row r="712" spans="1:8">
      <c r="A712" s="62">
        <v>137739858471</v>
      </c>
      <c r="B712" t="s">
        <v>4</v>
      </c>
      <c r="C712" s="35" t="s">
        <v>355</v>
      </c>
      <c r="D712" t="s">
        <v>260</v>
      </c>
      <c r="E712" s="35" t="s">
        <v>355</v>
      </c>
      <c r="F712" s="29" t="s">
        <v>262</v>
      </c>
      <c r="G712" s="36">
        <v>61900</v>
      </c>
      <c r="H712" s="36">
        <v>371.4</v>
      </c>
    </row>
    <row r="713" spans="1:8">
      <c r="A713" s="62">
        <v>138378205560</v>
      </c>
      <c r="B713" t="s">
        <v>4</v>
      </c>
      <c r="C713" s="35" t="s">
        <v>355</v>
      </c>
      <c r="D713" t="s">
        <v>260</v>
      </c>
      <c r="E713" s="35" t="s">
        <v>355</v>
      </c>
      <c r="F713" s="29" t="s">
        <v>262</v>
      </c>
      <c r="G713" s="36">
        <v>4800</v>
      </c>
      <c r="H713" s="36">
        <v>28.8</v>
      </c>
    </row>
    <row r="714" spans="1:8">
      <c r="A714" s="62">
        <v>138378705392</v>
      </c>
      <c r="B714" t="s">
        <v>4</v>
      </c>
      <c r="C714" s="35" t="s">
        <v>355</v>
      </c>
      <c r="D714" t="s">
        <v>260</v>
      </c>
      <c r="E714" s="35" t="s">
        <v>355</v>
      </c>
      <c r="F714" s="29" t="s">
        <v>262</v>
      </c>
      <c r="G714" s="36">
        <v>46800</v>
      </c>
      <c r="H714" s="36">
        <v>280.8</v>
      </c>
    </row>
    <row r="715" spans="1:8">
      <c r="A715" s="62">
        <v>138379731852</v>
      </c>
      <c r="B715" t="s">
        <v>263</v>
      </c>
      <c r="C715" s="35" t="s">
        <v>355</v>
      </c>
      <c r="D715" t="s">
        <v>260</v>
      </c>
      <c r="E715" s="35" t="s">
        <v>355</v>
      </c>
      <c r="F715" s="29" t="s">
        <v>262</v>
      </c>
      <c r="G715" s="36">
        <v>40700</v>
      </c>
      <c r="H715" s="36">
        <v>244.2</v>
      </c>
    </row>
    <row r="716" spans="1:8">
      <c r="A716" s="62">
        <v>138380825924</v>
      </c>
      <c r="B716" t="s">
        <v>4</v>
      </c>
      <c r="C716" s="35" t="s">
        <v>355</v>
      </c>
      <c r="D716" t="s">
        <v>260</v>
      </c>
      <c r="E716" s="35" t="s">
        <v>360</v>
      </c>
      <c r="F716" s="29" t="s">
        <v>262</v>
      </c>
      <c r="G716" s="36">
        <v>45498</v>
      </c>
      <c r="H716" s="36">
        <v>272.99</v>
      </c>
    </row>
    <row r="717" spans="1:8">
      <c r="A717" s="62">
        <v>138381183046</v>
      </c>
      <c r="B717" t="s">
        <v>4</v>
      </c>
      <c r="C717" s="35" t="s">
        <v>355</v>
      </c>
      <c r="D717" t="s">
        <v>260</v>
      </c>
      <c r="E717" s="35" t="s">
        <v>360</v>
      </c>
      <c r="F717" s="29" t="s">
        <v>262</v>
      </c>
      <c r="G717" s="36">
        <v>4900</v>
      </c>
      <c r="H717" s="36">
        <v>29.4</v>
      </c>
    </row>
    <row r="718" spans="1:8">
      <c r="A718" s="62">
        <v>138382866740</v>
      </c>
      <c r="B718" t="s">
        <v>4</v>
      </c>
      <c r="C718" s="35" t="s">
        <v>355</v>
      </c>
      <c r="D718" t="s">
        <v>260</v>
      </c>
      <c r="E718" s="35" t="s">
        <v>360</v>
      </c>
      <c r="F718" s="29" t="s">
        <v>262</v>
      </c>
      <c r="G718" s="36">
        <v>33698</v>
      </c>
      <c r="H718" s="36">
        <v>202.19</v>
      </c>
    </row>
    <row r="719" spans="1:8">
      <c r="A719" s="62">
        <v>138386893506</v>
      </c>
      <c r="B719" t="s">
        <v>4</v>
      </c>
      <c r="C719" s="35" t="s">
        <v>360</v>
      </c>
      <c r="D719" t="s">
        <v>260</v>
      </c>
      <c r="E719" s="35" t="s">
        <v>360</v>
      </c>
      <c r="F719" s="29" t="s">
        <v>262</v>
      </c>
      <c r="G719" s="36">
        <v>19200</v>
      </c>
      <c r="H719" s="36">
        <v>115.2</v>
      </c>
    </row>
    <row r="720" spans="1:8">
      <c r="A720" s="62">
        <v>137748840969</v>
      </c>
      <c r="B720" t="s">
        <v>263</v>
      </c>
      <c r="C720" s="35" t="s">
        <v>360</v>
      </c>
      <c r="D720" t="s">
        <v>260</v>
      </c>
      <c r="E720" s="35" t="s">
        <v>360</v>
      </c>
      <c r="F720" s="29" t="s">
        <v>262</v>
      </c>
      <c r="G720" s="36">
        <v>18300</v>
      </c>
      <c r="H720" s="36">
        <v>109.8</v>
      </c>
    </row>
    <row r="721" spans="1:8">
      <c r="A721" s="62">
        <v>137866056777</v>
      </c>
      <c r="B721" t="s">
        <v>4</v>
      </c>
      <c r="C721" s="35" t="s">
        <v>360</v>
      </c>
      <c r="D721" t="s">
        <v>260</v>
      </c>
      <c r="E721" s="35" t="s">
        <v>360</v>
      </c>
      <c r="F721" s="29" t="s">
        <v>262</v>
      </c>
      <c r="G721" s="36">
        <v>14800</v>
      </c>
      <c r="H721" s="36">
        <v>88.8</v>
      </c>
    </row>
    <row r="722" spans="1:8">
      <c r="A722" s="62">
        <v>138506489490</v>
      </c>
      <c r="B722" t="s">
        <v>4</v>
      </c>
      <c r="C722" s="35" t="s">
        <v>360</v>
      </c>
      <c r="D722" t="s">
        <v>260</v>
      </c>
      <c r="E722" s="35" t="s">
        <v>360</v>
      </c>
      <c r="F722" s="29" t="s">
        <v>262</v>
      </c>
      <c r="G722" s="36">
        <v>5000</v>
      </c>
      <c r="H722" s="36">
        <v>30</v>
      </c>
    </row>
    <row r="723" spans="1:8">
      <c r="A723" s="62">
        <v>138507542274</v>
      </c>
      <c r="B723" t="s">
        <v>363</v>
      </c>
      <c r="C723" s="35" t="s">
        <v>360</v>
      </c>
      <c r="D723" t="s">
        <v>260</v>
      </c>
      <c r="E723" s="35" t="s">
        <v>360</v>
      </c>
      <c r="F723" s="29" t="s">
        <v>262</v>
      </c>
      <c r="G723" s="36">
        <v>1000</v>
      </c>
      <c r="H723" s="36">
        <v>6</v>
      </c>
    </row>
    <row r="724" spans="1:8">
      <c r="A724" s="62">
        <v>137875762085</v>
      </c>
      <c r="B724" t="s">
        <v>4</v>
      </c>
      <c r="C724" s="35" t="s">
        <v>360</v>
      </c>
      <c r="D724" t="s">
        <v>260</v>
      </c>
      <c r="E724" s="35" t="s">
        <v>360</v>
      </c>
      <c r="F724" s="29" t="s">
        <v>262</v>
      </c>
      <c r="G724" s="36">
        <v>10000</v>
      </c>
      <c r="H724" s="36">
        <v>60</v>
      </c>
    </row>
    <row r="725" spans="1:8">
      <c r="A725" s="62">
        <v>138515609406</v>
      </c>
      <c r="B725" t="s">
        <v>263</v>
      </c>
      <c r="C725" s="35" t="s">
        <v>360</v>
      </c>
      <c r="D725" t="s">
        <v>260</v>
      </c>
      <c r="E725" s="35" t="s">
        <v>360</v>
      </c>
      <c r="F725" s="29" t="s">
        <v>262</v>
      </c>
      <c r="G725" s="36">
        <v>21600</v>
      </c>
      <c r="H725" s="36">
        <v>129.6</v>
      </c>
    </row>
    <row r="726" spans="1:8">
      <c r="A726" s="62">
        <v>137881181395</v>
      </c>
      <c r="B726" t="s">
        <v>263</v>
      </c>
      <c r="C726" s="35" t="s">
        <v>360</v>
      </c>
      <c r="D726" t="s">
        <v>260</v>
      </c>
      <c r="E726" s="35" t="s">
        <v>360</v>
      </c>
      <c r="F726" s="29" t="s">
        <v>262</v>
      </c>
      <c r="G726" s="36">
        <v>26800</v>
      </c>
      <c r="H726" s="36">
        <v>160.80000000000001</v>
      </c>
    </row>
    <row r="727" spans="1:8">
      <c r="A727" s="62">
        <v>137881574967</v>
      </c>
      <c r="B727" t="s">
        <v>4</v>
      </c>
      <c r="C727" s="35" t="s">
        <v>360</v>
      </c>
      <c r="D727" t="s">
        <v>260</v>
      </c>
      <c r="E727" s="35" t="s">
        <v>360</v>
      </c>
      <c r="F727" s="29" t="s">
        <v>262</v>
      </c>
      <c r="G727" s="36">
        <v>5000</v>
      </c>
      <c r="H727" s="36">
        <v>30</v>
      </c>
    </row>
    <row r="728" spans="1:8">
      <c r="A728" s="62">
        <v>138521571152</v>
      </c>
      <c r="B728" t="s">
        <v>263</v>
      </c>
      <c r="C728" s="35" t="s">
        <v>360</v>
      </c>
      <c r="D728" t="s">
        <v>260</v>
      </c>
      <c r="E728" s="35" t="s">
        <v>360</v>
      </c>
      <c r="F728" s="29" t="s">
        <v>262</v>
      </c>
      <c r="G728" s="36">
        <v>8000</v>
      </c>
      <c r="H728" s="36">
        <v>48</v>
      </c>
    </row>
    <row r="729" spans="1:8">
      <c r="A729" s="62">
        <v>137883296031</v>
      </c>
      <c r="B729" t="s">
        <v>4</v>
      </c>
      <c r="C729" s="35" t="s">
        <v>360</v>
      </c>
      <c r="D729" t="s">
        <v>260</v>
      </c>
      <c r="E729" s="35" t="s">
        <v>360</v>
      </c>
      <c r="F729" s="29" t="s">
        <v>262</v>
      </c>
      <c r="G729" s="36">
        <v>15100</v>
      </c>
      <c r="H729" s="36">
        <v>90.6</v>
      </c>
    </row>
    <row r="730" spans="1:8">
      <c r="A730" s="62">
        <v>137883804495</v>
      </c>
      <c r="B730" t="s">
        <v>364</v>
      </c>
      <c r="C730" s="35" t="s">
        <v>360</v>
      </c>
      <c r="D730" t="s">
        <v>260</v>
      </c>
      <c r="E730" s="35" t="s">
        <v>360</v>
      </c>
      <c r="F730" s="29" t="s">
        <v>262</v>
      </c>
      <c r="G730" s="36">
        <v>375</v>
      </c>
      <c r="H730" s="36">
        <v>2.25</v>
      </c>
    </row>
    <row r="731" spans="1:8">
      <c r="A731" s="62">
        <v>138523156838</v>
      </c>
      <c r="B731" t="s">
        <v>4</v>
      </c>
      <c r="C731" s="35" t="s">
        <v>360</v>
      </c>
      <c r="D731" t="s">
        <v>260</v>
      </c>
      <c r="E731" s="35" t="s">
        <v>360</v>
      </c>
      <c r="F731" s="29" t="s">
        <v>262</v>
      </c>
      <c r="G731" s="36">
        <v>21900</v>
      </c>
      <c r="H731" s="36">
        <v>131.4</v>
      </c>
    </row>
    <row r="732" spans="1:8">
      <c r="A732" s="62">
        <v>138523835674</v>
      </c>
      <c r="B732" t="s">
        <v>4</v>
      </c>
      <c r="C732" s="35" t="s">
        <v>360</v>
      </c>
      <c r="D732" t="s">
        <v>260</v>
      </c>
      <c r="E732" s="35" t="s">
        <v>360</v>
      </c>
      <c r="F732" s="29" t="s">
        <v>262</v>
      </c>
      <c r="G732" s="36">
        <v>2500</v>
      </c>
      <c r="H732" s="36">
        <v>15</v>
      </c>
    </row>
    <row r="733" spans="1:8">
      <c r="A733" s="62">
        <v>137862760785</v>
      </c>
      <c r="B733" t="s">
        <v>4</v>
      </c>
      <c r="C733" s="35" t="s">
        <v>360</v>
      </c>
      <c r="D733" t="s">
        <v>260</v>
      </c>
      <c r="E733" s="35" t="s">
        <v>360</v>
      </c>
      <c r="F733" s="29" t="s">
        <v>262</v>
      </c>
      <c r="G733" s="36">
        <v>12500</v>
      </c>
      <c r="H733" s="36">
        <v>75</v>
      </c>
    </row>
    <row r="734" spans="1:8">
      <c r="A734" s="62">
        <v>137885651617</v>
      </c>
      <c r="B734" t="s">
        <v>4</v>
      </c>
      <c r="C734" s="35" t="s">
        <v>360</v>
      </c>
      <c r="D734" t="s">
        <v>260</v>
      </c>
      <c r="E734" s="35" t="s">
        <v>360</v>
      </c>
      <c r="F734" s="29" t="s">
        <v>262</v>
      </c>
      <c r="G734" s="36">
        <v>4900</v>
      </c>
      <c r="H734" s="36">
        <v>29.4</v>
      </c>
    </row>
    <row r="735" spans="1:8">
      <c r="A735" s="62">
        <v>138525332522</v>
      </c>
      <c r="B735" t="s">
        <v>4</v>
      </c>
      <c r="C735" s="35" t="s">
        <v>360</v>
      </c>
      <c r="D735" t="s">
        <v>260</v>
      </c>
      <c r="E735" s="35" t="s">
        <v>360</v>
      </c>
      <c r="F735" s="29" t="s">
        <v>262</v>
      </c>
      <c r="G735" s="36">
        <v>4800</v>
      </c>
      <c r="H735" s="36">
        <v>28.8</v>
      </c>
    </row>
    <row r="736" spans="1:8">
      <c r="A736" s="62">
        <v>138525274966</v>
      </c>
      <c r="B736" t="s">
        <v>4</v>
      </c>
      <c r="C736" s="35" t="s">
        <v>360</v>
      </c>
      <c r="D736" t="s">
        <v>260</v>
      </c>
      <c r="E736" s="35" t="s">
        <v>360</v>
      </c>
      <c r="F736" s="29" t="s">
        <v>262</v>
      </c>
      <c r="G736" s="36">
        <v>9600</v>
      </c>
      <c r="H736" s="36">
        <v>57.6</v>
      </c>
    </row>
    <row r="737" spans="1:8">
      <c r="A737" s="62">
        <v>138527208218</v>
      </c>
      <c r="B737" t="s">
        <v>4</v>
      </c>
      <c r="C737" s="35" t="s">
        <v>360</v>
      </c>
      <c r="D737" t="s">
        <v>260</v>
      </c>
      <c r="E737" s="35" t="s">
        <v>360</v>
      </c>
      <c r="F737" s="29" t="s">
        <v>262</v>
      </c>
      <c r="G737" s="36">
        <v>5000</v>
      </c>
      <c r="H737" s="36">
        <v>30</v>
      </c>
    </row>
    <row r="738" spans="1:8">
      <c r="A738" s="62">
        <v>137888265807</v>
      </c>
      <c r="B738" t="s">
        <v>4</v>
      </c>
      <c r="C738" s="35" t="s">
        <v>360</v>
      </c>
      <c r="D738" t="s">
        <v>260</v>
      </c>
      <c r="E738" s="35" t="s">
        <v>360</v>
      </c>
      <c r="F738" s="29" t="s">
        <v>262</v>
      </c>
      <c r="G738" s="36">
        <v>10000</v>
      </c>
      <c r="H738" s="36">
        <v>60</v>
      </c>
    </row>
    <row r="739" spans="1:8">
      <c r="A739" s="62">
        <v>138527881428</v>
      </c>
      <c r="B739" t="s">
        <v>4</v>
      </c>
      <c r="C739" s="35" t="s">
        <v>360</v>
      </c>
      <c r="D739" t="s">
        <v>260</v>
      </c>
      <c r="E739" s="35" t="s">
        <v>360</v>
      </c>
      <c r="F739" s="29" t="s">
        <v>262</v>
      </c>
      <c r="G739" s="36">
        <v>10000</v>
      </c>
      <c r="H739" s="36">
        <v>60</v>
      </c>
    </row>
    <row r="740" spans="1:8">
      <c r="A740" s="62">
        <v>138527945930</v>
      </c>
      <c r="B740" t="s">
        <v>4</v>
      </c>
      <c r="C740" s="35" t="s">
        <v>360</v>
      </c>
      <c r="D740" t="s">
        <v>260</v>
      </c>
      <c r="E740" s="35" t="s">
        <v>360</v>
      </c>
      <c r="F740" s="29" t="s">
        <v>262</v>
      </c>
      <c r="G740" s="36">
        <v>4800</v>
      </c>
      <c r="H740" s="36">
        <v>28.8</v>
      </c>
    </row>
    <row r="741" spans="1:8">
      <c r="A741" s="62">
        <v>138528055052</v>
      </c>
      <c r="B741" t="s">
        <v>4</v>
      </c>
      <c r="C741" s="35" t="s">
        <v>360</v>
      </c>
      <c r="D741" t="s">
        <v>260</v>
      </c>
      <c r="E741" s="35" t="s">
        <v>360</v>
      </c>
      <c r="F741" s="29" t="s">
        <v>262</v>
      </c>
      <c r="G741" s="36">
        <v>2400</v>
      </c>
      <c r="H741" s="36">
        <v>14.4</v>
      </c>
    </row>
    <row r="742" spans="1:8">
      <c r="A742" s="62">
        <v>138528213452</v>
      </c>
      <c r="B742" t="s">
        <v>4</v>
      </c>
      <c r="C742" s="35" t="s">
        <v>360</v>
      </c>
      <c r="D742" t="s">
        <v>260</v>
      </c>
      <c r="E742" s="35" t="s">
        <v>360</v>
      </c>
      <c r="F742" s="29" t="s">
        <v>262</v>
      </c>
      <c r="G742" s="36">
        <v>4800</v>
      </c>
      <c r="H742" s="36">
        <v>28.8</v>
      </c>
    </row>
    <row r="743" spans="1:8">
      <c r="A743" s="62">
        <v>138528194054</v>
      </c>
      <c r="B743" t="s">
        <v>4</v>
      </c>
      <c r="C743" s="35" t="s">
        <v>360</v>
      </c>
      <c r="D743" t="s">
        <v>260</v>
      </c>
      <c r="E743" s="35" t="s">
        <v>360</v>
      </c>
      <c r="F743" s="29" t="s">
        <v>262</v>
      </c>
      <c r="G743" s="36">
        <v>5000</v>
      </c>
      <c r="H743" s="36">
        <v>30</v>
      </c>
    </row>
    <row r="744" spans="1:8">
      <c r="A744" s="62">
        <v>138507536394</v>
      </c>
      <c r="B744" t="s">
        <v>4</v>
      </c>
      <c r="C744" s="35" t="s">
        <v>360</v>
      </c>
      <c r="D744" t="s">
        <v>260</v>
      </c>
      <c r="E744" s="35" t="s">
        <v>360</v>
      </c>
      <c r="F744" s="29" t="s">
        <v>262</v>
      </c>
      <c r="G744" s="36">
        <v>10000</v>
      </c>
      <c r="H744" s="36">
        <v>60</v>
      </c>
    </row>
    <row r="745" spans="1:8">
      <c r="A745" s="62">
        <v>137889879715</v>
      </c>
      <c r="B745" t="s">
        <v>4</v>
      </c>
      <c r="C745" s="35" t="s">
        <v>360</v>
      </c>
      <c r="D745" t="s">
        <v>260</v>
      </c>
      <c r="E745" s="35" t="s">
        <v>360</v>
      </c>
      <c r="F745" s="29" t="s">
        <v>262</v>
      </c>
      <c r="G745" s="36">
        <v>9800</v>
      </c>
      <c r="H745" s="36">
        <v>58.8</v>
      </c>
    </row>
    <row r="746" spans="1:8">
      <c r="A746" s="62">
        <v>137890291451</v>
      </c>
      <c r="B746" t="s">
        <v>4</v>
      </c>
      <c r="C746" s="35" t="s">
        <v>360</v>
      </c>
      <c r="D746" t="s">
        <v>260</v>
      </c>
      <c r="E746" s="35" t="s">
        <v>360</v>
      </c>
      <c r="F746" s="29" t="s">
        <v>262</v>
      </c>
      <c r="G746" s="36">
        <v>46100</v>
      </c>
      <c r="H746" s="36">
        <v>276.60000000000002</v>
      </c>
    </row>
    <row r="747" spans="1:8">
      <c r="A747" s="62">
        <v>138529603148</v>
      </c>
      <c r="B747" t="s">
        <v>263</v>
      </c>
      <c r="C747" s="35" t="s">
        <v>360</v>
      </c>
      <c r="D747" t="s">
        <v>260</v>
      </c>
      <c r="E747" s="35" t="s">
        <v>360</v>
      </c>
      <c r="F747" s="29" t="s">
        <v>262</v>
      </c>
      <c r="G747" s="36">
        <v>22900</v>
      </c>
      <c r="H747" s="36">
        <v>137.4</v>
      </c>
    </row>
    <row r="748" spans="1:8">
      <c r="A748" s="62">
        <v>138529709640</v>
      </c>
      <c r="B748" t="s">
        <v>263</v>
      </c>
      <c r="C748" s="35" t="s">
        <v>360</v>
      </c>
      <c r="D748" t="s">
        <v>260</v>
      </c>
      <c r="E748" s="35" t="s">
        <v>360</v>
      </c>
      <c r="F748" s="29" t="s">
        <v>262</v>
      </c>
      <c r="G748" s="36">
        <v>4800</v>
      </c>
      <c r="H748" s="36">
        <v>28.8</v>
      </c>
    </row>
    <row r="749" spans="1:8">
      <c r="A749" s="62">
        <v>138529964152</v>
      </c>
      <c r="B749" t="s">
        <v>4</v>
      </c>
      <c r="C749" s="35" t="s">
        <v>360</v>
      </c>
      <c r="D749" t="s">
        <v>260</v>
      </c>
      <c r="E749" s="35" t="s">
        <v>360</v>
      </c>
      <c r="F749" s="29" t="s">
        <v>262</v>
      </c>
      <c r="G749" s="36">
        <v>10000</v>
      </c>
      <c r="H749" s="36">
        <v>60</v>
      </c>
    </row>
    <row r="750" spans="1:8">
      <c r="A750" s="62">
        <v>137891309225</v>
      </c>
      <c r="B750" t="s">
        <v>4</v>
      </c>
      <c r="C750" s="35" t="s">
        <v>360</v>
      </c>
      <c r="D750" t="s">
        <v>260</v>
      </c>
      <c r="E750" s="35" t="s">
        <v>360</v>
      </c>
      <c r="F750" s="29" t="s">
        <v>262</v>
      </c>
      <c r="G750" s="36">
        <v>36600</v>
      </c>
      <c r="H750" s="36">
        <v>219.6</v>
      </c>
    </row>
    <row r="751" spans="1:8">
      <c r="A751" s="62">
        <v>137891544975</v>
      </c>
      <c r="B751" t="s">
        <v>4</v>
      </c>
      <c r="C751" s="35" t="s">
        <v>360</v>
      </c>
      <c r="D751" t="s">
        <v>260</v>
      </c>
      <c r="E751" s="35" t="s">
        <v>360</v>
      </c>
      <c r="F751" s="29" t="s">
        <v>262</v>
      </c>
      <c r="G751" s="36">
        <v>4800</v>
      </c>
      <c r="H751" s="36">
        <v>28.8</v>
      </c>
    </row>
    <row r="752" spans="1:8">
      <c r="A752" s="62">
        <v>137891966741</v>
      </c>
      <c r="B752" t="s">
        <v>4</v>
      </c>
      <c r="C752" s="35" t="s">
        <v>360</v>
      </c>
      <c r="D752" t="s">
        <v>260</v>
      </c>
      <c r="E752" s="35" t="s">
        <v>360</v>
      </c>
      <c r="F752" s="29" t="s">
        <v>262</v>
      </c>
      <c r="G752" s="36">
        <v>5000</v>
      </c>
      <c r="H752" s="36">
        <v>30</v>
      </c>
    </row>
    <row r="753" spans="1:8">
      <c r="A753" s="62">
        <v>138531301154</v>
      </c>
      <c r="B753" t="s">
        <v>4</v>
      </c>
      <c r="C753" s="35" t="s">
        <v>360</v>
      </c>
      <c r="D753" t="s">
        <v>260</v>
      </c>
      <c r="E753" s="35" t="s">
        <v>360</v>
      </c>
      <c r="F753" s="29" t="s">
        <v>262</v>
      </c>
      <c r="G753" s="36">
        <v>33000</v>
      </c>
      <c r="H753" s="36">
        <v>198</v>
      </c>
    </row>
    <row r="754" spans="1:8">
      <c r="A754" s="62">
        <v>138531468148</v>
      </c>
      <c r="B754" t="s">
        <v>4</v>
      </c>
      <c r="C754" s="35" t="s">
        <v>360</v>
      </c>
      <c r="D754" t="s">
        <v>260</v>
      </c>
      <c r="E754" s="35" t="s">
        <v>360</v>
      </c>
      <c r="F754" s="29" t="s">
        <v>262</v>
      </c>
      <c r="G754" s="36">
        <v>10300</v>
      </c>
      <c r="H754" s="36">
        <v>61.8</v>
      </c>
    </row>
    <row r="755" spans="1:8">
      <c r="A755" s="62">
        <v>138531411036</v>
      </c>
      <c r="B755" t="s">
        <v>4</v>
      </c>
      <c r="C755" s="35" t="s">
        <v>360</v>
      </c>
      <c r="D755" t="s">
        <v>260</v>
      </c>
      <c r="E755" s="35" t="s">
        <v>360</v>
      </c>
      <c r="F755" s="29" t="s">
        <v>262</v>
      </c>
      <c r="G755" s="36">
        <v>35950</v>
      </c>
      <c r="H755" s="36">
        <v>215.7</v>
      </c>
    </row>
    <row r="756" spans="1:8">
      <c r="A756" s="62">
        <v>137892927031</v>
      </c>
      <c r="B756" t="s">
        <v>4</v>
      </c>
      <c r="C756" s="35" t="s">
        <v>360</v>
      </c>
      <c r="D756" t="s">
        <v>260</v>
      </c>
      <c r="E756" s="35" t="s">
        <v>360</v>
      </c>
      <c r="F756" s="29" t="s">
        <v>262</v>
      </c>
      <c r="G756" s="36">
        <v>5000</v>
      </c>
      <c r="H756" s="36">
        <v>30</v>
      </c>
    </row>
    <row r="757" spans="1:8">
      <c r="A757" s="62">
        <v>138532396696</v>
      </c>
      <c r="B757" t="s">
        <v>4</v>
      </c>
      <c r="C757" s="35" t="s">
        <v>360</v>
      </c>
      <c r="D757" t="s">
        <v>260</v>
      </c>
      <c r="E757" s="35" t="s">
        <v>360</v>
      </c>
      <c r="F757" s="29" t="s">
        <v>262</v>
      </c>
      <c r="G757" s="36">
        <v>5000</v>
      </c>
      <c r="H757" s="36">
        <v>30</v>
      </c>
    </row>
    <row r="758" spans="1:8">
      <c r="A758" s="62">
        <v>138532436086</v>
      </c>
      <c r="B758" t="s">
        <v>263</v>
      </c>
      <c r="C758" s="35" t="s">
        <v>360</v>
      </c>
      <c r="D758" t="s">
        <v>260</v>
      </c>
      <c r="E758" s="35" t="s">
        <v>360</v>
      </c>
      <c r="F758" s="29" t="s">
        <v>262</v>
      </c>
      <c r="G758" s="36">
        <v>20200</v>
      </c>
      <c r="H758" s="36">
        <v>121.2</v>
      </c>
    </row>
    <row r="759" spans="1:8">
      <c r="A759" s="62">
        <v>138533495288</v>
      </c>
      <c r="B759" t="s">
        <v>4</v>
      </c>
      <c r="C759" s="35" t="s">
        <v>360</v>
      </c>
      <c r="D759" t="s">
        <v>260</v>
      </c>
      <c r="E759" s="35" t="s">
        <v>360</v>
      </c>
      <c r="F759" s="29" t="s">
        <v>262</v>
      </c>
      <c r="G759" s="36">
        <v>4800</v>
      </c>
      <c r="H759" s="36">
        <v>28.8</v>
      </c>
    </row>
    <row r="760" spans="1:8">
      <c r="A760" s="62">
        <v>137894549499</v>
      </c>
      <c r="B760" t="s">
        <v>4</v>
      </c>
      <c r="C760" s="35" t="s">
        <v>360</v>
      </c>
      <c r="D760" t="s">
        <v>260</v>
      </c>
      <c r="E760" s="35" t="s">
        <v>360</v>
      </c>
      <c r="F760" s="29" t="s">
        <v>262</v>
      </c>
      <c r="G760" s="36">
        <v>5000</v>
      </c>
      <c r="H760" s="36">
        <v>30</v>
      </c>
    </row>
    <row r="761" spans="1:8">
      <c r="A761" s="62">
        <v>138533691820</v>
      </c>
      <c r="B761" t="s">
        <v>365</v>
      </c>
      <c r="C761" s="35" t="s">
        <v>360</v>
      </c>
      <c r="D761" t="s">
        <v>260</v>
      </c>
      <c r="E761" s="35" t="s">
        <v>360</v>
      </c>
      <c r="F761" s="29" t="s">
        <v>262</v>
      </c>
      <c r="G761" s="36">
        <v>250</v>
      </c>
      <c r="H761" s="36">
        <v>1.5</v>
      </c>
    </row>
    <row r="762" spans="1:8">
      <c r="A762" s="62">
        <v>137894672723</v>
      </c>
      <c r="B762" t="s">
        <v>4</v>
      </c>
      <c r="C762" s="35" t="s">
        <v>360</v>
      </c>
      <c r="D762" t="s">
        <v>260</v>
      </c>
      <c r="E762" s="35" t="s">
        <v>360</v>
      </c>
      <c r="F762" s="29" t="s">
        <v>262</v>
      </c>
      <c r="G762" s="36">
        <v>15000</v>
      </c>
      <c r="H762" s="36">
        <v>90</v>
      </c>
    </row>
    <row r="763" spans="1:8">
      <c r="A763" s="62">
        <v>138533953280</v>
      </c>
      <c r="B763" t="s">
        <v>4</v>
      </c>
      <c r="C763" s="35" t="s">
        <v>360</v>
      </c>
      <c r="D763" t="s">
        <v>260</v>
      </c>
      <c r="E763" s="35" t="s">
        <v>360</v>
      </c>
      <c r="F763" s="29" t="s">
        <v>262</v>
      </c>
      <c r="G763" s="36">
        <v>25000</v>
      </c>
      <c r="H763" s="36">
        <v>150</v>
      </c>
    </row>
    <row r="764" spans="1:8">
      <c r="A764" s="62">
        <v>137894899763</v>
      </c>
      <c r="B764" t="s">
        <v>4</v>
      </c>
      <c r="C764" s="35" t="s">
        <v>360</v>
      </c>
      <c r="D764" t="s">
        <v>260</v>
      </c>
      <c r="E764" s="35" t="s">
        <v>360</v>
      </c>
      <c r="F764" s="29" t="s">
        <v>262</v>
      </c>
      <c r="G764" s="36">
        <v>5000</v>
      </c>
      <c r="H764" s="36">
        <v>30</v>
      </c>
    </row>
    <row r="765" spans="1:8">
      <c r="A765" s="62">
        <v>138534165884</v>
      </c>
      <c r="B765" t="s">
        <v>4</v>
      </c>
      <c r="C765" s="35" t="s">
        <v>360</v>
      </c>
      <c r="D765" t="s">
        <v>260</v>
      </c>
      <c r="E765" s="35" t="s">
        <v>360</v>
      </c>
      <c r="F765" s="29" t="s">
        <v>262</v>
      </c>
      <c r="G765" s="36">
        <v>4800</v>
      </c>
      <c r="H765" s="36">
        <v>28.8</v>
      </c>
    </row>
    <row r="766" spans="1:8">
      <c r="A766" s="62">
        <v>138534343360</v>
      </c>
      <c r="B766" t="s">
        <v>4</v>
      </c>
      <c r="C766" s="35" t="s">
        <v>360</v>
      </c>
      <c r="D766" t="s">
        <v>260</v>
      </c>
      <c r="E766" s="35" t="s">
        <v>360</v>
      </c>
      <c r="F766" s="29" t="s">
        <v>262</v>
      </c>
      <c r="G766" s="36">
        <v>4800</v>
      </c>
      <c r="H766" s="36">
        <v>28.8</v>
      </c>
    </row>
    <row r="767" spans="1:8">
      <c r="A767" s="62">
        <v>138534337942</v>
      </c>
      <c r="B767" t="s">
        <v>4</v>
      </c>
      <c r="C767" s="35" t="s">
        <v>360</v>
      </c>
      <c r="D767" t="s">
        <v>260</v>
      </c>
      <c r="E767" s="35" t="s">
        <v>360</v>
      </c>
      <c r="F767" s="29" t="s">
        <v>262</v>
      </c>
      <c r="G767" s="36">
        <v>7500</v>
      </c>
      <c r="H767" s="36">
        <v>45</v>
      </c>
    </row>
    <row r="768" spans="1:8">
      <c r="A768" s="62">
        <v>138534793054</v>
      </c>
      <c r="B768" t="s">
        <v>4</v>
      </c>
      <c r="C768" s="35" t="s">
        <v>360</v>
      </c>
      <c r="D768" t="s">
        <v>260</v>
      </c>
      <c r="E768" s="35" t="s">
        <v>360</v>
      </c>
      <c r="F768" s="29" t="s">
        <v>262</v>
      </c>
      <c r="G768" s="36">
        <v>11000</v>
      </c>
      <c r="H768" s="36">
        <v>66</v>
      </c>
    </row>
    <row r="769" spans="1:8">
      <c r="A769" s="62">
        <v>137895836485</v>
      </c>
      <c r="B769" t="s">
        <v>4</v>
      </c>
      <c r="C769" s="35" t="s">
        <v>360</v>
      </c>
      <c r="D769" t="s">
        <v>260</v>
      </c>
      <c r="E769" s="35" t="s">
        <v>360</v>
      </c>
      <c r="F769" s="29" t="s">
        <v>262</v>
      </c>
      <c r="G769" s="36">
        <v>5000</v>
      </c>
      <c r="H769" s="36">
        <v>30</v>
      </c>
    </row>
    <row r="770" spans="1:8">
      <c r="A770" s="62">
        <v>138534996160</v>
      </c>
      <c r="B770" t="s">
        <v>4</v>
      </c>
      <c r="C770" s="35" t="s">
        <v>360</v>
      </c>
      <c r="D770" t="s">
        <v>260</v>
      </c>
      <c r="E770" s="35" t="s">
        <v>360</v>
      </c>
      <c r="F770" s="29" t="s">
        <v>262</v>
      </c>
      <c r="G770" s="36">
        <v>5000</v>
      </c>
      <c r="H770" s="36">
        <v>30</v>
      </c>
    </row>
    <row r="771" spans="1:8">
      <c r="A771" s="62">
        <v>138534987942</v>
      </c>
      <c r="B771" t="s">
        <v>366</v>
      </c>
      <c r="C771" s="35" t="s">
        <v>360</v>
      </c>
      <c r="D771" t="s">
        <v>260</v>
      </c>
      <c r="E771" s="35" t="s">
        <v>360</v>
      </c>
      <c r="F771" s="29" t="s">
        <v>262</v>
      </c>
      <c r="G771" s="36">
        <v>250</v>
      </c>
      <c r="H771" s="36">
        <v>1.5</v>
      </c>
    </row>
    <row r="772" spans="1:8">
      <c r="A772" s="62">
        <v>138535116146</v>
      </c>
      <c r="B772" t="s">
        <v>4</v>
      </c>
      <c r="C772" s="35" t="s">
        <v>360</v>
      </c>
      <c r="D772" t="s">
        <v>260</v>
      </c>
      <c r="E772" s="35" t="s">
        <v>360</v>
      </c>
      <c r="F772" s="29" t="s">
        <v>262</v>
      </c>
      <c r="G772" s="36">
        <v>5000</v>
      </c>
      <c r="H772" s="36">
        <v>30</v>
      </c>
    </row>
    <row r="773" spans="1:8">
      <c r="A773" s="62">
        <v>138535089536</v>
      </c>
      <c r="B773" t="s">
        <v>4</v>
      </c>
      <c r="C773" s="35" t="s">
        <v>360</v>
      </c>
      <c r="D773" t="s">
        <v>260</v>
      </c>
      <c r="E773" s="35" t="s">
        <v>360</v>
      </c>
      <c r="F773" s="29" t="s">
        <v>262</v>
      </c>
      <c r="G773" s="36">
        <v>15900</v>
      </c>
      <c r="H773" s="36">
        <v>95.4</v>
      </c>
    </row>
    <row r="774" spans="1:8">
      <c r="A774" s="62">
        <v>137896094497</v>
      </c>
      <c r="B774" t="s">
        <v>4</v>
      </c>
      <c r="C774" s="35" t="s">
        <v>360</v>
      </c>
      <c r="D774" t="s">
        <v>260</v>
      </c>
      <c r="E774" s="35" t="s">
        <v>360</v>
      </c>
      <c r="F774" s="29" t="s">
        <v>262</v>
      </c>
      <c r="G774" s="36">
        <v>10000</v>
      </c>
      <c r="H774" s="36">
        <v>60</v>
      </c>
    </row>
    <row r="775" spans="1:8">
      <c r="A775" s="62">
        <v>138535507900</v>
      </c>
      <c r="B775" t="s">
        <v>4</v>
      </c>
      <c r="C775" s="35" t="s">
        <v>360</v>
      </c>
      <c r="D775" t="s">
        <v>260</v>
      </c>
      <c r="E775" s="35" t="s">
        <v>367</v>
      </c>
      <c r="F775" s="29" t="s">
        <v>262</v>
      </c>
      <c r="G775" s="36">
        <v>5000</v>
      </c>
      <c r="H775" s="36">
        <v>30</v>
      </c>
    </row>
    <row r="776" spans="1:8">
      <c r="A776" s="62">
        <v>138535920782</v>
      </c>
      <c r="B776" t="s">
        <v>4</v>
      </c>
      <c r="C776" s="35" t="s">
        <v>360</v>
      </c>
      <c r="D776" t="s">
        <v>260</v>
      </c>
      <c r="E776" s="35" t="s">
        <v>367</v>
      </c>
      <c r="F776" s="29" t="s">
        <v>262</v>
      </c>
      <c r="G776" s="36">
        <v>15000</v>
      </c>
      <c r="H776" s="36">
        <v>90</v>
      </c>
    </row>
    <row r="777" spans="1:8">
      <c r="A777" s="62">
        <v>137896807477</v>
      </c>
      <c r="B777" t="s">
        <v>263</v>
      </c>
      <c r="C777" s="35" t="s">
        <v>360</v>
      </c>
      <c r="D777" t="s">
        <v>260</v>
      </c>
      <c r="E777" s="35" t="s">
        <v>367</v>
      </c>
      <c r="F777" s="29" t="s">
        <v>262</v>
      </c>
      <c r="G777" s="36">
        <v>9600</v>
      </c>
      <c r="H777" s="36">
        <v>57.6</v>
      </c>
    </row>
    <row r="778" spans="1:8">
      <c r="A778" s="62">
        <v>137896861447</v>
      </c>
      <c r="B778" t="s">
        <v>4</v>
      </c>
      <c r="C778" s="35" t="s">
        <v>360</v>
      </c>
      <c r="D778" t="s">
        <v>260</v>
      </c>
      <c r="E778" s="35" t="s">
        <v>367</v>
      </c>
      <c r="F778" s="29" t="s">
        <v>262</v>
      </c>
      <c r="G778" s="36">
        <v>4900</v>
      </c>
      <c r="H778" s="36">
        <v>29.4</v>
      </c>
    </row>
    <row r="779" spans="1:8">
      <c r="A779" s="62">
        <v>137896955087</v>
      </c>
      <c r="B779" t="s">
        <v>4</v>
      </c>
      <c r="C779" s="35" t="s">
        <v>360</v>
      </c>
      <c r="D779" t="s">
        <v>260</v>
      </c>
      <c r="E779" s="35" t="s">
        <v>367</v>
      </c>
      <c r="F779" s="29" t="s">
        <v>262</v>
      </c>
      <c r="G779" s="36">
        <v>44000</v>
      </c>
      <c r="H779" s="36">
        <v>264</v>
      </c>
    </row>
    <row r="780" spans="1:8">
      <c r="A780" s="62">
        <v>138536070026</v>
      </c>
      <c r="B780" t="s">
        <v>4</v>
      </c>
      <c r="C780" s="35" t="s">
        <v>360</v>
      </c>
      <c r="D780" t="s">
        <v>260</v>
      </c>
      <c r="E780" s="35" t="s">
        <v>367</v>
      </c>
      <c r="F780" s="29" t="s">
        <v>262</v>
      </c>
      <c r="G780" s="36">
        <v>29400</v>
      </c>
      <c r="H780" s="36">
        <v>176.4</v>
      </c>
    </row>
    <row r="781" spans="1:8">
      <c r="A781" s="62">
        <v>138536451722</v>
      </c>
      <c r="B781" t="s">
        <v>4</v>
      </c>
      <c r="C781" s="35" t="s">
        <v>360</v>
      </c>
      <c r="D781" t="s">
        <v>260</v>
      </c>
      <c r="E781" s="35" t="s">
        <v>367</v>
      </c>
      <c r="F781" s="29" t="s">
        <v>262</v>
      </c>
      <c r="G781" s="36">
        <v>5000</v>
      </c>
      <c r="H781" s="36">
        <v>30</v>
      </c>
    </row>
    <row r="782" spans="1:8">
      <c r="A782" s="62">
        <v>138536523088</v>
      </c>
      <c r="B782" t="s">
        <v>4</v>
      </c>
      <c r="C782" s="35" t="s">
        <v>360</v>
      </c>
      <c r="D782" t="s">
        <v>260</v>
      </c>
      <c r="E782" s="35" t="s">
        <v>367</v>
      </c>
      <c r="F782" s="29" t="s">
        <v>262</v>
      </c>
      <c r="G782" s="36">
        <v>78900</v>
      </c>
      <c r="H782" s="36">
        <v>473.4</v>
      </c>
    </row>
    <row r="783" spans="1:8">
      <c r="A783" s="62">
        <v>138536531052</v>
      </c>
      <c r="B783" t="s">
        <v>368</v>
      </c>
      <c r="C783" s="35" t="s">
        <v>360</v>
      </c>
      <c r="D783" t="s">
        <v>260</v>
      </c>
      <c r="E783" s="35" t="s">
        <v>367</v>
      </c>
      <c r="F783" s="29" t="s">
        <v>262</v>
      </c>
      <c r="G783" s="36">
        <v>3945</v>
      </c>
      <c r="H783" s="36">
        <v>23.67</v>
      </c>
    </row>
    <row r="784" spans="1:8">
      <c r="A784" s="62">
        <v>138536523820</v>
      </c>
      <c r="B784" t="s">
        <v>4</v>
      </c>
      <c r="C784" s="35" t="s">
        <v>360</v>
      </c>
      <c r="D784" t="s">
        <v>260</v>
      </c>
      <c r="E784" s="35" t="s">
        <v>367</v>
      </c>
      <c r="F784" s="29" t="s">
        <v>262</v>
      </c>
      <c r="G784" s="36">
        <v>77800</v>
      </c>
      <c r="H784" s="36">
        <v>466.8</v>
      </c>
    </row>
    <row r="785" spans="1:8">
      <c r="A785" s="62">
        <v>138536945536</v>
      </c>
      <c r="B785" t="s">
        <v>4</v>
      </c>
      <c r="C785" s="35" t="s">
        <v>360</v>
      </c>
      <c r="D785" t="s">
        <v>260</v>
      </c>
      <c r="E785" s="35" t="s">
        <v>367</v>
      </c>
      <c r="F785" s="29" t="s">
        <v>262</v>
      </c>
      <c r="G785" s="36">
        <v>4800</v>
      </c>
      <c r="H785" s="36">
        <v>28.8</v>
      </c>
    </row>
    <row r="786" spans="1:8">
      <c r="A786" s="62">
        <v>138537038742</v>
      </c>
      <c r="B786" t="s">
        <v>4</v>
      </c>
      <c r="C786" s="35" t="s">
        <v>360</v>
      </c>
      <c r="D786" t="s">
        <v>260</v>
      </c>
      <c r="E786" s="35" t="s">
        <v>367</v>
      </c>
      <c r="F786" s="29" t="s">
        <v>262</v>
      </c>
      <c r="G786" s="36">
        <v>4900</v>
      </c>
      <c r="H786" s="36">
        <v>29.4</v>
      </c>
    </row>
    <row r="787" spans="1:8">
      <c r="A787" s="62">
        <v>137897957069</v>
      </c>
      <c r="B787" t="s">
        <v>4</v>
      </c>
      <c r="C787" s="35" t="s">
        <v>360</v>
      </c>
      <c r="D787" t="s">
        <v>260</v>
      </c>
      <c r="E787" s="35" t="s">
        <v>367</v>
      </c>
      <c r="F787" s="29" t="s">
        <v>262</v>
      </c>
      <c r="G787" s="36">
        <v>4800</v>
      </c>
      <c r="H787" s="36">
        <v>28.8</v>
      </c>
    </row>
    <row r="788" spans="1:8">
      <c r="A788" s="62">
        <v>138537157486</v>
      </c>
      <c r="B788" t="s">
        <v>4</v>
      </c>
      <c r="C788" s="35" t="s">
        <v>360</v>
      </c>
      <c r="D788" t="s">
        <v>260</v>
      </c>
      <c r="E788" s="35" t="s">
        <v>367</v>
      </c>
      <c r="F788" s="29" t="s">
        <v>262</v>
      </c>
      <c r="G788" s="36">
        <v>4800</v>
      </c>
      <c r="H788" s="36">
        <v>28.8</v>
      </c>
    </row>
    <row r="789" spans="1:8">
      <c r="A789" s="62">
        <v>137898141923</v>
      </c>
      <c r="B789" t="s">
        <v>4</v>
      </c>
      <c r="C789" s="35" t="s">
        <v>360</v>
      </c>
      <c r="D789" t="s">
        <v>260</v>
      </c>
      <c r="E789" s="35" t="s">
        <v>367</v>
      </c>
      <c r="F789" s="29" t="s">
        <v>262</v>
      </c>
      <c r="G789" s="36">
        <v>4800</v>
      </c>
      <c r="H789" s="36">
        <v>28.8</v>
      </c>
    </row>
    <row r="790" spans="1:8">
      <c r="A790" s="62">
        <v>138537549358</v>
      </c>
      <c r="B790" t="s">
        <v>4</v>
      </c>
      <c r="C790" s="35" t="s">
        <v>360</v>
      </c>
      <c r="D790" t="s">
        <v>260</v>
      </c>
      <c r="E790" s="35" t="s">
        <v>367</v>
      </c>
      <c r="F790" s="29" t="s">
        <v>262</v>
      </c>
      <c r="G790" s="36">
        <v>5000</v>
      </c>
      <c r="H790" s="36">
        <v>30</v>
      </c>
    </row>
    <row r="791" spans="1:8">
      <c r="A791" s="62">
        <v>137898470195</v>
      </c>
      <c r="B791" t="s">
        <v>4</v>
      </c>
      <c r="C791" s="35" t="s">
        <v>360</v>
      </c>
      <c r="D791" t="s">
        <v>260</v>
      </c>
      <c r="E791" s="35" t="s">
        <v>367</v>
      </c>
      <c r="F791" s="29" t="s">
        <v>262</v>
      </c>
      <c r="G791" s="36">
        <v>10000</v>
      </c>
      <c r="H791" s="36">
        <v>60</v>
      </c>
    </row>
    <row r="792" spans="1:8">
      <c r="A792" s="62">
        <v>137898435063</v>
      </c>
      <c r="B792" t="s">
        <v>369</v>
      </c>
      <c r="C792" s="35" t="s">
        <v>360</v>
      </c>
      <c r="D792" t="s">
        <v>260</v>
      </c>
      <c r="E792" s="35" t="s">
        <v>367</v>
      </c>
      <c r="F792" s="29" t="s">
        <v>262</v>
      </c>
      <c r="G792" s="36">
        <v>250</v>
      </c>
      <c r="H792" s="36">
        <v>1.5</v>
      </c>
    </row>
    <row r="793" spans="1:8">
      <c r="A793" s="62">
        <v>138538294534</v>
      </c>
      <c r="B793" t="s">
        <v>4</v>
      </c>
      <c r="C793" s="35" t="s">
        <v>360</v>
      </c>
      <c r="D793" t="s">
        <v>260</v>
      </c>
      <c r="E793" s="35" t="s">
        <v>367</v>
      </c>
      <c r="F793" s="29" t="s">
        <v>262</v>
      </c>
      <c r="G793" s="36">
        <v>10000</v>
      </c>
      <c r="H793" s="36">
        <v>60</v>
      </c>
    </row>
    <row r="794" spans="1:8">
      <c r="A794" s="62">
        <v>138538371730</v>
      </c>
      <c r="B794" t="s">
        <v>4</v>
      </c>
      <c r="C794" s="35" t="s">
        <v>360</v>
      </c>
      <c r="D794" t="s">
        <v>260</v>
      </c>
      <c r="E794" s="35" t="s">
        <v>367</v>
      </c>
      <c r="F794" s="29" t="s">
        <v>262</v>
      </c>
      <c r="G794" s="36">
        <v>10000</v>
      </c>
      <c r="H794" s="36">
        <v>60</v>
      </c>
    </row>
    <row r="795" spans="1:8">
      <c r="A795" s="62">
        <v>138538409638</v>
      </c>
      <c r="B795" t="s">
        <v>263</v>
      </c>
      <c r="C795" s="35" t="s">
        <v>360</v>
      </c>
      <c r="D795" t="s">
        <v>260</v>
      </c>
      <c r="E795" s="35" t="s">
        <v>367</v>
      </c>
      <c r="F795" s="29" t="s">
        <v>262</v>
      </c>
      <c r="G795" s="36">
        <v>75700</v>
      </c>
      <c r="H795" s="36">
        <v>454.2</v>
      </c>
    </row>
    <row r="796" spans="1:8">
      <c r="A796" s="62">
        <v>138538764448</v>
      </c>
      <c r="B796" t="s">
        <v>4</v>
      </c>
      <c r="C796" s="35" t="s">
        <v>360</v>
      </c>
      <c r="D796" t="s">
        <v>260</v>
      </c>
      <c r="E796" s="35" t="s">
        <v>367</v>
      </c>
      <c r="F796" s="29" t="s">
        <v>262</v>
      </c>
      <c r="G796" s="36">
        <v>21700</v>
      </c>
      <c r="H796" s="36">
        <v>130.19999999999999</v>
      </c>
    </row>
    <row r="797" spans="1:8">
      <c r="A797" s="62">
        <v>138538877614</v>
      </c>
      <c r="B797" t="s">
        <v>4</v>
      </c>
      <c r="C797" s="35" t="s">
        <v>360</v>
      </c>
      <c r="D797" t="s">
        <v>260</v>
      </c>
      <c r="E797" s="35" t="s">
        <v>367</v>
      </c>
      <c r="F797" s="29" t="s">
        <v>262</v>
      </c>
      <c r="G797" s="36">
        <v>9700</v>
      </c>
      <c r="H797" s="36">
        <v>58.2</v>
      </c>
    </row>
    <row r="798" spans="1:8">
      <c r="A798" s="62">
        <v>137878494033</v>
      </c>
      <c r="B798" t="s">
        <v>4</v>
      </c>
      <c r="C798" s="35" t="s">
        <v>360</v>
      </c>
      <c r="D798" t="s">
        <v>260</v>
      </c>
      <c r="E798" s="35" t="s">
        <v>360</v>
      </c>
      <c r="F798" s="29" t="s">
        <v>262</v>
      </c>
      <c r="G798" s="36">
        <v>5500</v>
      </c>
      <c r="H798" s="36">
        <v>33</v>
      </c>
    </row>
    <row r="799" spans="1:8">
      <c r="A799" s="62">
        <v>137900124225</v>
      </c>
      <c r="B799" t="s">
        <v>4</v>
      </c>
      <c r="C799" s="35" t="s">
        <v>360</v>
      </c>
      <c r="D799" t="s">
        <v>260</v>
      </c>
      <c r="E799" s="35" t="s">
        <v>367</v>
      </c>
      <c r="F799" s="29" t="s">
        <v>262</v>
      </c>
      <c r="G799" s="36">
        <v>4800</v>
      </c>
      <c r="H799" s="36">
        <v>28.8</v>
      </c>
    </row>
    <row r="800" spans="1:8">
      <c r="A800" s="62">
        <v>137899983959</v>
      </c>
      <c r="B800" t="s">
        <v>4</v>
      </c>
      <c r="C800" s="35" t="s">
        <v>360</v>
      </c>
      <c r="D800" t="s">
        <v>260</v>
      </c>
      <c r="E800" s="35" t="s">
        <v>367</v>
      </c>
      <c r="F800" s="29" t="s">
        <v>262</v>
      </c>
      <c r="G800" s="36">
        <v>67700</v>
      </c>
      <c r="H800" s="36">
        <v>406.2</v>
      </c>
    </row>
    <row r="801" spans="1:8">
      <c r="A801" s="62">
        <v>137900051953</v>
      </c>
      <c r="B801" t="s">
        <v>4</v>
      </c>
      <c r="C801" s="35" t="s">
        <v>360</v>
      </c>
      <c r="D801" t="s">
        <v>260</v>
      </c>
      <c r="E801" s="35" t="s">
        <v>367</v>
      </c>
      <c r="F801" s="29" t="s">
        <v>262</v>
      </c>
      <c r="G801" s="36">
        <v>5000</v>
      </c>
      <c r="H801" s="36">
        <v>30</v>
      </c>
    </row>
    <row r="802" spans="1:8">
      <c r="A802" s="62">
        <v>138539450730</v>
      </c>
      <c r="B802" t="s">
        <v>4</v>
      </c>
      <c r="C802" s="35" t="s">
        <v>360</v>
      </c>
      <c r="D802" t="s">
        <v>260</v>
      </c>
      <c r="E802" s="35" t="s">
        <v>367</v>
      </c>
      <c r="F802" s="29" t="s">
        <v>262</v>
      </c>
      <c r="G802" s="36">
        <v>11000</v>
      </c>
      <c r="H802" s="36">
        <v>66</v>
      </c>
    </row>
    <row r="803" spans="1:8">
      <c r="A803" s="62">
        <v>137900480563</v>
      </c>
      <c r="B803" t="s">
        <v>4</v>
      </c>
      <c r="C803" s="35" t="s">
        <v>367</v>
      </c>
      <c r="D803" t="s">
        <v>260</v>
      </c>
      <c r="E803" s="35" t="s">
        <v>367</v>
      </c>
      <c r="F803" s="29" t="s">
        <v>262</v>
      </c>
      <c r="G803" s="36">
        <v>2400</v>
      </c>
      <c r="H803" s="36">
        <v>14.4</v>
      </c>
    </row>
    <row r="804" spans="1:8">
      <c r="A804" s="62">
        <v>138539540062</v>
      </c>
      <c r="B804" t="s">
        <v>4</v>
      </c>
      <c r="C804" s="35" t="s">
        <v>367</v>
      </c>
      <c r="D804" t="s">
        <v>260</v>
      </c>
      <c r="E804" s="35" t="s">
        <v>367</v>
      </c>
      <c r="F804" s="29" t="s">
        <v>262</v>
      </c>
      <c r="G804" s="36">
        <v>4900</v>
      </c>
      <c r="H804" s="36">
        <v>29.4</v>
      </c>
    </row>
    <row r="805" spans="1:8">
      <c r="A805" s="62">
        <v>138539639336</v>
      </c>
      <c r="B805" t="s">
        <v>4</v>
      </c>
      <c r="C805" s="35" t="s">
        <v>367</v>
      </c>
      <c r="D805" t="s">
        <v>260</v>
      </c>
      <c r="E805" s="35" t="s">
        <v>367</v>
      </c>
      <c r="F805" s="29" t="s">
        <v>262</v>
      </c>
      <c r="G805" s="36">
        <v>89200</v>
      </c>
      <c r="H805" s="36">
        <v>535.20000000000005</v>
      </c>
    </row>
    <row r="806" spans="1:8">
      <c r="A806" s="62">
        <v>137900568985</v>
      </c>
      <c r="B806" t="s">
        <v>4</v>
      </c>
      <c r="C806" s="35" t="s">
        <v>367</v>
      </c>
      <c r="D806" t="s">
        <v>260</v>
      </c>
      <c r="E806" s="35" t="s">
        <v>367</v>
      </c>
      <c r="F806" s="29" t="s">
        <v>262</v>
      </c>
      <c r="G806" s="36">
        <v>14900</v>
      </c>
      <c r="H806" s="36">
        <v>89.4</v>
      </c>
    </row>
    <row r="807" spans="1:8">
      <c r="A807" s="62">
        <v>138539685694</v>
      </c>
      <c r="B807" t="s">
        <v>4</v>
      </c>
      <c r="C807" s="35" t="s">
        <v>367</v>
      </c>
      <c r="D807" t="s">
        <v>260</v>
      </c>
      <c r="E807" s="35" t="s">
        <v>367</v>
      </c>
      <c r="F807" s="29" t="s">
        <v>262</v>
      </c>
      <c r="G807" s="36">
        <v>4900</v>
      </c>
      <c r="H807" s="36">
        <v>29.4</v>
      </c>
    </row>
    <row r="808" spans="1:8">
      <c r="A808" s="62">
        <v>137879551043</v>
      </c>
      <c r="B808" t="s">
        <v>263</v>
      </c>
      <c r="C808" s="35" t="s">
        <v>360</v>
      </c>
      <c r="D808" t="s">
        <v>260</v>
      </c>
      <c r="E808" s="35" t="s">
        <v>360</v>
      </c>
      <c r="F808" s="29" t="s">
        <v>262</v>
      </c>
      <c r="G808" s="36">
        <v>5000</v>
      </c>
      <c r="H808" s="36">
        <v>30</v>
      </c>
    </row>
    <row r="809" spans="1:8">
      <c r="A809" s="62">
        <v>137900842553</v>
      </c>
      <c r="B809" t="s">
        <v>4</v>
      </c>
      <c r="C809" s="35" t="s">
        <v>367</v>
      </c>
      <c r="D809" t="s">
        <v>260</v>
      </c>
      <c r="E809" s="35" t="s">
        <v>367</v>
      </c>
      <c r="F809" s="29" t="s">
        <v>262</v>
      </c>
      <c r="G809" s="36">
        <v>11900</v>
      </c>
      <c r="H809" s="36">
        <v>71.400000000000006</v>
      </c>
    </row>
    <row r="810" spans="1:8">
      <c r="A810" s="62">
        <v>138540024370</v>
      </c>
      <c r="B810" t="s">
        <v>370</v>
      </c>
      <c r="C810" s="35" t="s">
        <v>367</v>
      </c>
      <c r="D810" t="s">
        <v>260</v>
      </c>
      <c r="E810" s="35" t="s">
        <v>367</v>
      </c>
      <c r="F810" s="29" t="s">
        <v>262</v>
      </c>
      <c r="G810" s="36">
        <v>595</v>
      </c>
      <c r="H810" s="36">
        <v>3.57</v>
      </c>
    </row>
    <row r="811" spans="1:8">
      <c r="A811" s="62">
        <v>137901100913</v>
      </c>
      <c r="B811" t="s">
        <v>4</v>
      </c>
      <c r="C811" s="35" t="s">
        <v>367</v>
      </c>
      <c r="D811" t="s">
        <v>260</v>
      </c>
      <c r="E811" s="35" t="s">
        <v>367</v>
      </c>
      <c r="F811" s="29" t="s">
        <v>262</v>
      </c>
      <c r="G811" s="36">
        <v>4800</v>
      </c>
      <c r="H811" s="36">
        <v>28.8</v>
      </c>
    </row>
    <row r="812" spans="1:8">
      <c r="A812" s="62">
        <v>138540271020</v>
      </c>
      <c r="B812" t="s">
        <v>4</v>
      </c>
      <c r="C812" s="35" t="s">
        <v>367</v>
      </c>
      <c r="D812" t="s">
        <v>260</v>
      </c>
      <c r="E812" s="35" t="s">
        <v>367</v>
      </c>
      <c r="F812" s="29" t="s">
        <v>262</v>
      </c>
      <c r="G812" s="36">
        <v>19700</v>
      </c>
      <c r="H812" s="36">
        <v>118.2</v>
      </c>
    </row>
    <row r="813" spans="1:8">
      <c r="A813" s="62">
        <v>138540490748</v>
      </c>
      <c r="B813" t="s">
        <v>263</v>
      </c>
      <c r="C813" s="35" t="s">
        <v>367</v>
      </c>
      <c r="D813" t="s">
        <v>260</v>
      </c>
      <c r="E813" s="35" t="s">
        <v>367</v>
      </c>
      <c r="F813" s="29" t="s">
        <v>262</v>
      </c>
      <c r="G813" s="36">
        <v>2500</v>
      </c>
      <c r="H813" s="36">
        <v>15</v>
      </c>
    </row>
    <row r="814" spans="1:8">
      <c r="A814" s="62">
        <v>138540544612</v>
      </c>
      <c r="B814" t="s">
        <v>4</v>
      </c>
      <c r="C814" s="35" t="s">
        <v>367</v>
      </c>
      <c r="D814" t="s">
        <v>260</v>
      </c>
      <c r="E814" s="35" t="s">
        <v>367</v>
      </c>
      <c r="F814" s="29" t="s">
        <v>262</v>
      </c>
      <c r="G814" s="36">
        <v>20000</v>
      </c>
      <c r="H814" s="36">
        <v>120</v>
      </c>
    </row>
    <row r="815" spans="1:8">
      <c r="A815" s="62">
        <v>138540460020</v>
      </c>
      <c r="B815" t="s">
        <v>4</v>
      </c>
      <c r="C815" s="35" t="s">
        <v>367</v>
      </c>
      <c r="D815" t="s">
        <v>260</v>
      </c>
      <c r="E815" s="35" t="s">
        <v>367</v>
      </c>
      <c r="F815" s="29" t="s">
        <v>262</v>
      </c>
      <c r="G815" s="36">
        <v>5000</v>
      </c>
      <c r="H815" s="36">
        <v>30</v>
      </c>
    </row>
    <row r="816" spans="1:8">
      <c r="A816" s="62">
        <v>137901496673</v>
      </c>
      <c r="B816" t="s">
        <v>4</v>
      </c>
      <c r="C816" s="35" t="s">
        <v>367</v>
      </c>
      <c r="D816" t="s">
        <v>260</v>
      </c>
      <c r="E816" s="35" t="s">
        <v>367</v>
      </c>
      <c r="F816" s="29" t="s">
        <v>262</v>
      </c>
      <c r="G816" s="36">
        <v>24600</v>
      </c>
      <c r="H816" s="36">
        <v>147.6</v>
      </c>
    </row>
    <row r="817" spans="1:8">
      <c r="A817" s="62">
        <v>138540748380</v>
      </c>
      <c r="B817" t="s">
        <v>4</v>
      </c>
      <c r="C817" s="35" t="s">
        <v>367</v>
      </c>
      <c r="D817" t="s">
        <v>260</v>
      </c>
      <c r="E817" s="35" t="s">
        <v>367</v>
      </c>
      <c r="F817" s="29" t="s">
        <v>262</v>
      </c>
      <c r="G817" s="36">
        <v>4900</v>
      </c>
      <c r="H817" s="36">
        <v>29.4</v>
      </c>
    </row>
    <row r="818" spans="1:8">
      <c r="A818" s="62">
        <v>138540813558</v>
      </c>
      <c r="B818" t="s">
        <v>371</v>
      </c>
      <c r="C818" s="35" t="s">
        <v>367</v>
      </c>
      <c r="D818" t="s">
        <v>260</v>
      </c>
      <c r="E818" s="35" t="s">
        <v>367</v>
      </c>
      <c r="F818" s="29" t="s">
        <v>262</v>
      </c>
      <c r="G818" s="36">
        <v>250</v>
      </c>
      <c r="H818" s="36">
        <v>1.5</v>
      </c>
    </row>
    <row r="819" spans="1:8">
      <c r="A819" s="62">
        <v>137901732771</v>
      </c>
      <c r="B819" t="s">
        <v>4</v>
      </c>
      <c r="C819" s="35" t="s">
        <v>367</v>
      </c>
      <c r="D819" t="s">
        <v>260</v>
      </c>
      <c r="E819" s="35" t="s">
        <v>367</v>
      </c>
      <c r="F819" s="29" t="s">
        <v>262</v>
      </c>
      <c r="G819" s="36">
        <v>5000</v>
      </c>
      <c r="H819" s="36">
        <v>30</v>
      </c>
    </row>
    <row r="820" spans="1:8">
      <c r="A820" s="62">
        <v>137901777597</v>
      </c>
      <c r="B820" t="s">
        <v>4</v>
      </c>
      <c r="C820" s="35" t="s">
        <v>367</v>
      </c>
      <c r="D820" t="s">
        <v>260</v>
      </c>
      <c r="E820" s="35" t="s">
        <v>367</v>
      </c>
      <c r="F820" s="29" t="s">
        <v>262</v>
      </c>
      <c r="G820" s="36">
        <v>15800</v>
      </c>
      <c r="H820" s="36">
        <v>94.8</v>
      </c>
    </row>
    <row r="821" spans="1:8">
      <c r="A821" s="62">
        <v>137881102495</v>
      </c>
      <c r="B821" t="s">
        <v>4</v>
      </c>
      <c r="C821" s="35" t="s">
        <v>360</v>
      </c>
      <c r="D821" t="s">
        <v>260</v>
      </c>
      <c r="E821" s="35" t="s">
        <v>360</v>
      </c>
      <c r="F821" s="29" t="s">
        <v>262</v>
      </c>
      <c r="G821" s="36">
        <v>4900</v>
      </c>
      <c r="H821" s="36">
        <v>29.4</v>
      </c>
    </row>
    <row r="822" spans="1:8">
      <c r="A822" s="62">
        <v>138541087572</v>
      </c>
      <c r="B822" t="s">
        <v>4</v>
      </c>
      <c r="C822" s="35" t="s">
        <v>367</v>
      </c>
      <c r="D822" t="s">
        <v>260</v>
      </c>
      <c r="E822" s="35" t="s">
        <v>367</v>
      </c>
      <c r="F822" s="29" t="s">
        <v>262</v>
      </c>
      <c r="G822" s="36">
        <v>13000</v>
      </c>
      <c r="H822" s="36">
        <v>78</v>
      </c>
    </row>
    <row r="823" spans="1:8">
      <c r="A823" s="62">
        <v>138541267178</v>
      </c>
      <c r="B823" t="s">
        <v>4</v>
      </c>
      <c r="C823" s="35" t="s">
        <v>367</v>
      </c>
      <c r="D823" t="s">
        <v>260</v>
      </c>
      <c r="E823" s="35" t="s">
        <v>367</v>
      </c>
      <c r="F823" s="29" t="s">
        <v>262</v>
      </c>
      <c r="G823" s="36">
        <v>4800</v>
      </c>
      <c r="H823" s="36">
        <v>28.8</v>
      </c>
    </row>
    <row r="824" spans="1:8">
      <c r="A824" s="62">
        <v>137902485901</v>
      </c>
      <c r="B824" t="s">
        <v>4</v>
      </c>
      <c r="C824" s="35" t="s">
        <v>367</v>
      </c>
      <c r="D824" t="s">
        <v>260</v>
      </c>
      <c r="E824" s="35" t="s">
        <v>367</v>
      </c>
      <c r="F824" s="29" t="s">
        <v>262</v>
      </c>
      <c r="G824" s="36">
        <v>10000</v>
      </c>
      <c r="H824" s="36">
        <v>60</v>
      </c>
    </row>
    <row r="825" spans="1:8">
      <c r="A825" s="62">
        <v>137881925783</v>
      </c>
      <c r="B825" t="s">
        <v>263</v>
      </c>
      <c r="C825" s="35" t="s">
        <v>360</v>
      </c>
      <c r="D825" t="s">
        <v>260</v>
      </c>
      <c r="E825" s="35" t="s">
        <v>360</v>
      </c>
      <c r="F825" s="29" t="s">
        <v>262</v>
      </c>
      <c r="G825" s="36">
        <v>4900</v>
      </c>
      <c r="H825" s="36">
        <v>29.4</v>
      </c>
    </row>
    <row r="826" spans="1:8">
      <c r="A826" s="62">
        <v>137882122931</v>
      </c>
      <c r="B826" t="s">
        <v>263</v>
      </c>
      <c r="C826" s="35" t="s">
        <v>360</v>
      </c>
      <c r="D826" t="s">
        <v>260</v>
      </c>
      <c r="E826" s="35" t="s">
        <v>360</v>
      </c>
      <c r="F826" s="29" t="s">
        <v>262</v>
      </c>
      <c r="G826" s="36">
        <v>4900</v>
      </c>
      <c r="H826" s="36">
        <v>29.4</v>
      </c>
    </row>
    <row r="827" spans="1:8">
      <c r="A827" s="62">
        <v>138542085322</v>
      </c>
      <c r="B827" t="s">
        <v>4</v>
      </c>
      <c r="C827" s="35" t="s">
        <v>367</v>
      </c>
      <c r="D827" t="s">
        <v>260</v>
      </c>
      <c r="E827" s="35" t="s">
        <v>367</v>
      </c>
      <c r="F827" s="29" t="s">
        <v>262</v>
      </c>
      <c r="G827" s="36">
        <v>15000</v>
      </c>
      <c r="H827" s="36">
        <v>90</v>
      </c>
    </row>
    <row r="828" spans="1:8">
      <c r="A828" s="62">
        <v>137903168103</v>
      </c>
      <c r="B828" t="s">
        <v>263</v>
      </c>
      <c r="C828" s="35" t="s">
        <v>367</v>
      </c>
      <c r="D828" t="s">
        <v>260</v>
      </c>
      <c r="E828" s="35" t="s">
        <v>367</v>
      </c>
      <c r="F828" s="29" t="s">
        <v>262</v>
      </c>
      <c r="G828" s="36">
        <v>4800</v>
      </c>
      <c r="H828" s="36">
        <v>28.8</v>
      </c>
    </row>
    <row r="829" spans="1:8">
      <c r="A829" s="62">
        <v>137903253005</v>
      </c>
      <c r="B829" t="s">
        <v>4</v>
      </c>
      <c r="C829" s="35" t="s">
        <v>367</v>
      </c>
      <c r="D829" t="s">
        <v>260</v>
      </c>
      <c r="E829" s="35" t="s">
        <v>367</v>
      </c>
      <c r="F829" s="29" t="s">
        <v>262</v>
      </c>
      <c r="G829" s="36">
        <v>10000</v>
      </c>
      <c r="H829" s="36">
        <v>60</v>
      </c>
    </row>
    <row r="830" spans="1:8">
      <c r="A830" s="62">
        <v>137903325729</v>
      </c>
      <c r="B830" t="s">
        <v>4</v>
      </c>
      <c r="C830" s="35" t="s">
        <v>367</v>
      </c>
      <c r="D830" t="s">
        <v>260</v>
      </c>
      <c r="E830" s="35" t="s">
        <v>367</v>
      </c>
      <c r="F830" s="29" t="s">
        <v>262</v>
      </c>
      <c r="G830" s="36">
        <v>51800</v>
      </c>
      <c r="H830" s="36">
        <v>310.8</v>
      </c>
    </row>
    <row r="831" spans="1:8">
      <c r="A831" s="62">
        <v>137903470371</v>
      </c>
      <c r="B831" t="s">
        <v>372</v>
      </c>
      <c r="C831" s="35" t="s">
        <v>367</v>
      </c>
      <c r="D831" t="s">
        <v>260</v>
      </c>
      <c r="E831" s="35" t="s">
        <v>367</v>
      </c>
      <c r="F831" s="29" t="s">
        <v>262</v>
      </c>
      <c r="G831" s="36">
        <v>2590</v>
      </c>
      <c r="H831" s="36">
        <v>15.54</v>
      </c>
    </row>
    <row r="832" spans="1:8">
      <c r="A832" s="62">
        <v>138542676996</v>
      </c>
      <c r="B832" t="s">
        <v>4</v>
      </c>
      <c r="C832" s="35" t="s">
        <v>367</v>
      </c>
      <c r="D832" t="s">
        <v>260</v>
      </c>
      <c r="E832" s="35" t="s">
        <v>367</v>
      </c>
      <c r="F832" s="29" t="s">
        <v>262</v>
      </c>
      <c r="G832" s="36">
        <v>11000</v>
      </c>
      <c r="H832" s="36">
        <v>66</v>
      </c>
    </row>
    <row r="833" spans="1:8">
      <c r="A833" s="62">
        <v>137903782181</v>
      </c>
      <c r="B833" t="s">
        <v>4</v>
      </c>
      <c r="C833" s="35" t="s">
        <v>367</v>
      </c>
      <c r="D833" t="s">
        <v>260</v>
      </c>
      <c r="E833" s="35" t="s">
        <v>367</v>
      </c>
      <c r="F833" s="29" t="s">
        <v>262</v>
      </c>
      <c r="G833" s="36">
        <v>9800</v>
      </c>
      <c r="H833" s="36">
        <v>58.8</v>
      </c>
    </row>
    <row r="834" spans="1:8">
      <c r="A834" s="62">
        <v>137903699165</v>
      </c>
      <c r="B834" t="s">
        <v>4</v>
      </c>
      <c r="C834" s="35" t="s">
        <v>367</v>
      </c>
      <c r="D834" t="s">
        <v>260</v>
      </c>
      <c r="E834" s="35" t="s">
        <v>367</v>
      </c>
      <c r="F834" s="29" t="s">
        <v>262</v>
      </c>
      <c r="G834" s="36">
        <v>5000</v>
      </c>
      <c r="H834" s="36">
        <v>30</v>
      </c>
    </row>
    <row r="835" spans="1:8">
      <c r="A835" s="62">
        <v>138543115054</v>
      </c>
      <c r="B835" t="s">
        <v>4</v>
      </c>
      <c r="C835" s="35" t="s">
        <v>367</v>
      </c>
      <c r="D835" t="s">
        <v>260</v>
      </c>
      <c r="E835" s="35" t="s">
        <v>367</v>
      </c>
      <c r="F835" s="29" t="s">
        <v>262</v>
      </c>
      <c r="G835" s="36">
        <v>4800</v>
      </c>
      <c r="H835" s="36">
        <v>28.8</v>
      </c>
    </row>
    <row r="836" spans="1:8">
      <c r="A836" s="62">
        <v>138543218206</v>
      </c>
      <c r="B836" t="s">
        <v>4</v>
      </c>
      <c r="C836" s="35" t="s">
        <v>367</v>
      </c>
      <c r="D836" t="s">
        <v>260</v>
      </c>
      <c r="E836" s="35" t="s">
        <v>367</v>
      </c>
      <c r="F836" s="29" t="s">
        <v>262</v>
      </c>
      <c r="G836" s="36">
        <v>15000</v>
      </c>
      <c r="H836" s="36">
        <v>90</v>
      </c>
    </row>
    <row r="837" spans="1:8">
      <c r="A837" s="62">
        <v>138522879906</v>
      </c>
      <c r="B837" t="s">
        <v>4</v>
      </c>
      <c r="C837" s="35" t="s">
        <v>360</v>
      </c>
      <c r="D837" t="s">
        <v>260</v>
      </c>
      <c r="E837" s="35" t="s">
        <v>360</v>
      </c>
      <c r="F837" s="29" t="s">
        <v>262</v>
      </c>
      <c r="G837" s="36">
        <v>7500</v>
      </c>
      <c r="H837" s="36">
        <v>45</v>
      </c>
    </row>
    <row r="838" spans="1:8">
      <c r="A838" s="62">
        <v>138543129840</v>
      </c>
      <c r="B838" t="s">
        <v>4</v>
      </c>
      <c r="C838" s="35" t="s">
        <v>367</v>
      </c>
      <c r="D838" t="s">
        <v>260</v>
      </c>
      <c r="E838" s="35" t="s">
        <v>367</v>
      </c>
      <c r="F838" s="29" t="s">
        <v>262</v>
      </c>
      <c r="G838" s="36">
        <v>11000</v>
      </c>
      <c r="H838" s="36">
        <v>66</v>
      </c>
    </row>
    <row r="839" spans="1:8">
      <c r="A839" s="62">
        <v>137883883605</v>
      </c>
      <c r="B839" t="s">
        <v>373</v>
      </c>
      <c r="C839" s="35" t="s">
        <v>360</v>
      </c>
      <c r="D839" t="s">
        <v>260</v>
      </c>
      <c r="E839" s="35" t="s">
        <v>360</v>
      </c>
      <c r="F839" s="29" t="s">
        <v>262</v>
      </c>
      <c r="G839" s="36">
        <v>1095</v>
      </c>
      <c r="H839" s="36">
        <v>6.57</v>
      </c>
    </row>
    <row r="840" spans="1:8">
      <c r="A840" s="62">
        <v>138523183892</v>
      </c>
      <c r="B840" t="s">
        <v>4</v>
      </c>
      <c r="C840" s="35" t="s">
        <v>360</v>
      </c>
      <c r="D840" t="s">
        <v>260</v>
      </c>
      <c r="E840" s="35" t="s">
        <v>360</v>
      </c>
      <c r="F840" s="29" t="s">
        <v>262</v>
      </c>
      <c r="G840" s="36">
        <v>4900</v>
      </c>
      <c r="H840" s="36">
        <v>29.4</v>
      </c>
    </row>
    <row r="841" spans="1:8">
      <c r="A841" s="62">
        <v>138543548466</v>
      </c>
      <c r="B841" t="s">
        <v>4</v>
      </c>
      <c r="C841" s="35" t="s">
        <v>367</v>
      </c>
      <c r="D841" t="s">
        <v>260</v>
      </c>
      <c r="E841" s="35" t="s">
        <v>367</v>
      </c>
      <c r="F841" s="29" t="s">
        <v>262</v>
      </c>
      <c r="G841" s="36">
        <v>2400</v>
      </c>
      <c r="H841" s="36">
        <v>14.4</v>
      </c>
    </row>
    <row r="842" spans="1:8">
      <c r="A842" s="62">
        <v>138523355880</v>
      </c>
      <c r="B842" t="s">
        <v>4</v>
      </c>
      <c r="C842" s="35" t="s">
        <v>360</v>
      </c>
      <c r="D842" t="s">
        <v>260</v>
      </c>
      <c r="E842" s="35" t="s">
        <v>360</v>
      </c>
      <c r="F842" s="29" t="s">
        <v>262</v>
      </c>
      <c r="G842" s="36">
        <v>4900</v>
      </c>
      <c r="H842" s="36">
        <v>29.4</v>
      </c>
    </row>
    <row r="843" spans="1:8">
      <c r="A843" s="62">
        <v>138523750984</v>
      </c>
      <c r="B843" t="s">
        <v>4</v>
      </c>
      <c r="C843" s="35" t="s">
        <v>360</v>
      </c>
      <c r="D843" t="s">
        <v>260</v>
      </c>
      <c r="E843" s="35" t="s">
        <v>360</v>
      </c>
      <c r="F843" s="29" t="s">
        <v>262</v>
      </c>
      <c r="G843" s="36">
        <v>11000</v>
      </c>
      <c r="H843" s="36">
        <v>66</v>
      </c>
    </row>
    <row r="844" spans="1:8">
      <c r="A844" s="62">
        <v>137904833777</v>
      </c>
      <c r="B844" t="s">
        <v>4</v>
      </c>
      <c r="C844" s="35" t="s">
        <v>367</v>
      </c>
      <c r="D844" t="s">
        <v>260</v>
      </c>
      <c r="E844" s="35" t="s">
        <v>367</v>
      </c>
      <c r="F844" s="29" t="s">
        <v>262</v>
      </c>
      <c r="G844" s="36">
        <v>10000</v>
      </c>
      <c r="H844" s="36">
        <v>60</v>
      </c>
    </row>
    <row r="845" spans="1:8">
      <c r="A845" s="62">
        <v>137904879445</v>
      </c>
      <c r="B845" t="s">
        <v>374</v>
      </c>
      <c r="C845" s="35" t="s">
        <v>367</v>
      </c>
      <c r="D845" t="s">
        <v>260</v>
      </c>
      <c r="E845" s="35" t="s">
        <v>367</v>
      </c>
      <c r="F845" s="29" t="s">
        <v>262</v>
      </c>
      <c r="G845" s="36">
        <v>250</v>
      </c>
      <c r="H845" s="36">
        <v>1.5</v>
      </c>
    </row>
    <row r="846" spans="1:8">
      <c r="A846" s="62">
        <v>138544075084</v>
      </c>
      <c r="B846" t="s">
        <v>4</v>
      </c>
      <c r="C846" s="35" t="s">
        <v>367</v>
      </c>
      <c r="D846" t="s">
        <v>260</v>
      </c>
      <c r="E846" s="35" t="s">
        <v>367</v>
      </c>
      <c r="F846" s="29" t="s">
        <v>262</v>
      </c>
      <c r="G846" s="36">
        <v>5000</v>
      </c>
      <c r="H846" s="36">
        <v>30</v>
      </c>
    </row>
    <row r="847" spans="1:8">
      <c r="A847" s="62">
        <v>138544457004</v>
      </c>
      <c r="B847" t="s">
        <v>4</v>
      </c>
      <c r="C847" s="35" t="s">
        <v>367</v>
      </c>
      <c r="D847" t="s">
        <v>260</v>
      </c>
      <c r="E847" s="35" t="s">
        <v>367</v>
      </c>
      <c r="F847" s="29" t="s">
        <v>262</v>
      </c>
      <c r="G847" s="36">
        <v>5500</v>
      </c>
      <c r="H847" s="36">
        <v>33</v>
      </c>
    </row>
    <row r="848" spans="1:8">
      <c r="A848" s="62">
        <v>138544549666</v>
      </c>
      <c r="B848" t="s">
        <v>4</v>
      </c>
      <c r="C848" s="35" t="s">
        <v>367</v>
      </c>
      <c r="D848" t="s">
        <v>260</v>
      </c>
      <c r="E848" s="35" t="s">
        <v>367</v>
      </c>
      <c r="F848" s="29" t="s">
        <v>262</v>
      </c>
      <c r="G848" s="36">
        <v>5000</v>
      </c>
      <c r="H848" s="36">
        <v>30</v>
      </c>
    </row>
    <row r="849" spans="1:8">
      <c r="A849" s="62">
        <v>137886337273</v>
      </c>
      <c r="B849" t="s">
        <v>4</v>
      </c>
      <c r="C849" s="35" t="s">
        <v>360</v>
      </c>
      <c r="D849" t="s">
        <v>260</v>
      </c>
      <c r="E849" s="35" t="s">
        <v>360</v>
      </c>
      <c r="F849" s="29" t="s">
        <v>262</v>
      </c>
      <c r="G849" s="36">
        <v>5000</v>
      </c>
      <c r="H849" s="36">
        <v>30</v>
      </c>
    </row>
    <row r="850" spans="1:8">
      <c r="A850" s="62">
        <v>138545094492</v>
      </c>
      <c r="B850" t="s">
        <v>4</v>
      </c>
      <c r="C850" s="35" t="s">
        <v>367</v>
      </c>
      <c r="D850" t="s">
        <v>260</v>
      </c>
      <c r="E850" s="35" t="s">
        <v>367</v>
      </c>
      <c r="F850" s="29" t="s">
        <v>262</v>
      </c>
      <c r="G850" s="36">
        <v>5000</v>
      </c>
      <c r="H850" s="36">
        <v>30</v>
      </c>
    </row>
    <row r="851" spans="1:8">
      <c r="A851" s="62">
        <v>137905815953</v>
      </c>
      <c r="B851" t="s">
        <v>4</v>
      </c>
      <c r="C851" s="35" t="s">
        <v>367</v>
      </c>
      <c r="D851" t="s">
        <v>260</v>
      </c>
      <c r="E851" s="35" t="s">
        <v>367</v>
      </c>
      <c r="F851" s="29" t="s">
        <v>262</v>
      </c>
      <c r="G851" s="36">
        <v>8000</v>
      </c>
      <c r="H851" s="36">
        <v>48</v>
      </c>
    </row>
    <row r="852" spans="1:8">
      <c r="A852" s="62">
        <v>138545543956</v>
      </c>
      <c r="B852" t="s">
        <v>375</v>
      </c>
      <c r="C852" s="35" t="s">
        <v>367</v>
      </c>
      <c r="D852" t="s">
        <v>260</v>
      </c>
      <c r="E852" s="35" t="s">
        <v>367</v>
      </c>
      <c r="F852" s="29" t="s">
        <v>262</v>
      </c>
      <c r="G852" s="36">
        <v>675</v>
      </c>
      <c r="H852" s="36">
        <v>4.05</v>
      </c>
    </row>
    <row r="853" spans="1:8">
      <c r="A853" s="62">
        <v>137906505763</v>
      </c>
      <c r="B853" t="s">
        <v>4</v>
      </c>
      <c r="C853" s="35" t="s">
        <v>367</v>
      </c>
      <c r="D853" t="s">
        <v>260</v>
      </c>
      <c r="E853" s="35" t="s">
        <v>367</v>
      </c>
      <c r="F853" s="29" t="s">
        <v>262</v>
      </c>
      <c r="G853" s="36">
        <v>9800</v>
      </c>
      <c r="H853" s="36">
        <v>58.8</v>
      </c>
    </row>
    <row r="854" spans="1:8">
      <c r="A854" s="62">
        <v>137888300955</v>
      </c>
      <c r="B854" t="s">
        <v>4</v>
      </c>
      <c r="C854" s="35" t="s">
        <v>360</v>
      </c>
      <c r="D854" t="s">
        <v>260</v>
      </c>
      <c r="E854" s="35" t="s">
        <v>360</v>
      </c>
      <c r="F854" s="29" t="s">
        <v>262</v>
      </c>
      <c r="G854" s="36">
        <v>4900</v>
      </c>
      <c r="H854" s="36">
        <v>29.4</v>
      </c>
    </row>
    <row r="855" spans="1:8">
      <c r="A855" s="62">
        <v>137888580429</v>
      </c>
      <c r="B855" t="s">
        <v>263</v>
      </c>
      <c r="C855" s="35" t="s">
        <v>360</v>
      </c>
      <c r="D855" t="s">
        <v>260</v>
      </c>
      <c r="E855" s="35" t="s">
        <v>360</v>
      </c>
      <c r="F855" s="29" t="s">
        <v>262</v>
      </c>
      <c r="G855" s="36">
        <v>43200</v>
      </c>
      <c r="H855" s="36">
        <v>259.2</v>
      </c>
    </row>
    <row r="856" spans="1:8">
      <c r="A856" s="62">
        <v>137888937331</v>
      </c>
      <c r="B856" t="s">
        <v>4</v>
      </c>
      <c r="C856" s="35" t="s">
        <v>360</v>
      </c>
      <c r="D856" t="s">
        <v>260</v>
      </c>
      <c r="E856" s="35" t="s">
        <v>360</v>
      </c>
      <c r="F856" s="29" t="s">
        <v>262</v>
      </c>
      <c r="G856" s="36">
        <v>46800</v>
      </c>
      <c r="H856" s="36">
        <v>280.8</v>
      </c>
    </row>
    <row r="857" spans="1:8">
      <c r="A857" s="62">
        <v>138528129514</v>
      </c>
      <c r="B857" t="s">
        <v>4</v>
      </c>
      <c r="C857" s="35" t="s">
        <v>360</v>
      </c>
      <c r="D857" t="s">
        <v>260</v>
      </c>
      <c r="E857" s="35" t="s">
        <v>360</v>
      </c>
      <c r="F857" s="29" t="s">
        <v>262</v>
      </c>
      <c r="G857" s="36">
        <v>5000</v>
      </c>
      <c r="H857" s="36">
        <v>30</v>
      </c>
    </row>
    <row r="858" spans="1:8">
      <c r="A858" s="62">
        <v>138528391464</v>
      </c>
      <c r="B858" t="s">
        <v>4</v>
      </c>
      <c r="C858" s="35" t="s">
        <v>360</v>
      </c>
      <c r="D858" t="s">
        <v>260</v>
      </c>
      <c r="E858" s="35" t="s">
        <v>360</v>
      </c>
      <c r="F858" s="29" t="s">
        <v>262</v>
      </c>
      <c r="G858" s="36">
        <v>5500</v>
      </c>
      <c r="H858" s="36">
        <v>33</v>
      </c>
    </row>
    <row r="859" spans="1:8">
      <c r="A859" s="62">
        <v>137889297597</v>
      </c>
      <c r="B859" t="s">
        <v>4</v>
      </c>
      <c r="C859" s="35" t="s">
        <v>360</v>
      </c>
      <c r="D859" t="s">
        <v>260</v>
      </c>
      <c r="E859" s="35" t="s">
        <v>360</v>
      </c>
      <c r="F859" s="29" t="s">
        <v>262</v>
      </c>
      <c r="G859" s="36">
        <v>4900</v>
      </c>
      <c r="H859" s="36">
        <v>29.4</v>
      </c>
    </row>
    <row r="860" spans="1:8">
      <c r="A860" s="62">
        <v>138529185350</v>
      </c>
      <c r="B860" t="s">
        <v>4</v>
      </c>
      <c r="C860" s="35" t="s">
        <v>360</v>
      </c>
      <c r="D860" t="s">
        <v>260</v>
      </c>
      <c r="E860" s="35" t="s">
        <v>360</v>
      </c>
      <c r="F860" s="29" t="s">
        <v>262</v>
      </c>
      <c r="G860" s="36">
        <v>15000</v>
      </c>
      <c r="H860" s="36">
        <v>90</v>
      </c>
    </row>
    <row r="861" spans="1:8">
      <c r="A861" s="62">
        <v>137890414465</v>
      </c>
      <c r="B861" t="s">
        <v>4</v>
      </c>
      <c r="C861" s="35" t="s">
        <v>360</v>
      </c>
      <c r="D861" t="s">
        <v>260</v>
      </c>
      <c r="E861" s="35" t="s">
        <v>360</v>
      </c>
      <c r="F861" s="29" t="s">
        <v>262</v>
      </c>
      <c r="G861" s="36">
        <v>11000</v>
      </c>
      <c r="H861" s="36">
        <v>66</v>
      </c>
    </row>
    <row r="862" spans="1:8">
      <c r="A862" s="62">
        <v>137890542783</v>
      </c>
      <c r="B862" t="s">
        <v>4</v>
      </c>
      <c r="C862" s="35" t="s">
        <v>360</v>
      </c>
      <c r="D862" t="s">
        <v>260</v>
      </c>
      <c r="E862" s="35" t="s">
        <v>360</v>
      </c>
      <c r="F862" s="29" t="s">
        <v>262</v>
      </c>
      <c r="G862" s="36">
        <v>5000</v>
      </c>
      <c r="H862" s="36">
        <v>30</v>
      </c>
    </row>
    <row r="863" spans="1:8">
      <c r="A863" s="62">
        <v>138530250704</v>
      </c>
      <c r="B863" t="s">
        <v>263</v>
      </c>
      <c r="C863" s="35" t="s">
        <v>360</v>
      </c>
      <c r="D863" t="s">
        <v>260</v>
      </c>
      <c r="E863" s="35" t="s">
        <v>360</v>
      </c>
      <c r="F863" s="29" t="s">
        <v>262</v>
      </c>
      <c r="G863" s="36">
        <v>57600</v>
      </c>
      <c r="H863" s="36">
        <v>345.6</v>
      </c>
    </row>
    <row r="864" spans="1:8">
      <c r="A864" s="62">
        <v>138530623524</v>
      </c>
      <c r="B864" t="s">
        <v>4</v>
      </c>
      <c r="C864" s="35" t="s">
        <v>360</v>
      </c>
      <c r="D864" t="s">
        <v>260</v>
      </c>
      <c r="E864" s="35" t="s">
        <v>360</v>
      </c>
      <c r="F864" s="29" t="s">
        <v>262</v>
      </c>
      <c r="G864" s="36">
        <v>2500</v>
      </c>
      <c r="H864" s="36">
        <v>15</v>
      </c>
    </row>
    <row r="865" spans="1:8">
      <c r="A865" s="62">
        <v>137891888729</v>
      </c>
      <c r="B865" t="s">
        <v>4</v>
      </c>
      <c r="C865" s="35" t="s">
        <v>360</v>
      </c>
      <c r="D865" t="s">
        <v>260</v>
      </c>
      <c r="E865" s="35" t="s">
        <v>360</v>
      </c>
      <c r="F865" s="29" t="s">
        <v>262</v>
      </c>
      <c r="G865" s="36">
        <v>11000</v>
      </c>
      <c r="H865" s="36">
        <v>66</v>
      </c>
    </row>
    <row r="866" spans="1:8">
      <c r="A866" s="62">
        <v>137891994961</v>
      </c>
      <c r="B866" t="s">
        <v>4</v>
      </c>
      <c r="C866" s="35" t="s">
        <v>360</v>
      </c>
      <c r="D866" t="s">
        <v>260</v>
      </c>
      <c r="E866" s="35" t="s">
        <v>360</v>
      </c>
      <c r="F866" s="29" t="s">
        <v>262</v>
      </c>
      <c r="G866" s="36">
        <v>15000</v>
      </c>
      <c r="H866" s="36">
        <v>90</v>
      </c>
    </row>
    <row r="867" spans="1:8">
      <c r="A867" s="62">
        <v>138531210626</v>
      </c>
      <c r="B867" t="s">
        <v>376</v>
      </c>
      <c r="C867" s="35" t="s">
        <v>360</v>
      </c>
      <c r="D867" t="s">
        <v>260</v>
      </c>
      <c r="E867" s="35" t="s">
        <v>360</v>
      </c>
      <c r="F867" s="29" t="s">
        <v>262</v>
      </c>
      <c r="G867" s="36">
        <v>910</v>
      </c>
      <c r="H867" s="36">
        <v>5.46</v>
      </c>
    </row>
    <row r="868" spans="1:8">
      <c r="A868" s="62">
        <v>138531133564</v>
      </c>
      <c r="B868" t="s">
        <v>4</v>
      </c>
      <c r="C868" s="35" t="s">
        <v>360</v>
      </c>
      <c r="D868" t="s">
        <v>260</v>
      </c>
      <c r="E868" s="35" t="s">
        <v>360</v>
      </c>
      <c r="F868" s="29" t="s">
        <v>262</v>
      </c>
      <c r="G868" s="36">
        <v>18200</v>
      </c>
      <c r="H868" s="36">
        <v>109.2</v>
      </c>
    </row>
    <row r="869" spans="1:8">
      <c r="A869" s="62">
        <v>138531264710</v>
      </c>
      <c r="B869" t="s">
        <v>4</v>
      </c>
      <c r="C869" s="35" t="s">
        <v>360</v>
      </c>
      <c r="D869" t="s">
        <v>260</v>
      </c>
      <c r="E869" s="35" t="s">
        <v>360</v>
      </c>
      <c r="F869" s="29" t="s">
        <v>262</v>
      </c>
      <c r="G869" s="36">
        <v>13500</v>
      </c>
      <c r="H869" s="36">
        <v>81</v>
      </c>
    </row>
    <row r="870" spans="1:8">
      <c r="A870" s="62">
        <v>137892466823</v>
      </c>
      <c r="B870" t="s">
        <v>4</v>
      </c>
      <c r="C870" s="35" t="s">
        <v>360</v>
      </c>
      <c r="D870" t="s">
        <v>260</v>
      </c>
      <c r="E870" s="35" t="s">
        <v>360</v>
      </c>
      <c r="F870" s="29" t="s">
        <v>262</v>
      </c>
      <c r="G870" s="36">
        <v>20700</v>
      </c>
      <c r="H870" s="36">
        <v>124.2</v>
      </c>
    </row>
    <row r="871" spans="1:8">
      <c r="A871" s="62">
        <v>137892552965</v>
      </c>
      <c r="B871" t="s">
        <v>4</v>
      </c>
      <c r="C871" s="35" t="s">
        <v>360</v>
      </c>
      <c r="D871" t="s">
        <v>260</v>
      </c>
      <c r="E871" s="35" t="s">
        <v>360</v>
      </c>
      <c r="F871" s="29" t="s">
        <v>262</v>
      </c>
      <c r="G871" s="36">
        <v>5500</v>
      </c>
      <c r="H871" s="36">
        <v>33</v>
      </c>
    </row>
    <row r="872" spans="1:8">
      <c r="A872" s="62">
        <v>138532020272</v>
      </c>
      <c r="B872" t="s">
        <v>263</v>
      </c>
      <c r="C872" s="35" t="s">
        <v>360</v>
      </c>
      <c r="D872" t="s">
        <v>260</v>
      </c>
      <c r="E872" s="35" t="s">
        <v>360</v>
      </c>
      <c r="F872" s="29" t="s">
        <v>262</v>
      </c>
      <c r="G872" s="36">
        <v>7900</v>
      </c>
      <c r="H872" s="36">
        <v>47.4</v>
      </c>
    </row>
    <row r="873" spans="1:8">
      <c r="A873" s="62">
        <v>137892926953</v>
      </c>
      <c r="B873" t="s">
        <v>4</v>
      </c>
      <c r="C873" s="35" t="s">
        <v>360</v>
      </c>
      <c r="D873" t="s">
        <v>260</v>
      </c>
      <c r="E873" s="35" t="s">
        <v>360</v>
      </c>
      <c r="F873" s="29" t="s">
        <v>262</v>
      </c>
      <c r="G873" s="36">
        <v>15000</v>
      </c>
      <c r="H873" s="36">
        <v>90</v>
      </c>
    </row>
    <row r="874" spans="1:8">
      <c r="A874" s="62">
        <v>137893308257</v>
      </c>
      <c r="B874" t="s">
        <v>4</v>
      </c>
      <c r="C874" s="35" t="s">
        <v>360</v>
      </c>
      <c r="D874" t="s">
        <v>260</v>
      </c>
      <c r="E874" s="35" t="s">
        <v>360</v>
      </c>
      <c r="F874" s="29" t="s">
        <v>262</v>
      </c>
      <c r="G874" s="36">
        <v>4900</v>
      </c>
      <c r="H874" s="36">
        <v>29.4</v>
      </c>
    </row>
    <row r="875" spans="1:8">
      <c r="A875" s="62">
        <v>137893744373</v>
      </c>
      <c r="B875" t="s">
        <v>4</v>
      </c>
      <c r="C875" s="35" t="s">
        <v>360</v>
      </c>
      <c r="D875" t="s">
        <v>260</v>
      </c>
      <c r="E875" s="35" t="s">
        <v>360</v>
      </c>
      <c r="F875" s="29" t="s">
        <v>262</v>
      </c>
      <c r="G875" s="36">
        <v>7200</v>
      </c>
      <c r="H875" s="36">
        <v>43.2</v>
      </c>
    </row>
    <row r="876" spans="1:8">
      <c r="A876" s="62">
        <v>138533100352</v>
      </c>
      <c r="B876" t="s">
        <v>4</v>
      </c>
      <c r="C876" s="35" t="s">
        <v>360</v>
      </c>
      <c r="D876" t="s">
        <v>260</v>
      </c>
      <c r="E876" s="35" t="s">
        <v>360</v>
      </c>
      <c r="F876" s="29" t="s">
        <v>262</v>
      </c>
      <c r="G876" s="36">
        <v>10000</v>
      </c>
      <c r="H876" s="36">
        <v>60</v>
      </c>
    </row>
    <row r="877" spans="1:8">
      <c r="A877" s="62">
        <v>137893863741</v>
      </c>
      <c r="B877" t="s">
        <v>4</v>
      </c>
      <c r="C877" s="35" t="s">
        <v>360</v>
      </c>
      <c r="D877" t="s">
        <v>260</v>
      </c>
      <c r="E877" s="35" t="s">
        <v>360</v>
      </c>
      <c r="F877" s="29" t="s">
        <v>262</v>
      </c>
      <c r="G877" s="36">
        <v>31200</v>
      </c>
      <c r="H877" s="36">
        <v>187.2</v>
      </c>
    </row>
    <row r="878" spans="1:8">
      <c r="A878" s="62">
        <v>137893950695</v>
      </c>
      <c r="B878" t="s">
        <v>4</v>
      </c>
      <c r="C878" s="35" t="s">
        <v>360</v>
      </c>
      <c r="D878" t="s">
        <v>260</v>
      </c>
      <c r="E878" s="35" t="s">
        <v>360</v>
      </c>
      <c r="F878" s="29" t="s">
        <v>262</v>
      </c>
      <c r="G878" s="36">
        <v>10000</v>
      </c>
      <c r="H878" s="36">
        <v>60</v>
      </c>
    </row>
    <row r="879" spans="1:8">
      <c r="A879" s="62">
        <v>137894038283</v>
      </c>
      <c r="B879" t="s">
        <v>4</v>
      </c>
      <c r="C879" s="35" t="s">
        <v>360</v>
      </c>
      <c r="D879" t="s">
        <v>260</v>
      </c>
      <c r="E879" s="35" t="s">
        <v>360</v>
      </c>
      <c r="F879" s="29" t="s">
        <v>262</v>
      </c>
      <c r="G879" s="36">
        <v>4800</v>
      </c>
      <c r="H879" s="36">
        <v>28.8</v>
      </c>
    </row>
    <row r="880" spans="1:8">
      <c r="A880" s="62">
        <v>137893963885</v>
      </c>
      <c r="B880" t="s">
        <v>4</v>
      </c>
      <c r="C880" s="35" t="s">
        <v>360</v>
      </c>
      <c r="D880" t="s">
        <v>260</v>
      </c>
      <c r="E880" s="35" t="s">
        <v>360</v>
      </c>
      <c r="F880" s="29" t="s">
        <v>262</v>
      </c>
      <c r="G880" s="36">
        <v>5000</v>
      </c>
      <c r="H880" s="36">
        <v>30</v>
      </c>
    </row>
    <row r="881" spans="1:8">
      <c r="A881" s="62">
        <v>138533430762</v>
      </c>
      <c r="B881" t="s">
        <v>4</v>
      </c>
      <c r="C881" s="35" t="s">
        <v>360</v>
      </c>
      <c r="D881" t="s">
        <v>260</v>
      </c>
      <c r="E881" s="35" t="s">
        <v>360</v>
      </c>
      <c r="F881" s="29" t="s">
        <v>262</v>
      </c>
      <c r="G881" s="36">
        <v>52900</v>
      </c>
      <c r="H881" s="36">
        <v>317.39999999999998</v>
      </c>
    </row>
    <row r="882" spans="1:8">
      <c r="A882" s="62">
        <v>137894380257</v>
      </c>
      <c r="B882" t="s">
        <v>4</v>
      </c>
      <c r="C882" s="35" t="s">
        <v>360</v>
      </c>
      <c r="D882" t="s">
        <v>260</v>
      </c>
      <c r="E882" s="35" t="s">
        <v>360</v>
      </c>
      <c r="F882" s="29" t="s">
        <v>262</v>
      </c>
      <c r="G882" s="36">
        <v>4800</v>
      </c>
      <c r="H882" s="36">
        <v>28.8</v>
      </c>
    </row>
    <row r="883" spans="1:8">
      <c r="A883" s="62">
        <v>137894534529</v>
      </c>
      <c r="B883" t="s">
        <v>4</v>
      </c>
      <c r="C883" s="35" t="s">
        <v>360</v>
      </c>
      <c r="D883" t="s">
        <v>260</v>
      </c>
      <c r="E883" s="35" t="s">
        <v>360</v>
      </c>
      <c r="F883" s="29" t="s">
        <v>262</v>
      </c>
      <c r="G883" s="36">
        <v>131600</v>
      </c>
      <c r="H883" s="36">
        <v>789.6</v>
      </c>
    </row>
    <row r="884" spans="1:8">
      <c r="A884" s="62">
        <v>137894766465</v>
      </c>
      <c r="B884" t="s">
        <v>4</v>
      </c>
      <c r="C884" s="35" t="s">
        <v>360</v>
      </c>
      <c r="D884" t="s">
        <v>260</v>
      </c>
      <c r="E884" s="35" t="s">
        <v>360</v>
      </c>
      <c r="F884" s="29" t="s">
        <v>262</v>
      </c>
      <c r="G884" s="36">
        <v>52300</v>
      </c>
      <c r="H884" s="36">
        <v>313.8</v>
      </c>
    </row>
    <row r="885" spans="1:8">
      <c r="A885" s="62">
        <v>137895364073</v>
      </c>
      <c r="B885" t="s">
        <v>263</v>
      </c>
      <c r="C885" s="35" t="s">
        <v>360</v>
      </c>
      <c r="D885" t="s">
        <v>260</v>
      </c>
      <c r="E885" s="35" t="s">
        <v>360</v>
      </c>
      <c r="F885" s="29" t="s">
        <v>262</v>
      </c>
      <c r="G885" s="36">
        <v>4800</v>
      </c>
      <c r="H885" s="36">
        <v>28.8</v>
      </c>
    </row>
    <row r="886" spans="1:8">
      <c r="A886" s="62">
        <v>138534631434</v>
      </c>
      <c r="B886" t="s">
        <v>4</v>
      </c>
      <c r="C886" s="35" t="s">
        <v>360</v>
      </c>
      <c r="D886" t="s">
        <v>260</v>
      </c>
      <c r="E886" s="35" t="s">
        <v>360</v>
      </c>
      <c r="F886" s="29" t="s">
        <v>262</v>
      </c>
      <c r="G886" s="36">
        <v>7500</v>
      </c>
      <c r="H886" s="36">
        <v>45</v>
      </c>
    </row>
    <row r="887" spans="1:8">
      <c r="A887" s="62">
        <v>138534978934</v>
      </c>
      <c r="B887" t="s">
        <v>4</v>
      </c>
      <c r="C887" s="35" t="s">
        <v>360</v>
      </c>
      <c r="D887" t="s">
        <v>260</v>
      </c>
      <c r="E887" s="35" t="s">
        <v>360</v>
      </c>
      <c r="F887" s="29" t="s">
        <v>262</v>
      </c>
      <c r="G887" s="36">
        <v>5000</v>
      </c>
      <c r="H887" s="36">
        <v>30</v>
      </c>
    </row>
    <row r="888" spans="1:8">
      <c r="A888" s="62">
        <v>137895887285</v>
      </c>
      <c r="B888" t="s">
        <v>4</v>
      </c>
      <c r="C888" s="35" t="s">
        <v>360</v>
      </c>
      <c r="D888" t="s">
        <v>260</v>
      </c>
      <c r="E888" s="35" t="s">
        <v>360</v>
      </c>
      <c r="F888" s="29" t="s">
        <v>262</v>
      </c>
      <c r="G888" s="36">
        <v>10000</v>
      </c>
      <c r="H888" s="36">
        <v>60</v>
      </c>
    </row>
    <row r="889" spans="1:8">
      <c r="A889" s="62">
        <v>138535053938</v>
      </c>
      <c r="B889" t="s">
        <v>4</v>
      </c>
      <c r="C889" s="35" t="s">
        <v>360</v>
      </c>
      <c r="D889" t="s">
        <v>260</v>
      </c>
      <c r="E889" s="35" t="s">
        <v>360</v>
      </c>
      <c r="F889" s="29" t="s">
        <v>262</v>
      </c>
      <c r="G889" s="36">
        <v>4800</v>
      </c>
      <c r="H889" s="36">
        <v>28.8</v>
      </c>
    </row>
    <row r="890" spans="1:8">
      <c r="A890" s="62">
        <v>137896413189</v>
      </c>
      <c r="B890" t="s">
        <v>4</v>
      </c>
      <c r="C890" s="35" t="s">
        <v>360</v>
      </c>
      <c r="D890" t="s">
        <v>260</v>
      </c>
      <c r="E890" s="35" t="s">
        <v>367</v>
      </c>
      <c r="F890" s="29" t="s">
        <v>262</v>
      </c>
      <c r="G890" s="36">
        <v>9600</v>
      </c>
      <c r="H890" s="36">
        <v>57.6</v>
      </c>
    </row>
    <row r="891" spans="1:8">
      <c r="A891" s="62">
        <v>137896500919</v>
      </c>
      <c r="B891" t="s">
        <v>4</v>
      </c>
      <c r="C891" s="35" t="s">
        <v>360</v>
      </c>
      <c r="D891" t="s">
        <v>260</v>
      </c>
      <c r="E891" s="35" t="s">
        <v>367</v>
      </c>
      <c r="F891" s="29" t="s">
        <v>262</v>
      </c>
      <c r="G891" s="36">
        <v>5000</v>
      </c>
      <c r="H891" s="36">
        <v>30</v>
      </c>
    </row>
    <row r="892" spans="1:8">
      <c r="A892" s="62">
        <v>138535706824</v>
      </c>
      <c r="B892" t="s">
        <v>4</v>
      </c>
      <c r="C892" s="35" t="s">
        <v>360</v>
      </c>
      <c r="D892" t="s">
        <v>260</v>
      </c>
      <c r="E892" s="35" t="s">
        <v>367</v>
      </c>
      <c r="F892" s="29" t="s">
        <v>262</v>
      </c>
      <c r="G892" s="36">
        <v>5000</v>
      </c>
      <c r="H892" s="36">
        <v>30</v>
      </c>
    </row>
    <row r="893" spans="1:8">
      <c r="A893" s="62">
        <v>137896651907</v>
      </c>
      <c r="B893" t="s">
        <v>4</v>
      </c>
      <c r="C893" s="35" t="s">
        <v>360</v>
      </c>
      <c r="D893" t="s">
        <v>260</v>
      </c>
      <c r="E893" s="35" t="s">
        <v>367</v>
      </c>
      <c r="F893" s="29" t="s">
        <v>262</v>
      </c>
      <c r="G893" s="36">
        <v>12500</v>
      </c>
      <c r="H893" s="36">
        <v>75</v>
      </c>
    </row>
    <row r="894" spans="1:8">
      <c r="A894" s="62">
        <v>137896837169</v>
      </c>
      <c r="B894" t="s">
        <v>4</v>
      </c>
      <c r="C894" s="35" t="s">
        <v>360</v>
      </c>
      <c r="D894" t="s">
        <v>260</v>
      </c>
      <c r="E894" s="35" t="s">
        <v>367</v>
      </c>
      <c r="F894" s="29" t="s">
        <v>262</v>
      </c>
      <c r="G894" s="36">
        <v>5000</v>
      </c>
      <c r="H894" s="36">
        <v>30</v>
      </c>
    </row>
    <row r="895" spans="1:8">
      <c r="A895" s="62">
        <v>137896976563</v>
      </c>
      <c r="B895" t="s">
        <v>4</v>
      </c>
      <c r="C895" s="35" t="s">
        <v>360</v>
      </c>
      <c r="D895" t="s">
        <v>260</v>
      </c>
      <c r="E895" s="35" t="s">
        <v>367</v>
      </c>
      <c r="F895" s="29" t="s">
        <v>262</v>
      </c>
      <c r="G895" s="36">
        <v>4800</v>
      </c>
      <c r="H895" s="36">
        <v>28.8</v>
      </c>
    </row>
    <row r="896" spans="1:8">
      <c r="A896" s="62">
        <v>137897183137</v>
      </c>
      <c r="B896" t="s">
        <v>263</v>
      </c>
      <c r="C896" s="35" t="s">
        <v>360</v>
      </c>
      <c r="D896" t="s">
        <v>260</v>
      </c>
      <c r="E896" s="35" t="s">
        <v>367</v>
      </c>
      <c r="F896" s="29" t="s">
        <v>262</v>
      </c>
      <c r="G896" s="36">
        <v>72200</v>
      </c>
      <c r="H896" s="36">
        <v>433.2</v>
      </c>
    </row>
    <row r="897" spans="1:8">
      <c r="A897" s="62">
        <v>137897499495</v>
      </c>
      <c r="B897" t="s">
        <v>4</v>
      </c>
      <c r="C897" s="35" t="s">
        <v>360</v>
      </c>
      <c r="D897" t="s">
        <v>260</v>
      </c>
      <c r="E897" s="35" t="s">
        <v>367</v>
      </c>
      <c r="F897" s="29" t="s">
        <v>262</v>
      </c>
      <c r="G897" s="36">
        <v>4800</v>
      </c>
      <c r="H897" s="36">
        <v>28.8</v>
      </c>
    </row>
    <row r="898" spans="1:8">
      <c r="A898" s="62">
        <v>138536663026</v>
      </c>
      <c r="B898" t="s">
        <v>377</v>
      </c>
      <c r="C898" s="35" t="s">
        <v>360</v>
      </c>
      <c r="D898" t="s">
        <v>260</v>
      </c>
      <c r="E898" s="35" t="s">
        <v>367</v>
      </c>
      <c r="F898" s="29" t="s">
        <v>262</v>
      </c>
      <c r="G898" s="36">
        <v>1000</v>
      </c>
      <c r="H898" s="36">
        <v>6</v>
      </c>
    </row>
    <row r="899" spans="1:8">
      <c r="A899" s="62">
        <v>138536621798</v>
      </c>
      <c r="B899" t="s">
        <v>4</v>
      </c>
      <c r="C899" s="35" t="s">
        <v>360</v>
      </c>
      <c r="D899" t="s">
        <v>260</v>
      </c>
      <c r="E899" s="35" t="s">
        <v>367</v>
      </c>
      <c r="F899" s="29" t="s">
        <v>262</v>
      </c>
      <c r="G899" s="36">
        <v>5000</v>
      </c>
      <c r="H899" s="36">
        <v>30</v>
      </c>
    </row>
    <row r="900" spans="1:8">
      <c r="A900" s="62">
        <v>138536694508</v>
      </c>
      <c r="B900" t="s">
        <v>4</v>
      </c>
      <c r="C900" s="35" t="s">
        <v>360</v>
      </c>
      <c r="D900" t="s">
        <v>260</v>
      </c>
      <c r="E900" s="35" t="s">
        <v>367</v>
      </c>
      <c r="F900" s="29" t="s">
        <v>262</v>
      </c>
      <c r="G900" s="36">
        <v>10000</v>
      </c>
      <c r="H900" s="36">
        <v>60</v>
      </c>
    </row>
    <row r="901" spans="1:8">
      <c r="A901" s="62">
        <v>138536804822</v>
      </c>
      <c r="B901" t="s">
        <v>4</v>
      </c>
      <c r="C901" s="35" t="s">
        <v>360</v>
      </c>
      <c r="D901" t="s">
        <v>260</v>
      </c>
      <c r="E901" s="35" t="s">
        <v>367</v>
      </c>
      <c r="F901" s="29" t="s">
        <v>262</v>
      </c>
      <c r="G901" s="36">
        <v>4900</v>
      </c>
      <c r="H901" s="36">
        <v>29.4</v>
      </c>
    </row>
    <row r="902" spans="1:8">
      <c r="A902" s="62">
        <v>137897818889</v>
      </c>
      <c r="B902" t="s">
        <v>4</v>
      </c>
      <c r="C902" s="35" t="s">
        <v>360</v>
      </c>
      <c r="D902" t="s">
        <v>260</v>
      </c>
      <c r="E902" s="35" t="s">
        <v>367</v>
      </c>
      <c r="F902" s="29" t="s">
        <v>262</v>
      </c>
      <c r="G902" s="36">
        <v>7400</v>
      </c>
      <c r="H902" s="36">
        <v>44.4</v>
      </c>
    </row>
    <row r="903" spans="1:8">
      <c r="A903" s="62">
        <v>137897873121</v>
      </c>
      <c r="B903" t="s">
        <v>4</v>
      </c>
      <c r="C903" s="35" t="s">
        <v>360</v>
      </c>
      <c r="D903" t="s">
        <v>260</v>
      </c>
      <c r="E903" s="35" t="s">
        <v>367</v>
      </c>
      <c r="F903" s="29" t="s">
        <v>262</v>
      </c>
      <c r="G903" s="36">
        <v>5000</v>
      </c>
      <c r="H903" s="36">
        <v>30</v>
      </c>
    </row>
    <row r="904" spans="1:8">
      <c r="A904" s="62">
        <v>137898000905</v>
      </c>
      <c r="B904" t="s">
        <v>4</v>
      </c>
      <c r="C904" s="35" t="s">
        <v>360</v>
      </c>
      <c r="D904" t="s">
        <v>260</v>
      </c>
      <c r="E904" s="35" t="s">
        <v>367</v>
      </c>
      <c r="F904" s="29" t="s">
        <v>262</v>
      </c>
      <c r="G904" s="36">
        <v>4800</v>
      </c>
      <c r="H904" s="36">
        <v>28.8</v>
      </c>
    </row>
    <row r="905" spans="1:8">
      <c r="A905" s="62">
        <v>137898074457</v>
      </c>
      <c r="B905" t="s">
        <v>4</v>
      </c>
      <c r="C905" s="35" t="s">
        <v>360</v>
      </c>
      <c r="D905" t="s">
        <v>260</v>
      </c>
      <c r="E905" s="35" t="s">
        <v>367</v>
      </c>
      <c r="F905" s="29" t="s">
        <v>262</v>
      </c>
      <c r="G905" s="36">
        <v>4800</v>
      </c>
      <c r="H905" s="36">
        <v>28.8</v>
      </c>
    </row>
    <row r="906" spans="1:8">
      <c r="A906" s="62">
        <v>138537226196</v>
      </c>
      <c r="B906" t="s">
        <v>4</v>
      </c>
      <c r="C906" s="35" t="s">
        <v>360</v>
      </c>
      <c r="D906" t="s">
        <v>260</v>
      </c>
      <c r="E906" s="35" t="s">
        <v>367</v>
      </c>
      <c r="F906" s="29" t="s">
        <v>262</v>
      </c>
      <c r="G906" s="36">
        <v>5000</v>
      </c>
      <c r="H906" s="36">
        <v>30</v>
      </c>
    </row>
    <row r="907" spans="1:8">
      <c r="A907" s="62">
        <v>137898095891</v>
      </c>
      <c r="B907" t="s">
        <v>4</v>
      </c>
      <c r="C907" s="35" t="s">
        <v>360</v>
      </c>
      <c r="D907" t="s">
        <v>260</v>
      </c>
      <c r="E907" s="35" t="s">
        <v>367</v>
      </c>
      <c r="F907" s="29" t="s">
        <v>262</v>
      </c>
      <c r="G907" s="36">
        <v>7500</v>
      </c>
      <c r="H907" s="36">
        <v>45</v>
      </c>
    </row>
    <row r="908" spans="1:8">
      <c r="A908" s="62">
        <v>138537259896</v>
      </c>
      <c r="B908" t="s">
        <v>4</v>
      </c>
      <c r="C908" s="35" t="s">
        <v>360</v>
      </c>
      <c r="D908" t="s">
        <v>260</v>
      </c>
      <c r="E908" s="35" t="s">
        <v>367</v>
      </c>
      <c r="F908" s="29" t="s">
        <v>262</v>
      </c>
      <c r="G908" s="36">
        <v>2400</v>
      </c>
      <c r="H908" s="36">
        <v>14.4</v>
      </c>
    </row>
    <row r="909" spans="1:8">
      <c r="A909" s="62">
        <v>138537415846</v>
      </c>
      <c r="B909" t="s">
        <v>4</v>
      </c>
      <c r="C909" s="35" t="s">
        <v>360</v>
      </c>
      <c r="D909" t="s">
        <v>260</v>
      </c>
      <c r="E909" s="35" t="s">
        <v>367</v>
      </c>
      <c r="F909" s="29" t="s">
        <v>262</v>
      </c>
      <c r="G909" s="36">
        <v>4900</v>
      </c>
      <c r="H909" s="36">
        <v>29.4</v>
      </c>
    </row>
    <row r="910" spans="1:8">
      <c r="A910" s="62">
        <v>137898434267</v>
      </c>
      <c r="B910" t="s">
        <v>4</v>
      </c>
      <c r="C910" s="35" t="s">
        <v>360</v>
      </c>
      <c r="D910" t="s">
        <v>260</v>
      </c>
      <c r="E910" s="35" t="s">
        <v>367</v>
      </c>
      <c r="F910" s="29" t="s">
        <v>262</v>
      </c>
      <c r="G910" s="36">
        <v>5000</v>
      </c>
      <c r="H910" s="36">
        <v>30</v>
      </c>
    </row>
    <row r="911" spans="1:8">
      <c r="A911" s="62">
        <v>137898593083</v>
      </c>
      <c r="B911" t="s">
        <v>263</v>
      </c>
      <c r="C911" s="35" t="s">
        <v>360</v>
      </c>
      <c r="D911" t="s">
        <v>260</v>
      </c>
      <c r="E911" s="35" t="s">
        <v>367</v>
      </c>
      <c r="F911" s="29" t="s">
        <v>262</v>
      </c>
      <c r="G911" s="36">
        <v>7900</v>
      </c>
      <c r="H911" s="36">
        <v>47.4</v>
      </c>
    </row>
    <row r="912" spans="1:8">
      <c r="A912" s="62">
        <v>138537858578</v>
      </c>
      <c r="B912" t="s">
        <v>4</v>
      </c>
      <c r="C912" s="35" t="s">
        <v>360</v>
      </c>
      <c r="D912" t="s">
        <v>260</v>
      </c>
      <c r="E912" s="35" t="s">
        <v>367</v>
      </c>
      <c r="F912" s="29" t="s">
        <v>262</v>
      </c>
      <c r="G912" s="36">
        <v>5000</v>
      </c>
      <c r="H912" s="36">
        <v>30</v>
      </c>
    </row>
    <row r="913" spans="1:8">
      <c r="A913" s="62">
        <v>138537959300</v>
      </c>
      <c r="B913" t="s">
        <v>4</v>
      </c>
      <c r="C913" s="35" t="s">
        <v>360</v>
      </c>
      <c r="D913" t="s">
        <v>260</v>
      </c>
      <c r="E913" s="35" t="s">
        <v>367</v>
      </c>
      <c r="F913" s="29" t="s">
        <v>262</v>
      </c>
      <c r="G913" s="36">
        <v>15000</v>
      </c>
      <c r="H913" s="36">
        <v>90</v>
      </c>
    </row>
    <row r="914" spans="1:8">
      <c r="A914" s="62">
        <v>138538192316</v>
      </c>
      <c r="B914" t="s">
        <v>4</v>
      </c>
      <c r="C914" s="35" t="s">
        <v>360</v>
      </c>
      <c r="D914" t="s">
        <v>260</v>
      </c>
      <c r="E914" s="35" t="s">
        <v>367</v>
      </c>
      <c r="F914" s="29" t="s">
        <v>262</v>
      </c>
      <c r="G914" s="36">
        <v>26900</v>
      </c>
      <c r="H914" s="36">
        <v>161.4</v>
      </c>
    </row>
    <row r="915" spans="1:8">
      <c r="A915" s="62">
        <v>137899248237</v>
      </c>
      <c r="B915" t="s">
        <v>4</v>
      </c>
      <c r="C915" s="35" t="s">
        <v>360</v>
      </c>
      <c r="D915" t="s">
        <v>260</v>
      </c>
      <c r="E915" s="35" t="s">
        <v>367</v>
      </c>
      <c r="F915" s="29" t="s">
        <v>262</v>
      </c>
      <c r="G915" s="36">
        <v>5000</v>
      </c>
      <c r="H915" s="36">
        <v>30</v>
      </c>
    </row>
    <row r="916" spans="1:8">
      <c r="A916" s="62">
        <v>138538526420</v>
      </c>
      <c r="B916" t="s">
        <v>4</v>
      </c>
      <c r="C916" s="35" t="s">
        <v>360</v>
      </c>
      <c r="D916" t="s">
        <v>260</v>
      </c>
      <c r="E916" s="35" t="s">
        <v>367</v>
      </c>
      <c r="F916" s="29" t="s">
        <v>262</v>
      </c>
      <c r="G916" s="36">
        <v>5000</v>
      </c>
      <c r="H916" s="36">
        <v>30</v>
      </c>
    </row>
    <row r="917" spans="1:8">
      <c r="A917" s="62">
        <v>137899463333</v>
      </c>
      <c r="B917" t="s">
        <v>4</v>
      </c>
      <c r="C917" s="35" t="s">
        <v>360</v>
      </c>
      <c r="D917" t="s">
        <v>260</v>
      </c>
      <c r="E917" s="35" t="s">
        <v>367</v>
      </c>
      <c r="F917" s="29" t="s">
        <v>262</v>
      </c>
      <c r="G917" s="36">
        <v>5500</v>
      </c>
      <c r="H917" s="36">
        <v>33</v>
      </c>
    </row>
    <row r="918" spans="1:8">
      <c r="A918" s="62">
        <v>137899567743</v>
      </c>
      <c r="B918" t="s">
        <v>4</v>
      </c>
      <c r="C918" s="35" t="s">
        <v>360</v>
      </c>
      <c r="D918" t="s">
        <v>260</v>
      </c>
      <c r="E918" s="35" t="s">
        <v>367</v>
      </c>
      <c r="F918" s="29" t="s">
        <v>262</v>
      </c>
      <c r="G918" s="36">
        <v>48200</v>
      </c>
      <c r="H918" s="36">
        <v>289.2</v>
      </c>
    </row>
    <row r="919" spans="1:8">
      <c r="A919" s="62">
        <v>138538774982</v>
      </c>
      <c r="B919" t="s">
        <v>4</v>
      </c>
      <c r="C919" s="35" t="s">
        <v>360</v>
      </c>
      <c r="D919" t="s">
        <v>260</v>
      </c>
      <c r="E919" s="35" t="s">
        <v>367</v>
      </c>
      <c r="F919" s="29" t="s">
        <v>262</v>
      </c>
      <c r="G919" s="36">
        <v>10000</v>
      </c>
      <c r="H919" s="36">
        <v>60</v>
      </c>
    </row>
    <row r="920" spans="1:8">
      <c r="A920" s="62">
        <v>138538968416</v>
      </c>
      <c r="B920" t="s">
        <v>4</v>
      </c>
      <c r="C920" s="35" t="s">
        <v>360</v>
      </c>
      <c r="D920" t="s">
        <v>260</v>
      </c>
      <c r="E920" s="35" t="s">
        <v>367</v>
      </c>
      <c r="F920" s="29" t="s">
        <v>262</v>
      </c>
      <c r="G920" s="36">
        <v>5500</v>
      </c>
      <c r="H920" s="36">
        <v>33</v>
      </c>
    </row>
    <row r="921" spans="1:8">
      <c r="A921" s="62">
        <v>137900357205</v>
      </c>
      <c r="B921" t="s">
        <v>4</v>
      </c>
      <c r="C921" s="35" t="s">
        <v>360</v>
      </c>
      <c r="D921" t="s">
        <v>260</v>
      </c>
      <c r="E921" s="35" t="s">
        <v>367</v>
      </c>
      <c r="F921" s="29" t="s">
        <v>262</v>
      </c>
      <c r="G921" s="36">
        <v>9600</v>
      </c>
      <c r="H921" s="36">
        <v>57.6</v>
      </c>
    </row>
    <row r="922" spans="1:8">
      <c r="A922" s="62">
        <v>137900583251</v>
      </c>
      <c r="B922" t="s">
        <v>4</v>
      </c>
      <c r="C922" s="35" t="s">
        <v>367</v>
      </c>
      <c r="D922" t="s">
        <v>260</v>
      </c>
      <c r="E922" s="35" t="s">
        <v>367</v>
      </c>
      <c r="F922" s="29" t="s">
        <v>262</v>
      </c>
      <c r="G922" s="36">
        <v>5000</v>
      </c>
      <c r="H922" s="36">
        <v>30</v>
      </c>
    </row>
    <row r="923" spans="1:8">
      <c r="A923" s="62">
        <v>137900724285</v>
      </c>
      <c r="B923" t="s">
        <v>4</v>
      </c>
      <c r="C923" s="35" t="s">
        <v>367</v>
      </c>
      <c r="D923" t="s">
        <v>260</v>
      </c>
      <c r="E923" s="35" t="s">
        <v>367</v>
      </c>
      <c r="F923" s="29" t="s">
        <v>262</v>
      </c>
      <c r="G923" s="36">
        <v>4900</v>
      </c>
      <c r="H923" s="36">
        <v>29.4</v>
      </c>
    </row>
    <row r="924" spans="1:8">
      <c r="A924" s="62">
        <v>138539991186</v>
      </c>
      <c r="B924" t="s">
        <v>4</v>
      </c>
      <c r="C924" s="35" t="s">
        <v>367</v>
      </c>
      <c r="D924" t="s">
        <v>260</v>
      </c>
      <c r="E924" s="35" t="s">
        <v>367</v>
      </c>
      <c r="F924" s="29" t="s">
        <v>262</v>
      </c>
      <c r="G924" s="36">
        <v>4800</v>
      </c>
      <c r="H924" s="36">
        <v>28.8</v>
      </c>
    </row>
    <row r="925" spans="1:8">
      <c r="A925" s="62">
        <v>138540017574</v>
      </c>
      <c r="B925" t="s">
        <v>4</v>
      </c>
      <c r="C925" s="35" t="s">
        <v>367</v>
      </c>
      <c r="D925" t="s">
        <v>260</v>
      </c>
      <c r="E925" s="35" t="s">
        <v>367</v>
      </c>
      <c r="F925" s="29" t="s">
        <v>262</v>
      </c>
      <c r="G925" s="36">
        <v>15900</v>
      </c>
      <c r="H925" s="36">
        <v>95.4</v>
      </c>
    </row>
    <row r="926" spans="1:8">
      <c r="A926" s="62">
        <v>138540272932</v>
      </c>
      <c r="B926" t="s">
        <v>4</v>
      </c>
      <c r="C926" s="35" t="s">
        <v>367</v>
      </c>
      <c r="D926" t="s">
        <v>260</v>
      </c>
      <c r="E926" s="35" t="s">
        <v>367</v>
      </c>
      <c r="F926" s="29" t="s">
        <v>262</v>
      </c>
      <c r="G926" s="36">
        <v>10000</v>
      </c>
      <c r="H926" s="36">
        <v>60</v>
      </c>
    </row>
    <row r="927" spans="1:8">
      <c r="A927" s="62">
        <v>138540355548</v>
      </c>
      <c r="B927" t="s">
        <v>4</v>
      </c>
      <c r="C927" s="35" t="s">
        <v>367</v>
      </c>
      <c r="D927" t="s">
        <v>260</v>
      </c>
      <c r="E927" s="35" t="s">
        <v>367</v>
      </c>
      <c r="F927" s="29" t="s">
        <v>262</v>
      </c>
      <c r="G927" s="36">
        <v>5000</v>
      </c>
      <c r="H927" s="36">
        <v>30</v>
      </c>
    </row>
    <row r="928" spans="1:8">
      <c r="A928" s="62">
        <v>138540518482</v>
      </c>
      <c r="B928" t="s">
        <v>4</v>
      </c>
      <c r="C928" s="35" t="s">
        <v>367</v>
      </c>
      <c r="D928" t="s">
        <v>260</v>
      </c>
      <c r="E928" s="35" t="s">
        <v>367</v>
      </c>
      <c r="F928" s="29" t="s">
        <v>262</v>
      </c>
      <c r="G928" s="36">
        <v>9800</v>
      </c>
      <c r="H928" s="36">
        <v>58.8</v>
      </c>
    </row>
    <row r="929" spans="1:8">
      <c r="A929" s="62">
        <v>138540533782</v>
      </c>
      <c r="B929" t="s">
        <v>4</v>
      </c>
      <c r="C929" s="35" t="s">
        <v>367</v>
      </c>
      <c r="D929" t="s">
        <v>260</v>
      </c>
      <c r="E929" s="35" t="s">
        <v>367</v>
      </c>
      <c r="F929" s="29" t="s">
        <v>262</v>
      </c>
      <c r="G929" s="36">
        <v>4800</v>
      </c>
      <c r="H929" s="36">
        <v>28.8</v>
      </c>
    </row>
    <row r="930" spans="1:8">
      <c r="A930" s="62">
        <v>137901634467</v>
      </c>
      <c r="B930" t="s">
        <v>4</v>
      </c>
      <c r="C930" s="35" t="s">
        <v>367</v>
      </c>
      <c r="D930" t="s">
        <v>260</v>
      </c>
      <c r="E930" s="35" t="s">
        <v>367</v>
      </c>
      <c r="F930" s="29" t="s">
        <v>262</v>
      </c>
      <c r="G930" s="36">
        <v>12900</v>
      </c>
      <c r="H930" s="36">
        <v>77.400000000000006</v>
      </c>
    </row>
    <row r="931" spans="1:8">
      <c r="A931" s="62">
        <v>138541611002</v>
      </c>
      <c r="B931" t="s">
        <v>263</v>
      </c>
      <c r="C931" s="35" t="s">
        <v>367</v>
      </c>
      <c r="D931" t="s">
        <v>260</v>
      </c>
      <c r="E931" s="35" t="s">
        <v>367</v>
      </c>
      <c r="F931" s="29" t="s">
        <v>262</v>
      </c>
      <c r="G931" s="36">
        <v>9800</v>
      </c>
      <c r="H931" s="36">
        <v>58.8</v>
      </c>
    </row>
    <row r="932" spans="1:8">
      <c r="A932" s="62">
        <v>137902691017</v>
      </c>
      <c r="B932" t="s">
        <v>4</v>
      </c>
      <c r="C932" s="35" t="s">
        <v>367</v>
      </c>
      <c r="D932" t="s">
        <v>260</v>
      </c>
      <c r="E932" s="35" t="s">
        <v>367</v>
      </c>
      <c r="F932" s="29" t="s">
        <v>262</v>
      </c>
      <c r="G932" s="36">
        <v>10300</v>
      </c>
      <c r="H932" s="36">
        <v>61.8</v>
      </c>
    </row>
    <row r="933" spans="1:8">
      <c r="A933" s="62">
        <v>137902854741</v>
      </c>
      <c r="B933" t="s">
        <v>4</v>
      </c>
      <c r="C933" s="35" t="s">
        <v>367</v>
      </c>
      <c r="D933" t="s">
        <v>260</v>
      </c>
      <c r="E933" s="35" t="s">
        <v>367</v>
      </c>
      <c r="F933" s="29" t="s">
        <v>262</v>
      </c>
      <c r="G933" s="36">
        <v>12500</v>
      </c>
      <c r="H933" s="36">
        <v>75</v>
      </c>
    </row>
    <row r="934" spans="1:8">
      <c r="A934" s="62">
        <v>138542183900</v>
      </c>
      <c r="B934" t="s">
        <v>4</v>
      </c>
      <c r="C934" s="35" t="s">
        <v>367</v>
      </c>
      <c r="D934" t="s">
        <v>260</v>
      </c>
      <c r="E934" s="35" t="s">
        <v>367</v>
      </c>
      <c r="F934" s="29" t="s">
        <v>262</v>
      </c>
      <c r="G934" s="36">
        <v>9600</v>
      </c>
      <c r="H934" s="36">
        <v>57.6</v>
      </c>
    </row>
    <row r="935" spans="1:8">
      <c r="A935" s="62">
        <v>138542590960</v>
      </c>
      <c r="B935" t="s">
        <v>263</v>
      </c>
      <c r="C935" s="35" t="s">
        <v>367</v>
      </c>
      <c r="D935" t="s">
        <v>260</v>
      </c>
      <c r="E935" s="35" t="s">
        <v>367</v>
      </c>
      <c r="F935" s="29" t="s">
        <v>262</v>
      </c>
      <c r="G935" s="36">
        <v>46700</v>
      </c>
      <c r="H935" s="36">
        <v>280.2</v>
      </c>
    </row>
    <row r="936" spans="1:8">
      <c r="A936" s="62">
        <v>137903674013</v>
      </c>
      <c r="B936" t="s">
        <v>4</v>
      </c>
      <c r="C936" s="35" t="s">
        <v>367</v>
      </c>
      <c r="D936" t="s">
        <v>260</v>
      </c>
      <c r="E936" s="35" t="s">
        <v>367</v>
      </c>
      <c r="F936" s="29" t="s">
        <v>262</v>
      </c>
      <c r="G936" s="36">
        <v>5000</v>
      </c>
      <c r="H936" s="36">
        <v>30</v>
      </c>
    </row>
    <row r="937" spans="1:8">
      <c r="A937" s="62">
        <v>137903890489</v>
      </c>
      <c r="B937" t="s">
        <v>4</v>
      </c>
      <c r="C937" s="35" t="s">
        <v>367</v>
      </c>
      <c r="D937" t="s">
        <v>260</v>
      </c>
      <c r="E937" s="35" t="s">
        <v>367</v>
      </c>
      <c r="F937" s="29" t="s">
        <v>262</v>
      </c>
      <c r="G937" s="36">
        <v>11000</v>
      </c>
      <c r="H937" s="36">
        <v>66</v>
      </c>
    </row>
    <row r="938" spans="1:8">
      <c r="A938" s="62">
        <v>137904241645</v>
      </c>
      <c r="B938" t="s">
        <v>4</v>
      </c>
      <c r="C938" s="35" t="s">
        <v>367</v>
      </c>
      <c r="D938" t="s">
        <v>260</v>
      </c>
      <c r="E938" s="35" t="s">
        <v>367</v>
      </c>
      <c r="F938" s="29" t="s">
        <v>262</v>
      </c>
      <c r="G938" s="36">
        <v>5000</v>
      </c>
      <c r="H938" s="36">
        <v>30</v>
      </c>
    </row>
    <row r="939" spans="1:8">
      <c r="A939" s="62">
        <v>138543772980</v>
      </c>
      <c r="B939" t="s">
        <v>4</v>
      </c>
      <c r="C939" s="35" t="s">
        <v>367</v>
      </c>
      <c r="D939" t="s">
        <v>260</v>
      </c>
      <c r="E939" s="35" t="s">
        <v>367</v>
      </c>
      <c r="F939" s="29" t="s">
        <v>262</v>
      </c>
      <c r="G939" s="36">
        <v>5000</v>
      </c>
      <c r="H939" s="36">
        <v>30</v>
      </c>
    </row>
    <row r="940" spans="1:8">
      <c r="A940" s="62">
        <v>137904711931</v>
      </c>
      <c r="B940" t="s">
        <v>4</v>
      </c>
      <c r="C940" s="35" t="s">
        <v>367</v>
      </c>
      <c r="D940" t="s">
        <v>260</v>
      </c>
      <c r="E940" s="35" t="s">
        <v>367</v>
      </c>
      <c r="F940" s="29" t="s">
        <v>262</v>
      </c>
      <c r="G940" s="36">
        <v>5000</v>
      </c>
      <c r="H940" s="36">
        <v>30</v>
      </c>
    </row>
    <row r="941" spans="1:8">
      <c r="A941" s="62">
        <v>137904878419</v>
      </c>
      <c r="B941" t="s">
        <v>4</v>
      </c>
      <c r="C941" s="35" t="s">
        <v>367</v>
      </c>
      <c r="D941" t="s">
        <v>260</v>
      </c>
      <c r="E941" s="35" t="s">
        <v>367</v>
      </c>
      <c r="F941" s="29" t="s">
        <v>262</v>
      </c>
      <c r="G941" s="36">
        <v>5000</v>
      </c>
      <c r="H941" s="36">
        <v>30</v>
      </c>
    </row>
    <row r="942" spans="1:8">
      <c r="A942" s="62">
        <v>138544060956</v>
      </c>
      <c r="B942" t="s">
        <v>4</v>
      </c>
      <c r="C942" s="35" t="s">
        <v>367</v>
      </c>
      <c r="D942" t="s">
        <v>260</v>
      </c>
      <c r="E942" s="35" t="s">
        <v>367</v>
      </c>
      <c r="F942" s="29" t="s">
        <v>262</v>
      </c>
      <c r="G942" s="36">
        <v>5000</v>
      </c>
      <c r="H942" s="36">
        <v>30</v>
      </c>
    </row>
    <row r="943" spans="1:8">
      <c r="A943" s="62">
        <v>138544134616</v>
      </c>
      <c r="B943" t="s">
        <v>263</v>
      </c>
      <c r="C943" s="35" t="s">
        <v>367</v>
      </c>
      <c r="D943" t="s">
        <v>260</v>
      </c>
      <c r="E943" s="35" t="s">
        <v>367</v>
      </c>
      <c r="F943" s="29" t="s">
        <v>262</v>
      </c>
      <c r="G943" s="36">
        <v>80200</v>
      </c>
      <c r="H943" s="36">
        <v>481.2</v>
      </c>
    </row>
    <row r="944" spans="1:8">
      <c r="A944" s="62">
        <v>137905264613</v>
      </c>
      <c r="B944" t="s">
        <v>263</v>
      </c>
      <c r="C944" s="35" t="s">
        <v>367</v>
      </c>
      <c r="D944" t="s">
        <v>260</v>
      </c>
      <c r="E944" s="35" t="s">
        <v>367</v>
      </c>
      <c r="F944" s="29" t="s">
        <v>262</v>
      </c>
      <c r="G944" s="36">
        <v>43500</v>
      </c>
      <c r="H944" s="36">
        <v>261</v>
      </c>
    </row>
    <row r="945" spans="1:8">
      <c r="A945" s="62">
        <v>138544276084</v>
      </c>
      <c r="B945" t="s">
        <v>4</v>
      </c>
      <c r="C945" s="35" t="s">
        <v>367</v>
      </c>
      <c r="D945" t="s">
        <v>260</v>
      </c>
      <c r="E945" s="35" t="s">
        <v>367</v>
      </c>
      <c r="F945" s="29" t="s">
        <v>262</v>
      </c>
      <c r="G945" s="36">
        <v>5000</v>
      </c>
      <c r="H945" s="36">
        <v>30</v>
      </c>
    </row>
    <row r="946" spans="1:8">
      <c r="A946" s="62">
        <v>137905494935</v>
      </c>
      <c r="B946" t="s">
        <v>4</v>
      </c>
      <c r="C946" s="35" t="s">
        <v>367</v>
      </c>
      <c r="D946" t="s">
        <v>260</v>
      </c>
      <c r="E946" s="35" t="s">
        <v>367</v>
      </c>
      <c r="F946" s="29" t="s">
        <v>262</v>
      </c>
      <c r="G946" s="36">
        <v>11000</v>
      </c>
      <c r="H946" s="36">
        <v>66</v>
      </c>
    </row>
    <row r="947" spans="1:8">
      <c r="A947" s="62">
        <v>138544583838</v>
      </c>
      <c r="B947" t="s">
        <v>4</v>
      </c>
      <c r="C947" s="35" t="s">
        <v>367</v>
      </c>
      <c r="D947" t="s">
        <v>260</v>
      </c>
      <c r="E947" s="35" t="s">
        <v>367</v>
      </c>
      <c r="F947" s="29" t="s">
        <v>262</v>
      </c>
      <c r="G947" s="36">
        <v>4400</v>
      </c>
      <c r="H947" s="36">
        <v>26.4</v>
      </c>
    </row>
    <row r="948" spans="1:8">
      <c r="A948" s="62">
        <v>138544846336</v>
      </c>
      <c r="B948" t="s">
        <v>4</v>
      </c>
      <c r="C948" s="35" t="s">
        <v>367</v>
      </c>
      <c r="D948" t="s">
        <v>260</v>
      </c>
      <c r="E948" s="35" t="s">
        <v>367</v>
      </c>
      <c r="F948" s="29" t="s">
        <v>262</v>
      </c>
      <c r="G948" s="36">
        <v>4900</v>
      </c>
      <c r="H948" s="36">
        <v>29.4</v>
      </c>
    </row>
    <row r="949" spans="1:8">
      <c r="A949" s="62">
        <v>137906026971</v>
      </c>
      <c r="B949" t="s">
        <v>4</v>
      </c>
      <c r="C949" s="35" t="s">
        <v>367</v>
      </c>
      <c r="D949" t="s">
        <v>260</v>
      </c>
      <c r="E949" s="35" t="s">
        <v>367</v>
      </c>
      <c r="F949" s="29" t="s">
        <v>262</v>
      </c>
      <c r="G949" s="36">
        <v>12800</v>
      </c>
      <c r="H949" s="36">
        <v>76.8</v>
      </c>
    </row>
    <row r="950" spans="1:8">
      <c r="A950" s="62">
        <v>138545509656</v>
      </c>
      <c r="B950" t="s">
        <v>4</v>
      </c>
      <c r="C950" s="35" t="s">
        <v>367</v>
      </c>
      <c r="D950" t="s">
        <v>260</v>
      </c>
      <c r="E950" s="35" t="s">
        <v>367</v>
      </c>
      <c r="F950" s="29" t="s">
        <v>262</v>
      </c>
      <c r="G950" s="36">
        <v>17500</v>
      </c>
      <c r="H950" s="36">
        <v>105</v>
      </c>
    </row>
    <row r="951" spans="1:8">
      <c r="A951" s="62">
        <v>138545532014</v>
      </c>
      <c r="B951" t="s">
        <v>4</v>
      </c>
      <c r="C951" s="35" t="s">
        <v>367</v>
      </c>
      <c r="D951" t="s">
        <v>260</v>
      </c>
      <c r="E951" s="35" t="s">
        <v>367</v>
      </c>
      <c r="F951" s="29" t="s">
        <v>262</v>
      </c>
      <c r="G951" s="36">
        <v>13500</v>
      </c>
      <c r="H951" s="36">
        <v>81</v>
      </c>
    </row>
    <row r="952" spans="1:8">
      <c r="A952" s="62">
        <v>137906502057</v>
      </c>
      <c r="B952" t="s">
        <v>4</v>
      </c>
      <c r="C952" s="35" t="s">
        <v>367</v>
      </c>
      <c r="D952" t="s">
        <v>260</v>
      </c>
      <c r="E952" s="35" t="s">
        <v>367</v>
      </c>
      <c r="F952" s="29" t="s">
        <v>262</v>
      </c>
      <c r="G952" s="36">
        <v>10500</v>
      </c>
      <c r="H952" s="36">
        <v>63</v>
      </c>
    </row>
    <row r="953" spans="1:8">
      <c r="A953" s="62">
        <v>137934058475</v>
      </c>
      <c r="B953" t="s">
        <v>4</v>
      </c>
      <c r="C953" s="35" t="s">
        <v>367</v>
      </c>
      <c r="D953" t="s">
        <v>260</v>
      </c>
      <c r="E953" s="35" t="s">
        <v>367</v>
      </c>
      <c r="F953" s="29" t="s">
        <v>262</v>
      </c>
      <c r="G953" s="36">
        <v>514069.75</v>
      </c>
      <c r="H953" s="36">
        <v>3084.42</v>
      </c>
    </row>
    <row r="954" spans="1:8">
      <c r="A954" s="62">
        <v>138034620679</v>
      </c>
      <c r="B954" t="s">
        <v>263</v>
      </c>
      <c r="C954" s="35" t="s">
        <v>367</v>
      </c>
      <c r="D954" t="s">
        <v>260</v>
      </c>
      <c r="E954" s="35" t="s">
        <v>367</v>
      </c>
      <c r="F954" s="29" t="s">
        <v>262</v>
      </c>
      <c r="G954" s="36">
        <v>19200</v>
      </c>
      <c r="H954" s="36">
        <v>115.2</v>
      </c>
    </row>
    <row r="955" spans="1:8">
      <c r="A955" s="62">
        <v>138034929089</v>
      </c>
      <c r="B955" t="s">
        <v>263</v>
      </c>
      <c r="C955" s="35" t="s">
        <v>367</v>
      </c>
      <c r="D955" t="s">
        <v>260</v>
      </c>
      <c r="E955" s="35" t="s">
        <v>367</v>
      </c>
      <c r="F955" s="29" t="s">
        <v>262</v>
      </c>
      <c r="G955" s="36">
        <v>100</v>
      </c>
      <c r="H955" s="36">
        <v>0.6</v>
      </c>
    </row>
    <row r="956" spans="1:8">
      <c r="A956" s="62">
        <v>138039811091</v>
      </c>
      <c r="B956" t="s">
        <v>263</v>
      </c>
      <c r="C956" s="35" t="s">
        <v>367</v>
      </c>
      <c r="D956" t="s">
        <v>260</v>
      </c>
      <c r="E956" s="35" t="s">
        <v>367</v>
      </c>
      <c r="F956" s="29" t="s">
        <v>262</v>
      </c>
      <c r="G956" s="36">
        <v>4800</v>
      </c>
      <c r="H956" s="36">
        <v>28.8</v>
      </c>
    </row>
    <row r="957" spans="1:8">
      <c r="A957" s="62">
        <v>138016711113</v>
      </c>
      <c r="B957" t="s">
        <v>4</v>
      </c>
      <c r="C957" s="35" t="s">
        <v>367</v>
      </c>
      <c r="D957" t="s">
        <v>260</v>
      </c>
      <c r="E957" s="35" t="s">
        <v>367</v>
      </c>
      <c r="F957" s="29" t="s">
        <v>262</v>
      </c>
      <c r="G957" s="36">
        <v>400000</v>
      </c>
      <c r="H957" s="36">
        <v>2400</v>
      </c>
    </row>
    <row r="958" spans="1:8">
      <c r="A958" s="62">
        <v>138685012854</v>
      </c>
      <c r="B958" t="s">
        <v>4</v>
      </c>
      <c r="C958" s="35" t="s">
        <v>367</v>
      </c>
      <c r="D958" t="s">
        <v>260</v>
      </c>
      <c r="E958" s="35" t="s">
        <v>367</v>
      </c>
      <c r="F958" s="29" t="s">
        <v>262</v>
      </c>
      <c r="G958" s="36">
        <v>15000</v>
      </c>
      <c r="H958" s="36">
        <v>90</v>
      </c>
    </row>
    <row r="959" spans="1:8">
      <c r="A959" s="62">
        <v>138045999405</v>
      </c>
      <c r="B959" t="s">
        <v>263</v>
      </c>
      <c r="C959" s="35" t="s">
        <v>367</v>
      </c>
      <c r="D959" t="s">
        <v>260</v>
      </c>
      <c r="E959" s="35" t="s">
        <v>367</v>
      </c>
      <c r="F959" s="29" t="s">
        <v>262</v>
      </c>
      <c r="G959" s="36">
        <v>109900</v>
      </c>
      <c r="H959" s="36">
        <v>659.4</v>
      </c>
    </row>
    <row r="960" spans="1:8">
      <c r="A960" s="62">
        <v>138047673181</v>
      </c>
      <c r="B960" t="s">
        <v>263</v>
      </c>
      <c r="C960" s="35" t="s">
        <v>367</v>
      </c>
      <c r="D960" t="s">
        <v>260</v>
      </c>
      <c r="E960" s="35" t="s">
        <v>367</v>
      </c>
      <c r="F960" s="29" t="s">
        <v>262</v>
      </c>
      <c r="G960" s="36">
        <v>32000</v>
      </c>
      <c r="H960" s="36">
        <v>192</v>
      </c>
    </row>
    <row r="961" spans="1:8">
      <c r="A961" s="62">
        <v>138052500883</v>
      </c>
      <c r="B961" t="s">
        <v>263</v>
      </c>
      <c r="C961" s="35" t="s">
        <v>367</v>
      </c>
      <c r="D961" t="s">
        <v>260</v>
      </c>
      <c r="E961" s="35" t="s">
        <v>367</v>
      </c>
      <c r="F961" s="29" t="s">
        <v>262</v>
      </c>
      <c r="G961" s="36">
        <v>5000</v>
      </c>
      <c r="H961" s="36">
        <v>30</v>
      </c>
    </row>
    <row r="962" spans="1:8">
      <c r="A962" s="62">
        <v>138692382652</v>
      </c>
      <c r="B962" t="s">
        <v>263</v>
      </c>
      <c r="C962" s="35" t="s">
        <v>367</v>
      </c>
      <c r="D962" t="s">
        <v>260</v>
      </c>
      <c r="E962" s="35" t="s">
        <v>367</v>
      </c>
      <c r="F962" s="29" t="s">
        <v>262</v>
      </c>
      <c r="G962" s="36">
        <v>10500</v>
      </c>
      <c r="H962" s="36">
        <v>63</v>
      </c>
    </row>
    <row r="963" spans="1:8">
      <c r="A963" s="62">
        <v>138053974887</v>
      </c>
      <c r="B963" t="s">
        <v>4</v>
      </c>
      <c r="C963" s="35" t="s">
        <v>367</v>
      </c>
      <c r="D963" t="s">
        <v>260</v>
      </c>
      <c r="E963" s="35" t="s">
        <v>367</v>
      </c>
      <c r="F963" s="29" t="s">
        <v>262</v>
      </c>
      <c r="G963" s="36">
        <v>40600</v>
      </c>
      <c r="H963" s="36">
        <v>243.6</v>
      </c>
    </row>
    <row r="964" spans="1:8">
      <c r="A964" s="62">
        <v>138055864673</v>
      </c>
      <c r="B964" t="s">
        <v>263</v>
      </c>
      <c r="C964" s="35" t="s">
        <v>367</v>
      </c>
      <c r="D964" t="s">
        <v>260</v>
      </c>
      <c r="E964" s="35" t="s">
        <v>367</v>
      </c>
      <c r="F964" s="29" t="s">
        <v>262</v>
      </c>
      <c r="G964" s="36">
        <v>177000</v>
      </c>
      <c r="H964" s="36">
        <v>1062</v>
      </c>
    </row>
    <row r="965" spans="1:8">
      <c r="A965" s="62">
        <v>138695928646</v>
      </c>
      <c r="B965" t="s">
        <v>263</v>
      </c>
      <c r="C965" s="35" t="s">
        <v>367</v>
      </c>
      <c r="D965" t="s">
        <v>260</v>
      </c>
      <c r="E965" s="35" t="s">
        <v>367</v>
      </c>
      <c r="F965" s="29" t="s">
        <v>262</v>
      </c>
      <c r="G965" s="36">
        <v>33900</v>
      </c>
      <c r="H965" s="36">
        <v>203.4</v>
      </c>
    </row>
    <row r="966" spans="1:8">
      <c r="A966" s="62">
        <v>138696344716</v>
      </c>
      <c r="B966" t="s">
        <v>4</v>
      </c>
      <c r="C966" s="35" t="s">
        <v>367</v>
      </c>
      <c r="D966" t="s">
        <v>260</v>
      </c>
      <c r="E966" s="35" t="s">
        <v>367</v>
      </c>
      <c r="F966" s="29" t="s">
        <v>262</v>
      </c>
      <c r="G966" s="36">
        <v>52700</v>
      </c>
      <c r="H966" s="36">
        <v>316.2</v>
      </c>
    </row>
    <row r="967" spans="1:8">
      <c r="A967" s="62">
        <v>138034620679</v>
      </c>
      <c r="B967" t="s">
        <v>263</v>
      </c>
      <c r="C967" s="35" t="s">
        <v>367</v>
      </c>
      <c r="D967" t="s">
        <v>287</v>
      </c>
      <c r="E967" s="35" t="s">
        <v>367</v>
      </c>
      <c r="F967" s="29" t="s">
        <v>262</v>
      </c>
      <c r="G967" s="36">
        <v>-19200</v>
      </c>
      <c r="H967" s="36">
        <v>-115.2</v>
      </c>
    </row>
    <row r="968" spans="1:8">
      <c r="A968" s="62">
        <v>138674677786</v>
      </c>
      <c r="B968" t="s">
        <v>263</v>
      </c>
      <c r="C968" s="35" t="s">
        <v>367</v>
      </c>
      <c r="D968" t="s">
        <v>260</v>
      </c>
      <c r="E968" s="35" t="s">
        <v>367</v>
      </c>
      <c r="F968" s="29" t="s">
        <v>262</v>
      </c>
      <c r="G968" s="36">
        <v>19200</v>
      </c>
      <c r="H968" s="36">
        <v>115.2</v>
      </c>
    </row>
    <row r="969" spans="1:8">
      <c r="A969" s="62">
        <v>138697916442</v>
      </c>
      <c r="B969" t="s">
        <v>378</v>
      </c>
      <c r="C969" s="35" t="s">
        <v>367</v>
      </c>
      <c r="D969" t="s">
        <v>260</v>
      </c>
      <c r="E969" s="35" t="s">
        <v>367</v>
      </c>
      <c r="F969" s="29" t="s">
        <v>262</v>
      </c>
      <c r="G969" s="36">
        <v>2985</v>
      </c>
      <c r="H969" s="36">
        <v>17.91</v>
      </c>
    </row>
    <row r="970" spans="1:8">
      <c r="A970" s="62">
        <v>138034929089</v>
      </c>
      <c r="B970" t="s">
        <v>263</v>
      </c>
      <c r="C970" s="35" t="s">
        <v>367</v>
      </c>
      <c r="D970" t="s">
        <v>287</v>
      </c>
      <c r="E970" s="35" t="s">
        <v>367</v>
      </c>
      <c r="F970" s="29" t="s">
        <v>262</v>
      </c>
      <c r="G970" s="36">
        <v>-100</v>
      </c>
      <c r="H970" s="36">
        <v>-0.6</v>
      </c>
    </row>
    <row r="971" spans="1:8">
      <c r="A971" s="62">
        <v>138699426344</v>
      </c>
      <c r="B971" t="s">
        <v>4</v>
      </c>
      <c r="C971" s="35" t="s">
        <v>367</v>
      </c>
      <c r="D971" t="s">
        <v>260</v>
      </c>
      <c r="E971" s="35" t="s">
        <v>367</v>
      </c>
      <c r="F971" s="29" t="s">
        <v>262</v>
      </c>
      <c r="G971" s="36">
        <v>31500</v>
      </c>
      <c r="H971" s="36">
        <v>189</v>
      </c>
    </row>
    <row r="972" spans="1:8">
      <c r="A972" s="62">
        <v>138060572491</v>
      </c>
      <c r="B972" t="s">
        <v>4</v>
      </c>
      <c r="C972" s="35" t="s">
        <v>367</v>
      </c>
      <c r="D972" t="s">
        <v>260</v>
      </c>
      <c r="E972" s="35" t="s">
        <v>367</v>
      </c>
      <c r="F972" s="29" t="s">
        <v>262</v>
      </c>
      <c r="G972" s="36">
        <v>16000</v>
      </c>
      <c r="H972" s="36">
        <v>96</v>
      </c>
    </row>
    <row r="973" spans="1:8">
      <c r="A973" s="62">
        <v>138061721195</v>
      </c>
      <c r="B973" t="s">
        <v>263</v>
      </c>
      <c r="C973" s="35" t="s">
        <v>367</v>
      </c>
      <c r="D973" t="s">
        <v>260</v>
      </c>
      <c r="E973" s="35" t="s">
        <v>367</v>
      </c>
      <c r="F973" s="29" t="s">
        <v>262</v>
      </c>
      <c r="G973" s="36">
        <v>76300</v>
      </c>
      <c r="H973" s="36">
        <v>457.8</v>
      </c>
    </row>
    <row r="974" spans="1:8">
      <c r="A974" s="62">
        <v>138061896843</v>
      </c>
      <c r="B974" t="s">
        <v>263</v>
      </c>
      <c r="C974" s="35" t="s">
        <v>367</v>
      </c>
      <c r="D974" t="s">
        <v>260</v>
      </c>
      <c r="E974" s="35" t="s">
        <v>367</v>
      </c>
      <c r="F974" s="29" t="s">
        <v>262</v>
      </c>
      <c r="G974" s="36">
        <v>36400</v>
      </c>
      <c r="H974" s="36">
        <v>218.4</v>
      </c>
    </row>
    <row r="975" spans="1:8">
      <c r="A975" s="62">
        <v>138703142834</v>
      </c>
      <c r="B975" t="s">
        <v>4</v>
      </c>
      <c r="C975" s="35" t="s">
        <v>367</v>
      </c>
      <c r="D975" t="s">
        <v>260</v>
      </c>
      <c r="E975" s="35" t="s">
        <v>367</v>
      </c>
      <c r="F975" s="29" t="s">
        <v>262</v>
      </c>
      <c r="G975" s="36">
        <v>4800</v>
      </c>
      <c r="H975" s="36">
        <v>28.8</v>
      </c>
    </row>
    <row r="976" spans="1:8">
      <c r="A976" s="62">
        <v>138041526863</v>
      </c>
      <c r="B976" t="s">
        <v>4</v>
      </c>
      <c r="C976" s="35" t="s">
        <v>367</v>
      </c>
      <c r="D976" t="s">
        <v>260</v>
      </c>
      <c r="E976" s="35" t="s">
        <v>367</v>
      </c>
      <c r="F976" s="29" t="s">
        <v>262</v>
      </c>
      <c r="G976" s="36">
        <v>16700</v>
      </c>
      <c r="H976" s="36">
        <v>100.2</v>
      </c>
    </row>
    <row r="977" spans="1:8">
      <c r="A977" s="62">
        <v>138703994676</v>
      </c>
      <c r="B977" t="s">
        <v>4</v>
      </c>
      <c r="C977" s="35" t="s">
        <v>367</v>
      </c>
      <c r="D977" t="s">
        <v>260</v>
      </c>
      <c r="E977" s="35" t="s">
        <v>379</v>
      </c>
      <c r="F977" s="29" t="s">
        <v>262</v>
      </c>
      <c r="G977" s="36">
        <v>50700</v>
      </c>
      <c r="H977" s="36">
        <v>304.2</v>
      </c>
    </row>
    <row r="978" spans="1:8">
      <c r="A978" s="62">
        <v>138704550514</v>
      </c>
      <c r="B978" t="s">
        <v>4</v>
      </c>
      <c r="C978" s="35" t="s">
        <v>367</v>
      </c>
      <c r="D978" t="s">
        <v>260</v>
      </c>
      <c r="E978" s="35" t="s">
        <v>379</v>
      </c>
      <c r="F978" s="29" t="s">
        <v>262</v>
      </c>
      <c r="G978" s="36">
        <v>65900</v>
      </c>
      <c r="H978" s="36">
        <v>395.4</v>
      </c>
    </row>
    <row r="979" spans="1:8">
      <c r="A979" s="62">
        <v>138064631729</v>
      </c>
      <c r="B979" t="s">
        <v>380</v>
      </c>
      <c r="C979" s="35" t="s">
        <v>367</v>
      </c>
      <c r="D979" t="s">
        <v>260</v>
      </c>
      <c r="E979" s="35" t="s">
        <v>379</v>
      </c>
      <c r="F979" s="29" t="s">
        <v>262</v>
      </c>
      <c r="G979" s="36">
        <v>6590</v>
      </c>
      <c r="H979" s="36">
        <v>39.54</v>
      </c>
    </row>
    <row r="980" spans="1:8">
      <c r="A980" s="62">
        <v>138705039232</v>
      </c>
      <c r="B980" t="s">
        <v>4</v>
      </c>
      <c r="C980" s="35" t="s">
        <v>367</v>
      </c>
      <c r="D980" t="s">
        <v>260</v>
      </c>
      <c r="E980" s="35" t="s">
        <v>379</v>
      </c>
      <c r="F980" s="29" t="s">
        <v>262</v>
      </c>
      <c r="G980" s="36">
        <v>5000</v>
      </c>
      <c r="H980" s="36">
        <v>30</v>
      </c>
    </row>
    <row r="981" spans="1:8">
      <c r="A981" s="62">
        <v>138043978781</v>
      </c>
      <c r="B981" t="s">
        <v>4</v>
      </c>
      <c r="C981" s="35" t="s">
        <v>367</v>
      </c>
      <c r="D981" t="s">
        <v>260</v>
      </c>
      <c r="E981" s="35" t="s">
        <v>367</v>
      </c>
      <c r="F981" s="29" t="s">
        <v>262</v>
      </c>
      <c r="G981" s="36">
        <v>5500</v>
      </c>
      <c r="H981" s="36">
        <v>33</v>
      </c>
    </row>
    <row r="982" spans="1:8">
      <c r="A982" s="62">
        <v>138708147740</v>
      </c>
      <c r="B982" t="s">
        <v>4</v>
      </c>
      <c r="C982" s="35" t="s">
        <v>367</v>
      </c>
      <c r="D982" t="s">
        <v>260</v>
      </c>
      <c r="E982" s="35" t="s">
        <v>379</v>
      </c>
      <c r="F982" s="29" t="s">
        <v>262</v>
      </c>
      <c r="G982" s="36">
        <v>42800</v>
      </c>
      <c r="H982" s="36">
        <v>256.8</v>
      </c>
    </row>
    <row r="983" spans="1:8">
      <c r="A983" s="62">
        <v>138685196796</v>
      </c>
      <c r="B983" t="s">
        <v>263</v>
      </c>
      <c r="C983" s="35" t="s">
        <v>367</v>
      </c>
      <c r="D983" t="s">
        <v>260</v>
      </c>
      <c r="E983" s="35" t="s">
        <v>367</v>
      </c>
      <c r="F983" s="29" t="s">
        <v>262</v>
      </c>
      <c r="G983" s="36">
        <v>10000</v>
      </c>
      <c r="H983" s="36">
        <v>60</v>
      </c>
    </row>
    <row r="984" spans="1:8">
      <c r="A984" s="62">
        <v>138709041032</v>
      </c>
      <c r="B984" t="s">
        <v>4</v>
      </c>
      <c r="C984" s="35" t="s">
        <v>379</v>
      </c>
      <c r="D984" t="s">
        <v>260</v>
      </c>
      <c r="E984" s="35" t="s">
        <v>379</v>
      </c>
      <c r="F984" s="29" t="s">
        <v>262</v>
      </c>
      <c r="G984" s="36">
        <v>67500</v>
      </c>
      <c r="H984" s="36">
        <v>405</v>
      </c>
    </row>
    <row r="985" spans="1:8">
      <c r="A985" s="62">
        <v>138710023050</v>
      </c>
      <c r="B985" t="s">
        <v>263</v>
      </c>
      <c r="C985" s="35" t="s">
        <v>379</v>
      </c>
      <c r="D985" t="s">
        <v>260</v>
      </c>
      <c r="E985" s="35" t="s">
        <v>379</v>
      </c>
      <c r="F985" s="29" t="s">
        <v>262</v>
      </c>
      <c r="G985" s="36">
        <v>5000</v>
      </c>
      <c r="H985" s="36">
        <v>30</v>
      </c>
    </row>
    <row r="986" spans="1:8">
      <c r="A986" s="62">
        <v>138069999425</v>
      </c>
      <c r="B986" t="s">
        <v>263</v>
      </c>
      <c r="C986" s="35" t="s">
        <v>379</v>
      </c>
      <c r="D986" t="s">
        <v>260</v>
      </c>
      <c r="E986" s="35" t="s">
        <v>379</v>
      </c>
      <c r="F986" s="29" t="s">
        <v>262</v>
      </c>
      <c r="G986" s="36">
        <v>4800</v>
      </c>
      <c r="H986" s="36">
        <v>28.8</v>
      </c>
    </row>
    <row r="987" spans="1:8">
      <c r="A987" s="62">
        <v>138687056118</v>
      </c>
      <c r="B987" t="s">
        <v>4</v>
      </c>
      <c r="C987" s="35" t="s">
        <v>367</v>
      </c>
      <c r="D987" t="s">
        <v>260</v>
      </c>
      <c r="E987" s="35" t="s">
        <v>367</v>
      </c>
      <c r="F987" s="29" t="s">
        <v>262</v>
      </c>
      <c r="G987" s="36">
        <v>11000</v>
      </c>
      <c r="H987" s="36">
        <v>66</v>
      </c>
    </row>
    <row r="988" spans="1:8">
      <c r="A988" s="62">
        <v>138710725930</v>
      </c>
      <c r="B988" t="s">
        <v>4</v>
      </c>
      <c r="C988" s="35" t="s">
        <v>379</v>
      </c>
      <c r="D988" t="s">
        <v>260</v>
      </c>
      <c r="E988" s="35" t="s">
        <v>379</v>
      </c>
      <c r="F988" s="29" t="s">
        <v>262</v>
      </c>
      <c r="G988" s="36">
        <v>5500</v>
      </c>
      <c r="H988" s="36">
        <v>33</v>
      </c>
    </row>
    <row r="989" spans="1:8">
      <c r="A989" s="62">
        <v>138711660284</v>
      </c>
      <c r="B989" t="s">
        <v>4</v>
      </c>
      <c r="C989" s="35" t="s">
        <v>379</v>
      </c>
      <c r="D989" t="s">
        <v>260</v>
      </c>
      <c r="E989" s="35" t="s">
        <v>379</v>
      </c>
      <c r="F989" s="29" t="s">
        <v>262</v>
      </c>
      <c r="G989" s="36">
        <v>20000</v>
      </c>
      <c r="H989" s="36">
        <v>120</v>
      </c>
    </row>
    <row r="990" spans="1:8">
      <c r="A990" s="62">
        <v>138071717769</v>
      </c>
      <c r="B990" t="s">
        <v>4</v>
      </c>
      <c r="C990" s="35" t="s">
        <v>379</v>
      </c>
      <c r="D990" t="s">
        <v>260</v>
      </c>
      <c r="E990" s="35" t="s">
        <v>379</v>
      </c>
      <c r="F990" s="29" t="s">
        <v>262</v>
      </c>
      <c r="G990" s="36">
        <v>26300</v>
      </c>
      <c r="H990" s="36">
        <v>157.80000000000001</v>
      </c>
    </row>
    <row r="991" spans="1:8">
      <c r="A991" s="62">
        <v>138072709179</v>
      </c>
      <c r="B991" t="s">
        <v>263</v>
      </c>
      <c r="C991" s="35" t="s">
        <v>379</v>
      </c>
      <c r="D991" t="s">
        <v>260</v>
      </c>
      <c r="E991" s="35" t="s">
        <v>379</v>
      </c>
      <c r="F991" s="29" t="s">
        <v>262</v>
      </c>
      <c r="G991" s="36">
        <v>30200</v>
      </c>
      <c r="H991" s="36">
        <v>181.2</v>
      </c>
    </row>
    <row r="992" spans="1:8">
      <c r="A992" s="62">
        <v>138049357257</v>
      </c>
      <c r="B992" t="s">
        <v>4</v>
      </c>
      <c r="C992" s="35" t="s">
        <v>367</v>
      </c>
      <c r="D992" t="s">
        <v>260</v>
      </c>
      <c r="E992" s="35" t="s">
        <v>367</v>
      </c>
      <c r="F992" s="29" t="s">
        <v>262</v>
      </c>
      <c r="G992" s="36">
        <v>10500</v>
      </c>
      <c r="H992" s="36">
        <v>63</v>
      </c>
    </row>
    <row r="993" spans="1:8">
      <c r="A993" s="62">
        <v>138713132944</v>
      </c>
      <c r="B993" t="s">
        <v>4</v>
      </c>
      <c r="C993" s="35" t="s">
        <v>379</v>
      </c>
      <c r="D993" t="s">
        <v>260</v>
      </c>
      <c r="E993" s="35" t="s">
        <v>379</v>
      </c>
      <c r="F993" s="29" t="s">
        <v>262</v>
      </c>
      <c r="G993" s="36">
        <v>35500</v>
      </c>
      <c r="H993" s="36">
        <v>213</v>
      </c>
    </row>
    <row r="994" spans="1:8">
      <c r="A994" s="62">
        <v>138713390948</v>
      </c>
      <c r="B994" t="s">
        <v>263</v>
      </c>
      <c r="C994" s="35" t="s">
        <v>379</v>
      </c>
      <c r="D994" t="s">
        <v>260</v>
      </c>
      <c r="E994" s="35" t="s">
        <v>379</v>
      </c>
      <c r="F994" s="29" t="s">
        <v>262</v>
      </c>
      <c r="G994" s="36">
        <v>25400</v>
      </c>
      <c r="H994" s="36">
        <v>152.4</v>
      </c>
    </row>
    <row r="995" spans="1:8">
      <c r="A995" s="62">
        <v>138713517800</v>
      </c>
      <c r="B995" t="s">
        <v>263</v>
      </c>
      <c r="C995" s="35" t="s">
        <v>379</v>
      </c>
      <c r="D995" t="s">
        <v>260</v>
      </c>
      <c r="E995" s="35" t="s">
        <v>379</v>
      </c>
      <c r="F995" s="29" t="s">
        <v>262</v>
      </c>
      <c r="G995" s="36">
        <v>50500</v>
      </c>
      <c r="H995" s="36">
        <v>303</v>
      </c>
    </row>
    <row r="996" spans="1:8">
      <c r="A996" s="62">
        <v>138691649412</v>
      </c>
      <c r="B996" t="s">
        <v>4</v>
      </c>
      <c r="C996" s="35" t="s">
        <v>367</v>
      </c>
      <c r="D996" t="s">
        <v>260</v>
      </c>
      <c r="E996" s="35" t="s">
        <v>367</v>
      </c>
      <c r="F996" s="29" t="s">
        <v>262</v>
      </c>
      <c r="G996" s="36">
        <v>15000</v>
      </c>
      <c r="H996" s="36">
        <v>90</v>
      </c>
    </row>
    <row r="997" spans="1:8">
      <c r="A997" s="62">
        <v>138052305423</v>
      </c>
      <c r="B997" t="s">
        <v>263</v>
      </c>
      <c r="C997" s="35" t="s">
        <v>367</v>
      </c>
      <c r="D997" t="s">
        <v>260</v>
      </c>
      <c r="E997" s="35" t="s">
        <v>367</v>
      </c>
      <c r="F997" s="29" t="s">
        <v>262</v>
      </c>
      <c r="G997" s="36">
        <v>12500</v>
      </c>
      <c r="H997" s="36">
        <v>75</v>
      </c>
    </row>
    <row r="998" spans="1:8">
      <c r="A998" s="62">
        <v>138053465951</v>
      </c>
      <c r="B998" t="s">
        <v>4</v>
      </c>
      <c r="C998" s="35" t="s">
        <v>367</v>
      </c>
      <c r="D998" t="s">
        <v>260</v>
      </c>
      <c r="E998" s="35" t="s">
        <v>367</v>
      </c>
      <c r="F998" s="29" t="s">
        <v>262</v>
      </c>
      <c r="G998" s="36">
        <v>10500</v>
      </c>
      <c r="H998" s="36">
        <v>63</v>
      </c>
    </row>
    <row r="999" spans="1:8">
      <c r="A999" s="62">
        <v>138053901839</v>
      </c>
      <c r="B999" t="s">
        <v>381</v>
      </c>
      <c r="C999" s="35" t="s">
        <v>367</v>
      </c>
      <c r="D999" t="s">
        <v>260</v>
      </c>
      <c r="E999" s="35" t="s">
        <v>367</v>
      </c>
      <c r="F999" s="29" t="s">
        <v>262</v>
      </c>
      <c r="G999" s="36">
        <v>4060</v>
      </c>
      <c r="H999" s="36">
        <v>24.36</v>
      </c>
    </row>
    <row r="1000" spans="1:8">
      <c r="A1000" s="62">
        <v>138055103481</v>
      </c>
      <c r="B1000" t="s">
        <v>263</v>
      </c>
      <c r="C1000" s="35" t="s">
        <v>367</v>
      </c>
      <c r="D1000" t="s">
        <v>260</v>
      </c>
      <c r="E1000" s="35" t="s">
        <v>367</v>
      </c>
      <c r="F1000" s="29" t="s">
        <v>262</v>
      </c>
      <c r="G1000" s="36">
        <v>59800</v>
      </c>
      <c r="H1000" s="36">
        <v>358.8</v>
      </c>
    </row>
    <row r="1001" spans="1:8">
      <c r="A1001" s="62">
        <v>138056660625</v>
      </c>
      <c r="B1001" t="s">
        <v>263</v>
      </c>
      <c r="C1001" s="35" t="s">
        <v>367</v>
      </c>
      <c r="D1001" t="s">
        <v>260</v>
      </c>
      <c r="E1001" s="35" t="s">
        <v>367</v>
      </c>
      <c r="F1001" s="29" t="s">
        <v>262</v>
      </c>
      <c r="G1001" s="36">
        <v>30500</v>
      </c>
      <c r="H1001" s="36">
        <v>183</v>
      </c>
    </row>
    <row r="1002" spans="1:8">
      <c r="A1002" s="62">
        <v>138697904534</v>
      </c>
      <c r="B1002" t="s">
        <v>4</v>
      </c>
      <c r="C1002" s="35" t="s">
        <v>367</v>
      </c>
      <c r="D1002" t="s">
        <v>260</v>
      </c>
      <c r="E1002" s="35" t="s">
        <v>367</v>
      </c>
      <c r="F1002" s="29" t="s">
        <v>262</v>
      </c>
      <c r="G1002" s="36">
        <v>59700</v>
      </c>
      <c r="H1002" s="36">
        <v>358.2</v>
      </c>
    </row>
    <row r="1003" spans="1:8">
      <c r="A1003" s="62">
        <v>138058107457</v>
      </c>
      <c r="B1003" t="s">
        <v>4</v>
      </c>
      <c r="C1003" s="35" t="s">
        <v>367</v>
      </c>
      <c r="D1003" t="s">
        <v>260</v>
      </c>
      <c r="E1003" s="35" t="s">
        <v>367</v>
      </c>
      <c r="F1003" s="29" t="s">
        <v>262</v>
      </c>
      <c r="G1003" s="36">
        <v>51600</v>
      </c>
      <c r="H1003" s="36">
        <v>309.60000000000002</v>
      </c>
    </row>
    <row r="1004" spans="1:8">
      <c r="A1004" s="62">
        <v>138060170477</v>
      </c>
      <c r="B1004" t="s">
        <v>4</v>
      </c>
      <c r="C1004" s="35" t="s">
        <v>367</v>
      </c>
      <c r="D1004" t="s">
        <v>260</v>
      </c>
      <c r="E1004" s="35" t="s">
        <v>367</v>
      </c>
      <c r="F1004" s="29" t="s">
        <v>262</v>
      </c>
      <c r="G1004" s="36">
        <v>29300</v>
      </c>
      <c r="H1004" s="36">
        <v>175.8</v>
      </c>
    </row>
    <row r="1005" spans="1:8">
      <c r="A1005" s="62">
        <v>138701890684</v>
      </c>
      <c r="B1005" t="s">
        <v>263</v>
      </c>
      <c r="C1005" s="35" t="s">
        <v>367</v>
      </c>
      <c r="D1005" t="s">
        <v>260</v>
      </c>
      <c r="E1005" s="35" t="s">
        <v>367</v>
      </c>
      <c r="F1005" s="29" t="s">
        <v>262</v>
      </c>
      <c r="G1005" s="36">
        <v>113900</v>
      </c>
      <c r="H1005" s="36">
        <v>683.4</v>
      </c>
    </row>
    <row r="1006" spans="1:8">
      <c r="A1006" s="62">
        <v>138062703771</v>
      </c>
      <c r="B1006" t="s">
        <v>263</v>
      </c>
      <c r="C1006" s="35" t="s">
        <v>367</v>
      </c>
      <c r="D1006" t="s">
        <v>260</v>
      </c>
      <c r="E1006" s="35" t="s">
        <v>367</v>
      </c>
      <c r="F1006" s="29" t="s">
        <v>262</v>
      </c>
      <c r="G1006" s="36">
        <v>59600</v>
      </c>
      <c r="H1006" s="36">
        <v>357.6</v>
      </c>
    </row>
    <row r="1007" spans="1:8">
      <c r="A1007" s="62">
        <v>138702659938</v>
      </c>
      <c r="B1007" t="s">
        <v>4</v>
      </c>
      <c r="C1007" s="35" t="s">
        <v>367</v>
      </c>
      <c r="D1007" t="s">
        <v>260</v>
      </c>
      <c r="E1007" s="35" t="s">
        <v>367</v>
      </c>
      <c r="F1007" s="29" t="s">
        <v>262</v>
      </c>
      <c r="G1007" s="36">
        <v>104400</v>
      </c>
      <c r="H1007" s="36">
        <v>626.4</v>
      </c>
    </row>
    <row r="1008" spans="1:8">
      <c r="A1008" s="62">
        <v>138702853772</v>
      </c>
      <c r="B1008" t="s">
        <v>263</v>
      </c>
      <c r="C1008" s="35" t="s">
        <v>367</v>
      </c>
      <c r="D1008" t="s">
        <v>260</v>
      </c>
      <c r="E1008" s="35" t="s">
        <v>367</v>
      </c>
      <c r="F1008" s="29" t="s">
        <v>262</v>
      </c>
      <c r="G1008" s="36">
        <v>4800</v>
      </c>
      <c r="H1008" s="36">
        <v>28.8</v>
      </c>
    </row>
    <row r="1009" spans="1:8">
      <c r="A1009" s="62">
        <v>138706049188</v>
      </c>
      <c r="B1009" t="s">
        <v>263</v>
      </c>
      <c r="C1009" s="35" t="s">
        <v>367</v>
      </c>
      <c r="D1009" t="s">
        <v>260</v>
      </c>
      <c r="E1009" s="35" t="s">
        <v>379</v>
      </c>
      <c r="F1009" s="29" t="s">
        <v>262</v>
      </c>
      <c r="G1009" s="36">
        <v>45000</v>
      </c>
      <c r="H1009" s="36">
        <v>270</v>
      </c>
    </row>
    <row r="1010" spans="1:8">
      <c r="A1010" s="62">
        <v>138066372851</v>
      </c>
      <c r="B1010" t="s">
        <v>263</v>
      </c>
      <c r="C1010" s="35" t="s">
        <v>367</v>
      </c>
      <c r="D1010" t="s">
        <v>260</v>
      </c>
      <c r="E1010" s="35" t="s">
        <v>379</v>
      </c>
      <c r="F1010" s="29" t="s">
        <v>262</v>
      </c>
      <c r="G1010" s="36">
        <v>4800</v>
      </c>
      <c r="H1010" s="36">
        <v>28.8</v>
      </c>
    </row>
    <row r="1011" spans="1:8">
      <c r="A1011" s="62">
        <v>138706937248</v>
      </c>
      <c r="B1011" t="s">
        <v>263</v>
      </c>
      <c r="C1011" s="35" t="s">
        <v>367</v>
      </c>
      <c r="D1011" t="s">
        <v>260</v>
      </c>
      <c r="E1011" s="35" t="s">
        <v>379</v>
      </c>
      <c r="F1011" s="29" t="s">
        <v>262</v>
      </c>
      <c r="G1011" s="36">
        <v>55700</v>
      </c>
      <c r="H1011" s="36">
        <v>334.2</v>
      </c>
    </row>
    <row r="1012" spans="1:8">
      <c r="A1012" s="62">
        <v>138707444206</v>
      </c>
      <c r="B1012" t="s">
        <v>263</v>
      </c>
      <c r="C1012" s="35" t="s">
        <v>367</v>
      </c>
      <c r="D1012" t="s">
        <v>260</v>
      </c>
      <c r="E1012" s="35" t="s">
        <v>379</v>
      </c>
      <c r="F1012" s="29" t="s">
        <v>262</v>
      </c>
      <c r="G1012" s="36">
        <v>91200</v>
      </c>
      <c r="H1012" s="36">
        <v>547.20000000000005</v>
      </c>
    </row>
    <row r="1013" spans="1:8">
      <c r="A1013" s="62">
        <v>138067716027</v>
      </c>
      <c r="B1013" t="s">
        <v>4</v>
      </c>
      <c r="C1013" s="35" t="s">
        <v>367</v>
      </c>
      <c r="D1013" t="s">
        <v>260</v>
      </c>
      <c r="E1013" s="35" t="s">
        <v>379</v>
      </c>
      <c r="F1013" s="29" t="s">
        <v>262</v>
      </c>
      <c r="G1013" s="36">
        <v>44300</v>
      </c>
      <c r="H1013" s="36">
        <v>265.8</v>
      </c>
    </row>
    <row r="1014" spans="1:8">
      <c r="A1014" s="62">
        <v>138068490929</v>
      </c>
      <c r="B1014" t="s">
        <v>4</v>
      </c>
      <c r="C1014" s="35" t="s">
        <v>379</v>
      </c>
      <c r="D1014" t="s">
        <v>260</v>
      </c>
      <c r="E1014" s="35" t="s">
        <v>379</v>
      </c>
      <c r="F1014" s="29" t="s">
        <v>262</v>
      </c>
      <c r="G1014" s="36">
        <v>34500</v>
      </c>
      <c r="H1014" s="36">
        <v>207</v>
      </c>
    </row>
    <row r="1015" spans="1:8">
      <c r="A1015" s="62">
        <v>138068724249</v>
      </c>
      <c r="B1015" t="s">
        <v>4</v>
      </c>
      <c r="C1015" s="35" t="s">
        <v>379</v>
      </c>
      <c r="D1015" t="s">
        <v>260</v>
      </c>
      <c r="E1015" s="35" t="s">
        <v>379</v>
      </c>
      <c r="F1015" s="29" t="s">
        <v>262</v>
      </c>
      <c r="G1015" s="36">
        <v>47500</v>
      </c>
      <c r="H1015" s="36">
        <v>285</v>
      </c>
    </row>
    <row r="1016" spans="1:8">
      <c r="A1016" s="62">
        <v>138709043828</v>
      </c>
      <c r="B1016" t="s">
        <v>4</v>
      </c>
      <c r="C1016" s="35" t="s">
        <v>379</v>
      </c>
      <c r="D1016" t="s">
        <v>260</v>
      </c>
      <c r="E1016" s="35" t="s">
        <v>379</v>
      </c>
      <c r="F1016" s="29" t="s">
        <v>262</v>
      </c>
      <c r="G1016" s="36">
        <v>47200</v>
      </c>
      <c r="H1016" s="36">
        <v>283.2</v>
      </c>
    </row>
    <row r="1017" spans="1:8">
      <c r="A1017" s="62">
        <v>138069276345</v>
      </c>
      <c r="B1017" t="s">
        <v>382</v>
      </c>
      <c r="C1017" s="35" t="s">
        <v>379</v>
      </c>
      <c r="D1017" t="s">
        <v>260</v>
      </c>
      <c r="E1017" s="35" t="s">
        <v>379</v>
      </c>
      <c r="F1017" s="29" t="s">
        <v>262</v>
      </c>
      <c r="G1017" s="36">
        <v>4720</v>
      </c>
      <c r="H1017" s="36">
        <v>28.32</v>
      </c>
    </row>
    <row r="1018" spans="1:8">
      <c r="A1018" s="62">
        <v>138709514288</v>
      </c>
      <c r="B1018" t="s">
        <v>4</v>
      </c>
      <c r="C1018" s="35" t="s">
        <v>379</v>
      </c>
      <c r="D1018" t="s">
        <v>260</v>
      </c>
      <c r="E1018" s="35" t="s">
        <v>379</v>
      </c>
      <c r="F1018" s="29" t="s">
        <v>262</v>
      </c>
      <c r="G1018" s="36">
        <v>20700</v>
      </c>
      <c r="H1018" s="36">
        <v>124.2</v>
      </c>
    </row>
    <row r="1019" spans="1:8">
      <c r="A1019" s="62">
        <v>138710020218</v>
      </c>
      <c r="B1019" t="s">
        <v>4</v>
      </c>
      <c r="C1019" s="35" t="s">
        <v>379</v>
      </c>
      <c r="D1019" t="s">
        <v>260</v>
      </c>
      <c r="E1019" s="35" t="s">
        <v>379</v>
      </c>
      <c r="F1019" s="29" t="s">
        <v>262</v>
      </c>
      <c r="G1019" s="36">
        <v>37600</v>
      </c>
      <c r="H1019" s="36">
        <v>225.6</v>
      </c>
    </row>
    <row r="1020" spans="1:8">
      <c r="A1020" s="62">
        <v>138070771505</v>
      </c>
      <c r="B1020" t="s">
        <v>4</v>
      </c>
      <c r="C1020" s="35" t="s">
        <v>379</v>
      </c>
      <c r="D1020" t="s">
        <v>260</v>
      </c>
      <c r="E1020" s="35" t="s">
        <v>379</v>
      </c>
      <c r="F1020" s="29" t="s">
        <v>262</v>
      </c>
      <c r="G1020" s="36">
        <v>5500</v>
      </c>
      <c r="H1020" s="36">
        <v>33</v>
      </c>
    </row>
    <row r="1021" spans="1:8">
      <c r="A1021" s="62">
        <v>138071304667</v>
      </c>
      <c r="B1021" t="s">
        <v>4</v>
      </c>
      <c r="C1021" s="35" t="s">
        <v>379</v>
      </c>
      <c r="D1021" t="s">
        <v>260</v>
      </c>
      <c r="E1021" s="35" t="s">
        <v>379</v>
      </c>
      <c r="F1021" s="29" t="s">
        <v>262</v>
      </c>
      <c r="G1021" s="36">
        <v>26500</v>
      </c>
      <c r="H1021" s="36">
        <v>159</v>
      </c>
    </row>
    <row r="1022" spans="1:8">
      <c r="A1022" s="62">
        <v>138712596668</v>
      </c>
      <c r="B1022" t="s">
        <v>263</v>
      </c>
      <c r="C1022" s="35" t="s">
        <v>379</v>
      </c>
      <c r="D1022" t="s">
        <v>260</v>
      </c>
      <c r="E1022" s="35" t="s">
        <v>379</v>
      </c>
      <c r="F1022" s="29" t="s">
        <v>262</v>
      </c>
      <c r="G1022" s="36">
        <v>27900</v>
      </c>
      <c r="H1022" s="36">
        <v>167.4</v>
      </c>
    </row>
    <row r="1023" spans="1:8">
      <c r="A1023" s="62">
        <v>138072727715</v>
      </c>
      <c r="B1023" t="s">
        <v>4</v>
      </c>
      <c r="C1023" s="35" t="s">
        <v>379</v>
      </c>
      <c r="D1023" t="s">
        <v>260</v>
      </c>
      <c r="E1023" s="35" t="s">
        <v>379</v>
      </c>
      <c r="F1023" s="29" t="s">
        <v>262</v>
      </c>
      <c r="G1023" s="36">
        <v>27500</v>
      </c>
      <c r="H1023" s="36">
        <v>165</v>
      </c>
    </row>
    <row r="1024" spans="1:8">
      <c r="A1024" s="62">
        <v>138712746706</v>
      </c>
      <c r="B1024" t="s">
        <v>4</v>
      </c>
      <c r="C1024" s="35" t="s">
        <v>379</v>
      </c>
      <c r="D1024" t="s">
        <v>260</v>
      </c>
      <c r="E1024" s="35" t="s">
        <v>379</v>
      </c>
      <c r="F1024" s="29" t="s">
        <v>262</v>
      </c>
      <c r="G1024" s="36">
        <v>10500</v>
      </c>
      <c r="H1024" s="36">
        <v>63</v>
      </c>
    </row>
    <row r="1025" spans="1:8">
      <c r="A1025" s="62">
        <v>138072847151</v>
      </c>
      <c r="B1025" t="s">
        <v>383</v>
      </c>
      <c r="C1025" s="35" t="s">
        <v>379</v>
      </c>
      <c r="D1025" t="s">
        <v>260</v>
      </c>
      <c r="E1025" s="35" t="s">
        <v>379</v>
      </c>
      <c r="F1025" s="29" t="s">
        <v>262</v>
      </c>
      <c r="G1025" s="36">
        <v>2940</v>
      </c>
      <c r="H1025" s="36">
        <v>17.64</v>
      </c>
    </row>
    <row r="1026" spans="1:8">
      <c r="A1026" s="62">
        <v>138072784035</v>
      </c>
      <c r="B1026" t="s">
        <v>4</v>
      </c>
      <c r="C1026" s="35" t="s">
        <v>379</v>
      </c>
      <c r="D1026" t="s">
        <v>260</v>
      </c>
      <c r="E1026" s="35" t="s">
        <v>379</v>
      </c>
      <c r="F1026" s="29" t="s">
        <v>262</v>
      </c>
      <c r="G1026" s="36">
        <v>58800</v>
      </c>
      <c r="H1026" s="36">
        <v>352.8</v>
      </c>
    </row>
    <row r="1027" spans="1:8">
      <c r="A1027" s="62">
        <v>138073452173</v>
      </c>
      <c r="B1027" t="s">
        <v>4</v>
      </c>
      <c r="C1027" s="35" t="s">
        <v>379</v>
      </c>
      <c r="D1027" t="s">
        <v>260</v>
      </c>
      <c r="E1027" s="35" t="s">
        <v>379</v>
      </c>
      <c r="F1027" s="29" t="s">
        <v>262</v>
      </c>
      <c r="G1027" s="36">
        <v>20000</v>
      </c>
      <c r="H1027" s="36">
        <v>120</v>
      </c>
    </row>
    <row r="1028" spans="1:8">
      <c r="A1028" s="62">
        <v>138781228844</v>
      </c>
      <c r="B1028" t="s">
        <v>384</v>
      </c>
      <c r="C1028" s="35" t="s">
        <v>379</v>
      </c>
      <c r="D1028" t="s">
        <v>260</v>
      </c>
      <c r="E1028" s="35" t="s">
        <v>379</v>
      </c>
      <c r="F1028" s="29" t="s">
        <v>262</v>
      </c>
      <c r="G1028" s="36">
        <v>66429</v>
      </c>
      <c r="H1028" s="36">
        <v>398.57</v>
      </c>
    </row>
    <row r="1029" spans="1:8">
      <c r="A1029" s="62">
        <v>138180185879</v>
      </c>
      <c r="B1029" t="s">
        <v>4</v>
      </c>
      <c r="C1029" s="35" t="s">
        <v>379</v>
      </c>
      <c r="D1029" t="s">
        <v>260</v>
      </c>
      <c r="E1029" s="35" t="s">
        <v>379</v>
      </c>
      <c r="F1029" s="29" t="s">
        <v>262</v>
      </c>
      <c r="G1029" s="36">
        <v>10000</v>
      </c>
      <c r="H1029" s="36">
        <v>60</v>
      </c>
    </row>
    <row r="1030" spans="1:8">
      <c r="A1030" s="62">
        <v>138830273878</v>
      </c>
      <c r="B1030" t="s">
        <v>263</v>
      </c>
      <c r="C1030" s="35" t="s">
        <v>379</v>
      </c>
      <c r="D1030" t="s">
        <v>260</v>
      </c>
      <c r="E1030" s="35" t="s">
        <v>379</v>
      </c>
      <c r="F1030" s="29" t="s">
        <v>262</v>
      </c>
      <c r="G1030" s="36">
        <v>6000</v>
      </c>
      <c r="H1030" s="36">
        <v>36</v>
      </c>
    </row>
    <row r="1031" spans="1:8">
      <c r="A1031" s="62">
        <v>138831169662</v>
      </c>
      <c r="B1031" t="s">
        <v>4</v>
      </c>
      <c r="C1031" s="35" t="s">
        <v>379</v>
      </c>
      <c r="D1031" t="s">
        <v>260</v>
      </c>
      <c r="E1031" s="35" t="s">
        <v>379</v>
      </c>
      <c r="F1031" s="29" t="s">
        <v>262</v>
      </c>
      <c r="G1031" s="36">
        <v>5500</v>
      </c>
      <c r="H1031" s="36">
        <v>33</v>
      </c>
    </row>
    <row r="1032" spans="1:8">
      <c r="A1032" s="62">
        <v>138834531356</v>
      </c>
      <c r="B1032" t="s">
        <v>4</v>
      </c>
      <c r="C1032" s="35" t="s">
        <v>379</v>
      </c>
      <c r="D1032" t="s">
        <v>260</v>
      </c>
      <c r="E1032" s="35" t="s">
        <v>379</v>
      </c>
      <c r="F1032" s="29" t="s">
        <v>262</v>
      </c>
      <c r="G1032" s="36">
        <v>12900</v>
      </c>
      <c r="H1032" s="36">
        <v>77.400000000000006</v>
      </c>
    </row>
    <row r="1033" spans="1:8">
      <c r="A1033" s="62">
        <v>138201467989</v>
      </c>
      <c r="B1033" t="s">
        <v>4</v>
      </c>
      <c r="C1033" s="35" t="s">
        <v>379</v>
      </c>
      <c r="D1033" t="s">
        <v>260</v>
      </c>
      <c r="E1033" s="35" t="s">
        <v>379</v>
      </c>
      <c r="F1033" s="29" t="s">
        <v>262</v>
      </c>
      <c r="G1033" s="36">
        <v>27300</v>
      </c>
      <c r="H1033" s="36">
        <v>163.80000000000001</v>
      </c>
    </row>
    <row r="1034" spans="1:8">
      <c r="A1034" s="62">
        <v>138820146078</v>
      </c>
      <c r="B1034" t="s">
        <v>4</v>
      </c>
      <c r="C1034" s="35" t="s">
        <v>379</v>
      </c>
      <c r="D1034" t="s">
        <v>260</v>
      </c>
      <c r="E1034" s="35" t="s">
        <v>379</v>
      </c>
      <c r="F1034" s="29" t="s">
        <v>262</v>
      </c>
      <c r="G1034" s="36">
        <v>10000</v>
      </c>
      <c r="H1034" s="36">
        <v>60</v>
      </c>
    </row>
    <row r="1035" spans="1:8">
      <c r="A1035" s="62">
        <v>138205242047</v>
      </c>
      <c r="B1035" t="s">
        <v>385</v>
      </c>
      <c r="C1035" s="35" t="s">
        <v>379</v>
      </c>
      <c r="D1035" t="s">
        <v>260</v>
      </c>
      <c r="E1035" s="35" t="s">
        <v>379</v>
      </c>
      <c r="F1035" s="29" t="s">
        <v>262</v>
      </c>
      <c r="G1035" s="36">
        <v>2470</v>
      </c>
      <c r="H1035" s="36">
        <v>14.82</v>
      </c>
    </row>
    <row r="1036" spans="1:8">
      <c r="A1036" s="62">
        <v>138206888477</v>
      </c>
      <c r="B1036" t="s">
        <v>263</v>
      </c>
      <c r="C1036" s="35" t="s">
        <v>379</v>
      </c>
      <c r="D1036" t="s">
        <v>260</v>
      </c>
      <c r="E1036" s="35" t="s">
        <v>379</v>
      </c>
      <c r="F1036" s="29" t="s">
        <v>262</v>
      </c>
      <c r="G1036" s="36">
        <v>58500</v>
      </c>
      <c r="H1036" s="36">
        <v>351</v>
      </c>
    </row>
    <row r="1037" spans="1:8">
      <c r="A1037" s="62">
        <v>138847468360</v>
      </c>
      <c r="B1037" t="s">
        <v>263</v>
      </c>
      <c r="C1037" s="35" t="s">
        <v>379</v>
      </c>
      <c r="D1037" t="s">
        <v>260</v>
      </c>
      <c r="E1037" s="35" t="s">
        <v>379</v>
      </c>
      <c r="F1037" s="29" t="s">
        <v>262</v>
      </c>
      <c r="G1037" s="36">
        <v>16500</v>
      </c>
      <c r="H1037" s="36">
        <v>99</v>
      </c>
    </row>
    <row r="1038" spans="1:8">
      <c r="A1038" s="62">
        <v>138207560423</v>
      </c>
      <c r="B1038" t="s">
        <v>4</v>
      </c>
      <c r="C1038" s="35" t="s">
        <v>379</v>
      </c>
      <c r="D1038" t="s">
        <v>260</v>
      </c>
      <c r="E1038" s="35" t="s">
        <v>379</v>
      </c>
      <c r="F1038" s="29" t="s">
        <v>262</v>
      </c>
      <c r="G1038" s="36">
        <v>81500</v>
      </c>
      <c r="H1038" s="36">
        <v>489</v>
      </c>
    </row>
    <row r="1039" spans="1:8">
      <c r="A1039" s="62">
        <v>138207819305</v>
      </c>
      <c r="B1039" t="s">
        <v>386</v>
      </c>
      <c r="C1039" s="35" t="s">
        <v>379</v>
      </c>
      <c r="D1039" t="s">
        <v>260</v>
      </c>
      <c r="E1039" s="35" t="s">
        <v>379</v>
      </c>
      <c r="F1039" s="29" t="s">
        <v>262</v>
      </c>
      <c r="G1039" s="36">
        <v>990</v>
      </c>
      <c r="H1039" s="36">
        <v>5.94</v>
      </c>
    </row>
    <row r="1040" spans="1:8">
      <c r="A1040" s="62">
        <v>138849036742</v>
      </c>
      <c r="B1040" t="s">
        <v>4</v>
      </c>
      <c r="C1040" s="35" t="s">
        <v>379</v>
      </c>
      <c r="D1040" t="s">
        <v>260</v>
      </c>
      <c r="E1040" s="35" t="s">
        <v>387</v>
      </c>
      <c r="F1040" s="29" t="s">
        <v>262</v>
      </c>
      <c r="G1040" s="36">
        <v>3000</v>
      </c>
      <c r="H1040" s="36">
        <v>18</v>
      </c>
    </row>
    <row r="1041" spans="1:8">
      <c r="A1041" s="62">
        <v>138849484320</v>
      </c>
      <c r="B1041" t="s">
        <v>263</v>
      </c>
      <c r="C1041" s="35" t="s">
        <v>379</v>
      </c>
      <c r="D1041" t="s">
        <v>260</v>
      </c>
      <c r="E1041" s="35" t="s">
        <v>387</v>
      </c>
      <c r="F1041" s="29" t="s">
        <v>262</v>
      </c>
      <c r="G1041" s="36">
        <v>10000</v>
      </c>
      <c r="H1041" s="36">
        <v>60</v>
      </c>
    </row>
    <row r="1042" spans="1:8">
      <c r="A1042" s="62">
        <v>138210648291</v>
      </c>
      <c r="B1042" t="s">
        <v>4</v>
      </c>
      <c r="C1042" s="35" t="s">
        <v>379</v>
      </c>
      <c r="D1042" t="s">
        <v>260</v>
      </c>
      <c r="E1042" s="35" t="s">
        <v>387</v>
      </c>
      <c r="F1042" s="29" t="s">
        <v>262</v>
      </c>
      <c r="G1042" s="36">
        <v>10300</v>
      </c>
      <c r="H1042" s="36">
        <v>61.8</v>
      </c>
    </row>
    <row r="1043" spans="1:8">
      <c r="A1043" s="62">
        <v>138851061664</v>
      </c>
      <c r="B1043" t="s">
        <v>263</v>
      </c>
      <c r="C1043" s="35" t="s">
        <v>379</v>
      </c>
      <c r="D1043" t="s">
        <v>260</v>
      </c>
      <c r="E1043" s="35" t="s">
        <v>387</v>
      </c>
      <c r="F1043" s="29" t="s">
        <v>262</v>
      </c>
      <c r="G1043" s="36">
        <v>29700</v>
      </c>
      <c r="H1043" s="36">
        <v>178.2</v>
      </c>
    </row>
    <row r="1044" spans="1:8">
      <c r="A1044" s="62">
        <v>138825658218</v>
      </c>
      <c r="B1044" t="s">
        <v>263</v>
      </c>
      <c r="C1044" s="35" t="s">
        <v>379</v>
      </c>
      <c r="D1044" t="s">
        <v>260</v>
      </c>
      <c r="E1044" s="35" t="s">
        <v>379</v>
      </c>
      <c r="F1044" s="29" t="s">
        <v>262</v>
      </c>
      <c r="G1044" s="36">
        <v>10000</v>
      </c>
      <c r="H1044" s="36">
        <v>60</v>
      </c>
    </row>
    <row r="1045" spans="1:8">
      <c r="A1045" s="62">
        <v>138211297097</v>
      </c>
      <c r="B1045" t="s">
        <v>4</v>
      </c>
      <c r="C1045" s="35" t="s">
        <v>379</v>
      </c>
      <c r="D1045" t="s">
        <v>260</v>
      </c>
      <c r="E1045" s="35" t="s">
        <v>387</v>
      </c>
      <c r="F1045" s="29" t="s">
        <v>262</v>
      </c>
      <c r="G1045" s="36">
        <v>14500</v>
      </c>
      <c r="H1045" s="36">
        <v>87</v>
      </c>
    </row>
    <row r="1046" spans="1:8">
      <c r="A1046" s="62">
        <v>138211671171</v>
      </c>
      <c r="B1046" t="s">
        <v>4</v>
      </c>
      <c r="C1046" s="35" t="s">
        <v>379</v>
      </c>
      <c r="D1046" t="s">
        <v>260</v>
      </c>
      <c r="E1046" s="35" t="s">
        <v>387</v>
      </c>
      <c r="F1046" s="29" t="s">
        <v>262</v>
      </c>
      <c r="G1046" s="36">
        <v>11000</v>
      </c>
      <c r="H1046" s="36">
        <v>66</v>
      </c>
    </row>
    <row r="1047" spans="1:8">
      <c r="A1047" s="62">
        <v>138852403078</v>
      </c>
      <c r="B1047" t="s">
        <v>4</v>
      </c>
      <c r="C1047" s="35" t="s">
        <v>379</v>
      </c>
      <c r="D1047" t="s">
        <v>260</v>
      </c>
      <c r="E1047" s="35" t="s">
        <v>387</v>
      </c>
      <c r="F1047" s="29" t="s">
        <v>262</v>
      </c>
      <c r="G1047" s="36">
        <v>9600</v>
      </c>
      <c r="H1047" s="36">
        <v>57.6</v>
      </c>
    </row>
    <row r="1048" spans="1:8">
      <c r="A1048" s="62">
        <v>138853147094</v>
      </c>
      <c r="B1048" t="s">
        <v>388</v>
      </c>
      <c r="C1048" s="35" t="s">
        <v>387</v>
      </c>
      <c r="D1048" t="s">
        <v>260</v>
      </c>
      <c r="E1048" s="35" t="s">
        <v>387</v>
      </c>
      <c r="F1048" s="29" t="s">
        <v>262</v>
      </c>
      <c r="G1048" s="36">
        <v>1290</v>
      </c>
      <c r="H1048" s="36">
        <v>7.74</v>
      </c>
    </row>
    <row r="1049" spans="1:8">
      <c r="A1049" s="62">
        <v>138853192420</v>
      </c>
      <c r="B1049" t="s">
        <v>4</v>
      </c>
      <c r="C1049" s="35" t="s">
        <v>387</v>
      </c>
      <c r="D1049" t="s">
        <v>260</v>
      </c>
      <c r="E1049" s="35" t="s">
        <v>387</v>
      </c>
      <c r="F1049" s="29" t="s">
        <v>262</v>
      </c>
      <c r="G1049" s="36">
        <v>25800</v>
      </c>
      <c r="H1049" s="36">
        <v>154.80000000000001</v>
      </c>
    </row>
    <row r="1050" spans="1:8">
      <c r="A1050" s="62">
        <v>138212818677</v>
      </c>
      <c r="B1050" t="s">
        <v>4</v>
      </c>
      <c r="C1050" s="35" t="s">
        <v>387</v>
      </c>
      <c r="D1050" t="s">
        <v>260</v>
      </c>
      <c r="E1050" s="35" t="s">
        <v>387</v>
      </c>
      <c r="F1050" s="29" t="s">
        <v>262</v>
      </c>
      <c r="G1050" s="36">
        <v>77300</v>
      </c>
      <c r="H1050" s="36">
        <v>463.8</v>
      </c>
    </row>
    <row r="1051" spans="1:8">
      <c r="A1051" s="62">
        <v>138853192420</v>
      </c>
      <c r="B1051" t="s">
        <v>4</v>
      </c>
      <c r="C1051" s="35" t="s">
        <v>387</v>
      </c>
      <c r="D1051" t="s">
        <v>287</v>
      </c>
      <c r="E1051" s="35" t="s">
        <v>387</v>
      </c>
      <c r="F1051" s="29" t="s">
        <v>262</v>
      </c>
      <c r="G1051" s="36">
        <v>-25800</v>
      </c>
      <c r="H1051" s="36">
        <v>-154.80000000000001</v>
      </c>
    </row>
    <row r="1052" spans="1:8">
      <c r="A1052" s="62">
        <v>138213161831</v>
      </c>
      <c r="B1052" t="s">
        <v>389</v>
      </c>
      <c r="C1052" s="35" t="s">
        <v>387</v>
      </c>
      <c r="D1052" t="s">
        <v>260</v>
      </c>
      <c r="E1052" s="35" t="s">
        <v>387</v>
      </c>
      <c r="F1052" s="29" t="s">
        <v>262</v>
      </c>
      <c r="G1052" s="36">
        <v>1000</v>
      </c>
      <c r="H1052" s="36">
        <v>6</v>
      </c>
    </row>
    <row r="1053" spans="1:8">
      <c r="A1053" s="62">
        <v>138213756749</v>
      </c>
      <c r="B1053" t="s">
        <v>4</v>
      </c>
      <c r="C1053" s="35" t="s">
        <v>387</v>
      </c>
      <c r="D1053" t="s">
        <v>260</v>
      </c>
      <c r="E1053" s="35" t="s">
        <v>387</v>
      </c>
      <c r="F1053" s="29" t="s">
        <v>262</v>
      </c>
      <c r="G1053" s="36">
        <v>27400</v>
      </c>
      <c r="H1053" s="36">
        <v>164.4</v>
      </c>
    </row>
    <row r="1054" spans="1:8">
      <c r="A1054" s="62">
        <v>138854698280</v>
      </c>
      <c r="B1054" t="s">
        <v>4</v>
      </c>
      <c r="C1054" s="35" t="s">
        <v>387</v>
      </c>
      <c r="D1054" t="s">
        <v>260</v>
      </c>
      <c r="E1054" s="35" t="s">
        <v>387</v>
      </c>
      <c r="F1054" s="29" t="s">
        <v>262</v>
      </c>
      <c r="G1054" s="36">
        <v>16500</v>
      </c>
      <c r="H1054" s="36">
        <v>99</v>
      </c>
    </row>
    <row r="1055" spans="1:8">
      <c r="A1055" s="62">
        <v>138214397525</v>
      </c>
      <c r="B1055" t="s">
        <v>4</v>
      </c>
      <c r="C1055" s="35" t="s">
        <v>387</v>
      </c>
      <c r="D1055" t="s">
        <v>260</v>
      </c>
      <c r="E1055" s="35" t="s">
        <v>387</v>
      </c>
      <c r="F1055" s="29" t="s">
        <v>262</v>
      </c>
      <c r="G1055" s="36">
        <v>9800</v>
      </c>
      <c r="H1055" s="36">
        <v>58.8</v>
      </c>
    </row>
    <row r="1056" spans="1:8">
      <c r="A1056" s="62">
        <v>138854924608</v>
      </c>
      <c r="B1056" t="s">
        <v>4</v>
      </c>
      <c r="C1056" s="35" t="s">
        <v>387</v>
      </c>
      <c r="D1056" t="s">
        <v>260</v>
      </c>
      <c r="E1056" s="35" t="s">
        <v>387</v>
      </c>
      <c r="F1056" s="29" t="s">
        <v>262</v>
      </c>
      <c r="G1056" s="36">
        <v>5000</v>
      </c>
      <c r="H1056" s="36">
        <v>30</v>
      </c>
    </row>
    <row r="1057" spans="1:8">
      <c r="A1057" s="62">
        <v>138214651007</v>
      </c>
      <c r="B1057" t="s">
        <v>4</v>
      </c>
      <c r="C1057" s="35" t="s">
        <v>387</v>
      </c>
      <c r="D1057" t="s">
        <v>260</v>
      </c>
      <c r="E1057" s="35" t="s">
        <v>387</v>
      </c>
      <c r="F1057" s="29" t="s">
        <v>262</v>
      </c>
      <c r="G1057" s="36">
        <v>142100</v>
      </c>
      <c r="H1057" s="36">
        <v>852.6</v>
      </c>
    </row>
    <row r="1058" spans="1:8">
      <c r="A1058" s="62">
        <v>138214690391</v>
      </c>
      <c r="B1058" t="s">
        <v>390</v>
      </c>
      <c r="C1058" s="35" t="s">
        <v>387</v>
      </c>
      <c r="D1058" t="s">
        <v>260</v>
      </c>
      <c r="E1058" s="35" t="s">
        <v>387</v>
      </c>
      <c r="F1058" s="29" t="s">
        <v>262</v>
      </c>
      <c r="G1058" s="36">
        <v>7105</v>
      </c>
      <c r="H1058" s="36">
        <v>42.63</v>
      </c>
    </row>
    <row r="1059" spans="1:8">
      <c r="A1059" s="62">
        <v>138855188874</v>
      </c>
      <c r="B1059" t="s">
        <v>4</v>
      </c>
      <c r="C1059" s="35" t="s">
        <v>387</v>
      </c>
      <c r="D1059" t="s">
        <v>260</v>
      </c>
      <c r="E1059" s="35" t="s">
        <v>387</v>
      </c>
      <c r="F1059" s="29" t="s">
        <v>262</v>
      </c>
      <c r="G1059" s="36">
        <v>9800</v>
      </c>
      <c r="H1059" s="36">
        <v>58.8</v>
      </c>
    </row>
    <row r="1060" spans="1:8">
      <c r="A1060" s="62">
        <v>138214932755</v>
      </c>
      <c r="B1060" t="s">
        <v>263</v>
      </c>
      <c r="C1060" s="35" t="s">
        <v>387</v>
      </c>
      <c r="D1060" t="s">
        <v>260</v>
      </c>
      <c r="E1060" s="35" t="s">
        <v>387</v>
      </c>
      <c r="F1060" s="29" t="s">
        <v>262</v>
      </c>
      <c r="G1060" s="36">
        <v>40400</v>
      </c>
      <c r="H1060" s="36">
        <v>242.4</v>
      </c>
    </row>
    <row r="1061" spans="1:8">
      <c r="A1061" s="62">
        <v>138215041405</v>
      </c>
      <c r="B1061" t="s">
        <v>4</v>
      </c>
      <c r="C1061" s="35" t="s">
        <v>387</v>
      </c>
      <c r="D1061" t="s">
        <v>260</v>
      </c>
      <c r="E1061" s="35" t="s">
        <v>387</v>
      </c>
      <c r="F1061" s="29" t="s">
        <v>262</v>
      </c>
      <c r="G1061" s="36">
        <v>14400</v>
      </c>
      <c r="H1061" s="36">
        <v>86.4</v>
      </c>
    </row>
    <row r="1062" spans="1:8">
      <c r="A1062" s="62">
        <v>138215334949</v>
      </c>
      <c r="B1062" t="s">
        <v>4</v>
      </c>
      <c r="C1062" s="35" t="s">
        <v>387</v>
      </c>
      <c r="D1062" t="s">
        <v>260</v>
      </c>
      <c r="E1062" s="35" t="s">
        <v>387</v>
      </c>
      <c r="F1062" s="29" t="s">
        <v>262</v>
      </c>
      <c r="G1062" s="36">
        <v>18900</v>
      </c>
      <c r="H1062" s="36">
        <v>113.4</v>
      </c>
    </row>
    <row r="1063" spans="1:8">
      <c r="A1063" s="62">
        <v>138856026646</v>
      </c>
      <c r="B1063" t="s">
        <v>263</v>
      </c>
      <c r="C1063" s="35" t="s">
        <v>387</v>
      </c>
      <c r="D1063" t="s">
        <v>260</v>
      </c>
      <c r="E1063" s="35" t="s">
        <v>387</v>
      </c>
      <c r="F1063" s="29" t="s">
        <v>262</v>
      </c>
      <c r="G1063" s="36">
        <v>47400</v>
      </c>
      <c r="H1063" s="36">
        <v>284.39999999999998</v>
      </c>
    </row>
    <row r="1064" spans="1:8">
      <c r="A1064" s="62">
        <v>138216488259</v>
      </c>
      <c r="B1064" t="s">
        <v>4</v>
      </c>
      <c r="C1064" s="35" t="s">
        <v>387</v>
      </c>
      <c r="D1064" t="s">
        <v>260</v>
      </c>
      <c r="E1064" s="35" t="s">
        <v>387</v>
      </c>
      <c r="F1064" s="29" t="s">
        <v>262</v>
      </c>
      <c r="G1064" s="36">
        <v>16400</v>
      </c>
      <c r="H1064" s="36">
        <v>98.4</v>
      </c>
    </row>
    <row r="1065" spans="1:8">
      <c r="A1065" s="62">
        <v>138856950028</v>
      </c>
      <c r="B1065" t="s">
        <v>263</v>
      </c>
      <c r="C1065" s="35" t="s">
        <v>387</v>
      </c>
      <c r="D1065" t="s">
        <v>260</v>
      </c>
      <c r="E1065" s="35" t="s">
        <v>387</v>
      </c>
      <c r="F1065" s="29" t="s">
        <v>262</v>
      </c>
      <c r="G1065" s="36">
        <v>32500</v>
      </c>
      <c r="H1065" s="36">
        <v>195</v>
      </c>
    </row>
    <row r="1066" spans="1:8">
      <c r="A1066" s="62">
        <v>138857415050</v>
      </c>
      <c r="B1066" t="s">
        <v>263</v>
      </c>
      <c r="C1066" s="35" t="s">
        <v>387</v>
      </c>
      <c r="D1066" t="s">
        <v>260</v>
      </c>
      <c r="E1066" s="35" t="s">
        <v>387</v>
      </c>
      <c r="F1066" s="29" t="s">
        <v>262</v>
      </c>
      <c r="G1066" s="36">
        <v>11000</v>
      </c>
      <c r="H1066" s="36">
        <v>66</v>
      </c>
    </row>
    <row r="1067" spans="1:8">
      <c r="A1067" s="62">
        <v>138857784600</v>
      </c>
      <c r="B1067" t="s">
        <v>4</v>
      </c>
      <c r="C1067" s="35" t="s">
        <v>387</v>
      </c>
      <c r="D1067" t="s">
        <v>260</v>
      </c>
      <c r="E1067" s="35" t="s">
        <v>387</v>
      </c>
      <c r="F1067" s="29" t="s">
        <v>262</v>
      </c>
      <c r="G1067" s="36">
        <v>15100</v>
      </c>
      <c r="H1067" s="36">
        <v>90.6</v>
      </c>
    </row>
    <row r="1068" spans="1:8">
      <c r="A1068" s="62">
        <v>138217572119</v>
      </c>
      <c r="B1068" t="s">
        <v>4</v>
      </c>
      <c r="C1068" s="35" t="s">
        <v>387</v>
      </c>
      <c r="D1068" t="s">
        <v>260</v>
      </c>
      <c r="E1068" s="35" t="s">
        <v>387</v>
      </c>
      <c r="F1068" s="29" t="s">
        <v>262</v>
      </c>
      <c r="G1068" s="36">
        <v>10300</v>
      </c>
      <c r="H1068" s="36">
        <v>61.8</v>
      </c>
    </row>
    <row r="1069" spans="1:8">
      <c r="A1069" s="62">
        <v>138217640499</v>
      </c>
      <c r="B1069" t="s">
        <v>4</v>
      </c>
      <c r="C1069" s="35" t="s">
        <v>387</v>
      </c>
      <c r="D1069" t="s">
        <v>260</v>
      </c>
      <c r="E1069" s="35" t="s">
        <v>387</v>
      </c>
      <c r="F1069" s="29" t="s">
        <v>262</v>
      </c>
      <c r="G1069" s="36">
        <v>19600</v>
      </c>
      <c r="H1069" s="36">
        <v>117.6</v>
      </c>
    </row>
    <row r="1070" spans="1:8">
      <c r="A1070" s="62">
        <v>138857992860</v>
      </c>
      <c r="B1070" t="s">
        <v>4</v>
      </c>
      <c r="C1070" s="35" t="s">
        <v>387</v>
      </c>
      <c r="D1070" t="s">
        <v>260</v>
      </c>
      <c r="E1070" s="35" t="s">
        <v>387</v>
      </c>
      <c r="F1070" s="29" t="s">
        <v>262</v>
      </c>
      <c r="G1070" s="36">
        <v>63800</v>
      </c>
      <c r="H1070" s="36">
        <v>382.8</v>
      </c>
    </row>
    <row r="1071" spans="1:8">
      <c r="A1071" s="62">
        <v>138217702891</v>
      </c>
      <c r="B1071" t="s">
        <v>4</v>
      </c>
      <c r="C1071" s="35" t="s">
        <v>387</v>
      </c>
      <c r="D1071" t="s">
        <v>260</v>
      </c>
      <c r="E1071" s="35" t="s">
        <v>387</v>
      </c>
      <c r="F1071" s="29" t="s">
        <v>262</v>
      </c>
      <c r="G1071" s="36">
        <v>101400</v>
      </c>
      <c r="H1071" s="36">
        <v>608.4</v>
      </c>
    </row>
    <row r="1072" spans="1:8">
      <c r="A1072" s="62">
        <v>138217710071</v>
      </c>
      <c r="B1072" t="s">
        <v>4</v>
      </c>
      <c r="C1072" s="35" t="s">
        <v>387</v>
      </c>
      <c r="D1072" t="s">
        <v>260</v>
      </c>
      <c r="E1072" s="35" t="s">
        <v>387</v>
      </c>
      <c r="F1072" s="29" t="s">
        <v>262</v>
      </c>
      <c r="G1072" s="36">
        <v>15100</v>
      </c>
      <c r="H1072" s="36">
        <v>90.6</v>
      </c>
    </row>
    <row r="1073" spans="1:8">
      <c r="A1073" s="62">
        <v>138217820543</v>
      </c>
      <c r="B1073" t="s">
        <v>391</v>
      </c>
      <c r="C1073" s="35" t="s">
        <v>387</v>
      </c>
      <c r="D1073" t="s">
        <v>260</v>
      </c>
      <c r="E1073" s="35" t="s">
        <v>387</v>
      </c>
      <c r="F1073" s="29" t="s">
        <v>262</v>
      </c>
      <c r="G1073" s="36">
        <v>755</v>
      </c>
      <c r="H1073" s="36">
        <v>4.53</v>
      </c>
    </row>
    <row r="1074" spans="1:8">
      <c r="A1074" s="62">
        <v>138194400553</v>
      </c>
      <c r="B1074" t="s">
        <v>263</v>
      </c>
      <c r="C1074" s="35" t="s">
        <v>379</v>
      </c>
      <c r="D1074" t="s">
        <v>260</v>
      </c>
      <c r="E1074" s="35" t="s">
        <v>379</v>
      </c>
      <c r="F1074" s="29" t="s">
        <v>262</v>
      </c>
      <c r="G1074" s="36">
        <v>11825</v>
      </c>
      <c r="H1074" s="36">
        <v>70.95</v>
      </c>
    </row>
    <row r="1075" spans="1:8">
      <c r="A1075" s="62">
        <v>138837938928</v>
      </c>
      <c r="B1075" t="s">
        <v>4</v>
      </c>
      <c r="C1075" s="35" t="s">
        <v>379</v>
      </c>
      <c r="D1075" t="s">
        <v>260</v>
      </c>
      <c r="E1075" s="35" t="s">
        <v>379</v>
      </c>
      <c r="F1075" s="29" t="s">
        <v>262</v>
      </c>
      <c r="G1075" s="36">
        <v>15000</v>
      </c>
      <c r="H1075" s="36">
        <v>90</v>
      </c>
    </row>
    <row r="1076" spans="1:8">
      <c r="A1076" s="62">
        <v>138198187679</v>
      </c>
      <c r="B1076" t="s">
        <v>4</v>
      </c>
      <c r="C1076" s="35" t="s">
        <v>379</v>
      </c>
      <c r="D1076" t="s">
        <v>260</v>
      </c>
      <c r="E1076" s="35" t="s">
        <v>379</v>
      </c>
      <c r="F1076" s="29" t="s">
        <v>262</v>
      </c>
      <c r="G1076" s="36">
        <v>20000</v>
      </c>
      <c r="H1076" s="36">
        <v>120</v>
      </c>
    </row>
    <row r="1077" spans="1:8">
      <c r="A1077" s="62">
        <v>138198737449</v>
      </c>
      <c r="B1077" t="s">
        <v>263</v>
      </c>
      <c r="C1077" s="35" t="s">
        <v>379</v>
      </c>
      <c r="D1077" t="s">
        <v>260</v>
      </c>
      <c r="E1077" s="35" t="s">
        <v>379</v>
      </c>
      <c r="F1077" s="29" t="s">
        <v>262</v>
      </c>
      <c r="G1077" s="36">
        <v>44400</v>
      </c>
      <c r="H1077" s="36">
        <v>266.39999999999998</v>
      </c>
    </row>
    <row r="1078" spans="1:8">
      <c r="A1078" s="62">
        <v>138840860684</v>
      </c>
      <c r="B1078" t="s">
        <v>263</v>
      </c>
      <c r="C1078" s="35" t="s">
        <v>379</v>
      </c>
      <c r="D1078" t="s">
        <v>260</v>
      </c>
      <c r="E1078" s="35" t="s">
        <v>379</v>
      </c>
      <c r="F1078" s="29" t="s">
        <v>262</v>
      </c>
      <c r="G1078" s="36">
        <v>16500</v>
      </c>
      <c r="H1078" s="36">
        <v>99</v>
      </c>
    </row>
    <row r="1079" spans="1:8">
      <c r="A1079" s="62">
        <v>138201157087</v>
      </c>
      <c r="B1079" t="s">
        <v>263</v>
      </c>
      <c r="C1079" s="35" t="s">
        <v>379</v>
      </c>
      <c r="D1079" t="s">
        <v>260</v>
      </c>
      <c r="E1079" s="35" t="s">
        <v>379</v>
      </c>
      <c r="F1079" s="29" t="s">
        <v>262</v>
      </c>
      <c r="G1079" s="36">
        <v>37300</v>
      </c>
      <c r="H1079" s="36">
        <v>223.8</v>
      </c>
    </row>
    <row r="1080" spans="1:8">
      <c r="A1080" s="62">
        <v>138201252687</v>
      </c>
      <c r="B1080" t="s">
        <v>4</v>
      </c>
      <c r="C1080" s="35" t="s">
        <v>379</v>
      </c>
      <c r="D1080" t="s">
        <v>260</v>
      </c>
      <c r="E1080" s="35" t="s">
        <v>379</v>
      </c>
      <c r="F1080" s="29" t="s">
        <v>262</v>
      </c>
      <c r="G1080" s="36">
        <v>34000</v>
      </c>
      <c r="H1080" s="36">
        <v>204</v>
      </c>
    </row>
    <row r="1081" spans="1:8">
      <c r="A1081" s="62">
        <v>138841653890</v>
      </c>
      <c r="B1081" t="s">
        <v>263</v>
      </c>
      <c r="C1081" s="35" t="s">
        <v>379</v>
      </c>
      <c r="D1081" t="s">
        <v>260</v>
      </c>
      <c r="E1081" s="35" t="s">
        <v>379</v>
      </c>
      <c r="F1081" s="29" t="s">
        <v>262</v>
      </c>
      <c r="G1081" s="36">
        <v>37100</v>
      </c>
      <c r="H1081" s="36">
        <v>222.6</v>
      </c>
    </row>
    <row r="1082" spans="1:8">
      <c r="A1082" s="62">
        <v>138843315510</v>
      </c>
      <c r="B1082" t="s">
        <v>263</v>
      </c>
      <c r="C1082" s="35" t="s">
        <v>379</v>
      </c>
      <c r="D1082" t="s">
        <v>260</v>
      </c>
      <c r="E1082" s="35" t="s">
        <v>379</v>
      </c>
      <c r="F1082" s="29" t="s">
        <v>262</v>
      </c>
      <c r="G1082" s="36">
        <v>22000</v>
      </c>
      <c r="H1082" s="36">
        <v>132</v>
      </c>
    </row>
    <row r="1083" spans="1:8">
      <c r="A1083" s="62">
        <v>138204114191</v>
      </c>
      <c r="B1083" t="s">
        <v>4</v>
      </c>
      <c r="C1083" s="35" t="s">
        <v>379</v>
      </c>
      <c r="D1083" t="s">
        <v>260</v>
      </c>
      <c r="E1083" s="35" t="s">
        <v>379</v>
      </c>
      <c r="F1083" s="29" t="s">
        <v>262</v>
      </c>
      <c r="G1083" s="36">
        <v>5000</v>
      </c>
      <c r="H1083" s="36">
        <v>30</v>
      </c>
    </row>
    <row r="1084" spans="1:8">
      <c r="A1084" s="62">
        <v>138205303057</v>
      </c>
      <c r="B1084" t="s">
        <v>4</v>
      </c>
      <c r="C1084" s="35" t="s">
        <v>379</v>
      </c>
      <c r="D1084" t="s">
        <v>260</v>
      </c>
      <c r="E1084" s="35" t="s">
        <v>379</v>
      </c>
      <c r="F1084" s="29" t="s">
        <v>262</v>
      </c>
      <c r="G1084" s="36">
        <v>24700</v>
      </c>
      <c r="H1084" s="36">
        <v>148.19999999999999</v>
      </c>
    </row>
    <row r="1085" spans="1:8">
      <c r="A1085" s="62">
        <v>138846074058</v>
      </c>
      <c r="B1085" t="s">
        <v>4</v>
      </c>
      <c r="C1085" s="35" t="s">
        <v>379</v>
      </c>
      <c r="D1085" t="s">
        <v>260</v>
      </c>
      <c r="E1085" s="35" t="s">
        <v>379</v>
      </c>
      <c r="F1085" s="29" t="s">
        <v>262</v>
      </c>
      <c r="G1085" s="36">
        <v>44300</v>
      </c>
      <c r="H1085" s="36">
        <v>265.8</v>
      </c>
    </row>
    <row r="1086" spans="1:8">
      <c r="A1086" s="62">
        <v>138207547971</v>
      </c>
      <c r="B1086" t="s">
        <v>4</v>
      </c>
      <c r="C1086" s="35" t="s">
        <v>379</v>
      </c>
      <c r="D1086" t="s">
        <v>260</v>
      </c>
      <c r="E1086" s="35" t="s">
        <v>379</v>
      </c>
      <c r="F1086" s="29" t="s">
        <v>262</v>
      </c>
      <c r="G1086" s="36">
        <v>5000</v>
      </c>
      <c r="H1086" s="36">
        <v>30</v>
      </c>
    </row>
    <row r="1087" spans="1:8">
      <c r="A1087" s="62">
        <v>138848404496</v>
      </c>
      <c r="B1087" t="s">
        <v>4</v>
      </c>
      <c r="C1087" s="35" t="s">
        <v>379</v>
      </c>
      <c r="D1087" t="s">
        <v>260</v>
      </c>
      <c r="E1087" s="35" t="s">
        <v>379</v>
      </c>
      <c r="F1087" s="29" t="s">
        <v>262</v>
      </c>
      <c r="G1087" s="36">
        <v>19800</v>
      </c>
      <c r="H1087" s="36">
        <v>118.8</v>
      </c>
    </row>
    <row r="1088" spans="1:8">
      <c r="A1088" s="62">
        <v>138848967406</v>
      </c>
      <c r="B1088" t="s">
        <v>4</v>
      </c>
      <c r="C1088" s="35" t="s">
        <v>379</v>
      </c>
      <c r="D1088" t="s">
        <v>260</v>
      </c>
      <c r="E1088" s="35" t="s">
        <v>387</v>
      </c>
      <c r="F1088" s="29" t="s">
        <v>262</v>
      </c>
      <c r="G1088" s="36">
        <v>14500</v>
      </c>
      <c r="H1088" s="36">
        <v>87</v>
      </c>
    </row>
    <row r="1089" spans="1:8">
      <c r="A1089" s="62">
        <v>138849001012</v>
      </c>
      <c r="B1089" t="s">
        <v>392</v>
      </c>
      <c r="C1089" s="35" t="s">
        <v>379</v>
      </c>
      <c r="D1089" t="s">
        <v>260</v>
      </c>
      <c r="E1089" s="35" t="s">
        <v>387</v>
      </c>
      <c r="F1089" s="29" t="s">
        <v>262</v>
      </c>
      <c r="G1089" s="36">
        <v>1450</v>
      </c>
      <c r="H1089" s="36">
        <v>8.6999999999999993</v>
      </c>
    </row>
    <row r="1090" spans="1:8">
      <c r="A1090" s="62">
        <v>138849101350</v>
      </c>
      <c r="B1090" t="s">
        <v>263</v>
      </c>
      <c r="C1090" s="35" t="s">
        <v>379</v>
      </c>
      <c r="D1090" t="s">
        <v>260</v>
      </c>
      <c r="E1090" s="35" t="s">
        <v>387</v>
      </c>
      <c r="F1090" s="29" t="s">
        <v>262</v>
      </c>
      <c r="G1090" s="36">
        <v>42400</v>
      </c>
      <c r="H1090" s="36">
        <v>254.4</v>
      </c>
    </row>
    <row r="1091" spans="1:8">
      <c r="A1091" s="62">
        <v>138849267594</v>
      </c>
      <c r="B1091" t="s">
        <v>263</v>
      </c>
      <c r="C1091" s="35" t="s">
        <v>379</v>
      </c>
      <c r="D1091" t="s">
        <v>260</v>
      </c>
      <c r="E1091" s="35" t="s">
        <v>387</v>
      </c>
      <c r="F1091" s="29" t="s">
        <v>262</v>
      </c>
      <c r="G1091" s="36">
        <v>47000</v>
      </c>
      <c r="H1091" s="36">
        <v>282</v>
      </c>
    </row>
    <row r="1092" spans="1:8">
      <c r="A1092" s="62">
        <v>138849998288</v>
      </c>
      <c r="B1092" t="s">
        <v>4</v>
      </c>
      <c r="C1092" s="35" t="s">
        <v>379</v>
      </c>
      <c r="D1092" t="s">
        <v>260</v>
      </c>
      <c r="E1092" s="35" t="s">
        <v>387</v>
      </c>
      <c r="F1092" s="29" t="s">
        <v>262</v>
      </c>
      <c r="G1092" s="36">
        <v>72600</v>
      </c>
      <c r="H1092" s="36">
        <v>435.6</v>
      </c>
    </row>
    <row r="1093" spans="1:8">
      <c r="A1093" s="62">
        <v>138850633872</v>
      </c>
      <c r="B1093" t="s">
        <v>4</v>
      </c>
      <c r="C1093" s="35" t="s">
        <v>379</v>
      </c>
      <c r="D1093" t="s">
        <v>260</v>
      </c>
      <c r="E1093" s="35" t="s">
        <v>387</v>
      </c>
      <c r="F1093" s="29" t="s">
        <v>262</v>
      </c>
      <c r="G1093" s="36">
        <v>10500</v>
      </c>
      <c r="H1093" s="36">
        <v>63</v>
      </c>
    </row>
    <row r="1094" spans="1:8">
      <c r="A1094" s="62">
        <v>138210363935</v>
      </c>
      <c r="B1094" t="s">
        <v>263</v>
      </c>
      <c r="C1094" s="35" t="s">
        <v>379</v>
      </c>
      <c r="D1094" t="s">
        <v>260</v>
      </c>
      <c r="E1094" s="35" t="s">
        <v>387</v>
      </c>
      <c r="F1094" s="29" t="s">
        <v>262</v>
      </c>
      <c r="G1094" s="36">
        <v>35900</v>
      </c>
      <c r="H1094" s="36">
        <v>215.4</v>
      </c>
    </row>
    <row r="1095" spans="1:8">
      <c r="A1095" s="62">
        <v>138211329819</v>
      </c>
      <c r="B1095" t="s">
        <v>4</v>
      </c>
      <c r="C1095" s="35" t="s">
        <v>379</v>
      </c>
      <c r="D1095" t="s">
        <v>260</v>
      </c>
      <c r="E1095" s="35" t="s">
        <v>387</v>
      </c>
      <c r="F1095" s="29" t="s">
        <v>262</v>
      </c>
      <c r="G1095" s="36">
        <v>26000</v>
      </c>
      <c r="H1095" s="36">
        <v>156</v>
      </c>
    </row>
    <row r="1096" spans="1:8">
      <c r="A1096" s="62">
        <v>138851977854</v>
      </c>
      <c r="B1096" t="s">
        <v>4</v>
      </c>
      <c r="C1096" s="35" t="s">
        <v>379</v>
      </c>
      <c r="D1096" t="s">
        <v>260</v>
      </c>
      <c r="E1096" s="35" t="s">
        <v>387</v>
      </c>
      <c r="F1096" s="29" t="s">
        <v>262</v>
      </c>
      <c r="G1096" s="36">
        <v>43700</v>
      </c>
      <c r="H1096" s="36">
        <v>262.2</v>
      </c>
    </row>
    <row r="1097" spans="1:8">
      <c r="A1097" s="62">
        <v>138211779431</v>
      </c>
      <c r="B1097" t="s">
        <v>4</v>
      </c>
      <c r="C1097" s="35" t="s">
        <v>379</v>
      </c>
      <c r="D1097" t="s">
        <v>260</v>
      </c>
      <c r="E1097" s="35" t="s">
        <v>387</v>
      </c>
      <c r="F1097" s="29" t="s">
        <v>262</v>
      </c>
      <c r="G1097" s="36">
        <v>65100</v>
      </c>
      <c r="H1097" s="36">
        <v>390.6</v>
      </c>
    </row>
    <row r="1098" spans="1:8">
      <c r="A1098" s="62">
        <v>138852498598</v>
      </c>
      <c r="B1098" t="s">
        <v>4</v>
      </c>
      <c r="C1098" s="35" t="s">
        <v>379</v>
      </c>
      <c r="D1098" t="s">
        <v>260</v>
      </c>
      <c r="E1098" s="35" t="s">
        <v>387</v>
      </c>
      <c r="F1098" s="29" t="s">
        <v>262</v>
      </c>
      <c r="G1098" s="36">
        <v>9800</v>
      </c>
      <c r="H1098" s="36">
        <v>58.8</v>
      </c>
    </row>
    <row r="1099" spans="1:8">
      <c r="A1099" s="62">
        <v>138852696652</v>
      </c>
      <c r="B1099" t="s">
        <v>4</v>
      </c>
      <c r="C1099" s="35" t="s">
        <v>379</v>
      </c>
      <c r="D1099" t="s">
        <v>260</v>
      </c>
      <c r="E1099" s="35" t="s">
        <v>387</v>
      </c>
      <c r="F1099" s="29" t="s">
        <v>262</v>
      </c>
      <c r="G1099" s="36">
        <v>11000</v>
      </c>
      <c r="H1099" s="36">
        <v>66</v>
      </c>
    </row>
    <row r="1100" spans="1:8">
      <c r="A1100" s="62">
        <v>138212356555</v>
      </c>
      <c r="B1100" t="s">
        <v>4</v>
      </c>
      <c r="C1100" s="35" t="s">
        <v>379</v>
      </c>
      <c r="D1100" t="s">
        <v>260</v>
      </c>
      <c r="E1100" s="35" t="s">
        <v>387</v>
      </c>
      <c r="F1100" s="29" t="s">
        <v>262</v>
      </c>
      <c r="G1100" s="36">
        <v>10000</v>
      </c>
      <c r="H1100" s="36">
        <v>60</v>
      </c>
    </row>
    <row r="1101" spans="1:8">
      <c r="A1101" s="62">
        <v>138853202756</v>
      </c>
      <c r="B1101" t="s">
        <v>263</v>
      </c>
      <c r="C1101" s="35" t="s">
        <v>387</v>
      </c>
      <c r="D1101" t="s">
        <v>260</v>
      </c>
      <c r="E1101" s="35" t="s">
        <v>387</v>
      </c>
      <c r="F1101" s="29" t="s">
        <v>262</v>
      </c>
      <c r="G1101" s="36">
        <v>97000</v>
      </c>
      <c r="H1101" s="36">
        <v>582</v>
      </c>
    </row>
    <row r="1102" spans="1:8">
      <c r="A1102" s="62">
        <v>138853313116</v>
      </c>
      <c r="B1102" t="s">
        <v>4</v>
      </c>
      <c r="C1102" s="35" t="s">
        <v>387</v>
      </c>
      <c r="D1102" t="s">
        <v>260</v>
      </c>
      <c r="E1102" s="35" t="s">
        <v>387</v>
      </c>
      <c r="F1102" s="29" t="s">
        <v>262</v>
      </c>
      <c r="G1102" s="36">
        <v>21000</v>
      </c>
      <c r="H1102" s="36">
        <v>126</v>
      </c>
    </row>
    <row r="1103" spans="1:8">
      <c r="A1103" s="62">
        <v>138853442612</v>
      </c>
      <c r="B1103" t="s">
        <v>4</v>
      </c>
      <c r="C1103" s="35" t="s">
        <v>387</v>
      </c>
      <c r="D1103" t="s">
        <v>260</v>
      </c>
      <c r="E1103" s="35" t="s">
        <v>387</v>
      </c>
      <c r="F1103" s="29" t="s">
        <v>262</v>
      </c>
      <c r="G1103" s="36">
        <v>10300</v>
      </c>
      <c r="H1103" s="36">
        <v>61.8</v>
      </c>
    </row>
    <row r="1104" spans="1:8">
      <c r="A1104" s="62">
        <v>138213130077</v>
      </c>
      <c r="B1104" t="s">
        <v>4</v>
      </c>
      <c r="C1104" s="35" t="s">
        <v>387</v>
      </c>
      <c r="D1104" t="s">
        <v>260</v>
      </c>
      <c r="E1104" s="35" t="s">
        <v>387</v>
      </c>
      <c r="F1104" s="29" t="s">
        <v>262</v>
      </c>
      <c r="G1104" s="36">
        <v>20000</v>
      </c>
      <c r="H1104" s="36">
        <v>120</v>
      </c>
    </row>
    <row r="1105" spans="1:8">
      <c r="A1105" s="62">
        <v>138853958868</v>
      </c>
      <c r="B1105" t="s">
        <v>263</v>
      </c>
      <c r="C1105" s="35" t="s">
        <v>387</v>
      </c>
      <c r="D1105" t="s">
        <v>260</v>
      </c>
      <c r="E1105" s="35" t="s">
        <v>387</v>
      </c>
      <c r="F1105" s="29" t="s">
        <v>262</v>
      </c>
      <c r="G1105" s="36">
        <v>15800</v>
      </c>
      <c r="H1105" s="36">
        <v>94.8</v>
      </c>
    </row>
    <row r="1106" spans="1:8">
      <c r="A1106" s="62">
        <v>138213612905</v>
      </c>
      <c r="B1106" t="s">
        <v>4</v>
      </c>
      <c r="C1106" s="35" t="s">
        <v>387</v>
      </c>
      <c r="D1106" t="s">
        <v>260</v>
      </c>
      <c r="E1106" s="35" t="s">
        <v>387</v>
      </c>
      <c r="F1106" s="29" t="s">
        <v>262</v>
      </c>
      <c r="G1106" s="36">
        <v>10500</v>
      </c>
      <c r="H1106" s="36">
        <v>63</v>
      </c>
    </row>
    <row r="1107" spans="1:8">
      <c r="A1107" s="62">
        <v>138854466710</v>
      </c>
      <c r="B1107" t="s">
        <v>263</v>
      </c>
      <c r="C1107" s="35" t="s">
        <v>387</v>
      </c>
      <c r="D1107" t="s">
        <v>260</v>
      </c>
      <c r="E1107" s="35" t="s">
        <v>387</v>
      </c>
      <c r="F1107" s="29" t="s">
        <v>262</v>
      </c>
      <c r="G1107" s="36">
        <v>31200</v>
      </c>
      <c r="H1107" s="36">
        <v>187.2</v>
      </c>
    </row>
    <row r="1108" spans="1:8">
      <c r="A1108" s="62">
        <v>138854732718</v>
      </c>
      <c r="B1108" t="s">
        <v>4</v>
      </c>
      <c r="C1108" s="35" t="s">
        <v>387</v>
      </c>
      <c r="D1108" t="s">
        <v>260</v>
      </c>
      <c r="E1108" s="35" t="s">
        <v>387</v>
      </c>
      <c r="F1108" s="29" t="s">
        <v>262</v>
      </c>
      <c r="G1108" s="36">
        <v>4800</v>
      </c>
      <c r="H1108" s="36">
        <v>28.8</v>
      </c>
    </row>
    <row r="1109" spans="1:8">
      <c r="A1109" s="62">
        <v>138855285094</v>
      </c>
      <c r="B1109" t="s">
        <v>4</v>
      </c>
      <c r="C1109" s="35" t="s">
        <v>387</v>
      </c>
      <c r="D1109" t="s">
        <v>260</v>
      </c>
      <c r="E1109" s="35" t="s">
        <v>387</v>
      </c>
      <c r="F1109" s="29" t="s">
        <v>262</v>
      </c>
      <c r="G1109" s="36">
        <v>128500</v>
      </c>
      <c r="H1109" s="36">
        <v>771</v>
      </c>
    </row>
    <row r="1110" spans="1:8">
      <c r="A1110" s="62">
        <v>138215082017</v>
      </c>
      <c r="B1110" t="s">
        <v>4</v>
      </c>
      <c r="C1110" s="35" t="s">
        <v>387</v>
      </c>
      <c r="D1110" t="s">
        <v>260</v>
      </c>
      <c r="E1110" s="35" t="s">
        <v>387</v>
      </c>
      <c r="F1110" s="29" t="s">
        <v>262</v>
      </c>
      <c r="G1110" s="36">
        <v>11000</v>
      </c>
      <c r="H1110" s="36">
        <v>66</v>
      </c>
    </row>
    <row r="1111" spans="1:8">
      <c r="A1111" s="62">
        <v>138215130073</v>
      </c>
      <c r="B1111" t="s">
        <v>263</v>
      </c>
      <c r="C1111" s="35" t="s">
        <v>387</v>
      </c>
      <c r="D1111" t="s">
        <v>260</v>
      </c>
      <c r="E1111" s="35" t="s">
        <v>387</v>
      </c>
      <c r="F1111" s="29" t="s">
        <v>262</v>
      </c>
      <c r="G1111" s="36">
        <v>9800</v>
      </c>
      <c r="H1111" s="36">
        <v>58.8</v>
      </c>
    </row>
    <row r="1112" spans="1:8">
      <c r="A1112" s="62">
        <v>138855980124</v>
      </c>
      <c r="B1112" t="s">
        <v>4</v>
      </c>
      <c r="C1112" s="35" t="s">
        <v>387</v>
      </c>
      <c r="D1112" t="s">
        <v>260</v>
      </c>
      <c r="E1112" s="35" t="s">
        <v>387</v>
      </c>
      <c r="F1112" s="29" t="s">
        <v>262</v>
      </c>
      <c r="G1112" s="36">
        <v>19800</v>
      </c>
      <c r="H1112" s="36">
        <v>118.8</v>
      </c>
    </row>
    <row r="1113" spans="1:8">
      <c r="A1113" s="62">
        <v>138855967168</v>
      </c>
      <c r="B1113" t="s">
        <v>4</v>
      </c>
      <c r="C1113" s="35" t="s">
        <v>387</v>
      </c>
      <c r="D1113" t="s">
        <v>260</v>
      </c>
      <c r="E1113" s="35" t="s">
        <v>387</v>
      </c>
      <c r="F1113" s="29" t="s">
        <v>262</v>
      </c>
      <c r="G1113" s="36">
        <v>10500</v>
      </c>
      <c r="H1113" s="36">
        <v>63</v>
      </c>
    </row>
    <row r="1114" spans="1:8">
      <c r="A1114" s="62">
        <v>138856057240</v>
      </c>
      <c r="B1114" t="s">
        <v>4</v>
      </c>
      <c r="C1114" s="35" t="s">
        <v>387</v>
      </c>
      <c r="D1114" t="s">
        <v>260</v>
      </c>
      <c r="E1114" s="35" t="s">
        <v>387</v>
      </c>
      <c r="F1114" s="29" t="s">
        <v>262</v>
      </c>
      <c r="G1114" s="36">
        <v>50300</v>
      </c>
      <c r="H1114" s="36">
        <v>301.8</v>
      </c>
    </row>
    <row r="1115" spans="1:8">
      <c r="A1115" s="62">
        <v>138215505465</v>
      </c>
      <c r="B1115" t="s">
        <v>393</v>
      </c>
      <c r="C1115" s="35" t="s">
        <v>387</v>
      </c>
      <c r="D1115" t="s">
        <v>260</v>
      </c>
      <c r="E1115" s="35" t="s">
        <v>387</v>
      </c>
      <c r="F1115" s="29" t="s">
        <v>262</v>
      </c>
      <c r="G1115" s="36">
        <v>2515</v>
      </c>
      <c r="H1115" s="36">
        <v>15.09</v>
      </c>
    </row>
    <row r="1116" spans="1:8">
      <c r="A1116" s="62">
        <v>138856908296</v>
      </c>
      <c r="B1116" t="s">
        <v>394</v>
      </c>
      <c r="C1116" s="35" t="s">
        <v>387</v>
      </c>
      <c r="D1116" t="s">
        <v>260</v>
      </c>
      <c r="E1116" s="35" t="s">
        <v>387</v>
      </c>
      <c r="F1116" s="29" t="s">
        <v>262</v>
      </c>
      <c r="G1116" s="36">
        <v>820</v>
      </c>
      <c r="H1116" s="36">
        <v>4.92</v>
      </c>
    </row>
    <row r="1117" spans="1:8">
      <c r="A1117" s="62">
        <v>138216467745</v>
      </c>
      <c r="B1117" t="s">
        <v>263</v>
      </c>
      <c r="C1117" s="35" t="s">
        <v>387</v>
      </c>
      <c r="D1117" t="s">
        <v>260</v>
      </c>
      <c r="E1117" s="35" t="s">
        <v>387</v>
      </c>
      <c r="F1117" s="29" t="s">
        <v>262</v>
      </c>
      <c r="G1117" s="36">
        <v>116400</v>
      </c>
      <c r="H1117" s="36">
        <v>698.4</v>
      </c>
    </row>
    <row r="1118" spans="1:8">
      <c r="A1118" s="62">
        <v>138217368551</v>
      </c>
      <c r="B1118" t="s">
        <v>4</v>
      </c>
      <c r="C1118" s="35" t="s">
        <v>387</v>
      </c>
      <c r="D1118" t="s">
        <v>260</v>
      </c>
      <c r="E1118" s="35" t="s">
        <v>387</v>
      </c>
      <c r="F1118" s="29" t="s">
        <v>262</v>
      </c>
      <c r="G1118" s="36">
        <v>50300</v>
      </c>
      <c r="H1118" s="36">
        <v>301.8</v>
      </c>
    </row>
    <row r="1119" spans="1:8">
      <c r="A1119" s="62">
        <v>138217537137</v>
      </c>
      <c r="B1119" t="s">
        <v>4</v>
      </c>
      <c r="C1119" s="35" t="s">
        <v>387</v>
      </c>
      <c r="D1119" t="s">
        <v>260</v>
      </c>
      <c r="E1119" s="35" t="s">
        <v>387</v>
      </c>
      <c r="F1119" s="29" t="s">
        <v>262</v>
      </c>
      <c r="G1119" s="36">
        <v>11000</v>
      </c>
      <c r="H1119" s="36">
        <v>66</v>
      </c>
    </row>
    <row r="1120" spans="1:8">
      <c r="A1120" s="62">
        <v>138217676459</v>
      </c>
      <c r="B1120" t="s">
        <v>395</v>
      </c>
      <c r="C1120" s="35" t="s">
        <v>387</v>
      </c>
      <c r="D1120" t="s">
        <v>260</v>
      </c>
      <c r="E1120" s="35" t="s">
        <v>387</v>
      </c>
      <c r="F1120" s="29" t="s">
        <v>262</v>
      </c>
      <c r="G1120" s="36">
        <v>3190</v>
      </c>
      <c r="H1120" s="36">
        <v>19.14</v>
      </c>
    </row>
    <row r="1121" spans="1:8">
      <c r="A1121" s="62">
        <v>138217707315</v>
      </c>
      <c r="B1121" t="s">
        <v>4</v>
      </c>
      <c r="C1121" s="35" t="s">
        <v>387</v>
      </c>
      <c r="D1121" t="s">
        <v>260</v>
      </c>
      <c r="E1121" s="35" t="s">
        <v>387</v>
      </c>
      <c r="F1121" s="29" t="s">
        <v>262</v>
      </c>
      <c r="G1121" s="36">
        <v>27000</v>
      </c>
      <c r="H1121" s="36">
        <v>162</v>
      </c>
    </row>
    <row r="1122" spans="1:8">
      <c r="A1122" s="62">
        <v>138931151502</v>
      </c>
      <c r="B1122" t="s">
        <v>4</v>
      </c>
      <c r="C1122" s="35" t="s">
        <v>387</v>
      </c>
      <c r="D1122" t="s">
        <v>260</v>
      </c>
      <c r="E1122" s="35" t="s">
        <v>387</v>
      </c>
      <c r="F1122" s="29" t="s">
        <v>262</v>
      </c>
      <c r="G1122" s="36">
        <v>5500</v>
      </c>
      <c r="H1122" s="36">
        <v>33</v>
      </c>
    </row>
    <row r="1123" spans="1:8">
      <c r="A1123" s="62">
        <v>138298749187</v>
      </c>
      <c r="B1123" t="s">
        <v>263</v>
      </c>
      <c r="C1123" s="35" t="s">
        <v>387</v>
      </c>
      <c r="D1123" t="s">
        <v>260</v>
      </c>
      <c r="E1123" s="35" t="s">
        <v>387</v>
      </c>
      <c r="F1123" s="29" t="s">
        <v>262</v>
      </c>
      <c r="G1123" s="36">
        <v>13600</v>
      </c>
      <c r="H1123" s="36">
        <v>81.599999999999994</v>
      </c>
    </row>
    <row r="1124" spans="1:8">
      <c r="A1124" s="62">
        <v>138306522707</v>
      </c>
      <c r="B1124" t="s">
        <v>396</v>
      </c>
      <c r="C1124" s="35" t="s">
        <v>387</v>
      </c>
      <c r="D1124" t="s">
        <v>260</v>
      </c>
      <c r="E1124" s="35" t="s">
        <v>387</v>
      </c>
      <c r="F1124" s="29" t="s">
        <v>262</v>
      </c>
      <c r="G1124" s="36">
        <v>1235</v>
      </c>
      <c r="H1124" s="36">
        <v>7.41</v>
      </c>
    </row>
    <row r="1125" spans="1:8">
      <c r="A1125" s="62">
        <v>138306469365</v>
      </c>
      <c r="B1125" t="s">
        <v>4</v>
      </c>
      <c r="C1125" s="35" t="s">
        <v>387</v>
      </c>
      <c r="D1125" t="s">
        <v>260</v>
      </c>
      <c r="E1125" s="35" t="s">
        <v>387</v>
      </c>
      <c r="F1125" s="29" t="s">
        <v>262</v>
      </c>
      <c r="G1125" s="36">
        <v>24700</v>
      </c>
      <c r="H1125" s="36">
        <v>148.19999999999999</v>
      </c>
    </row>
    <row r="1126" spans="1:8">
      <c r="A1126" s="62">
        <v>138948009288</v>
      </c>
      <c r="B1126" t="s">
        <v>397</v>
      </c>
      <c r="C1126" s="35" t="s">
        <v>387</v>
      </c>
      <c r="D1126" t="s">
        <v>260</v>
      </c>
      <c r="E1126" s="35" t="s">
        <v>387</v>
      </c>
      <c r="F1126" s="29" t="s">
        <v>262</v>
      </c>
      <c r="G1126" s="36">
        <v>2450</v>
      </c>
      <c r="H1126" s="36">
        <v>14.7</v>
      </c>
    </row>
    <row r="1127" spans="1:8">
      <c r="A1127" s="62">
        <v>138307273445</v>
      </c>
      <c r="B1127" t="s">
        <v>4</v>
      </c>
      <c r="C1127" s="35" t="s">
        <v>387</v>
      </c>
      <c r="D1127" t="s">
        <v>260</v>
      </c>
      <c r="E1127" s="35" t="s">
        <v>387</v>
      </c>
      <c r="F1127" s="29" t="s">
        <v>262</v>
      </c>
      <c r="G1127" s="36">
        <v>24500</v>
      </c>
      <c r="H1127" s="36">
        <v>147</v>
      </c>
    </row>
    <row r="1128" spans="1:8">
      <c r="A1128" s="62">
        <v>138948247016</v>
      </c>
      <c r="B1128" t="s">
        <v>398</v>
      </c>
      <c r="C1128" s="35" t="s">
        <v>387</v>
      </c>
      <c r="D1128" t="s">
        <v>260</v>
      </c>
      <c r="E1128" s="35" t="s">
        <v>387</v>
      </c>
      <c r="F1128" s="29" t="s">
        <v>262</v>
      </c>
      <c r="G1128" s="36">
        <v>250</v>
      </c>
      <c r="H1128" s="36">
        <v>1.5</v>
      </c>
    </row>
    <row r="1129" spans="1:8">
      <c r="A1129" s="62">
        <v>138307491501</v>
      </c>
      <c r="B1129" t="s">
        <v>263</v>
      </c>
      <c r="C1129" s="35" t="s">
        <v>387</v>
      </c>
      <c r="D1129" t="s">
        <v>260</v>
      </c>
      <c r="E1129" s="35" t="s">
        <v>387</v>
      </c>
      <c r="F1129" s="29" t="s">
        <v>262</v>
      </c>
      <c r="G1129" s="36">
        <v>11000</v>
      </c>
      <c r="H1129" s="36">
        <v>66</v>
      </c>
    </row>
    <row r="1130" spans="1:8">
      <c r="A1130" s="62">
        <v>138950747256</v>
      </c>
      <c r="B1130" t="s">
        <v>263</v>
      </c>
      <c r="C1130" s="35" t="s">
        <v>387</v>
      </c>
      <c r="D1130" t="s">
        <v>260</v>
      </c>
      <c r="E1130" s="35" t="s">
        <v>387</v>
      </c>
      <c r="F1130" s="29" t="s">
        <v>262</v>
      </c>
      <c r="G1130" s="36">
        <v>26100</v>
      </c>
      <c r="H1130" s="36">
        <v>156.6</v>
      </c>
    </row>
    <row r="1131" spans="1:8">
      <c r="A1131" s="62">
        <v>138310086197</v>
      </c>
      <c r="B1131" t="s">
        <v>4</v>
      </c>
      <c r="C1131" s="35" t="s">
        <v>387</v>
      </c>
      <c r="D1131" t="s">
        <v>260</v>
      </c>
      <c r="E1131" s="35" t="s">
        <v>387</v>
      </c>
      <c r="F1131" s="29" t="s">
        <v>262</v>
      </c>
      <c r="G1131" s="36">
        <v>31300</v>
      </c>
      <c r="H1131" s="36">
        <v>187.8</v>
      </c>
    </row>
    <row r="1132" spans="1:8">
      <c r="A1132" s="62">
        <v>138954494952</v>
      </c>
      <c r="B1132" t="s">
        <v>399</v>
      </c>
      <c r="C1132" s="35" t="s">
        <v>387</v>
      </c>
      <c r="D1132" t="s">
        <v>260</v>
      </c>
      <c r="E1132" s="35" t="s">
        <v>387</v>
      </c>
      <c r="F1132" s="29" t="s">
        <v>262</v>
      </c>
      <c r="G1132" s="36">
        <v>6870</v>
      </c>
      <c r="H1132" s="36">
        <v>41.22</v>
      </c>
    </row>
    <row r="1133" spans="1:8">
      <c r="A1133" s="62">
        <v>138313756607</v>
      </c>
      <c r="B1133" t="s">
        <v>4</v>
      </c>
      <c r="C1133" s="35" t="s">
        <v>387</v>
      </c>
      <c r="D1133" t="s">
        <v>260</v>
      </c>
      <c r="E1133" s="35" t="s">
        <v>387</v>
      </c>
      <c r="F1133" s="29" t="s">
        <v>262</v>
      </c>
      <c r="G1133" s="36">
        <v>68700</v>
      </c>
      <c r="H1133" s="36">
        <v>412.2</v>
      </c>
    </row>
    <row r="1134" spans="1:8">
      <c r="A1134" s="62">
        <v>138316534489</v>
      </c>
      <c r="B1134" t="s">
        <v>4</v>
      </c>
      <c r="C1134" s="35" t="s">
        <v>387</v>
      </c>
      <c r="D1134" t="s">
        <v>260</v>
      </c>
      <c r="E1134" s="35" t="s">
        <v>387</v>
      </c>
      <c r="F1134" s="29" t="s">
        <v>262</v>
      </c>
      <c r="G1134" s="36">
        <v>11000</v>
      </c>
      <c r="H1134" s="36">
        <v>66</v>
      </c>
    </row>
    <row r="1135" spans="1:8">
      <c r="A1135" s="62">
        <v>138316909509</v>
      </c>
      <c r="B1135" t="s">
        <v>4</v>
      </c>
      <c r="C1135" s="35" t="s">
        <v>387</v>
      </c>
      <c r="D1135" t="s">
        <v>260</v>
      </c>
      <c r="E1135" s="35" t="s">
        <v>387</v>
      </c>
      <c r="F1135" s="29" t="s">
        <v>262</v>
      </c>
      <c r="G1135" s="36">
        <v>31900</v>
      </c>
      <c r="H1135" s="36">
        <v>191.4</v>
      </c>
    </row>
    <row r="1136" spans="1:8">
      <c r="A1136" s="62">
        <v>138317483911</v>
      </c>
      <c r="B1136" t="s">
        <v>4</v>
      </c>
      <c r="C1136" s="35" t="s">
        <v>387</v>
      </c>
      <c r="D1136" t="s">
        <v>260</v>
      </c>
      <c r="E1136" s="35" t="s">
        <v>387</v>
      </c>
      <c r="F1136" s="29" t="s">
        <v>262</v>
      </c>
      <c r="G1136" s="36">
        <v>28700</v>
      </c>
      <c r="H1136" s="36">
        <v>172.2</v>
      </c>
    </row>
    <row r="1137" spans="1:8">
      <c r="A1137" s="62">
        <v>138958608370</v>
      </c>
      <c r="B1137" t="s">
        <v>4</v>
      </c>
      <c r="C1137" s="35" t="s">
        <v>387</v>
      </c>
      <c r="D1137" t="s">
        <v>260</v>
      </c>
      <c r="E1137" s="35" t="s">
        <v>387</v>
      </c>
      <c r="F1137" s="29" t="s">
        <v>262</v>
      </c>
      <c r="G1137" s="36">
        <v>20000</v>
      </c>
      <c r="H1137" s="36">
        <v>120</v>
      </c>
    </row>
    <row r="1138" spans="1:8">
      <c r="A1138" s="62">
        <v>138317694879</v>
      </c>
      <c r="B1138" t="s">
        <v>263</v>
      </c>
      <c r="C1138" s="35" t="s">
        <v>387</v>
      </c>
      <c r="D1138" t="s">
        <v>260</v>
      </c>
      <c r="E1138" s="35" t="s">
        <v>387</v>
      </c>
      <c r="F1138" s="29" t="s">
        <v>262</v>
      </c>
      <c r="G1138" s="36">
        <v>41200</v>
      </c>
      <c r="H1138" s="36">
        <v>247.2</v>
      </c>
    </row>
    <row r="1139" spans="1:8">
      <c r="A1139" s="62">
        <v>138958894822</v>
      </c>
      <c r="B1139" t="s">
        <v>4</v>
      </c>
      <c r="C1139" s="35" t="s">
        <v>387</v>
      </c>
      <c r="D1139" t="s">
        <v>260</v>
      </c>
      <c r="E1139" s="35" t="s">
        <v>387</v>
      </c>
      <c r="F1139" s="29" t="s">
        <v>262</v>
      </c>
      <c r="G1139" s="36">
        <v>18500</v>
      </c>
      <c r="H1139" s="36">
        <v>111</v>
      </c>
    </row>
    <row r="1140" spans="1:8">
      <c r="A1140" s="62">
        <v>138318135687</v>
      </c>
      <c r="B1140" t="s">
        <v>263</v>
      </c>
      <c r="C1140" s="35" t="s">
        <v>387</v>
      </c>
      <c r="D1140" t="s">
        <v>260</v>
      </c>
      <c r="E1140" s="35" t="s">
        <v>387</v>
      </c>
      <c r="F1140" s="29" t="s">
        <v>262</v>
      </c>
      <c r="G1140" s="36">
        <v>20000</v>
      </c>
      <c r="H1140" s="36">
        <v>120</v>
      </c>
    </row>
    <row r="1141" spans="1:8">
      <c r="A1141" s="62">
        <v>138960529926</v>
      </c>
      <c r="B1141" t="s">
        <v>4</v>
      </c>
      <c r="C1141" s="35" t="s">
        <v>387</v>
      </c>
      <c r="D1141" t="s">
        <v>260</v>
      </c>
      <c r="E1141" s="35" t="s">
        <v>387</v>
      </c>
      <c r="F1141" s="29" t="s">
        <v>262</v>
      </c>
      <c r="G1141" s="36">
        <v>68700</v>
      </c>
      <c r="H1141" s="36">
        <v>412.2</v>
      </c>
    </row>
    <row r="1142" spans="1:8">
      <c r="A1142" s="62">
        <v>138960552954</v>
      </c>
      <c r="B1142" t="s">
        <v>4</v>
      </c>
      <c r="C1142" s="35" t="s">
        <v>387</v>
      </c>
      <c r="D1142" t="s">
        <v>260</v>
      </c>
      <c r="E1142" s="35" t="s">
        <v>387</v>
      </c>
      <c r="F1142" s="29" t="s">
        <v>262</v>
      </c>
      <c r="G1142" s="36">
        <v>74800</v>
      </c>
      <c r="H1142" s="36">
        <v>448.8</v>
      </c>
    </row>
    <row r="1143" spans="1:8">
      <c r="A1143" s="62">
        <v>138961200208</v>
      </c>
      <c r="B1143" t="s">
        <v>263</v>
      </c>
      <c r="C1143" s="35" t="s">
        <v>387</v>
      </c>
      <c r="D1143" t="s">
        <v>260</v>
      </c>
      <c r="E1143" s="35" t="s">
        <v>387</v>
      </c>
      <c r="F1143" s="29" t="s">
        <v>262</v>
      </c>
      <c r="G1143" s="36">
        <v>52900</v>
      </c>
      <c r="H1143" s="36">
        <v>317.39999999999998</v>
      </c>
    </row>
    <row r="1144" spans="1:8">
      <c r="A1144" s="62">
        <v>138961724050</v>
      </c>
      <c r="B1144" t="s">
        <v>4</v>
      </c>
      <c r="C1144" s="35" t="s">
        <v>387</v>
      </c>
      <c r="D1144" t="s">
        <v>260</v>
      </c>
      <c r="E1144" s="35" t="s">
        <v>400</v>
      </c>
      <c r="F1144" s="29" t="s">
        <v>262</v>
      </c>
      <c r="G1144" s="36">
        <v>11000</v>
      </c>
      <c r="H1144" s="36">
        <v>66</v>
      </c>
    </row>
    <row r="1145" spans="1:8">
      <c r="A1145" s="62">
        <v>138321453321</v>
      </c>
      <c r="B1145" t="s">
        <v>4</v>
      </c>
      <c r="C1145" s="35" t="s">
        <v>387</v>
      </c>
      <c r="D1145" t="s">
        <v>260</v>
      </c>
      <c r="E1145" s="35" t="s">
        <v>400</v>
      </c>
      <c r="F1145" s="29" t="s">
        <v>262</v>
      </c>
      <c r="G1145" s="36">
        <v>122700</v>
      </c>
      <c r="H1145" s="36">
        <v>736.2</v>
      </c>
    </row>
    <row r="1146" spans="1:8">
      <c r="A1146" s="62">
        <v>138962720678</v>
      </c>
      <c r="B1146" t="s">
        <v>4</v>
      </c>
      <c r="C1146" s="35" t="s">
        <v>387</v>
      </c>
      <c r="D1146" t="s">
        <v>260</v>
      </c>
      <c r="E1146" s="35" t="s">
        <v>400</v>
      </c>
      <c r="F1146" s="29" t="s">
        <v>262</v>
      </c>
      <c r="G1146" s="36">
        <v>43500</v>
      </c>
      <c r="H1146" s="36">
        <v>261</v>
      </c>
    </row>
    <row r="1147" spans="1:8">
      <c r="A1147" s="62">
        <v>138321908051</v>
      </c>
      <c r="B1147" t="s">
        <v>263</v>
      </c>
      <c r="C1147" s="35" t="s">
        <v>387</v>
      </c>
      <c r="D1147" t="s">
        <v>260</v>
      </c>
      <c r="E1147" s="35" t="s">
        <v>400</v>
      </c>
      <c r="F1147" s="29" t="s">
        <v>262</v>
      </c>
      <c r="G1147" s="36">
        <v>78100</v>
      </c>
      <c r="H1147" s="36">
        <v>468.6</v>
      </c>
    </row>
    <row r="1148" spans="1:8">
      <c r="A1148" s="62">
        <v>138963097522</v>
      </c>
      <c r="B1148" t="s">
        <v>263</v>
      </c>
      <c r="C1148" s="35" t="s">
        <v>387</v>
      </c>
      <c r="D1148" t="s">
        <v>260</v>
      </c>
      <c r="E1148" s="35" t="s">
        <v>400</v>
      </c>
      <c r="F1148" s="29" t="s">
        <v>262</v>
      </c>
      <c r="G1148" s="36">
        <v>42800</v>
      </c>
      <c r="H1148" s="36">
        <v>256.8</v>
      </c>
    </row>
    <row r="1149" spans="1:8">
      <c r="A1149" s="62">
        <v>138963123706</v>
      </c>
      <c r="B1149" t="s">
        <v>263</v>
      </c>
      <c r="C1149" s="35" t="s">
        <v>387</v>
      </c>
      <c r="D1149" t="s">
        <v>260</v>
      </c>
      <c r="E1149" s="35" t="s">
        <v>400</v>
      </c>
      <c r="F1149" s="29" t="s">
        <v>262</v>
      </c>
      <c r="G1149" s="36">
        <v>34000</v>
      </c>
      <c r="H1149" s="36">
        <v>204</v>
      </c>
    </row>
    <row r="1150" spans="1:8">
      <c r="A1150" s="62">
        <v>138964996976</v>
      </c>
      <c r="B1150" t="s">
        <v>4</v>
      </c>
      <c r="C1150" s="35" t="s">
        <v>400</v>
      </c>
      <c r="D1150" t="s">
        <v>260</v>
      </c>
      <c r="E1150" s="35" t="s">
        <v>400</v>
      </c>
      <c r="F1150" s="29" t="s">
        <v>262</v>
      </c>
      <c r="G1150" s="36">
        <v>74600</v>
      </c>
      <c r="H1150" s="36">
        <v>447.6</v>
      </c>
    </row>
    <row r="1151" spans="1:8">
      <c r="A1151" s="62">
        <v>138305568797</v>
      </c>
      <c r="B1151" t="s">
        <v>4</v>
      </c>
      <c r="C1151" s="35" t="s">
        <v>387</v>
      </c>
      <c r="D1151" t="s">
        <v>260</v>
      </c>
      <c r="E1151" s="35" t="s">
        <v>387</v>
      </c>
      <c r="F1151" s="29" t="s">
        <v>262</v>
      </c>
      <c r="G1151" s="36">
        <v>18550</v>
      </c>
      <c r="H1151" s="36">
        <v>111.3</v>
      </c>
    </row>
    <row r="1152" spans="1:8">
      <c r="A1152" s="62">
        <v>138305709893</v>
      </c>
      <c r="B1152" t="s">
        <v>4</v>
      </c>
      <c r="C1152" s="35" t="s">
        <v>387</v>
      </c>
      <c r="D1152" t="s">
        <v>260</v>
      </c>
      <c r="E1152" s="35" t="s">
        <v>387</v>
      </c>
      <c r="F1152" s="29" t="s">
        <v>262</v>
      </c>
      <c r="G1152" s="36">
        <v>50000</v>
      </c>
      <c r="H1152" s="36">
        <v>300</v>
      </c>
    </row>
    <row r="1153" spans="1:8">
      <c r="A1153" s="62">
        <v>138946864896</v>
      </c>
      <c r="B1153" t="s">
        <v>263</v>
      </c>
      <c r="C1153" s="35" t="s">
        <v>387</v>
      </c>
      <c r="D1153" t="s">
        <v>260</v>
      </c>
      <c r="E1153" s="35" t="s">
        <v>387</v>
      </c>
      <c r="F1153" s="29" t="s">
        <v>262</v>
      </c>
      <c r="G1153" s="36">
        <v>4900</v>
      </c>
      <c r="H1153" s="36">
        <v>29.4</v>
      </c>
    </row>
    <row r="1154" spans="1:8">
      <c r="A1154" s="62">
        <v>138307234725</v>
      </c>
      <c r="B1154" t="s">
        <v>263</v>
      </c>
      <c r="C1154" s="35" t="s">
        <v>387</v>
      </c>
      <c r="D1154" t="s">
        <v>260</v>
      </c>
      <c r="E1154" s="35" t="s">
        <v>387</v>
      </c>
      <c r="F1154" s="29" t="s">
        <v>262</v>
      </c>
      <c r="G1154" s="36">
        <v>29800</v>
      </c>
      <c r="H1154" s="36">
        <v>178.8</v>
      </c>
    </row>
    <row r="1155" spans="1:8">
      <c r="A1155" s="62">
        <v>138307429819</v>
      </c>
      <c r="B1155" t="s">
        <v>4</v>
      </c>
      <c r="C1155" s="35" t="s">
        <v>387</v>
      </c>
      <c r="D1155" t="s">
        <v>260</v>
      </c>
      <c r="E1155" s="35" t="s">
        <v>387</v>
      </c>
      <c r="F1155" s="29" t="s">
        <v>262</v>
      </c>
      <c r="G1155" s="36">
        <v>5000</v>
      </c>
      <c r="H1155" s="36">
        <v>30</v>
      </c>
    </row>
    <row r="1156" spans="1:8">
      <c r="A1156" s="62">
        <v>138950884454</v>
      </c>
      <c r="B1156" t="s">
        <v>401</v>
      </c>
      <c r="C1156" s="35" t="s">
        <v>387</v>
      </c>
      <c r="D1156" t="s">
        <v>260</v>
      </c>
      <c r="E1156" s="35" t="s">
        <v>387</v>
      </c>
      <c r="F1156" s="29" t="s">
        <v>262</v>
      </c>
      <c r="G1156" s="36">
        <v>3130</v>
      </c>
      <c r="H1156" s="36">
        <v>18.78</v>
      </c>
    </row>
    <row r="1157" spans="1:8">
      <c r="A1157" s="62">
        <v>138951541508</v>
      </c>
      <c r="B1157" t="s">
        <v>263</v>
      </c>
      <c r="C1157" s="35" t="s">
        <v>387</v>
      </c>
      <c r="D1157" t="s">
        <v>260</v>
      </c>
      <c r="E1157" s="35" t="s">
        <v>387</v>
      </c>
      <c r="F1157" s="29" t="s">
        <v>262</v>
      </c>
      <c r="G1157" s="36">
        <v>64000</v>
      </c>
      <c r="H1157" s="36">
        <v>384</v>
      </c>
    </row>
    <row r="1158" spans="1:8">
      <c r="A1158" s="62">
        <v>138311072677</v>
      </c>
      <c r="B1158" t="s">
        <v>4</v>
      </c>
      <c r="C1158" s="35" t="s">
        <v>387</v>
      </c>
      <c r="D1158" t="s">
        <v>260</v>
      </c>
      <c r="E1158" s="35" t="s">
        <v>387</v>
      </c>
      <c r="F1158" s="29" t="s">
        <v>262</v>
      </c>
      <c r="G1158" s="36">
        <v>47100</v>
      </c>
      <c r="H1158" s="36">
        <v>282.60000000000002</v>
      </c>
    </row>
    <row r="1159" spans="1:8">
      <c r="A1159" s="62">
        <v>138312353835</v>
      </c>
      <c r="B1159" t="s">
        <v>4</v>
      </c>
      <c r="C1159" s="35" t="s">
        <v>387</v>
      </c>
      <c r="D1159" t="s">
        <v>260</v>
      </c>
      <c r="E1159" s="35" t="s">
        <v>387</v>
      </c>
      <c r="F1159" s="29" t="s">
        <v>262</v>
      </c>
      <c r="G1159" s="36">
        <v>11300</v>
      </c>
      <c r="H1159" s="36">
        <v>67.8</v>
      </c>
    </row>
    <row r="1160" spans="1:8">
      <c r="A1160" s="62">
        <v>138312563103</v>
      </c>
      <c r="B1160" t="s">
        <v>4</v>
      </c>
      <c r="C1160" s="35" t="s">
        <v>387</v>
      </c>
      <c r="D1160" t="s">
        <v>260</v>
      </c>
      <c r="E1160" s="35" t="s">
        <v>387</v>
      </c>
      <c r="F1160" s="29" t="s">
        <v>262</v>
      </c>
      <c r="G1160" s="36">
        <v>9600</v>
      </c>
      <c r="H1160" s="36">
        <v>57.6</v>
      </c>
    </row>
    <row r="1161" spans="1:8">
      <c r="A1161" s="62">
        <v>138313163771</v>
      </c>
      <c r="B1161" t="s">
        <v>4</v>
      </c>
      <c r="C1161" s="35" t="s">
        <v>387</v>
      </c>
      <c r="D1161" t="s">
        <v>260</v>
      </c>
      <c r="E1161" s="35" t="s">
        <v>387</v>
      </c>
      <c r="F1161" s="29" t="s">
        <v>262</v>
      </c>
      <c r="G1161" s="36">
        <v>20100</v>
      </c>
      <c r="H1161" s="36">
        <v>120.6</v>
      </c>
    </row>
    <row r="1162" spans="1:8">
      <c r="A1162" s="62">
        <v>138955332676</v>
      </c>
      <c r="B1162" t="s">
        <v>4</v>
      </c>
      <c r="C1162" s="35" t="s">
        <v>387</v>
      </c>
      <c r="D1162" t="s">
        <v>260</v>
      </c>
      <c r="E1162" s="35" t="s">
        <v>387</v>
      </c>
      <c r="F1162" s="29" t="s">
        <v>262</v>
      </c>
      <c r="G1162" s="36">
        <v>23650</v>
      </c>
      <c r="H1162" s="36">
        <v>141.9</v>
      </c>
    </row>
    <row r="1163" spans="1:8">
      <c r="A1163" s="62">
        <v>138955737872</v>
      </c>
      <c r="B1163" t="s">
        <v>4</v>
      </c>
      <c r="C1163" s="35" t="s">
        <v>387</v>
      </c>
      <c r="D1163" t="s">
        <v>260</v>
      </c>
      <c r="E1163" s="35" t="s">
        <v>387</v>
      </c>
      <c r="F1163" s="29" t="s">
        <v>262</v>
      </c>
      <c r="G1163" s="36">
        <v>20600</v>
      </c>
      <c r="H1163" s="36">
        <v>123.6</v>
      </c>
    </row>
    <row r="1164" spans="1:8">
      <c r="A1164" s="62">
        <v>138956547972</v>
      </c>
      <c r="B1164" t="s">
        <v>4</v>
      </c>
      <c r="C1164" s="35" t="s">
        <v>387</v>
      </c>
      <c r="D1164" t="s">
        <v>260</v>
      </c>
      <c r="E1164" s="35" t="s">
        <v>387</v>
      </c>
      <c r="F1164" s="29" t="s">
        <v>262</v>
      </c>
      <c r="G1164" s="36">
        <v>88600</v>
      </c>
      <c r="H1164" s="36">
        <v>531.6</v>
      </c>
    </row>
    <row r="1165" spans="1:8">
      <c r="A1165" s="62">
        <v>138315661395</v>
      </c>
      <c r="B1165" t="s">
        <v>402</v>
      </c>
      <c r="C1165" s="35" t="s">
        <v>387</v>
      </c>
      <c r="D1165" t="s">
        <v>260</v>
      </c>
      <c r="E1165" s="35" t="s">
        <v>387</v>
      </c>
      <c r="F1165" s="29" t="s">
        <v>262</v>
      </c>
      <c r="G1165" s="36">
        <v>8860</v>
      </c>
      <c r="H1165" s="36">
        <v>53.16</v>
      </c>
    </row>
    <row r="1166" spans="1:8">
      <c r="A1166" s="62">
        <v>138316277365</v>
      </c>
      <c r="B1166" t="s">
        <v>263</v>
      </c>
      <c r="C1166" s="35" t="s">
        <v>387</v>
      </c>
      <c r="D1166" t="s">
        <v>260</v>
      </c>
      <c r="E1166" s="35" t="s">
        <v>387</v>
      </c>
      <c r="F1166" s="29" t="s">
        <v>262</v>
      </c>
      <c r="G1166" s="36">
        <v>112600</v>
      </c>
      <c r="H1166" s="36">
        <v>675.6</v>
      </c>
    </row>
    <row r="1167" spans="1:8">
      <c r="A1167" s="62">
        <v>138316537299</v>
      </c>
      <c r="B1167" t="s">
        <v>4</v>
      </c>
      <c r="C1167" s="35" t="s">
        <v>387</v>
      </c>
      <c r="D1167" t="s">
        <v>260</v>
      </c>
      <c r="E1167" s="35" t="s">
        <v>387</v>
      </c>
      <c r="F1167" s="29" t="s">
        <v>262</v>
      </c>
      <c r="G1167" s="36">
        <v>55900</v>
      </c>
      <c r="H1167" s="36">
        <v>335.4</v>
      </c>
    </row>
    <row r="1168" spans="1:8">
      <c r="A1168" s="62">
        <v>138957550940</v>
      </c>
      <c r="B1168" t="s">
        <v>4</v>
      </c>
      <c r="C1168" s="35" t="s">
        <v>387</v>
      </c>
      <c r="D1168" t="s">
        <v>260</v>
      </c>
      <c r="E1168" s="35" t="s">
        <v>387</v>
      </c>
      <c r="F1168" s="29" t="s">
        <v>262</v>
      </c>
      <c r="G1168" s="36">
        <v>43100</v>
      </c>
      <c r="H1168" s="36">
        <v>258.60000000000002</v>
      </c>
    </row>
    <row r="1169" spans="1:8">
      <c r="A1169" s="62">
        <v>138317696189</v>
      </c>
      <c r="B1169" t="s">
        <v>403</v>
      </c>
      <c r="C1169" s="35" t="s">
        <v>387</v>
      </c>
      <c r="D1169" t="s">
        <v>260</v>
      </c>
      <c r="E1169" s="35" t="s">
        <v>387</v>
      </c>
      <c r="F1169" s="29" t="s">
        <v>262</v>
      </c>
      <c r="G1169" s="36">
        <v>5520</v>
      </c>
      <c r="H1169" s="36">
        <v>33.119999999999997</v>
      </c>
    </row>
    <row r="1170" spans="1:8">
      <c r="A1170" s="62">
        <v>138958597390</v>
      </c>
      <c r="B1170" t="s">
        <v>4</v>
      </c>
      <c r="C1170" s="35" t="s">
        <v>387</v>
      </c>
      <c r="D1170" t="s">
        <v>260</v>
      </c>
      <c r="E1170" s="35" t="s">
        <v>387</v>
      </c>
      <c r="F1170" s="29" t="s">
        <v>262</v>
      </c>
      <c r="G1170" s="36">
        <v>36800</v>
      </c>
      <c r="H1170" s="36">
        <v>220.8</v>
      </c>
    </row>
    <row r="1171" spans="1:8">
      <c r="A1171" s="62">
        <v>138317772859</v>
      </c>
      <c r="B1171" t="s">
        <v>263</v>
      </c>
      <c r="C1171" s="35" t="s">
        <v>387</v>
      </c>
      <c r="D1171" t="s">
        <v>260</v>
      </c>
      <c r="E1171" s="35" t="s">
        <v>387</v>
      </c>
      <c r="F1171" s="29" t="s">
        <v>262</v>
      </c>
      <c r="G1171" s="36">
        <v>35800</v>
      </c>
      <c r="H1171" s="36">
        <v>214.8</v>
      </c>
    </row>
    <row r="1172" spans="1:8">
      <c r="A1172" s="62">
        <v>138958895424</v>
      </c>
      <c r="B1172" t="s">
        <v>263</v>
      </c>
      <c r="C1172" s="35" t="s">
        <v>387</v>
      </c>
      <c r="D1172" t="s">
        <v>260</v>
      </c>
      <c r="E1172" s="35" t="s">
        <v>387</v>
      </c>
      <c r="F1172" s="29" t="s">
        <v>262</v>
      </c>
      <c r="G1172" s="36">
        <v>75800</v>
      </c>
      <c r="H1172" s="36">
        <v>454.8</v>
      </c>
    </row>
    <row r="1173" spans="1:8">
      <c r="A1173" s="62">
        <v>138318627905</v>
      </c>
      <c r="B1173" t="s">
        <v>263</v>
      </c>
      <c r="C1173" s="35" t="s">
        <v>387</v>
      </c>
      <c r="D1173" t="s">
        <v>260</v>
      </c>
      <c r="E1173" s="35" t="s">
        <v>387</v>
      </c>
      <c r="F1173" s="29" t="s">
        <v>262</v>
      </c>
      <c r="G1173" s="36">
        <v>42100</v>
      </c>
      <c r="H1173" s="36">
        <v>252.6</v>
      </c>
    </row>
    <row r="1174" spans="1:8">
      <c r="A1174" s="62">
        <v>138319640265</v>
      </c>
      <c r="B1174" t="s">
        <v>404</v>
      </c>
      <c r="C1174" s="35" t="s">
        <v>387</v>
      </c>
      <c r="D1174" t="s">
        <v>260</v>
      </c>
      <c r="E1174" s="35" t="s">
        <v>387</v>
      </c>
      <c r="F1174" s="29" t="s">
        <v>262</v>
      </c>
      <c r="G1174" s="36">
        <v>3740</v>
      </c>
      <c r="H1174" s="36">
        <v>22.44</v>
      </c>
    </row>
    <row r="1175" spans="1:8">
      <c r="A1175" s="62">
        <v>138320030417</v>
      </c>
      <c r="B1175" t="s">
        <v>4</v>
      </c>
      <c r="C1175" s="35" t="s">
        <v>387</v>
      </c>
      <c r="D1175" t="s">
        <v>260</v>
      </c>
      <c r="E1175" s="35" t="s">
        <v>387</v>
      </c>
      <c r="F1175" s="29" t="s">
        <v>262</v>
      </c>
      <c r="G1175" s="36">
        <v>9600</v>
      </c>
      <c r="H1175" s="36">
        <v>57.6</v>
      </c>
    </row>
    <row r="1176" spans="1:8">
      <c r="A1176" s="62">
        <v>138962445080</v>
      </c>
      <c r="B1176" t="s">
        <v>4</v>
      </c>
      <c r="C1176" s="35" t="s">
        <v>387</v>
      </c>
      <c r="D1176" t="s">
        <v>260</v>
      </c>
      <c r="E1176" s="35" t="s">
        <v>400</v>
      </c>
      <c r="F1176" s="29" t="s">
        <v>262</v>
      </c>
      <c r="G1176" s="36">
        <v>153500</v>
      </c>
      <c r="H1176" s="36">
        <v>921</v>
      </c>
    </row>
    <row r="1177" spans="1:8">
      <c r="A1177" s="62">
        <v>138962805222</v>
      </c>
      <c r="B1177" t="s">
        <v>4</v>
      </c>
      <c r="C1177" s="35" t="s">
        <v>387</v>
      </c>
      <c r="D1177" t="s">
        <v>260</v>
      </c>
      <c r="E1177" s="35" t="s">
        <v>400</v>
      </c>
      <c r="F1177" s="29" t="s">
        <v>262</v>
      </c>
      <c r="G1177" s="36">
        <v>5000</v>
      </c>
      <c r="H1177" s="36">
        <v>30</v>
      </c>
    </row>
    <row r="1178" spans="1:8">
      <c r="A1178" s="62">
        <v>138962996942</v>
      </c>
      <c r="B1178" t="s">
        <v>4</v>
      </c>
      <c r="C1178" s="35" t="s">
        <v>387</v>
      </c>
      <c r="D1178" t="s">
        <v>260</v>
      </c>
      <c r="E1178" s="35" t="s">
        <v>400</v>
      </c>
      <c r="F1178" s="29" t="s">
        <v>262</v>
      </c>
      <c r="G1178" s="36">
        <v>71200</v>
      </c>
      <c r="H1178" s="36">
        <v>427.2</v>
      </c>
    </row>
    <row r="1179" spans="1:8">
      <c r="A1179" s="62">
        <v>138963015400</v>
      </c>
      <c r="B1179" t="s">
        <v>263</v>
      </c>
      <c r="C1179" s="35" t="s">
        <v>387</v>
      </c>
      <c r="D1179" t="s">
        <v>260</v>
      </c>
      <c r="E1179" s="35" t="s">
        <v>400</v>
      </c>
      <c r="F1179" s="29" t="s">
        <v>262</v>
      </c>
      <c r="G1179" s="36">
        <v>61110</v>
      </c>
      <c r="H1179" s="36">
        <v>366.66</v>
      </c>
    </row>
    <row r="1180" spans="1:8">
      <c r="A1180" s="62">
        <v>138322192323</v>
      </c>
      <c r="B1180" t="s">
        <v>263</v>
      </c>
      <c r="C1180" s="35" t="s">
        <v>387</v>
      </c>
      <c r="D1180" t="s">
        <v>260</v>
      </c>
      <c r="E1180" s="35" t="s">
        <v>400</v>
      </c>
      <c r="F1180" s="29" t="s">
        <v>262</v>
      </c>
      <c r="G1180" s="36">
        <v>20900</v>
      </c>
      <c r="H1180" s="36">
        <v>125.4</v>
      </c>
    </row>
    <row r="1181" spans="1:8">
      <c r="A1181" s="62">
        <v>138963448102</v>
      </c>
      <c r="B1181" t="s">
        <v>4</v>
      </c>
      <c r="C1181" s="35" t="s">
        <v>387</v>
      </c>
      <c r="D1181" t="s">
        <v>260</v>
      </c>
      <c r="E1181" s="35" t="s">
        <v>400</v>
      </c>
      <c r="F1181" s="29" t="s">
        <v>262</v>
      </c>
      <c r="G1181" s="36">
        <v>36000</v>
      </c>
      <c r="H1181" s="36">
        <v>216</v>
      </c>
    </row>
    <row r="1182" spans="1:8">
      <c r="A1182" s="62">
        <v>138964643346</v>
      </c>
      <c r="B1182" t="s">
        <v>4</v>
      </c>
      <c r="C1182" s="35" t="s">
        <v>387</v>
      </c>
      <c r="D1182" t="s">
        <v>260</v>
      </c>
      <c r="E1182" s="35" t="s">
        <v>400</v>
      </c>
      <c r="F1182" s="29" t="s">
        <v>262</v>
      </c>
      <c r="G1182" s="36">
        <v>136700</v>
      </c>
      <c r="H1182" s="36">
        <v>820.2</v>
      </c>
    </row>
    <row r="1183" spans="1:8">
      <c r="A1183" s="62">
        <v>138323774237</v>
      </c>
      <c r="B1183" t="s">
        <v>405</v>
      </c>
      <c r="C1183" s="35" t="s">
        <v>387</v>
      </c>
      <c r="D1183" t="s">
        <v>260</v>
      </c>
      <c r="E1183" s="35" t="s">
        <v>400</v>
      </c>
      <c r="F1183" s="29" t="s">
        <v>262</v>
      </c>
      <c r="G1183" s="36">
        <v>6835</v>
      </c>
      <c r="H1183" s="36">
        <v>41.01</v>
      </c>
    </row>
    <row r="1184" spans="1:8">
      <c r="A1184" s="62">
        <v>138964725768</v>
      </c>
      <c r="B1184" t="s">
        <v>4</v>
      </c>
      <c r="C1184" s="35" t="s">
        <v>400</v>
      </c>
      <c r="D1184" t="s">
        <v>260</v>
      </c>
      <c r="E1184" s="35" t="s">
        <v>400</v>
      </c>
      <c r="F1184" s="29" t="s">
        <v>262</v>
      </c>
      <c r="G1184" s="36">
        <v>16500</v>
      </c>
      <c r="H1184" s="36">
        <v>99</v>
      </c>
    </row>
    <row r="1185" spans="1:8">
      <c r="A1185" s="62">
        <v>138964781728</v>
      </c>
      <c r="B1185" t="s">
        <v>4</v>
      </c>
      <c r="C1185" s="35" t="s">
        <v>400</v>
      </c>
      <c r="D1185" t="s">
        <v>260</v>
      </c>
      <c r="E1185" s="35" t="s">
        <v>400</v>
      </c>
      <c r="F1185" s="29" t="s">
        <v>262</v>
      </c>
      <c r="G1185" s="36">
        <v>20000</v>
      </c>
      <c r="H1185" s="36">
        <v>120</v>
      </c>
    </row>
    <row r="1186" spans="1:8">
      <c r="A1186" s="62">
        <v>138966323446</v>
      </c>
      <c r="B1186" t="s">
        <v>4</v>
      </c>
      <c r="C1186" s="35" t="s">
        <v>400</v>
      </c>
      <c r="D1186" t="s">
        <v>260</v>
      </c>
      <c r="E1186" s="35" t="s">
        <v>400</v>
      </c>
      <c r="F1186" s="29" t="s">
        <v>262</v>
      </c>
      <c r="G1186" s="36">
        <v>10000</v>
      </c>
      <c r="H1186" s="36">
        <v>60</v>
      </c>
    </row>
    <row r="1187" spans="1:8">
      <c r="A1187" s="62">
        <v>138966619264</v>
      </c>
      <c r="B1187" t="s">
        <v>4</v>
      </c>
      <c r="C1187" s="35" t="s">
        <v>400</v>
      </c>
      <c r="D1187" t="s">
        <v>260</v>
      </c>
      <c r="E1187" s="35" t="s">
        <v>400</v>
      </c>
      <c r="F1187" s="29" t="s">
        <v>262</v>
      </c>
      <c r="G1187" s="36">
        <v>62500</v>
      </c>
      <c r="H1187" s="36">
        <v>375</v>
      </c>
    </row>
    <row r="1188" spans="1:8">
      <c r="A1188" s="62" t="s">
        <v>406</v>
      </c>
      <c r="B1188" t="s">
        <v>4</v>
      </c>
      <c r="C1188" s="35" t="s">
        <v>400</v>
      </c>
      <c r="D1188" t="s">
        <v>260</v>
      </c>
      <c r="E1188" s="35" t="s">
        <v>400</v>
      </c>
      <c r="F1188" s="29" t="s">
        <v>262</v>
      </c>
      <c r="G1188" s="36">
        <v>712338.37</v>
      </c>
      <c r="H1188" s="36">
        <v>4274.03</v>
      </c>
    </row>
    <row r="1189" spans="1:8">
      <c r="A1189" s="62">
        <v>139008795034</v>
      </c>
      <c r="B1189" t="s">
        <v>4</v>
      </c>
      <c r="C1189" s="35" t="s">
        <v>400</v>
      </c>
      <c r="D1189" t="s">
        <v>260</v>
      </c>
      <c r="E1189" s="35" t="s">
        <v>400</v>
      </c>
      <c r="F1189" s="29" t="s">
        <v>262</v>
      </c>
      <c r="G1189" s="36">
        <v>500000</v>
      </c>
      <c r="H1189" s="36">
        <v>3000</v>
      </c>
    </row>
    <row r="1190" spans="1:8">
      <c r="A1190" s="62" t="s">
        <v>408</v>
      </c>
      <c r="B1190" t="s">
        <v>4</v>
      </c>
      <c r="C1190" s="35" t="s">
        <v>407</v>
      </c>
      <c r="D1190" t="s">
        <v>260</v>
      </c>
      <c r="E1190" s="35" t="s">
        <v>407</v>
      </c>
      <c r="F1190" s="29" t="s">
        <v>262</v>
      </c>
      <c r="G1190" s="36">
        <v>168233.36</v>
      </c>
      <c r="H1190" s="36">
        <v>1009.4</v>
      </c>
    </row>
    <row r="1191" spans="1:8">
      <c r="A1191" s="62">
        <v>138615245287</v>
      </c>
      <c r="B1191" t="s">
        <v>4</v>
      </c>
      <c r="C1191" s="35" t="s">
        <v>407</v>
      </c>
      <c r="D1191" t="s">
        <v>260</v>
      </c>
      <c r="E1191" s="35" t="s">
        <v>407</v>
      </c>
      <c r="F1191" s="29" t="s">
        <v>262</v>
      </c>
      <c r="G1191" s="36">
        <v>10000</v>
      </c>
      <c r="H1191" s="36">
        <v>60</v>
      </c>
    </row>
    <row r="1192" spans="1:8">
      <c r="A1192" s="62">
        <v>139263142212</v>
      </c>
      <c r="B1192" t="s">
        <v>4</v>
      </c>
      <c r="C1192" s="35" t="s">
        <v>407</v>
      </c>
      <c r="D1192" t="s">
        <v>260</v>
      </c>
      <c r="E1192" s="35" t="s">
        <v>407</v>
      </c>
      <c r="F1192" s="29" t="s">
        <v>262</v>
      </c>
      <c r="G1192" s="36">
        <v>12000</v>
      </c>
      <c r="H1192" s="36">
        <v>72</v>
      </c>
    </row>
    <row r="1193" spans="1:8">
      <c r="A1193" s="62">
        <v>139263155880</v>
      </c>
      <c r="B1193" t="s">
        <v>263</v>
      </c>
      <c r="C1193" s="35" t="s">
        <v>407</v>
      </c>
      <c r="D1193" t="s">
        <v>260</v>
      </c>
      <c r="E1193" s="35" t="s">
        <v>407</v>
      </c>
      <c r="F1193" s="29" t="s">
        <v>262</v>
      </c>
      <c r="G1193" s="36">
        <v>10000</v>
      </c>
      <c r="H1193" s="36">
        <v>60</v>
      </c>
    </row>
    <row r="1194" spans="1:8">
      <c r="A1194" s="62">
        <v>138620385257</v>
      </c>
      <c r="B1194" t="s">
        <v>263</v>
      </c>
      <c r="C1194" s="35" t="s">
        <v>407</v>
      </c>
      <c r="D1194" t="s">
        <v>260</v>
      </c>
      <c r="E1194" s="35" t="s">
        <v>407</v>
      </c>
      <c r="F1194" s="29" t="s">
        <v>262</v>
      </c>
      <c r="G1194" s="36">
        <v>24100</v>
      </c>
      <c r="H1194" s="36">
        <v>144.6</v>
      </c>
    </row>
    <row r="1195" spans="1:8">
      <c r="A1195" s="62">
        <v>139270327646</v>
      </c>
      <c r="B1195" t="s">
        <v>4</v>
      </c>
      <c r="C1195" s="35" t="s">
        <v>407</v>
      </c>
      <c r="D1195" t="s">
        <v>260</v>
      </c>
      <c r="E1195" s="35" t="s">
        <v>407</v>
      </c>
      <c r="F1195" s="29" t="s">
        <v>262</v>
      </c>
      <c r="G1195" s="36">
        <v>10000</v>
      </c>
      <c r="H1195" s="36">
        <v>60</v>
      </c>
    </row>
    <row r="1196" spans="1:8">
      <c r="A1196" s="62">
        <v>139271087224</v>
      </c>
      <c r="B1196" t="s">
        <v>4</v>
      </c>
      <c r="C1196" s="35" t="s">
        <v>407</v>
      </c>
      <c r="D1196" t="s">
        <v>260</v>
      </c>
      <c r="E1196" s="35" t="s">
        <v>407</v>
      </c>
      <c r="F1196" s="29" t="s">
        <v>262</v>
      </c>
      <c r="G1196" s="36">
        <v>29300</v>
      </c>
      <c r="H1196" s="36">
        <v>175.8</v>
      </c>
    </row>
    <row r="1197" spans="1:8">
      <c r="A1197" s="62">
        <v>138626440873</v>
      </c>
      <c r="B1197" t="s">
        <v>409</v>
      </c>
      <c r="C1197" s="35" t="s">
        <v>407</v>
      </c>
      <c r="D1197" t="s">
        <v>260</v>
      </c>
      <c r="E1197" s="35" t="s">
        <v>407</v>
      </c>
      <c r="F1197" s="29" t="s">
        <v>262</v>
      </c>
      <c r="G1197" s="36">
        <v>240</v>
      </c>
      <c r="H1197" s="36">
        <v>1.44</v>
      </c>
    </row>
    <row r="1198" spans="1:8">
      <c r="A1198" s="62">
        <v>139272015484</v>
      </c>
      <c r="B1198" t="s">
        <v>4</v>
      </c>
      <c r="C1198" s="35" t="s">
        <v>407</v>
      </c>
      <c r="D1198" t="s">
        <v>260</v>
      </c>
      <c r="E1198" s="35" t="s">
        <v>407</v>
      </c>
      <c r="F1198" s="29" t="s">
        <v>262</v>
      </c>
      <c r="G1198" s="36">
        <v>19000</v>
      </c>
      <c r="H1198" s="36">
        <v>114</v>
      </c>
    </row>
    <row r="1199" spans="1:8">
      <c r="A1199" s="62">
        <v>139273670082</v>
      </c>
      <c r="B1199" t="s">
        <v>263</v>
      </c>
      <c r="C1199" s="35" t="s">
        <v>407</v>
      </c>
      <c r="D1199" t="s">
        <v>260</v>
      </c>
      <c r="E1199" s="35" t="s">
        <v>407</v>
      </c>
      <c r="F1199" s="29" t="s">
        <v>262</v>
      </c>
      <c r="G1199" s="36">
        <v>39200</v>
      </c>
      <c r="H1199" s="36">
        <v>235.2</v>
      </c>
    </row>
    <row r="1200" spans="1:8">
      <c r="A1200" s="62">
        <v>139273670082</v>
      </c>
      <c r="B1200" t="s">
        <v>263</v>
      </c>
      <c r="C1200" s="35" t="s">
        <v>407</v>
      </c>
      <c r="D1200" t="s">
        <v>287</v>
      </c>
      <c r="E1200" s="35" t="s">
        <v>407</v>
      </c>
      <c r="F1200" s="29" t="s">
        <v>262</v>
      </c>
      <c r="G1200" s="36">
        <v>-39200</v>
      </c>
      <c r="H1200" s="36">
        <v>-235.2</v>
      </c>
    </row>
    <row r="1201" spans="1:8">
      <c r="A1201" s="62">
        <v>139274280902</v>
      </c>
      <c r="B1201" t="s">
        <v>4</v>
      </c>
      <c r="C1201" s="35" t="s">
        <v>407</v>
      </c>
      <c r="D1201" t="s">
        <v>260</v>
      </c>
      <c r="E1201" s="35" t="s">
        <v>407</v>
      </c>
      <c r="F1201" s="29" t="s">
        <v>262</v>
      </c>
      <c r="G1201" s="36">
        <v>5000</v>
      </c>
      <c r="H1201" s="36">
        <v>30</v>
      </c>
    </row>
    <row r="1202" spans="1:8">
      <c r="A1202" s="62">
        <v>139275323288</v>
      </c>
      <c r="B1202" t="s">
        <v>4</v>
      </c>
      <c r="C1202" s="35" t="s">
        <v>407</v>
      </c>
      <c r="D1202" t="s">
        <v>260</v>
      </c>
      <c r="E1202" s="35" t="s">
        <v>407</v>
      </c>
      <c r="F1202" s="29" t="s">
        <v>262</v>
      </c>
      <c r="G1202" s="36">
        <v>17500</v>
      </c>
      <c r="H1202" s="36">
        <v>105</v>
      </c>
    </row>
    <row r="1203" spans="1:8">
      <c r="A1203" s="62">
        <v>138633140959</v>
      </c>
      <c r="B1203" t="s">
        <v>263</v>
      </c>
      <c r="C1203" s="35" t="s">
        <v>407</v>
      </c>
      <c r="D1203" t="s">
        <v>260</v>
      </c>
      <c r="E1203" s="35" t="s">
        <v>407</v>
      </c>
      <c r="F1203" s="29" t="s">
        <v>262</v>
      </c>
      <c r="G1203" s="36">
        <v>13000</v>
      </c>
      <c r="H1203" s="36">
        <v>78</v>
      </c>
    </row>
    <row r="1204" spans="1:8">
      <c r="A1204" s="62">
        <v>139256588728</v>
      </c>
      <c r="B1204" t="s">
        <v>4</v>
      </c>
      <c r="C1204" s="35" t="s">
        <v>407</v>
      </c>
      <c r="D1204" t="s">
        <v>260</v>
      </c>
      <c r="E1204" s="35" t="s">
        <v>407</v>
      </c>
      <c r="F1204" s="29" t="s">
        <v>262</v>
      </c>
      <c r="G1204" s="36">
        <v>9600</v>
      </c>
      <c r="H1204" s="36">
        <v>57.6</v>
      </c>
    </row>
    <row r="1205" spans="1:8">
      <c r="A1205" s="62">
        <v>138633489427</v>
      </c>
      <c r="B1205" t="s">
        <v>4</v>
      </c>
      <c r="C1205" s="35" t="s">
        <v>407</v>
      </c>
      <c r="D1205" t="s">
        <v>260</v>
      </c>
      <c r="E1205" s="35" t="s">
        <v>407</v>
      </c>
      <c r="F1205" s="29" t="s">
        <v>262</v>
      </c>
      <c r="G1205" s="36">
        <v>5000</v>
      </c>
      <c r="H1205" s="36">
        <v>30</v>
      </c>
    </row>
    <row r="1206" spans="1:8">
      <c r="A1206" s="62">
        <v>138633605923</v>
      </c>
      <c r="B1206" t="s">
        <v>263</v>
      </c>
      <c r="C1206" s="35" t="s">
        <v>407</v>
      </c>
      <c r="D1206" t="s">
        <v>260</v>
      </c>
      <c r="E1206" s="35" t="s">
        <v>407</v>
      </c>
      <c r="F1206" s="29" t="s">
        <v>262</v>
      </c>
      <c r="G1206" s="36">
        <v>87300</v>
      </c>
      <c r="H1206" s="36">
        <v>523.79999999999995</v>
      </c>
    </row>
    <row r="1207" spans="1:8">
      <c r="A1207" s="62">
        <v>138635021889</v>
      </c>
      <c r="B1207" t="s">
        <v>4</v>
      </c>
      <c r="C1207" s="35" t="s">
        <v>407</v>
      </c>
      <c r="D1207" t="s">
        <v>260</v>
      </c>
      <c r="E1207" s="35" t="s">
        <v>407</v>
      </c>
      <c r="F1207" s="29" t="s">
        <v>262</v>
      </c>
      <c r="G1207" s="36">
        <v>35800</v>
      </c>
      <c r="H1207" s="36">
        <v>214.8</v>
      </c>
    </row>
    <row r="1208" spans="1:8">
      <c r="A1208" s="62">
        <v>139280438028</v>
      </c>
      <c r="B1208" t="s">
        <v>4</v>
      </c>
      <c r="C1208" s="35" t="s">
        <v>407</v>
      </c>
      <c r="D1208" t="s">
        <v>260</v>
      </c>
      <c r="E1208" s="35" t="s">
        <v>407</v>
      </c>
      <c r="F1208" s="29" t="s">
        <v>262</v>
      </c>
      <c r="G1208" s="36">
        <v>45300</v>
      </c>
      <c r="H1208" s="36">
        <v>271.8</v>
      </c>
    </row>
    <row r="1209" spans="1:8">
      <c r="A1209" s="62">
        <v>139280754312</v>
      </c>
      <c r="B1209" t="s">
        <v>4</v>
      </c>
      <c r="C1209" s="35" t="s">
        <v>407</v>
      </c>
      <c r="D1209" t="s">
        <v>260</v>
      </c>
      <c r="E1209" s="35" t="s">
        <v>407</v>
      </c>
      <c r="F1209" s="29" t="s">
        <v>262</v>
      </c>
      <c r="G1209" s="36">
        <v>13700</v>
      </c>
      <c r="H1209" s="36">
        <v>82.2</v>
      </c>
    </row>
    <row r="1210" spans="1:8">
      <c r="A1210" s="62">
        <v>139281632816</v>
      </c>
      <c r="B1210" t="s">
        <v>263</v>
      </c>
      <c r="C1210" s="35" t="s">
        <v>407</v>
      </c>
      <c r="D1210" t="s">
        <v>260</v>
      </c>
      <c r="E1210" s="35" t="s">
        <v>407</v>
      </c>
      <c r="F1210" s="29" t="s">
        <v>262</v>
      </c>
      <c r="G1210" s="36">
        <v>2400</v>
      </c>
      <c r="H1210" s="36">
        <v>14.4</v>
      </c>
    </row>
    <row r="1211" spans="1:8">
      <c r="A1211" s="62">
        <v>139281926234</v>
      </c>
      <c r="B1211" t="s">
        <v>4</v>
      </c>
      <c r="C1211" s="35" t="s">
        <v>407</v>
      </c>
      <c r="D1211" t="s">
        <v>260</v>
      </c>
      <c r="E1211" s="35" t="s">
        <v>407</v>
      </c>
      <c r="F1211" s="29" t="s">
        <v>262</v>
      </c>
      <c r="G1211" s="36">
        <v>2500</v>
      </c>
      <c r="H1211" s="36">
        <v>15</v>
      </c>
    </row>
    <row r="1212" spans="1:8">
      <c r="A1212" s="62">
        <v>139281911322</v>
      </c>
      <c r="B1212" t="s">
        <v>4</v>
      </c>
      <c r="C1212" s="35" t="s">
        <v>407</v>
      </c>
      <c r="D1212" t="s">
        <v>260</v>
      </c>
      <c r="E1212" s="35" t="s">
        <v>407</v>
      </c>
      <c r="F1212" s="29" t="s">
        <v>262</v>
      </c>
      <c r="G1212" s="36">
        <v>31800</v>
      </c>
      <c r="H1212" s="36">
        <v>190.8</v>
      </c>
    </row>
    <row r="1213" spans="1:8">
      <c r="A1213" s="62">
        <v>138637654465</v>
      </c>
      <c r="B1213" t="s">
        <v>4</v>
      </c>
      <c r="C1213" s="35" t="s">
        <v>407</v>
      </c>
      <c r="D1213" t="s">
        <v>260</v>
      </c>
      <c r="E1213" s="35" t="s">
        <v>407</v>
      </c>
      <c r="F1213" s="29" t="s">
        <v>262</v>
      </c>
      <c r="G1213" s="36">
        <v>30200</v>
      </c>
      <c r="H1213" s="36">
        <v>181.2</v>
      </c>
    </row>
    <row r="1214" spans="1:8">
      <c r="A1214" s="62">
        <v>138637623891</v>
      </c>
      <c r="B1214" t="s">
        <v>263</v>
      </c>
      <c r="C1214" s="35" t="s">
        <v>407</v>
      </c>
      <c r="D1214" t="s">
        <v>260</v>
      </c>
      <c r="E1214" s="35" t="s">
        <v>407</v>
      </c>
      <c r="F1214" s="29" t="s">
        <v>262</v>
      </c>
      <c r="G1214" s="36">
        <v>5000</v>
      </c>
      <c r="H1214" s="36">
        <v>30</v>
      </c>
    </row>
    <row r="1215" spans="1:8">
      <c r="A1215" s="62">
        <v>138638016173</v>
      </c>
      <c r="B1215" t="s">
        <v>410</v>
      </c>
      <c r="C1215" s="35" t="s">
        <v>407</v>
      </c>
      <c r="D1215" t="s">
        <v>260</v>
      </c>
      <c r="E1215" s="35" t="s">
        <v>411</v>
      </c>
      <c r="F1215" s="29" t="s">
        <v>262</v>
      </c>
      <c r="G1215" s="36">
        <v>4245</v>
      </c>
      <c r="H1215" s="36">
        <v>25.47</v>
      </c>
    </row>
    <row r="1216" spans="1:8">
      <c r="A1216" s="62">
        <v>139283452990</v>
      </c>
      <c r="B1216" t="s">
        <v>412</v>
      </c>
      <c r="C1216" s="35" t="s">
        <v>407</v>
      </c>
      <c r="D1216" t="s">
        <v>260</v>
      </c>
      <c r="E1216" s="35" t="s">
        <v>411</v>
      </c>
      <c r="F1216" s="29" t="s">
        <v>262</v>
      </c>
      <c r="G1216" s="36">
        <v>1815</v>
      </c>
      <c r="H1216" s="36">
        <v>10.89</v>
      </c>
    </row>
    <row r="1217" spans="1:8">
      <c r="A1217" s="62">
        <v>138638356415</v>
      </c>
      <c r="B1217" t="s">
        <v>263</v>
      </c>
      <c r="C1217" s="35" t="s">
        <v>407</v>
      </c>
      <c r="D1217" t="s">
        <v>260</v>
      </c>
      <c r="E1217" s="35" t="s">
        <v>411</v>
      </c>
      <c r="F1217" s="29" t="s">
        <v>262</v>
      </c>
      <c r="G1217" s="36">
        <v>51800</v>
      </c>
      <c r="H1217" s="36">
        <v>310.8</v>
      </c>
    </row>
    <row r="1218" spans="1:8">
      <c r="A1218" s="62">
        <v>138639735813</v>
      </c>
      <c r="B1218" t="s">
        <v>263</v>
      </c>
      <c r="C1218" s="35" t="s">
        <v>407</v>
      </c>
      <c r="D1218" t="s">
        <v>260</v>
      </c>
      <c r="E1218" s="35" t="s">
        <v>411</v>
      </c>
      <c r="F1218" s="29" t="s">
        <v>262</v>
      </c>
      <c r="G1218" s="36">
        <v>71100</v>
      </c>
      <c r="H1218" s="36">
        <v>426.6</v>
      </c>
    </row>
    <row r="1219" spans="1:8">
      <c r="A1219" s="62">
        <v>139285356220</v>
      </c>
      <c r="B1219" t="s">
        <v>4</v>
      </c>
      <c r="C1219" s="35" t="s">
        <v>407</v>
      </c>
      <c r="D1219" t="s">
        <v>260</v>
      </c>
      <c r="E1219" s="35" t="s">
        <v>411</v>
      </c>
      <c r="F1219" s="29" t="s">
        <v>262</v>
      </c>
      <c r="G1219" s="36">
        <v>5000</v>
      </c>
      <c r="H1219" s="36">
        <v>30</v>
      </c>
    </row>
    <row r="1220" spans="1:8">
      <c r="A1220" s="62">
        <v>138640123705</v>
      </c>
      <c r="B1220" t="s">
        <v>4</v>
      </c>
      <c r="C1220" s="35" t="s">
        <v>407</v>
      </c>
      <c r="D1220" t="s">
        <v>260</v>
      </c>
      <c r="E1220" s="35" t="s">
        <v>411</v>
      </c>
      <c r="F1220" s="29" t="s">
        <v>262</v>
      </c>
      <c r="G1220" s="36">
        <v>5000</v>
      </c>
      <c r="H1220" s="36">
        <v>30</v>
      </c>
    </row>
    <row r="1221" spans="1:8">
      <c r="A1221" s="62">
        <v>139285806502</v>
      </c>
      <c r="B1221" t="s">
        <v>4</v>
      </c>
      <c r="C1221" s="35" t="s">
        <v>407</v>
      </c>
      <c r="D1221" t="s">
        <v>260</v>
      </c>
      <c r="E1221" s="35" t="s">
        <v>411</v>
      </c>
      <c r="F1221" s="29" t="s">
        <v>262</v>
      </c>
      <c r="G1221" s="36">
        <v>55100</v>
      </c>
      <c r="H1221" s="36">
        <v>330.6</v>
      </c>
    </row>
    <row r="1222" spans="1:8">
      <c r="A1222" s="62">
        <v>138640656927</v>
      </c>
      <c r="B1222" t="s">
        <v>263</v>
      </c>
      <c r="C1222" s="35" t="s">
        <v>407</v>
      </c>
      <c r="D1222" t="s">
        <v>260</v>
      </c>
      <c r="E1222" s="35" t="s">
        <v>411</v>
      </c>
      <c r="F1222" s="29" t="s">
        <v>262</v>
      </c>
      <c r="G1222" s="36">
        <v>55000</v>
      </c>
      <c r="H1222" s="36">
        <v>330</v>
      </c>
    </row>
    <row r="1223" spans="1:8">
      <c r="A1223" s="62">
        <v>139286071896</v>
      </c>
      <c r="B1223" t="s">
        <v>4</v>
      </c>
      <c r="C1223" s="35" t="s">
        <v>407</v>
      </c>
      <c r="D1223" t="s">
        <v>260</v>
      </c>
      <c r="E1223" s="35" t="s">
        <v>411</v>
      </c>
      <c r="F1223" s="29" t="s">
        <v>262</v>
      </c>
      <c r="G1223" s="36">
        <v>4800</v>
      </c>
      <c r="H1223" s="36">
        <v>28.8</v>
      </c>
    </row>
    <row r="1224" spans="1:8">
      <c r="A1224" s="62">
        <v>139286484298</v>
      </c>
      <c r="B1224" t="s">
        <v>413</v>
      </c>
      <c r="C1224" s="35" t="s">
        <v>407</v>
      </c>
      <c r="D1224" t="s">
        <v>260</v>
      </c>
      <c r="E1224" s="35" t="s">
        <v>411</v>
      </c>
      <c r="F1224" s="29" t="s">
        <v>262</v>
      </c>
      <c r="G1224" s="36">
        <v>1645</v>
      </c>
      <c r="H1224" s="36">
        <v>9.8699999999999992</v>
      </c>
    </row>
    <row r="1225" spans="1:8">
      <c r="A1225" s="62">
        <v>139286935926</v>
      </c>
      <c r="B1225" t="s">
        <v>4</v>
      </c>
      <c r="C1225" s="35" t="s">
        <v>411</v>
      </c>
      <c r="D1225" t="s">
        <v>260</v>
      </c>
      <c r="E1225" s="35" t="s">
        <v>411</v>
      </c>
      <c r="F1225" s="29" t="s">
        <v>262</v>
      </c>
      <c r="G1225" s="36">
        <v>10500</v>
      </c>
      <c r="H1225" s="36">
        <v>63</v>
      </c>
    </row>
    <row r="1226" spans="1:8">
      <c r="A1226" s="62">
        <v>139287660210</v>
      </c>
      <c r="B1226" t="s">
        <v>263</v>
      </c>
      <c r="C1226" s="35" t="s">
        <v>411</v>
      </c>
      <c r="D1226" t="s">
        <v>260</v>
      </c>
      <c r="E1226" s="35" t="s">
        <v>411</v>
      </c>
      <c r="F1226" s="29" t="s">
        <v>262</v>
      </c>
      <c r="G1226" s="36">
        <v>5000</v>
      </c>
      <c r="H1226" s="36">
        <v>30</v>
      </c>
    </row>
    <row r="1227" spans="1:8">
      <c r="A1227" s="62">
        <v>139287633758</v>
      </c>
      <c r="B1227" t="s">
        <v>263</v>
      </c>
      <c r="C1227" s="35" t="s">
        <v>411</v>
      </c>
      <c r="D1227" t="s">
        <v>260</v>
      </c>
      <c r="E1227" s="35" t="s">
        <v>411</v>
      </c>
      <c r="F1227" s="29" t="s">
        <v>262</v>
      </c>
      <c r="G1227" s="36">
        <v>41750</v>
      </c>
      <c r="H1227" s="36">
        <v>250.5</v>
      </c>
    </row>
    <row r="1228" spans="1:8">
      <c r="A1228" s="62">
        <v>139288035188</v>
      </c>
      <c r="B1228" t="s">
        <v>4</v>
      </c>
      <c r="C1228" s="35" t="s">
        <v>411</v>
      </c>
      <c r="D1228" t="s">
        <v>260</v>
      </c>
      <c r="E1228" s="35" t="s">
        <v>411</v>
      </c>
      <c r="F1228" s="29" t="s">
        <v>262</v>
      </c>
      <c r="G1228" s="36">
        <v>5150</v>
      </c>
      <c r="H1228" s="36">
        <v>30.9</v>
      </c>
    </row>
    <row r="1229" spans="1:8">
      <c r="A1229" s="62">
        <v>138620961365</v>
      </c>
      <c r="B1229" t="s">
        <v>4</v>
      </c>
      <c r="C1229" s="35" t="s">
        <v>407</v>
      </c>
      <c r="D1229" t="s">
        <v>260</v>
      </c>
      <c r="E1229" s="35" t="s">
        <v>407</v>
      </c>
      <c r="F1229" s="29" t="s">
        <v>262</v>
      </c>
      <c r="G1229" s="36">
        <v>6000</v>
      </c>
      <c r="H1229" s="36">
        <v>36</v>
      </c>
    </row>
    <row r="1230" spans="1:8">
      <c r="A1230" s="62">
        <v>138643137433</v>
      </c>
      <c r="B1230" t="s">
        <v>4</v>
      </c>
      <c r="C1230" s="35" t="s">
        <v>411</v>
      </c>
      <c r="D1230" t="s">
        <v>260</v>
      </c>
      <c r="E1230" s="35" t="s">
        <v>411</v>
      </c>
      <c r="F1230" s="29" t="s">
        <v>262</v>
      </c>
      <c r="G1230" s="36">
        <v>5000</v>
      </c>
      <c r="H1230" s="36">
        <v>30</v>
      </c>
    </row>
    <row r="1231" spans="1:8">
      <c r="A1231" s="62">
        <v>138643534943</v>
      </c>
      <c r="B1231" t="s">
        <v>263</v>
      </c>
      <c r="C1231" s="35" t="s">
        <v>411</v>
      </c>
      <c r="D1231" t="s">
        <v>260</v>
      </c>
      <c r="E1231" s="35" t="s">
        <v>411</v>
      </c>
      <c r="F1231" s="29" t="s">
        <v>262</v>
      </c>
      <c r="G1231" s="36">
        <v>41800</v>
      </c>
      <c r="H1231" s="36">
        <v>250.8</v>
      </c>
    </row>
    <row r="1232" spans="1:8">
      <c r="A1232" s="62">
        <v>138644107181</v>
      </c>
      <c r="B1232" t="s">
        <v>4</v>
      </c>
      <c r="C1232" s="35" t="s">
        <v>411</v>
      </c>
      <c r="D1232" t="s">
        <v>260</v>
      </c>
      <c r="E1232" s="35" t="s">
        <v>411</v>
      </c>
      <c r="F1232" s="29" t="s">
        <v>262</v>
      </c>
      <c r="G1232" s="36">
        <v>4800</v>
      </c>
      <c r="H1232" s="36">
        <v>28.8</v>
      </c>
    </row>
    <row r="1233" spans="1:8">
      <c r="A1233" s="62">
        <v>138644454343</v>
      </c>
      <c r="B1233" t="s">
        <v>414</v>
      </c>
      <c r="C1233" s="35" t="s">
        <v>411</v>
      </c>
      <c r="D1233" t="s">
        <v>260</v>
      </c>
      <c r="E1233" s="35" t="s">
        <v>411</v>
      </c>
      <c r="F1233" s="29" t="s">
        <v>262</v>
      </c>
      <c r="G1233" s="36">
        <v>3265</v>
      </c>
      <c r="H1233" s="36">
        <v>19.59</v>
      </c>
    </row>
    <row r="1234" spans="1:8">
      <c r="A1234" s="62">
        <v>139268810486</v>
      </c>
      <c r="B1234" t="s">
        <v>263</v>
      </c>
      <c r="C1234" s="35" t="s">
        <v>407</v>
      </c>
      <c r="D1234" t="s">
        <v>260</v>
      </c>
      <c r="E1234" s="35" t="s">
        <v>407</v>
      </c>
      <c r="F1234" s="29" t="s">
        <v>262</v>
      </c>
      <c r="G1234" s="36">
        <v>22000</v>
      </c>
      <c r="H1234" s="36">
        <v>132</v>
      </c>
    </row>
    <row r="1235" spans="1:8">
      <c r="A1235" s="62">
        <v>138624066329</v>
      </c>
      <c r="B1235" t="s">
        <v>4</v>
      </c>
      <c r="C1235" s="35" t="s">
        <v>407</v>
      </c>
      <c r="D1235" t="s">
        <v>260</v>
      </c>
      <c r="E1235" s="35" t="s">
        <v>407</v>
      </c>
      <c r="F1235" s="29" t="s">
        <v>262</v>
      </c>
      <c r="G1235" s="36">
        <v>22400</v>
      </c>
      <c r="H1235" s="36">
        <v>134.4</v>
      </c>
    </row>
    <row r="1236" spans="1:8">
      <c r="A1236" s="62">
        <v>138626144163</v>
      </c>
      <c r="B1236" t="s">
        <v>4</v>
      </c>
      <c r="C1236" s="35" t="s">
        <v>407</v>
      </c>
      <c r="D1236" t="s">
        <v>260</v>
      </c>
      <c r="E1236" s="35" t="s">
        <v>407</v>
      </c>
      <c r="F1236" s="29" t="s">
        <v>262</v>
      </c>
      <c r="G1236" s="36">
        <v>4800</v>
      </c>
      <c r="H1236" s="36">
        <v>28.8</v>
      </c>
    </row>
    <row r="1237" spans="1:8">
      <c r="A1237" s="62">
        <v>139271724608</v>
      </c>
      <c r="B1237" t="s">
        <v>4</v>
      </c>
      <c r="C1237" s="35" t="s">
        <v>407</v>
      </c>
      <c r="D1237" t="s">
        <v>260</v>
      </c>
      <c r="E1237" s="35" t="s">
        <v>407</v>
      </c>
      <c r="F1237" s="29" t="s">
        <v>262</v>
      </c>
      <c r="G1237" s="36">
        <v>4800</v>
      </c>
      <c r="H1237" s="36">
        <v>28.8</v>
      </c>
    </row>
    <row r="1238" spans="1:8">
      <c r="A1238" s="62">
        <v>139272408922</v>
      </c>
      <c r="B1238" t="s">
        <v>4</v>
      </c>
      <c r="C1238" s="35" t="s">
        <v>407</v>
      </c>
      <c r="D1238" t="s">
        <v>260</v>
      </c>
      <c r="E1238" s="35" t="s">
        <v>407</v>
      </c>
      <c r="F1238" s="29" t="s">
        <v>262</v>
      </c>
      <c r="G1238" s="36">
        <v>38500</v>
      </c>
      <c r="H1238" s="36">
        <v>231</v>
      </c>
    </row>
    <row r="1239" spans="1:8">
      <c r="A1239" s="62">
        <v>138628677131</v>
      </c>
      <c r="B1239" t="s">
        <v>263</v>
      </c>
      <c r="C1239" s="35" t="s">
        <v>407</v>
      </c>
      <c r="D1239" t="s">
        <v>260</v>
      </c>
      <c r="E1239" s="35" t="s">
        <v>407</v>
      </c>
      <c r="F1239" s="29" t="s">
        <v>262</v>
      </c>
      <c r="G1239" s="36">
        <v>33700</v>
      </c>
      <c r="H1239" s="36">
        <v>202.2</v>
      </c>
    </row>
    <row r="1240" spans="1:8">
      <c r="A1240" s="62">
        <v>139274304686</v>
      </c>
      <c r="B1240" t="s">
        <v>415</v>
      </c>
      <c r="C1240" s="35" t="s">
        <v>407</v>
      </c>
      <c r="D1240" t="s">
        <v>260</v>
      </c>
      <c r="E1240" s="35" t="s">
        <v>407</v>
      </c>
      <c r="F1240" s="29" t="s">
        <v>262</v>
      </c>
      <c r="G1240" s="36">
        <v>500</v>
      </c>
      <c r="H1240" s="36">
        <v>3</v>
      </c>
    </row>
    <row r="1241" spans="1:8">
      <c r="A1241" s="62">
        <v>139275103290</v>
      </c>
      <c r="B1241" t="s">
        <v>4</v>
      </c>
      <c r="C1241" s="35" t="s">
        <v>407</v>
      </c>
      <c r="D1241" t="s">
        <v>260</v>
      </c>
      <c r="E1241" s="35" t="s">
        <v>407</v>
      </c>
      <c r="F1241" s="29" t="s">
        <v>262</v>
      </c>
      <c r="G1241" s="36">
        <v>5000</v>
      </c>
      <c r="H1241" s="36">
        <v>30</v>
      </c>
    </row>
    <row r="1242" spans="1:8">
      <c r="A1242" s="62">
        <v>139276302934</v>
      </c>
      <c r="B1242" t="s">
        <v>4</v>
      </c>
      <c r="C1242" s="35" t="s">
        <v>407</v>
      </c>
      <c r="D1242" t="s">
        <v>260</v>
      </c>
      <c r="E1242" s="35" t="s">
        <v>407</v>
      </c>
      <c r="F1242" s="29" t="s">
        <v>262</v>
      </c>
      <c r="G1242" s="36">
        <v>22400</v>
      </c>
      <c r="H1242" s="36">
        <v>134.4</v>
      </c>
    </row>
    <row r="1243" spans="1:8">
      <c r="A1243" s="62">
        <v>138631353807</v>
      </c>
      <c r="B1243" t="s">
        <v>263</v>
      </c>
      <c r="C1243" s="35" t="s">
        <v>407</v>
      </c>
      <c r="D1243" t="s">
        <v>260</v>
      </c>
      <c r="E1243" s="35" t="s">
        <v>407</v>
      </c>
      <c r="F1243" s="29" t="s">
        <v>262</v>
      </c>
      <c r="G1243" s="36">
        <v>4900</v>
      </c>
      <c r="H1243" s="36">
        <v>29.4</v>
      </c>
    </row>
    <row r="1244" spans="1:8">
      <c r="A1244" s="62">
        <v>138633302091</v>
      </c>
      <c r="B1244" t="s">
        <v>4</v>
      </c>
      <c r="C1244" s="35" t="s">
        <v>407</v>
      </c>
      <c r="D1244" t="s">
        <v>260</v>
      </c>
      <c r="E1244" s="35" t="s">
        <v>407</v>
      </c>
      <c r="F1244" s="29" t="s">
        <v>262</v>
      </c>
      <c r="G1244" s="36">
        <v>4800</v>
      </c>
      <c r="H1244" s="36">
        <v>28.8</v>
      </c>
    </row>
    <row r="1245" spans="1:8">
      <c r="A1245" s="62">
        <v>138633472447</v>
      </c>
      <c r="B1245" t="s">
        <v>416</v>
      </c>
      <c r="C1245" s="35" t="s">
        <v>407</v>
      </c>
      <c r="D1245" t="s">
        <v>260</v>
      </c>
      <c r="E1245" s="35" t="s">
        <v>407</v>
      </c>
      <c r="F1245" s="29" t="s">
        <v>262</v>
      </c>
      <c r="G1245" s="36">
        <v>490</v>
      </c>
      <c r="H1245" s="36">
        <v>2.94</v>
      </c>
    </row>
    <row r="1246" spans="1:8">
      <c r="A1246" s="62">
        <v>138633435065</v>
      </c>
      <c r="B1246" t="s">
        <v>4</v>
      </c>
      <c r="C1246" s="35" t="s">
        <v>407</v>
      </c>
      <c r="D1246" t="s">
        <v>260</v>
      </c>
      <c r="E1246" s="35" t="s">
        <v>407</v>
      </c>
      <c r="F1246" s="29" t="s">
        <v>262</v>
      </c>
      <c r="G1246" s="36">
        <v>9800</v>
      </c>
      <c r="H1246" s="36">
        <v>58.8</v>
      </c>
    </row>
    <row r="1247" spans="1:8">
      <c r="A1247" s="62">
        <v>139279213150</v>
      </c>
      <c r="B1247" t="s">
        <v>4</v>
      </c>
      <c r="C1247" s="35" t="s">
        <v>407</v>
      </c>
      <c r="D1247" t="s">
        <v>260</v>
      </c>
      <c r="E1247" s="35" t="s">
        <v>407</v>
      </c>
      <c r="F1247" s="29" t="s">
        <v>262</v>
      </c>
      <c r="G1247" s="36">
        <v>10000</v>
      </c>
      <c r="H1247" s="36">
        <v>60</v>
      </c>
    </row>
    <row r="1248" spans="1:8">
      <c r="A1248" s="62">
        <v>138634295411</v>
      </c>
      <c r="B1248" t="s">
        <v>4</v>
      </c>
      <c r="C1248" s="35" t="s">
        <v>407</v>
      </c>
      <c r="D1248" t="s">
        <v>260</v>
      </c>
      <c r="E1248" s="35" t="s">
        <v>407</v>
      </c>
      <c r="F1248" s="29" t="s">
        <v>262</v>
      </c>
      <c r="G1248" s="36">
        <v>2500</v>
      </c>
      <c r="H1248" s="36">
        <v>15</v>
      </c>
    </row>
    <row r="1249" spans="1:8">
      <c r="A1249" s="62">
        <v>138635067467</v>
      </c>
      <c r="B1249" t="s">
        <v>417</v>
      </c>
      <c r="C1249" s="35" t="s">
        <v>407</v>
      </c>
      <c r="D1249" t="s">
        <v>260</v>
      </c>
      <c r="E1249" s="35" t="s">
        <v>407</v>
      </c>
      <c r="F1249" s="29" t="s">
        <v>262</v>
      </c>
      <c r="G1249" s="36">
        <v>1790</v>
      </c>
      <c r="H1249" s="36">
        <v>10.74</v>
      </c>
    </row>
    <row r="1250" spans="1:8">
      <c r="A1250" s="62">
        <v>138636328031</v>
      </c>
      <c r="B1250" t="s">
        <v>263</v>
      </c>
      <c r="C1250" s="35" t="s">
        <v>407</v>
      </c>
      <c r="D1250" t="s">
        <v>260</v>
      </c>
      <c r="E1250" s="35" t="s">
        <v>407</v>
      </c>
      <c r="F1250" s="29" t="s">
        <v>262</v>
      </c>
      <c r="G1250" s="36">
        <v>10500</v>
      </c>
      <c r="H1250" s="36">
        <v>63</v>
      </c>
    </row>
    <row r="1251" spans="1:8">
      <c r="A1251" s="62">
        <v>138636696367</v>
      </c>
      <c r="B1251" t="s">
        <v>418</v>
      </c>
      <c r="C1251" s="35" t="s">
        <v>407</v>
      </c>
      <c r="D1251" t="s">
        <v>260</v>
      </c>
      <c r="E1251" s="35" t="s">
        <v>407</v>
      </c>
      <c r="F1251" s="29" t="s">
        <v>262</v>
      </c>
      <c r="G1251" s="36">
        <v>3180</v>
      </c>
      <c r="H1251" s="36">
        <v>19.079999999999998</v>
      </c>
    </row>
    <row r="1252" spans="1:8">
      <c r="A1252" s="62">
        <v>138636840479</v>
      </c>
      <c r="B1252" t="s">
        <v>263</v>
      </c>
      <c r="C1252" s="35" t="s">
        <v>407</v>
      </c>
      <c r="D1252" t="s">
        <v>260</v>
      </c>
      <c r="E1252" s="35" t="s">
        <v>407</v>
      </c>
      <c r="F1252" s="29" t="s">
        <v>262</v>
      </c>
      <c r="G1252" s="36">
        <v>98200</v>
      </c>
      <c r="H1252" s="36">
        <v>589.20000000000005</v>
      </c>
    </row>
    <row r="1253" spans="1:8">
      <c r="A1253" s="62">
        <v>139283314144</v>
      </c>
      <c r="B1253" t="s">
        <v>4</v>
      </c>
      <c r="C1253" s="35" t="s">
        <v>407</v>
      </c>
      <c r="D1253" t="s">
        <v>260</v>
      </c>
      <c r="E1253" s="35" t="s">
        <v>411</v>
      </c>
      <c r="F1253" s="29" t="s">
        <v>262</v>
      </c>
      <c r="G1253" s="36">
        <v>84900</v>
      </c>
      <c r="H1253" s="36">
        <v>509.4</v>
      </c>
    </row>
    <row r="1254" spans="1:8">
      <c r="A1254" s="62">
        <v>138638180357</v>
      </c>
      <c r="B1254" t="s">
        <v>4</v>
      </c>
      <c r="C1254" s="35" t="s">
        <v>407</v>
      </c>
      <c r="D1254" t="s">
        <v>260</v>
      </c>
      <c r="E1254" s="35" t="s">
        <v>411</v>
      </c>
      <c r="F1254" s="29" t="s">
        <v>262</v>
      </c>
      <c r="G1254" s="36">
        <v>18150</v>
      </c>
      <c r="H1254" s="36">
        <v>108.9</v>
      </c>
    </row>
    <row r="1255" spans="1:8">
      <c r="A1255" s="62">
        <v>139283485552</v>
      </c>
      <c r="B1255" t="s">
        <v>263</v>
      </c>
      <c r="C1255" s="35" t="s">
        <v>407</v>
      </c>
      <c r="D1255" t="s">
        <v>260</v>
      </c>
      <c r="E1255" s="35" t="s">
        <v>411</v>
      </c>
      <c r="F1255" s="29" t="s">
        <v>262</v>
      </c>
      <c r="G1255" s="36">
        <v>5000</v>
      </c>
      <c r="H1255" s="36">
        <v>30</v>
      </c>
    </row>
    <row r="1256" spans="1:8">
      <c r="A1256" s="62">
        <v>139283523776</v>
      </c>
      <c r="B1256" t="s">
        <v>4</v>
      </c>
      <c r="C1256" s="35" t="s">
        <v>407</v>
      </c>
      <c r="D1256" t="s">
        <v>260</v>
      </c>
      <c r="E1256" s="35" t="s">
        <v>411</v>
      </c>
      <c r="F1256" s="29" t="s">
        <v>262</v>
      </c>
      <c r="G1256" s="36">
        <v>26300</v>
      </c>
      <c r="H1256" s="36">
        <v>157.80000000000001</v>
      </c>
    </row>
    <row r="1257" spans="1:8">
      <c r="A1257" s="62">
        <v>138638300625</v>
      </c>
      <c r="B1257" t="s">
        <v>419</v>
      </c>
      <c r="C1257" s="35" t="s">
        <v>407</v>
      </c>
      <c r="D1257" t="s">
        <v>260</v>
      </c>
      <c r="E1257" s="35" t="s">
        <v>411</v>
      </c>
      <c r="F1257" s="29" t="s">
        <v>262</v>
      </c>
      <c r="G1257" s="36">
        <v>1315</v>
      </c>
      <c r="H1257" s="36">
        <v>7.89</v>
      </c>
    </row>
    <row r="1258" spans="1:8">
      <c r="A1258" s="62">
        <v>139283726956</v>
      </c>
      <c r="B1258" t="s">
        <v>4</v>
      </c>
      <c r="C1258" s="35" t="s">
        <v>407</v>
      </c>
      <c r="D1258" t="s">
        <v>260</v>
      </c>
      <c r="E1258" s="35" t="s">
        <v>411</v>
      </c>
      <c r="F1258" s="29" t="s">
        <v>262</v>
      </c>
      <c r="G1258" s="36">
        <v>4900</v>
      </c>
      <c r="H1258" s="36">
        <v>29.4</v>
      </c>
    </row>
    <row r="1259" spans="1:8">
      <c r="A1259" s="62">
        <v>138638643557</v>
      </c>
      <c r="B1259" t="s">
        <v>4</v>
      </c>
      <c r="C1259" s="35" t="s">
        <v>407</v>
      </c>
      <c r="D1259" t="s">
        <v>260</v>
      </c>
      <c r="E1259" s="35" t="s">
        <v>411</v>
      </c>
      <c r="F1259" s="29" t="s">
        <v>262</v>
      </c>
      <c r="G1259" s="36">
        <v>5000</v>
      </c>
      <c r="H1259" s="36">
        <v>30</v>
      </c>
    </row>
    <row r="1260" spans="1:8">
      <c r="A1260" s="62">
        <v>139284640396</v>
      </c>
      <c r="B1260" t="s">
        <v>4</v>
      </c>
      <c r="C1260" s="35" t="s">
        <v>407</v>
      </c>
      <c r="D1260" t="s">
        <v>260</v>
      </c>
      <c r="E1260" s="35" t="s">
        <v>411</v>
      </c>
      <c r="F1260" s="29" t="s">
        <v>262</v>
      </c>
      <c r="G1260" s="36">
        <v>48400</v>
      </c>
      <c r="H1260" s="36">
        <v>290.39999999999998</v>
      </c>
    </row>
    <row r="1261" spans="1:8">
      <c r="A1261" s="62">
        <v>138639507879</v>
      </c>
      <c r="B1261" t="s">
        <v>4</v>
      </c>
      <c r="C1261" s="35" t="s">
        <v>407</v>
      </c>
      <c r="D1261" t="s">
        <v>260</v>
      </c>
      <c r="E1261" s="35" t="s">
        <v>411</v>
      </c>
      <c r="F1261" s="29" t="s">
        <v>262</v>
      </c>
      <c r="G1261" s="36">
        <v>4800</v>
      </c>
      <c r="H1261" s="36">
        <v>28.8</v>
      </c>
    </row>
    <row r="1262" spans="1:8">
      <c r="A1262" s="62">
        <v>138639685509</v>
      </c>
      <c r="B1262" t="s">
        <v>4</v>
      </c>
      <c r="C1262" s="35" t="s">
        <v>407</v>
      </c>
      <c r="D1262" t="s">
        <v>260</v>
      </c>
      <c r="E1262" s="35" t="s">
        <v>411</v>
      </c>
      <c r="F1262" s="29" t="s">
        <v>262</v>
      </c>
      <c r="G1262" s="36">
        <v>5000</v>
      </c>
      <c r="H1262" s="36">
        <v>30</v>
      </c>
    </row>
    <row r="1263" spans="1:8">
      <c r="A1263" s="62">
        <v>138640068139</v>
      </c>
      <c r="B1263" t="s">
        <v>4</v>
      </c>
      <c r="C1263" s="35" t="s">
        <v>407</v>
      </c>
      <c r="D1263" t="s">
        <v>260</v>
      </c>
      <c r="E1263" s="35" t="s">
        <v>411</v>
      </c>
      <c r="F1263" s="29" t="s">
        <v>262</v>
      </c>
      <c r="G1263" s="36">
        <v>10000</v>
      </c>
      <c r="H1263" s="36">
        <v>60</v>
      </c>
    </row>
    <row r="1264" spans="1:8">
      <c r="A1264" s="62">
        <v>138640349487</v>
      </c>
      <c r="B1264" t="s">
        <v>4</v>
      </c>
      <c r="C1264" s="35" t="s">
        <v>407</v>
      </c>
      <c r="D1264" t="s">
        <v>260</v>
      </c>
      <c r="E1264" s="35" t="s">
        <v>411</v>
      </c>
      <c r="F1264" s="29" t="s">
        <v>262</v>
      </c>
      <c r="G1264" s="36">
        <v>5000</v>
      </c>
      <c r="H1264" s="36">
        <v>30</v>
      </c>
    </row>
    <row r="1265" spans="1:8">
      <c r="A1265" s="62">
        <v>139286070746</v>
      </c>
      <c r="B1265" t="s">
        <v>4</v>
      </c>
      <c r="C1265" s="35" t="s">
        <v>407</v>
      </c>
      <c r="D1265" t="s">
        <v>260</v>
      </c>
      <c r="E1265" s="35" t="s">
        <v>411</v>
      </c>
      <c r="F1265" s="29" t="s">
        <v>262</v>
      </c>
      <c r="G1265" s="36">
        <v>10000</v>
      </c>
      <c r="H1265" s="36">
        <v>60</v>
      </c>
    </row>
    <row r="1266" spans="1:8">
      <c r="A1266" s="62">
        <v>138640943505</v>
      </c>
      <c r="B1266" t="s">
        <v>4</v>
      </c>
      <c r="C1266" s="35" t="s">
        <v>407</v>
      </c>
      <c r="D1266" t="s">
        <v>260</v>
      </c>
      <c r="E1266" s="35" t="s">
        <v>411</v>
      </c>
      <c r="F1266" s="29" t="s">
        <v>262</v>
      </c>
      <c r="G1266" s="36">
        <v>5000</v>
      </c>
      <c r="H1266" s="36">
        <v>30</v>
      </c>
    </row>
    <row r="1267" spans="1:8">
      <c r="A1267" s="62">
        <v>139286339902</v>
      </c>
      <c r="B1267" t="s">
        <v>4</v>
      </c>
      <c r="C1267" s="35" t="s">
        <v>407</v>
      </c>
      <c r="D1267" t="s">
        <v>260</v>
      </c>
      <c r="E1267" s="35" t="s">
        <v>411</v>
      </c>
      <c r="F1267" s="29" t="s">
        <v>262</v>
      </c>
      <c r="G1267" s="36">
        <v>32900</v>
      </c>
      <c r="H1267" s="36">
        <v>197.4</v>
      </c>
    </row>
    <row r="1268" spans="1:8">
      <c r="A1268" s="62">
        <v>138641600673</v>
      </c>
      <c r="B1268" t="s">
        <v>263</v>
      </c>
      <c r="C1268" s="35" t="s">
        <v>411</v>
      </c>
      <c r="D1268" t="s">
        <v>260</v>
      </c>
      <c r="E1268" s="35" t="s">
        <v>411</v>
      </c>
      <c r="F1268" s="29" t="s">
        <v>262</v>
      </c>
      <c r="G1268" s="36">
        <v>32200</v>
      </c>
      <c r="H1268" s="36">
        <v>193.2</v>
      </c>
    </row>
    <row r="1269" spans="1:8">
      <c r="A1269" s="62">
        <v>138642549705</v>
      </c>
      <c r="B1269" t="s">
        <v>263</v>
      </c>
      <c r="C1269" s="35" t="s">
        <v>411</v>
      </c>
      <c r="D1269" t="s">
        <v>260</v>
      </c>
      <c r="E1269" s="35" t="s">
        <v>411</v>
      </c>
      <c r="F1269" s="29" t="s">
        <v>262</v>
      </c>
      <c r="G1269" s="36">
        <v>49750</v>
      </c>
      <c r="H1269" s="36">
        <v>298.5</v>
      </c>
    </row>
    <row r="1270" spans="1:8">
      <c r="A1270" s="62">
        <v>138642802769</v>
      </c>
      <c r="B1270" t="s">
        <v>4</v>
      </c>
      <c r="C1270" s="35" t="s">
        <v>411</v>
      </c>
      <c r="D1270" t="s">
        <v>260</v>
      </c>
      <c r="E1270" s="35" t="s">
        <v>411</v>
      </c>
      <c r="F1270" s="29" t="s">
        <v>262</v>
      </c>
      <c r="G1270" s="36">
        <v>5000</v>
      </c>
      <c r="H1270" s="36">
        <v>30</v>
      </c>
    </row>
    <row r="1271" spans="1:8">
      <c r="A1271" s="62">
        <v>138643246265</v>
      </c>
      <c r="B1271" t="s">
        <v>4</v>
      </c>
      <c r="C1271" s="35" t="s">
        <v>411</v>
      </c>
      <c r="D1271" t="s">
        <v>260</v>
      </c>
      <c r="E1271" s="35" t="s">
        <v>411</v>
      </c>
      <c r="F1271" s="29" t="s">
        <v>262</v>
      </c>
      <c r="G1271" s="36">
        <v>5000</v>
      </c>
      <c r="H1271" s="36">
        <v>30</v>
      </c>
    </row>
    <row r="1272" spans="1:8">
      <c r="A1272" s="62">
        <v>139288624988</v>
      </c>
      <c r="B1272" t="s">
        <v>4</v>
      </c>
      <c r="C1272" s="35" t="s">
        <v>411</v>
      </c>
      <c r="D1272" t="s">
        <v>260</v>
      </c>
      <c r="E1272" s="35" t="s">
        <v>411</v>
      </c>
      <c r="F1272" s="29" t="s">
        <v>262</v>
      </c>
      <c r="G1272" s="36">
        <v>3000</v>
      </c>
      <c r="H1272" s="36">
        <v>18</v>
      </c>
    </row>
    <row r="1273" spans="1:8">
      <c r="A1273" s="62">
        <v>138643607209</v>
      </c>
      <c r="B1273" t="s">
        <v>4</v>
      </c>
      <c r="C1273" s="35" t="s">
        <v>411</v>
      </c>
      <c r="D1273" t="s">
        <v>260</v>
      </c>
      <c r="E1273" s="35" t="s">
        <v>411</v>
      </c>
      <c r="F1273" s="29" t="s">
        <v>262</v>
      </c>
      <c r="G1273" s="36">
        <v>19100</v>
      </c>
      <c r="H1273" s="36">
        <v>114.6</v>
      </c>
    </row>
    <row r="1274" spans="1:8">
      <c r="A1274" s="62">
        <v>138643629879</v>
      </c>
      <c r="B1274" t="s">
        <v>4</v>
      </c>
      <c r="C1274" s="35" t="s">
        <v>411</v>
      </c>
      <c r="D1274" t="s">
        <v>260</v>
      </c>
      <c r="E1274" s="35" t="s">
        <v>411</v>
      </c>
      <c r="F1274" s="29" t="s">
        <v>262</v>
      </c>
      <c r="G1274" s="36">
        <v>5000</v>
      </c>
      <c r="H1274" s="36">
        <v>30</v>
      </c>
    </row>
    <row r="1275" spans="1:8">
      <c r="A1275" s="62">
        <v>138643753585</v>
      </c>
      <c r="B1275" t="s">
        <v>263</v>
      </c>
      <c r="C1275" s="35" t="s">
        <v>411</v>
      </c>
      <c r="D1275" t="s">
        <v>260</v>
      </c>
      <c r="E1275" s="35" t="s">
        <v>411</v>
      </c>
      <c r="F1275" s="29" t="s">
        <v>262</v>
      </c>
      <c r="G1275" s="36">
        <v>14700</v>
      </c>
      <c r="H1275" s="36">
        <v>88.2</v>
      </c>
    </row>
    <row r="1276" spans="1:8">
      <c r="A1276" s="62">
        <v>139289109558</v>
      </c>
      <c r="B1276" t="s">
        <v>4</v>
      </c>
      <c r="C1276" s="35" t="s">
        <v>411</v>
      </c>
      <c r="D1276" t="s">
        <v>260</v>
      </c>
      <c r="E1276" s="35" t="s">
        <v>411</v>
      </c>
      <c r="F1276" s="29" t="s">
        <v>262</v>
      </c>
      <c r="G1276" s="36">
        <v>24150</v>
      </c>
      <c r="H1276" s="36">
        <v>144.9</v>
      </c>
    </row>
    <row r="1277" spans="1:8">
      <c r="A1277" s="62">
        <v>139289529016</v>
      </c>
      <c r="B1277" t="s">
        <v>4</v>
      </c>
      <c r="C1277" s="35" t="s">
        <v>411</v>
      </c>
      <c r="D1277" t="s">
        <v>260</v>
      </c>
      <c r="E1277" s="35" t="s">
        <v>411</v>
      </c>
      <c r="F1277" s="29" t="s">
        <v>262</v>
      </c>
      <c r="G1277" s="36">
        <v>2500</v>
      </c>
      <c r="H1277" s="36">
        <v>15</v>
      </c>
    </row>
    <row r="1278" spans="1:8">
      <c r="A1278" s="62">
        <v>138644468175</v>
      </c>
      <c r="B1278" t="s">
        <v>4</v>
      </c>
      <c r="C1278" s="35" t="s">
        <v>411</v>
      </c>
      <c r="D1278" t="s">
        <v>260</v>
      </c>
      <c r="E1278" s="35" t="s">
        <v>411</v>
      </c>
      <c r="F1278" s="29" t="s">
        <v>262</v>
      </c>
      <c r="G1278" s="36">
        <v>65300</v>
      </c>
      <c r="H1278" s="36">
        <v>391.8</v>
      </c>
    </row>
    <row r="1279" spans="1:8">
      <c r="A1279" s="62">
        <v>139334412514</v>
      </c>
      <c r="B1279" t="s">
        <v>4</v>
      </c>
      <c r="C1279" s="35" t="s">
        <v>411</v>
      </c>
      <c r="D1279" t="s">
        <v>260</v>
      </c>
      <c r="E1279" s="35" t="s">
        <v>411</v>
      </c>
      <c r="F1279" s="29" t="s">
        <v>262</v>
      </c>
      <c r="G1279" s="36">
        <v>40308</v>
      </c>
      <c r="H1279" s="36">
        <v>241.85</v>
      </c>
    </row>
    <row r="1280" spans="1:8">
      <c r="A1280" s="62">
        <v>139480526116</v>
      </c>
      <c r="B1280" t="s">
        <v>420</v>
      </c>
      <c r="C1280" s="35" t="s">
        <v>421</v>
      </c>
      <c r="D1280" t="s">
        <v>260</v>
      </c>
      <c r="E1280" s="35" t="s">
        <v>421</v>
      </c>
      <c r="F1280" s="29" t="s">
        <v>262</v>
      </c>
      <c r="G1280" s="36">
        <v>2170</v>
      </c>
      <c r="H1280" s="36">
        <v>13.02</v>
      </c>
    </row>
    <row r="1281" spans="1:8">
      <c r="A1281" s="62">
        <v>139482937318</v>
      </c>
      <c r="B1281" t="s">
        <v>263</v>
      </c>
      <c r="C1281" s="35" t="s">
        <v>421</v>
      </c>
      <c r="D1281" t="s">
        <v>260</v>
      </c>
      <c r="E1281" s="35" t="s">
        <v>421</v>
      </c>
      <c r="F1281" s="29" t="s">
        <v>262</v>
      </c>
      <c r="G1281" s="36">
        <v>40600</v>
      </c>
      <c r="H1281" s="36">
        <v>243.6</v>
      </c>
    </row>
    <row r="1282" spans="1:8">
      <c r="A1282" s="62">
        <v>138837039887</v>
      </c>
      <c r="B1282" t="s">
        <v>263</v>
      </c>
      <c r="C1282" s="35" t="s">
        <v>421</v>
      </c>
      <c r="D1282" t="s">
        <v>260</v>
      </c>
      <c r="E1282" s="35" t="s">
        <v>421</v>
      </c>
      <c r="F1282" s="29" t="s">
        <v>262</v>
      </c>
      <c r="G1282" s="36">
        <v>31500</v>
      </c>
      <c r="H1282" s="36">
        <v>189</v>
      </c>
    </row>
    <row r="1283" spans="1:8">
      <c r="A1283" s="62">
        <v>138838194005</v>
      </c>
      <c r="B1283" t="s">
        <v>263</v>
      </c>
      <c r="C1283" s="35" t="s">
        <v>421</v>
      </c>
      <c r="D1283" t="s">
        <v>260</v>
      </c>
      <c r="E1283" s="35" t="s">
        <v>421</v>
      </c>
      <c r="F1283" s="29" t="s">
        <v>262</v>
      </c>
      <c r="G1283" s="36">
        <v>33800</v>
      </c>
      <c r="H1283" s="36">
        <v>202.8</v>
      </c>
    </row>
    <row r="1284" spans="1:8">
      <c r="A1284" s="62">
        <v>138839833769</v>
      </c>
      <c r="B1284" t="s">
        <v>4</v>
      </c>
      <c r="C1284" s="35" t="s">
        <v>421</v>
      </c>
      <c r="D1284" t="s">
        <v>260</v>
      </c>
      <c r="E1284" s="35" t="s">
        <v>421</v>
      </c>
      <c r="F1284" s="29" t="s">
        <v>262</v>
      </c>
      <c r="G1284" s="36">
        <v>41900</v>
      </c>
      <c r="H1284" s="36">
        <v>251.4</v>
      </c>
    </row>
    <row r="1285" spans="1:8">
      <c r="A1285" s="62">
        <v>138841317619</v>
      </c>
      <c r="B1285" t="s">
        <v>263</v>
      </c>
      <c r="C1285" s="35" t="s">
        <v>421</v>
      </c>
      <c r="D1285" t="s">
        <v>260</v>
      </c>
      <c r="E1285" s="35" t="s">
        <v>421</v>
      </c>
      <c r="F1285" s="29" t="s">
        <v>262</v>
      </c>
      <c r="G1285" s="36">
        <v>85500</v>
      </c>
      <c r="H1285" s="36">
        <v>513</v>
      </c>
    </row>
    <row r="1286" spans="1:8">
      <c r="A1286" s="62">
        <v>139489922698</v>
      </c>
      <c r="B1286" t="s">
        <v>4</v>
      </c>
      <c r="C1286" s="35" t="s">
        <v>421</v>
      </c>
      <c r="D1286" t="s">
        <v>260</v>
      </c>
      <c r="E1286" s="35" t="s">
        <v>421</v>
      </c>
      <c r="F1286" s="29" t="s">
        <v>262</v>
      </c>
      <c r="G1286" s="36">
        <v>9800</v>
      </c>
      <c r="H1286" s="36">
        <v>58.8</v>
      </c>
    </row>
    <row r="1287" spans="1:8">
      <c r="A1287" s="62">
        <v>138846676695</v>
      </c>
      <c r="B1287" t="s">
        <v>422</v>
      </c>
      <c r="C1287" s="35" t="s">
        <v>421</v>
      </c>
      <c r="D1287" t="s">
        <v>260</v>
      </c>
      <c r="E1287" s="35" t="s">
        <v>423</v>
      </c>
      <c r="F1287" s="29" t="s">
        <v>262</v>
      </c>
      <c r="G1287" s="36">
        <v>835</v>
      </c>
      <c r="H1287" s="36">
        <v>5.01</v>
      </c>
    </row>
    <row r="1288" spans="1:8">
      <c r="A1288" s="62">
        <v>139493377384</v>
      </c>
      <c r="B1288" t="s">
        <v>4</v>
      </c>
      <c r="C1288" s="35" t="s">
        <v>423</v>
      </c>
      <c r="D1288" t="s">
        <v>260</v>
      </c>
      <c r="E1288" s="35" t="s">
        <v>423</v>
      </c>
      <c r="F1288" s="29" t="s">
        <v>262</v>
      </c>
      <c r="G1288" s="36">
        <v>5000</v>
      </c>
      <c r="H1288" s="36">
        <v>30</v>
      </c>
    </row>
    <row r="1289" spans="1:8">
      <c r="A1289" s="62">
        <v>138847521569</v>
      </c>
      <c r="B1289" t="s">
        <v>4</v>
      </c>
      <c r="C1289" s="35" t="s">
        <v>423</v>
      </c>
      <c r="D1289" t="s">
        <v>260</v>
      </c>
      <c r="E1289" s="35" t="s">
        <v>423</v>
      </c>
      <c r="F1289" s="29" t="s">
        <v>262</v>
      </c>
      <c r="G1289" s="36">
        <v>40000</v>
      </c>
      <c r="H1289" s="36">
        <v>240</v>
      </c>
    </row>
    <row r="1290" spans="1:8">
      <c r="A1290" s="62">
        <v>138848287941</v>
      </c>
      <c r="B1290" t="s">
        <v>4</v>
      </c>
      <c r="C1290" s="35" t="s">
        <v>423</v>
      </c>
      <c r="D1290" t="s">
        <v>260</v>
      </c>
      <c r="E1290" s="35" t="s">
        <v>423</v>
      </c>
      <c r="F1290" s="29" t="s">
        <v>262</v>
      </c>
      <c r="G1290" s="36">
        <v>45900</v>
      </c>
      <c r="H1290" s="36">
        <v>275.39999999999998</v>
      </c>
    </row>
    <row r="1291" spans="1:8">
      <c r="A1291" s="62">
        <v>138834348251</v>
      </c>
      <c r="B1291" t="s">
        <v>4</v>
      </c>
      <c r="C1291" s="35" t="s">
        <v>421</v>
      </c>
      <c r="D1291" t="s">
        <v>260</v>
      </c>
      <c r="E1291" s="35" t="s">
        <v>421</v>
      </c>
      <c r="F1291" s="29" t="s">
        <v>262</v>
      </c>
      <c r="G1291" s="36">
        <v>43400</v>
      </c>
      <c r="H1291" s="36">
        <v>260.39999999999998</v>
      </c>
    </row>
    <row r="1292" spans="1:8">
      <c r="A1292" s="62">
        <v>138835077283</v>
      </c>
      <c r="B1292" t="s">
        <v>263</v>
      </c>
      <c r="C1292" s="35" t="s">
        <v>421</v>
      </c>
      <c r="D1292" t="s">
        <v>260</v>
      </c>
      <c r="E1292" s="35" t="s">
        <v>421</v>
      </c>
      <c r="F1292" s="29" t="s">
        <v>262</v>
      </c>
      <c r="G1292" s="36">
        <v>41200</v>
      </c>
      <c r="H1292" s="36">
        <v>247.2</v>
      </c>
    </row>
    <row r="1293" spans="1:8">
      <c r="A1293" s="62">
        <v>139483867620</v>
      </c>
      <c r="B1293" t="s">
        <v>263</v>
      </c>
      <c r="C1293" s="35" t="s">
        <v>421</v>
      </c>
      <c r="D1293" t="s">
        <v>260</v>
      </c>
      <c r="E1293" s="35" t="s">
        <v>421</v>
      </c>
      <c r="F1293" s="29" t="s">
        <v>262</v>
      </c>
      <c r="G1293" s="36">
        <v>28400</v>
      </c>
      <c r="H1293" s="36">
        <v>170.4</v>
      </c>
    </row>
    <row r="1294" spans="1:8">
      <c r="A1294" s="62">
        <v>139485979798</v>
      </c>
      <c r="B1294" t="s">
        <v>424</v>
      </c>
      <c r="C1294" s="35" t="s">
        <v>421</v>
      </c>
      <c r="D1294" t="s">
        <v>260</v>
      </c>
      <c r="E1294" s="35" t="s">
        <v>421</v>
      </c>
      <c r="F1294" s="29" t="s">
        <v>262</v>
      </c>
      <c r="G1294" s="36">
        <v>2660</v>
      </c>
      <c r="H1294" s="36">
        <v>15.96</v>
      </c>
    </row>
    <row r="1295" spans="1:8">
      <c r="A1295" s="62">
        <v>139485985744</v>
      </c>
      <c r="B1295" t="s">
        <v>4</v>
      </c>
      <c r="C1295" s="35" t="s">
        <v>421</v>
      </c>
      <c r="D1295" t="s">
        <v>260</v>
      </c>
      <c r="E1295" s="35" t="s">
        <v>421</v>
      </c>
      <c r="F1295" s="29" t="s">
        <v>262</v>
      </c>
      <c r="G1295" s="36">
        <v>26600</v>
      </c>
      <c r="H1295" s="36">
        <v>159.6</v>
      </c>
    </row>
    <row r="1296" spans="1:8">
      <c r="A1296" s="62">
        <v>139486139202</v>
      </c>
      <c r="B1296" t="s">
        <v>425</v>
      </c>
      <c r="C1296" s="35" t="s">
        <v>421</v>
      </c>
      <c r="D1296" t="s">
        <v>260</v>
      </c>
      <c r="E1296" s="35" t="s">
        <v>421</v>
      </c>
      <c r="F1296" s="29" t="s">
        <v>262</v>
      </c>
      <c r="G1296" s="36">
        <v>2095</v>
      </c>
      <c r="H1296" s="36">
        <v>12.57</v>
      </c>
    </row>
    <row r="1297" spans="1:8">
      <c r="A1297" s="62">
        <v>139488051760</v>
      </c>
      <c r="B1297" t="s">
        <v>4</v>
      </c>
      <c r="C1297" s="35" t="s">
        <v>421</v>
      </c>
      <c r="D1297" t="s">
        <v>260</v>
      </c>
      <c r="E1297" s="35" t="s">
        <v>421</v>
      </c>
      <c r="F1297" s="29" t="s">
        <v>262</v>
      </c>
      <c r="G1297" s="36">
        <v>50500</v>
      </c>
      <c r="H1297" s="36">
        <v>303</v>
      </c>
    </row>
    <row r="1298" spans="1:8">
      <c r="A1298" s="62">
        <v>139489872526</v>
      </c>
      <c r="B1298" t="s">
        <v>4</v>
      </c>
      <c r="C1298" s="35" t="s">
        <v>421</v>
      </c>
      <c r="D1298" t="s">
        <v>260</v>
      </c>
      <c r="E1298" s="35" t="s">
        <v>421</v>
      </c>
      <c r="F1298" s="29" t="s">
        <v>262</v>
      </c>
      <c r="G1298" s="36">
        <v>47800</v>
      </c>
      <c r="H1298" s="36">
        <v>286.8</v>
      </c>
    </row>
    <row r="1299" spans="1:8">
      <c r="A1299" s="62">
        <v>139489925702</v>
      </c>
      <c r="B1299" t="s">
        <v>263</v>
      </c>
      <c r="C1299" s="35" t="s">
        <v>421</v>
      </c>
      <c r="D1299" t="s">
        <v>260</v>
      </c>
      <c r="E1299" s="35" t="s">
        <v>421</v>
      </c>
      <c r="F1299" s="29" t="s">
        <v>262</v>
      </c>
      <c r="G1299" s="36">
        <v>13500</v>
      </c>
      <c r="H1299" s="36">
        <v>81</v>
      </c>
    </row>
    <row r="1300" spans="1:8">
      <c r="A1300" s="62">
        <v>139490512936</v>
      </c>
      <c r="B1300" t="s">
        <v>4</v>
      </c>
      <c r="C1300" s="35" t="s">
        <v>421</v>
      </c>
      <c r="D1300" t="s">
        <v>260</v>
      </c>
      <c r="E1300" s="35" t="s">
        <v>423</v>
      </c>
      <c r="F1300" s="29" t="s">
        <v>262</v>
      </c>
      <c r="G1300" s="36">
        <v>28800</v>
      </c>
      <c r="H1300" s="36">
        <v>172.8</v>
      </c>
    </row>
    <row r="1301" spans="1:8">
      <c r="A1301" s="62">
        <v>138845223977</v>
      </c>
      <c r="B1301" t="s">
        <v>4</v>
      </c>
      <c r="C1301" s="35" t="s">
        <v>421</v>
      </c>
      <c r="D1301" t="s">
        <v>260</v>
      </c>
      <c r="E1301" s="35" t="s">
        <v>423</v>
      </c>
      <c r="F1301" s="29" t="s">
        <v>262</v>
      </c>
      <c r="G1301" s="36">
        <v>23450</v>
      </c>
      <c r="H1301" s="36">
        <v>140.69999999999999</v>
      </c>
    </row>
    <row r="1302" spans="1:8">
      <c r="A1302" s="62">
        <v>138845587111</v>
      </c>
      <c r="B1302" t="s">
        <v>4</v>
      </c>
      <c r="C1302" s="35" t="s">
        <v>421</v>
      </c>
      <c r="D1302" t="s">
        <v>260</v>
      </c>
      <c r="E1302" s="35" t="s">
        <v>423</v>
      </c>
      <c r="F1302" s="29" t="s">
        <v>262</v>
      </c>
      <c r="G1302" s="36">
        <v>46300</v>
      </c>
      <c r="H1302" s="36">
        <v>277.8</v>
      </c>
    </row>
    <row r="1303" spans="1:8">
      <c r="A1303" s="62">
        <v>138846734249</v>
      </c>
      <c r="B1303" t="s">
        <v>4</v>
      </c>
      <c r="C1303" s="35" t="s">
        <v>421</v>
      </c>
      <c r="D1303" t="s">
        <v>260</v>
      </c>
      <c r="E1303" s="35" t="s">
        <v>423</v>
      </c>
      <c r="F1303" s="29" t="s">
        <v>262</v>
      </c>
      <c r="G1303" s="36">
        <v>16700</v>
      </c>
      <c r="H1303" s="36">
        <v>100.2</v>
      </c>
    </row>
    <row r="1304" spans="1:8">
      <c r="A1304" s="62">
        <v>138847199637</v>
      </c>
      <c r="B1304" t="s">
        <v>4</v>
      </c>
      <c r="C1304" s="35" t="s">
        <v>423</v>
      </c>
      <c r="D1304" t="s">
        <v>260</v>
      </c>
      <c r="E1304" s="35" t="s">
        <v>423</v>
      </c>
      <c r="F1304" s="29" t="s">
        <v>262</v>
      </c>
      <c r="G1304" s="36">
        <v>4800</v>
      </c>
      <c r="H1304" s="36">
        <v>28.8</v>
      </c>
    </row>
    <row r="1305" spans="1:8">
      <c r="A1305" s="62" t="s">
        <v>426</v>
      </c>
      <c r="B1305" t="s">
        <v>4</v>
      </c>
      <c r="C1305" s="35" t="s">
        <v>423</v>
      </c>
      <c r="D1305" t="s">
        <v>260</v>
      </c>
      <c r="E1305" s="35" t="s">
        <v>423</v>
      </c>
      <c r="F1305" s="29" t="s">
        <v>262</v>
      </c>
      <c r="G1305" s="36">
        <v>5924943.2699999996</v>
      </c>
      <c r="H1305" s="36">
        <v>35549.660000000003</v>
      </c>
    </row>
    <row r="1306" spans="1:8">
      <c r="A1306" s="62">
        <v>139546743318</v>
      </c>
      <c r="B1306" t="s">
        <v>4</v>
      </c>
      <c r="C1306" s="35" t="s">
        <v>423</v>
      </c>
      <c r="D1306" t="s">
        <v>260</v>
      </c>
      <c r="E1306" s="35" t="s">
        <v>423</v>
      </c>
      <c r="F1306" s="29" t="s">
        <v>262</v>
      </c>
      <c r="G1306" s="36">
        <v>132384.29</v>
      </c>
      <c r="H1306" s="36">
        <v>794.31</v>
      </c>
    </row>
    <row r="1307" spans="1:8">
      <c r="A1307" s="62" t="s">
        <v>427</v>
      </c>
      <c r="B1307" t="s">
        <v>4</v>
      </c>
      <c r="C1307" s="35" t="s">
        <v>423</v>
      </c>
      <c r="D1307" t="s">
        <v>260</v>
      </c>
      <c r="E1307" s="35" t="s">
        <v>423</v>
      </c>
      <c r="F1307" s="29" t="s">
        <v>262</v>
      </c>
      <c r="G1307" s="36">
        <v>191237.69</v>
      </c>
      <c r="H1307" s="36">
        <v>1147.43</v>
      </c>
    </row>
    <row r="1308" spans="1:8">
      <c r="A1308" s="62">
        <v>138946899375</v>
      </c>
      <c r="B1308" t="s">
        <v>4</v>
      </c>
      <c r="C1308" s="35" t="s">
        <v>423</v>
      </c>
      <c r="D1308" t="s">
        <v>260</v>
      </c>
      <c r="E1308" s="35" t="s">
        <v>423</v>
      </c>
      <c r="F1308" s="29" t="s">
        <v>262</v>
      </c>
      <c r="G1308" s="36">
        <v>5500</v>
      </c>
      <c r="H1308" s="36">
        <v>33</v>
      </c>
    </row>
    <row r="1309" spans="1:8">
      <c r="A1309" s="62">
        <v>138959611901</v>
      </c>
      <c r="B1309" t="s">
        <v>263</v>
      </c>
      <c r="C1309" s="35" t="s">
        <v>423</v>
      </c>
      <c r="D1309" t="s">
        <v>260</v>
      </c>
      <c r="E1309" s="35" t="s">
        <v>423</v>
      </c>
      <c r="F1309" s="29" t="s">
        <v>262</v>
      </c>
      <c r="G1309" s="36">
        <v>14400</v>
      </c>
      <c r="H1309" s="36">
        <v>86.4</v>
      </c>
    </row>
    <row r="1310" spans="1:8">
      <c r="A1310" s="62">
        <v>138966237485</v>
      </c>
      <c r="B1310" t="s">
        <v>263</v>
      </c>
      <c r="C1310" s="35" t="s">
        <v>423</v>
      </c>
      <c r="D1310" t="s">
        <v>260</v>
      </c>
      <c r="E1310" s="35" t="s">
        <v>423</v>
      </c>
      <c r="F1310" s="29" t="s">
        <v>262</v>
      </c>
      <c r="G1310" s="36">
        <v>9600</v>
      </c>
      <c r="H1310" s="36">
        <v>57.6</v>
      </c>
    </row>
    <row r="1311" spans="1:8">
      <c r="A1311" s="62">
        <v>138967782947</v>
      </c>
      <c r="B1311" t="s">
        <v>4</v>
      </c>
      <c r="C1311" s="35" t="s">
        <v>423</v>
      </c>
      <c r="D1311" t="s">
        <v>260</v>
      </c>
      <c r="E1311" s="35" t="s">
        <v>423</v>
      </c>
      <c r="F1311" s="29" t="s">
        <v>262</v>
      </c>
      <c r="G1311" s="36">
        <v>5000</v>
      </c>
      <c r="H1311" s="36">
        <v>30</v>
      </c>
    </row>
    <row r="1312" spans="1:8">
      <c r="A1312" s="62">
        <v>139615922224</v>
      </c>
      <c r="B1312" t="s">
        <v>263</v>
      </c>
      <c r="C1312" s="35" t="s">
        <v>423</v>
      </c>
      <c r="D1312" t="s">
        <v>260</v>
      </c>
      <c r="E1312" s="35" t="s">
        <v>423</v>
      </c>
      <c r="F1312" s="29" t="s">
        <v>262</v>
      </c>
      <c r="G1312" s="36">
        <v>21700</v>
      </c>
      <c r="H1312" s="36">
        <v>130.19999999999999</v>
      </c>
    </row>
    <row r="1313" spans="1:8">
      <c r="A1313" s="62">
        <v>138969778077</v>
      </c>
      <c r="B1313" t="s">
        <v>263</v>
      </c>
      <c r="C1313" s="35" t="s">
        <v>423</v>
      </c>
      <c r="D1313" t="s">
        <v>260</v>
      </c>
      <c r="E1313" s="35" t="s">
        <v>423</v>
      </c>
      <c r="F1313" s="29" t="s">
        <v>262</v>
      </c>
      <c r="G1313" s="36">
        <v>60500</v>
      </c>
      <c r="H1313" s="36">
        <v>363</v>
      </c>
    </row>
    <row r="1314" spans="1:8">
      <c r="A1314" s="62">
        <v>139617244154</v>
      </c>
      <c r="B1314" t="s">
        <v>4</v>
      </c>
      <c r="C1314" s="35" t="s">
        <v>423</v>
      </c>
      <c r="D1314" t="s">
        <v>260</v>
      </c>
      <c r="E1314" s="35" t="s">
        <v>423</v>
      </c>
      <c r="F1314" s="29" t="s">
        <v>262</v>
      </c>
      <c r="G1314" s="36">
        <v>34600</v>
      </c>
      <c r="H1314" s="36">
        <v>207.6</v>
      </c>
    </row>
    <row r="1315" spans="1:8">
      <c r="A1315" s="62">
        <v>138970709575</v>
      </c>
      <c r="B1315" t="s">
        <v>4</v>
      </c>
      <c r="C1315" s="35" t="s">
        <v>423</v>
      </c>
      <c r="D1315" t="s">
        <v>260</v>
      </c>
      <c r="E1315" s="35" t="s">
        <v>423</v>
      </c>
      <c r="F1315" s="29" t="s">
        <v>262</v>
      </c>
      <c r="G1315" s="36">
        <v>10000</v>
      </c>
      <c r="H1315" s="36">
        <v>60</v>
      </c>
    </row>
    <row r="1316" spans="1:8">
      <c r="A1316" s="62">
        <v>139617382916</v>
      </c>
      <c r="B1316" t="s">
        <v>428</v>
      </c>
      <c r="C1316" s="35" t="s">
        <v>423</v>
      </c>
      <c r="D1316" t="s">
        <v>260</v>
      </c>
      <c r="E1316" s="35" t="s">
        <v>423</v>
      </c>
      <c r="F1316" s="29" t="s">
        <v>262</v>
      </c>
      <c r="G1316" s="36">
        <v>1000</v>
      </c>
      <c r="H1316" s="36">
        <v>6</v>
      </c>
    </row>
    <row r="1317" spans="1:8">
      <c r="A1317" s="62">
        <v>139619856274</v>
      </c>
      <c r="B1317" t="s">
        <v>4</v>
      </c>
      <c r="C1317" s="35" t="s">
        <v>423</v>
      </c>
      <c r="D1317" t="s">
        <v>260</v>
      </c>
      <c r="E1317" s="35" t="s">
        <v>423</v>
      </c>
      <c r="F1317" s="29" t="s">
        <v>262</v>
      </c>
      <c r="G1317" s="36">
        <v>5000</v>
      </c>
      <c r="H1317" s="36">
        <v>30</v>
      </c>
    </row>
    <row r="1318" spans="1:8">
      <c r="A1318" s="62">
        <v>139599090974</v>
      </c>
      <c r="B1318" t="s">
        <v>4</v>
      </c>
      <c r="C1318" s="35" t="s">
        <v>423</v>
      </c>
      <c r="D1318" t="s">
        <v>260</v>
      </c>
      <c r="E1318" s="35" t="s">
        <v>423</v>
      </c>
      <c r="F1318" s="29" t="s">
        <v>262</v>
      </c>
      <c r="G1318" s="36">
        <v>55000</v>
      </c>
      <c r="H1318" s="36">
        <v>330</v>
      </c>
    </row>
    <row r="1319" spans="1:8">
      <c r="A1319" s="62">
        <v>138952390031</v>
      </c>
      <c r="B1319" t="s">
        <v>429</v>
      </c>
      <c r="C1319" s="35" t="s">
        <v>423</v>
      </c>
      <c r="D1319" t="s">
        <v>260</v>
      </c>
      <c r="E1319" s="35" t="s">
        <v>423</v>
      </c>
      <c r="F1319" s="29" t="s">
        <v>262</v>
      </c>
      <c r="G1319" s="36">
        <v>2750</v>
      </c>
      <c r="H1319" s="36">
        <v>16.5</v>
      </c>
    </row>
    <row r="1320" spans="1:8">
      <c r="A1320" s="62">
        <v>139621844894</v>
      </c>
      <c r="B1320" t="s">
        <v>263</v>
      </c>
      <c r="C1320" s="35" t="s">
        <v>423</v>
      </c>
      <c r="D1320" t="s">
        <v>260</v>
      </c>
      <c r="E1320" s="35" t="s">
        <v>423</v>
      </c>
      <c r="F1320" s="29" t="s">
        <v>262</v>
      </c>
      <c r="G1320" s="36">
        <v>91700</v>
      </c>
      <c r="H1320" s="36">
        <v>550.20000000000005</v>
      </c>
    </row>
    <row r="1321" spans="1:8">
      <c r="A1321" s="62">
        <v>138975586959</v>
      </c>
      <c r="B1321" t="s">
        <v>263</v>
      </c>
      <c r="C1321" s="35" t="s">
        <v>423</v>
      </c>
      <c r="D1321" t="s">
        <v>260</v>
      </c>
      <c r="E1321" s="35" t="s">
        <v>423</v>
      </c>
      <c r="F1321" s="29" t="s">
        <v>262</v>
      </c>
      <c r="G1321" s="36">
        <v>67600</v>
      </c>
      <c r="H1321" s="36">
        <v>405.6</v>
      </c>
    </row>
    <row r="1322" spans="1:8">
      <c r="A1322" s="62">
        <v>139622764004</v>
      </c>
      <c r="B1322" t="s">
        <v>4</v>
      </c>
      <c r="C1322" s="35" t="s">
        <v>423</v>
      </c>
      <c r="D1322" t="s">
        <v>260</v>
      </c>
      <c r="E1322" s="35" t="s">
        <v>423</v>
      </c>
      <c r="F1322" s="29" t="s">
        <v>262</v>
      </c>
      <c r="G1322" s="36">
        <v>71000</v>
      </c>
      <c r="H1322" s="36">
        <v>426</v>
      </c>
    </row>
    <row r="1323" spans="1:8">
      <c r="A1323" s="62">
        <v>138976300439</v>
      </c>
      <c r="B1323" t="s">
        <v>4</v>
      </c>
      <c r="C1323" s="35" t="s">
        <v>423</v>
      </c>
      <c r="D1323" t="s">
        <v>260</v>
      </c>
      <c r="E1323" s="35" t="s">
        <v>423</v>
      </c>
      <c r="F1323" s="29" t="s">
        <v>262</v>
      </c>
      <c r="G1323" s="36">
        <v>108300</v>
      </c>
      <c r="H1323" s="36">
        <v>649.79999999999995</v>
      </c>
    </row>
    <row r="1324" spans="1:8">
      <c r="A1324" s="62">
        <v>139624260564</v>
      </c>
      <c r="B1324" t="s">
        <v>263</v>
      </c>
      <c r="C1324" s="35" t="s">
        <v>423</v>
      </c>
      <c r="D1324" t="s">
        <v>260</v>
      </c>
      <c r="E1324" s="35" t="s">
        <v>430</v>
      </c>
      <c r="F1324" s="29" t="s">
        <v>262</v>
      </c>
      <c r="G1324" s="36">
        <v>11000</v>
      </c>
      <c r="H1324" s="36">
        <v>66</v>
      </c>
    </row>
    <row r="1325" spans="1:8">
      <c r="A1325" s="62">
        <v>139625329332</v>
      </c>
      <c r="B1325" t="s">
        <v>263</v>
      </c>
      <c r="C1325" s="35" t="s">
        <v>423</v>
      </c>
      <c r="D1325" t="s">
        <v>260</v>
      </c>
      <c r="E1325" s="35" t="s">
        <v>430</v>
      </c>
      <c r="F1325" s="29" t="s">
        <v>262</v>
      </c>
      <c r="G1325" s="36">
        <v>68300</v>
      </c>
      <c r="H1325" s="36">
        <v>409.8</v>
      </c>
    </row>
    <row r="1326" spans="1:8">
      <c r="A1326" s="62">
        <v>138978851547</v>
      </c>
      <c r="B1326" t="s">
        <v>4</v>
      </c>
      <c r="C1326" s="35" t="s">
        <v>423</v>
      </c>
      <c r="D1326" t="s">
        <v>260</v>
      </c>
      <c r="E1326" s="35" t="s">
        <v>430</v>
      </c>
      <c r="F1326" s="29" t="s">
        <v>262</v>
      </c>
      <c r="G1326" s="36">
        <v>16000</v>
      </c>
      <c r="H1326" s="36">
        <v>96</v>
      </c>
    </row>
    <row r="1327" spans="1:8">
      <c r="A1327" s="62">
        <v>139626843748</v>
      </c>
      <c r="B1327" t="s">
        <v>4</v>
      </c>
      <c r="C1327" s="35" t="s">
        <v>423</v>
      </c>
      <c r="D1327" t="s">
        <v>260</v>
      </c>
      <c r="E1327" s="35" t="s">
        <v>430</v>
      </c>
      <c r="F1327" s="29" t="s">
        <v>262</v>
      </c>
      <c r="G1327" s="36">
        <v>5000</v>
      </c>
      <c r="H1327" s="36">
        <v>30</v>
      </c>
    </row>
    <row r="1328" spans="1:8">
      <c r="A1328" s="62">
        <v>139628504836</v>
      </c>
      <c r="B1328" t="s">
        <v>4</v>
      </c>
      <c r="C1328" s="35" t="s">
        <v>430</v>
      </c>
      <c r="D1328" t="s">
        <v>260</v>
      </c>
      <c r="E1328" s="35" t="s">
        <v>430</v>
      </c>
      <c r="F1328" s="29" t="s">
        <v>262</v>
      </c>
      <c r="G1328" s="36">
        <v>10000</v>
      </c>
      <c r="H1328" s="36">
        <v>60</v>
      </c>
    </row>
    <row r="1329" spans="1:8">
      <c r="A1329" s="62">
        <v>139628583816</v>
      </c>
      <c r="B1329" t="s">
        <v>4</v>
      </c>
      <c r="C1329" s="35" t="s">
        <v>430</v>
      </c>
      <c r="D1329" t="s">
        <v>260</v>
      </c>
      <c r="E1329" s="35" t="s">
        <v>430</v>
      </c>
      <c r="F1329" s="29" t="s">
        <v>262</v>
      </c>
      <c r="G1329" s="36">
        <v>19400</v>
      </c>
      <c r="H1329" s="36">
        <v>116.4</v>
      </c>
    </row>
    <row r="1330" spans="1:8">
      <c r="A1330" s="62">
        <v>138982147639</v>
      </c>
      <c r="B1330" t="s">
        <v>4</v>
      </c>
      <c r="C1330" s="35" t="s">
        <v>430</v>
      </c>
      <c r="D1330" t="s">
        <v>260</v>
      </c>
      <c r="E1330" s="35" t="s">
        <v>430</v>
      </c>
      <c r="F1330" s="29" t="s">
        <v>262</v>
      </c>
      <c r="G1330" s="36">
        <v>5000</v>
      </c>
      <c r="H1330" s="36">
        <v>30</v>
      </c>
    </row>
    <row r="1331" spans="1:8">
      <c r="A1331" s="62">
        <v>138982300437</v>
      </c>
      <c r="B1331" t="s">
        <v>4</v>
      </c>
      <c r="C1331" s="35" t="s">
        <v>430</v>
      </c>
      <c r="D1331" t="s">
        <v>260</v>
      </c>
      <c r="E1331" s="35" t="s">
        <v>430</v>
      </c>
      <c r="F1331" s="29" t="s">
        <v>262</v>
      </c>
      <c r="G1331" s="36">
        <v>5500</v>
      </c>
      <c r="H1331" s="36">
        <v>33</v>
      </c>
    </row>
    <row r="1332" spans="1:8">
      <c r="A1332" s="62">
        <v>138960532407</v>
      </c>
      <c r="B1332" t="s">
        <v>263</v>
      </c>
      <c r="C1332" s="35" t="s">
        <v>423</v>
      </c>
      <c r="D1332" t="s">
        <v>260</v>
      </c>
      <c r="E1332" s="35" t="s">
        <v>423</v>
      </c>
      <c r="F1332" s="29" t="s">
        <v>262</v>
      </c>
      <c r="G1332" s="36">
        <v>19800</v>
      </c>
      <c r="H1332" s="36">
        <v>118.8</v>
      </c>
    </row>
    <row r="1333" spans="1:8">
      <c r="A1333" s="62">
        <v>138982602723</v>
      </c>
      <c r="B1333" t="s">
        <v>4</v>
      </c>
      <c r="C1333" s="35" t="s">
        <v>430</v>
      </c>
      <c r="D1333" t="s">
        <v>260</v>
      </c>
      <c r="E1333" s="35" t="s">
        <v>430</v>
      </c>
      <c r="F1333" s="29" t="s">
        <v>262</v>
      </c>
      <c r="G1333" s="36">
        <v>13800</v>
      </c>
      <c r="H1333" s="36">
        <v>82.8</v>
      </c>
    </row>
    <row r="1334" spans="1:8">
      <c r="A1334" s="62">
        <v>138982968973</v>
      </c>
      <c r="B1334" t="s">
        <v>263</v>
      </c>
      <c r="C1334" s="35" t="s">
        <v>430</v>
      </c>
      <c r="D1334" t="s">
        <v>260</v>
      </c>
      <c r="E1334" s="35" t="s">
        <v>430</v>
      </c>
      <c r="F1334" s="29" t="s">
        <v>262</v>
      </c>
      <c r="G1334" s="36">
        <v>30800</v>
      </c>
      <c r="H1334" s="36">
        <v>184.8</v>
      </c>
    </row>
    <row r="1335" spans="1:8">
      <c r="A1335" s="62">
        <v>139630051996</v>
      </c>
      <c r="B1335" t="s">
        <v>4</v>
      </c>
      <c r="C1335" s="35" t="s">
        <v>430</v>
      </c>
      <c r="D1335" t="s">
        <v>260</v>
      </c>
      <c r="E1335" s="35" t="s">
        <v>430</v>
      </c>
      <c r="F1335" s="29" t="s">
        <v>262</v>
      </c>
      <c r="G1335" s="36">
        <v>25300</v>
      </c>
      <c r="H1335" s="36">
        <v>151.80000000000001</v>
      </c>
    </row>
    <row r="1336" spans="1:8">
      <c r="A1336" s="62">
        <v>139630137722</v>
      </c>
      <c r="B1336" t="s">
        <v>263</v>
      </c>
      <c r="C1336" s="35" t="s">
        <v>430</v>
      </c>
      <c r="D1336" t="s">
        <v>260</v>
      </c>
      <c r="E1336" s="35" t="s">
        <v>430</v>
      </c>
      <c r="F1336" s="29" t="s">
        <v>262</v>
      </c>
      <c r="G1336" s="36">
        <v>59600</v>
      </c>
      <c r="H1336" s="36">
        <v>357.6</v>
      </c>
    </row>
    <row r="1337" spans="1:8">
      <c r="A1337" s="62">
        <v>139630170634</v>
      </c>
      <c r="B1337" t="s">
        <v>4</v>
      </c>
      <c r="C1337" s="35" t="s">
        <v>430</v>
      </c>
      <c r="D1337" t="s">
        <v>260</v>
      </c>
      <c r="E1337" s="35" t="s">
        <v>430</v>
      </c>
      <c r="F1337" s="29" t="s">
        <v>262</v>
      </c>
      <c r="G1337" s="36">
        <v>58200</v>
      </c>
      <c r="H1337" s="36">
        <v>349.2</v>
      </c>
    </row>
    <row r="1338" spans="1:8">
      <c r="A1338" s="62">
        <v>139630821520</v>
      </c>
      <c r="B1338" t="s">
        <v>4</v>
      </c>
      <c r="C1338" s="35" t="s">
        <v>430</v>
      </c>
      <c r="D1338" t="s">
        <v>260</v>
      </c>
      <c r="E1338" s="35" t="s">
        <v>430</v>
      </c>
      <c r="F1338" s="29" t="s">
        <v>262</v>
      </c>
      <c r="G1338" s="36">
        <v>53200</v>
      </c>
      <c r="H1338" s="36">
        <v>319.2</v>
      </c>
    </row>
    <row r="1339" spans="1:8">
      <c r="A1339" s="62">
        <v>138984089477</v>
      </c>
      <c r="B1339" t="s">
        <v>4</v>
      </c>
      <c r="C1339" s="35" t="s">
        <v>430</v>
      </c>
      <c r="D1339" t="s">
        <v>260</v>
      </c>
      <c r="E1339" s="35" t="s">
        <v>430</v>
      </c>
      <c r="F1339" s="29" t="s">
        <v>262</v>
      </c>
      <c r="G1339" s="36">
        <v>14400</v>
      </c>
      <c r="H1339" s="36">
        <v>86.4</v>
      </c>
    </row>
    <row r="1340" spans="1:8">
      <c r="A1340" s="62">
        <v>138984795275</v>
      </c>
      <c r="B1340" t="s">
        <v>4</v>
      </c>
      <c r="C1340" s="35" t="s">
        <v>430</v>
      </c>
      <c r="D1340" t="s">
        <v>260</v>
      </c>
      <c r="E1340" s="35" t="s">
        <v>430</v>
      </c>
      <c r="F1340" s="29" t="s">
        <v>262</v>
      </c>
      <c r="G1340" s="36">
        <v>55000</v>
      </c>
      <c r="H1340" s="36">
        <v>330</v>
      </c>
    </row>
    <row r="1341" spans="1:8">
      <c r="A1341" s="62">
        <v>139631549822</v>
      </c>
      <c r="B1341" t="s">
        <v>4</v>
      </c>
      <c r="C1341" s="35" t="s">
        <v>430</v>
      </c>
      <c r="D1341" t="s">
        <v>260</v>
      </c>
      <c r="E1341" s="35" t="s">
        <v>430</v>
      </c>
      <c r="F1341" s="29" t="s">
        <v>262</v>
      </c>
      <c r="G1341" s="36">
        <v>5000</v>
      </c>
      <c r="H1341" s="36">
        <v>30</v>
      </c>
    </row>
    <row r="1342" spans="1:8">
      <c r="A1342" s="62">
        <v>138963343339</v>
      </c>
      <c r="B1342" t="s">
        <v>4</v>
      </c>
      <c r="C1342" s="35" t="s">
        <v>423</v>
      </c>
      <c r="D1342" t="s">
        <v>260</v>
      </c>
      <c r="E1342" s="35" t="s">
        <v>423</v>
      </c>
      <c r="F1342" s="29" t="s">
        <v>262</v>
      </c>
      <c r="G1342" s="36">
        <v>4800</v>
      </c>
      <c r="H1342" s="36">
        <v>28.8</v>
      </c>
    </row>
    <row r="1343" spans="1:8">
      <c r="A1343" s="62">
        <v>138963614327</v>
      </c>
      <c r="B1343" t="s">
        <v>4</v>
      </c>
      <c r="C1343" s="35" t="s">
        <v>423</v>
      </c>
      <c r="D1343" t="s">
        <v>260</v>
      </c>
      <c r="E1343" s="35" t="s">
        <v>423</v>
      </c>
      <c r="F1343" s="29" t="s">
        <v>262</v>
      </c>
      <c r="G1343" s="36">
        <v>37500</v>
      </c>
      <c r="H1343" s="36">
        <v>225</v>
      </c>
    </row>
    <row r="1344" spans="1:8">
      <c r="A1344" s="62">
        <v>138965535883</v>
      </c>
      <c r="B1344" t="s">
        <v>263</v>
      </c>
      <c r="C1344" s="35" t="s">
        <v>423</v>
      </c>
      <c r="D1344" t="s">
        <v>260</v>
      </c>
      <c r="E1344" s="35" t="s">
        <v>423</v>
      </c>
      <c r="F1344" s="29" t="s">
        <v>262</v>
      </c>
      <c r="G1344" s="36">
        <v>10000</v>
      </c>
      <c r="H1344" s="36">
        <v>60</v>
      </c>
    </row>
    <row r="1345" spans="1:8">
      <c r="A1345" s="62">
        <v>138965717981</v>
      </c>
      <c r="B1345" t="s">
        <v>263</v>
      </c>
      <c r="C1345" s="35" t="s">
        <v>423</v>
      </c>
      <c r="D1345" t="s">
        <v>260</v>
      </c>
      <c r="E1345" s="35" t="s">
        <v>423</v>
      </c>
      <c r="F1345" s="29" t="s">
        <v>262</v>
      </c>
      <c r="G1345" s="36">
        <v>10000</v>
      </c>
      <c r="H1345" s="36">
        <v>60</v>
      </c>
    </row>
    <row r="1346" spans="1:8">
      <c r="A1346" s="62">
        <v>139613303416</v>
      </c>
      <c r="B1346" t="s">
        <v>4</v>
      </c>
      <c r="C1346" s="35" t="s">
        <v>423</v>
      </c>
      <c r="D1346" t="s">
        <v>260</v>
      </c>
      <c r="E1346" s="35" t="s">
        <v>423</v>
      </c>
      <c r="F1346" s="29" t="s">
        <v>262</v>
      </c>
      <c r="G1346" s="36">
        <v>29000</v>
      </c>
      <c r="H1346" s="36">
        <v>174</v>
      </c>
    </row>
    <row r="1347" spans="1:8">
      <c r="A1347" s="62">
        <v>139618386762</v>
      </c>
      <c r="B1347" t="s">
        <v>263</v>
      </c>
      <c r="C1347" s="35" t="s">
        <v>423</v>
      </c>
      <c r="D1347" t="s">
        <v>260</v>
      </c>
      <c r="E1347" s="35" t="s">
        <v>423</v>
      </c>
      <c r="F1347" s="29" t="s">
        <v>262</v>
      </c>
      <c r="G1347" s="36">
        <v>39900</v>
      </c>
      <c r="H1347" s="36">
        <v>239.4</v>
      </c>
    </row>
    <row r="1348" spans="1:8">
      <c r="A1348" s="62">
        <v>139618771272</v>
      </c>
      <c r="B1348" t="s">
        <v>263</v>
      </c>
      <c r="C1348" s="35" t="s">
        <v>423</v>
      </c>
      <c r="D1348" t="s">
        <v>260</v>
      </c>
      <c r="E1348" s="35" t="s">
        <v>423</v>
      </c>
      <c r="F1348" s="29" t="s">
        <v>262</v>
      </c>
      <c r="G1348" s="36">
        <v>43000</v>
      </c>
      <c r="H1348" s="36">
        <v>258</v>
      </c>
    </row>
    <row r="1349" spans="1:8">
      <c r="A1349" s="62">
        <v>138973548859</v>
      </c>
      <c r="B1349" t="s">
        <v>4</v>
      </c>
      <c r="C1349" s="35" t="s">
        <v>423</v>
      </c>
      <c r="D1349" t="s">
        <v>260</v>
      </c>
      <c r="E1349" s="35" t="s">
        <v>423</v>
      </c>
      <c r="F1349" s="29" t="s">
        <v>262</v>
      </c>
      <c r="G1349" s="36">
        <v>37700</v>
      </c>
      <c r="H1349" s="36">
        <v>226.2</v>
      </c>
    </row>
    <row r="1350" spans="1:8">
      <c r="A1350" s="62">
        <v>139620716118</v>
      </c>
      <c r="B1350" t="s">
        <v>4</v>
      </c>
      <c r="C1350" s="35" t="s">
        <v>423</v>
      </c>
      <c r="D1350" t="s">
        <v>260</v>
      </c>
      <c r="E1350" s="35" t="s">
        <v>423</v>
      </c>
      <c r="F1350" s="29" t="s">
        <v>262</v>
      </c>
      <c r="G1350" s="36">
        <v>9600</v>
      </c>
      <c r="H1350" s="36">
        <v>57.6</v>
      </c>
    </row>
    <row r="1351" spans="1:8">
      <c r="A1351" s="62">
        <v>139623660942</v>
      </c>
      <c r="B1351" t="s">
        <v>4</v>
      </c>
      <c r="C1351" s="35" t="s">
        <v>423</v>
      </c>
      <c r="D1351" t="s">
        <v>260</v>
      </c>
      <c r="E1351" s="35" t="s">
        <v>423</v>
      </c>
      <c r="F1351" s="29" t="s">
        <v>262</v>
      </c>
      <c r="G1351" s="36">
        <v>8600</v>
      </c>
      <c r="H1351" s="36">
        <v>51.6</v>
      </c>
    </row>
    <row r="1352" spans="1:8">
      <c r="A1352" s="62">
        <v>139625026608</v>
      </c>
      <c r="B1352" t="s">
        <v>4</v>
      </c>
      <c r="C1352" s="35" t="s">
        <v>423</v>
      </c>
      <c r="D1352" t="s">
        <v>260</v>
      </c>
      <c r="E1352" s="35" t="s">
        <v>430</v>
      </c>
      <c r="F1352" s="29" t="s">
        <v>262</v>
      </c>
      <c r="G1352" s="36">
        <v>52200</v>
      </c>
      <c r="H1352" s="36">
        <v>313.2</v>
      </c>
    </row>
    <row r="1353" spans="1:8">
      <c r="A1353" s="62">
        <v>138978259553</v>
      </c>
      <c r="B1353" t="s">
        <v>263</v>
      </c>
      <c r="C1353" s="35" t="s">
        <v>423</v>
      </c>
      <c r="D1353" t="s">
        <v>260</v>
      </c>
      <c r="E1353" s="35" t="s">
        <v>430</v>
      </c>
      <c r="F1353" s="29" t="s">
        <v>262</v>
      </c>
      <c r="G1353" s="36">
        <v>7900</v>
      </c>
      <c r="H1353" s="36">
        <v>47.4</v>
      </c>
    </row>
    <row r="1354" spans="1:8">
      <c r="A1354" s="62">
        <v>138978844689</v>
      </c>
      <c r="B1354" t="s">
        <v>4</v>
      </c>
      <c r="C1354" s="35" t="s">
        <v>423</v>
      </c>
      <c r="D1354" t="s">
        <v>260</v>
      </c>
      <c r="E1354" s="35" t="s">
        <v>430</v>
      </c>
      <c r="F1354" s="29" t="s">
        <v>262</v>
      </c>
      <c r="G1354" s="36">
        <v>76200</v>
      </c>
      <c r="H1354" s="36">
        <v>457.2</v>
      </c>
    </row>
    <row r="1355" spans="1:8">
      <c r="A1355" s="62">
        <v>139626692140</v>
      </c>
      <c r="B1355" t="s">
        <v>4</v>
      </c>
      <c r="C1355" s="35" t="s">
        <v>423</v>
      </c>
      <c r="D1355" t="s">
        <v>260</v>
      </c>
      <c r="E1355" s="35" t="s">
        <v>430</v>
      </c>
      <c r="F1355" s="29" t="s">
        <v>262</v>
      </c>
      <c r="G1355" s="36">
        <v>43400</v>
      </c>
      <c r="H1355" s="36">
        <v>260.39999999999998</v>
      </c>
    </row>
    <row r="1356" spans="1:8">
      <c r="A1356" s="62">
        <v>138979990983</v>
      </c>
      <c r="B1356" t="s">
        <v>4</v>
      </c>
      <c r="C1356" s="35" t="s">
        <v>423</v>
      </c>
      <c r="D1356" t="s">
        <v>260</v>
      </c>
      <c r="E1356" s="35" t="s">
        <v>430</v>
      </c>
      <c r="F1356" s="29" t="s">
        <v>262</v>
      </c>
      <c r="G1356" s="36">
        <v>78900</v>
      </c>
      <c r="H1356" s="36">
        <v>473.4</v>
      </c>
    </row>
    <row r="1357" spans="1:8">
      <c r="A1357" s="62">
        <v>138980531813</v>
      </c>
      <c r="B1357" t="s">
        <v>263</v>
      </c>
      <c r="C1357" s="35" t="s">
        <v>423</v>
      </c>
      <c r="D1357" t="s">
        <v>260</v>
      </c>
      <c r="E1357" s="35" t="s">
        <v>430</v>
      </c>
      <c r="F1357" s="29" t="s">
        <v>262</v>
      </c>
      <c r="G1357" s="36">
        <v>11800</v>
      </c>
      <c r="H1357" s="36">
        <v>70.8</v>
      </c>
    </row>
    <row r="1358" spans="1:8">
      <c r="A1358" s="62">
        <v>138981018173</v>
      </c>
      <c r="B1358" t="s">
        <v>4</v>
      </c>
      <c r="C1358" s="35" t="s">
        <v>430</v>
      </c>
      <c r="D1358" t="s">
        <v>260</v>
      </c>
      <c r="E1358" s="35" t="s">
        <v>430</v>
      </c>
      <c r="F1358" s="29" t="s">
        <v>262</v>
      </c>
      <c r="G1358" s="36">
        <v>28900</v>
      </c>
      <c r="H1358" s="36">
        <v>173.4</v>
      </c>
    </row>
    <row r="1359" spans="1:8">
      <c r="A1359" s="62">
        <v>139627710518</v>
      </c>
      <c r="B1359" t="s">
        <v>263</v>
      </c>
      <c r="C1359" s="35" t="s">
        <v>430</v>
      </c>
      <c r="D1359" t="s">
        <v>260</v>
      </c>
      <c r="E1359" s="35" t="s">
        <v>430</v>
      </c>
      <c r="F1359" s="29" t="s">
        <v>262</v>
      </c>
      <c r="G1359" s="36">
        <v>37300</v>
      </c>
      <c r="H1359" s="36">
        <v>223.8</v>
      </c>
    </row>
    <row r="1360" spans="1:8">
      <c r="A1360" s="62">
        <v>138981406123</v>
      </c>
      <c r="B1360" t="s">
        <v>4</v>
      </c>
      <c r="C1360" s="35" t="s">
        <v>430</v>
      </c>
      <c r="D1360" t="s">
        <v>260</v>
      </c>
      <c r="E1360" s="35" t="s">
        <v>430</v>
      </c>
      <c r="F1360" s="29" t="s">
        <v>262</v>
      </c>
      <c r="G1360" s="36">
        <v>31100</v>
      </c>
      <c r="H1360" s="36">
        <v>186.6</v>
      </c>
    </row>
    <row r="1361" spans="1:8">
      <c r="A1361" s="62">
        <v>138982236909</v>
      </c>
      <c r="B1361" t="s">
        <v>4</v>
      </c>
      <c r="C1361" s="35" t="s">
        <v>430</v>
      </c>
      <c r="D1361" t="s">
        <v>260</v>
      </c>
      <c r="E1361" s="35" t="s">
        <v>430</v>
      </c>
      <c r="F1361" s="29" t="s">
        <v>262</v>
      </c>
      <c r="G1361" s="36">
        <v>5500</v>
      </c>
      <c r="H1361" s="36">
        <v>33</v>
      </c>
    </row>
    <row r="1362" spans="1:8">
      <c r="A1362" s="62">
        <v>138982362887</v>
      </c>
      <c r="B1362" t="s">
        <v>4</v>
      </c>
      <c r="C1362" s="35" t="s">
        <v>430</v>
      </c>
      <c r="D1362" t="s">
        <v>260</v>
      </c>
      <c r="E1362" s="35" t="s">
        <v>430</v>
      </c>
      <c r="F1362" s="29" t="s">
        <v>262</v>
      </c>
      <c r="G1362" s="36">
        <v>4800</v>
      </c>
      <c r="H1362" s="36">
        <v>28.8</v>
      </c>
    </row>
    <row r="1363" spans="1:8">
      <c r="A1363" s="62">
        <v>138982952411</v>
      </c>
      <c r="B1363" t="s">
        <v>4</v>
      </c>
      <c r="C1363" s="35" t="s">
        <v>430</v>
      </c>
      <c r="D1363" t="s">
        <v>260</v>
      </c>
      <c r="E1363" s="35" t="s">
        <v>430</v>
      </c>
      <c r="F1363" s="29" t="s">
        <v>262</v>
      </c>
      <c r="G1363" s="36">
        <v>5000</v>
      </c>
      <c r="H1363" s="36">
        <v>30</v>
      </c>
    </row>
    <row r="1364" spans="1:8">
      <c r="A1364" s="62">
        <v>139630171806</v>
      </c>
      <c r="B1364" t="s">
        <v>4</v>
      </c>
      <c r="C1364" s="35" t="s">
        <v>430</v>
      </c>
      <c r="D1364" t="s">
        <v>260</v>
      </c>
      <c r="E1364" s="35" t="s">
        <v>430</v>
      </c>
      <c r="F1364" s="29" t="s">
        <v>262</v>
      </c>
      <c r="G1364" s="36">
        <v>5500</v>
      </c>
      <c r="H1364" s="36">
        <v>33</v>
      </c>
    </row>
    <row r="1365" spans="1:8">
      <c r="A1365" s="62">
        <v>138983534997</v>
      </c>
      <c r="B1365" t="s">
        <v>431</v>
      </c>
      <c r="C1365" s="35" t="s">
        <v>430</v>
      </c>
      <c r="D1365" t="s">
        <v>260</v>
      </c>
      <c r="E1365" s="35" t="s">
        <v>430</v>
      </c>
      <c r="F1365" s="29" t="s">
        <v>262</v>
      </c>
      <c r="G1365" s="36">
        <v>275</v>
      </c>
      <c r="H1365" s="36">
        <v>1.65</v>
      </c>
    </row>
    <row r="1366" spans="1:8">
      <c r="A1366" s="62">
        <v>138983545497</v>
      </c>
      <c r="B1366" t="s">
        <v>4</v>
      </c>
      <c r="C1366" s="35" t="s">
        <v>430</v>
      </c>
      <c r="D1366" t="s">
        <v>260</v>
      </c>
      <c r="E1366" s="35" t="s">
        <v>430</v>
      </c>
      <c r="F1366" s="29" t="s">
        <v>262</v>
      </c>
      <c r="G1366" s="36">
        <v>35900</v>
      </c>
      <c r="H1366" s="36">
        <v>215.4</v>
      </c>
    </row>
    <row r="1367" spans="1:8">
      <c r="A1367" s="62">
        <v>139630576538</v>
      </c>
      <c r="B1367" t="s">
        <v>4</v>
      </c>
      <c r="C1367" s="35" t="s">
        <v>430</v>
      </c>
      <c r="D1367" t="s">
        <v>260</v>
      </c>
      <c r="E1367" s="35" t="s">
        <v>430</v>
      </c>
      <c r="F1367" s="29" t="s">
        <v>262</v>
      </c>
      <c r="G1367" s="36">
        <v>5000</v>
      </c>
      <c r="H1367" s="36">
        <v>30</v>
      </c>
    </row>
    <row r="1368" spans="1:8">
      <c r="A1368" s="62">
        <v>139630636244</v>
      </c>
      <c r="B1368" t="s">
        <v>4</v>
      </c>
      <c r="C1368" s="35" t="s">
        <v>430</v>
      </c>
      <c r="D1368" t="s">
        <v>260</v>
      </c>
      <c r="E1368" s="35" t="s">
        <v>430</v>
      </c>
      <c r="F1368" s="29" t="s">
        <v>262</v>
      </c>
      <c r="G1368" s="36">
        <v>4800</v>
      </c>
      <c r="H1368" s="36">
        <v>28.8</v>
      </c>
    </row>
    <row r="1369" spans="1:8">
      <c r="A1369" s="62">
        <v>139630899542</v>
      </c>
      <c r="B1369" t="s">
        <v>432</v>
      </c>
      <c r="C1369" s="35" t="s">
        <v>430</v>
      </c>
      <c r="D1369" t="s">
        <v>260</v>
      </c>
      <c r="E1369" s="35" t="s">
        <v>430</v>
      </c>
      <c r="F1369" s="29" t="s">
        <v>262</v>
      </c>
      <c r="G1369" s="36">
        <v>720</v>
      </c>
      <c r="H1369" s="36">
        <v>4.32</v>
      </c>
    </row>
    <row r="1370" spans="1:8">
      <c r="A1370" s="62">
        <v>138984279097</v>
      </c>
      <c r="B1370" t="s">
        <v>4</v>
      </c>
      <c r="C1370" s="35" t="s">
        <v>430</v>
      </c>
      <c r="D1370" t="s">
        <v>260</v>
      </c>
      <c r="E1370" s="35" t="s">
        <v>430</v>
      </c>
      <c r="F1370" s="29" t="s">
        <v>262</v>
      </c>
      <c r="G1370" s="36">
        <v>20000</v>
      </c>
      <c r="H1370" s="36">
        <v>120</v>
      </c>
    </row>
    <row r="1371" spans="1:8">
      <c r="A1371" s="62">
        <v>139631095712</v>
      </c>
      <c r="B1371" t="s">
        <v>4</v>
      </c>
      <c r="C1371" s="35" t="s">
        <v>430</v>
      </c>
      <c r="D1371" t="s">
        <v>260</v>
      </c>
      <c r="E1371" s="35" t="s">
        <v>430</v>
      </c>
      <c r="F1371" s="29" t="s">
        <v>262</v>
      </c>
      <c r="G1371" s="36">
        <v>124400</v>
      </c>
      <c r="H1371" s="36">
        <v>746.4</v>
      </c>
    </row>
    <row r="1372" spans="1:8">
      <c r="A1372" s="62">
        <v>139631277772</v>
      </c>
      <c r="B1372" t="s">
        <v>4</v>
      </c>
      <c r="C1372" s="35" t="s">
        <v>430</v>
      </c>
      <c r="D1372" t="s">
        <v>260</v>
      </c>
      <c r="E1372" s="35" t="s">
        <v>430</v>
      </c>
      <c r="F1372" s="29" t="s">
        <v>262</v>
      </c>
      <c r="G1372" s="36">
        <v>69900</v>
      </c>
      <c r="H1372" s="36">
        <v>419.4</v>
      </c>
    </row>
    <row r="1373" spans="1:8">
      <c r="A1373" s="62">
        <v>138984902535</v>
      </c>
      <c r="B1373" t="s">
        <v>4</v>
      </c>
      <c r="C1373" s="35" t="s">
        <v>430</v>
      </c>
      <c r="D1373" t="s">
        <v>260</v>
      </c>
      <c r="E1373" s="35" t="s">
        <v>430</v>
      </c>
      <c r="F1373" s="29" t="s">
        <v>262</v>
      </c>
      <c r="G1373" s="36">
        <v>24100</v>
      </c>
      <c r="H1373" s="36">
        <v>144.6</v>
      </c>
    </row>
    <row r="1374" spans="1:8">
      <c r="A1374" s="62">
        <v>139063218521</v>
      </c>
      <c r="B1374" t="s">
        <v>4</v>
      </c>
      <c r="C1374" s="35" t="s">
        <v>430</v>
      </c>
      <c r="D1374" t="s">
        <v>260</v>
      </c>
      <c r="E1374" s="35" t="s">
        <v>430</v>
      </c>
      <c r="F1374" s="29" t="s">
        <v>262</v>
      </c>
      <c r="G1374" s="36">
        <v>21000</v>
      </c>
      <c r="H1374" s="36">
        <v>126</v>
      </c>
    </row>
    <row r="1375" spans="1:8">
      <c r="A1375" s="62">
        <v>139072847851</v>
      </c>
      <c r="B1375" t="s">
        <v>263</v>
      </c>
      <c r="C1375" s="35" t="s">
        <v>430</v>
      </c>
      <c r="D1375" t="s">
        <v>260</v>
      </c>
      <c r="E1375" s="35" t="s">
        <v>430</v>
      </c>
      <c r="F1375" s="29" t="s">
        <v>262</v>
      </c>
      <c r="G1375" s="36">
        <v>5000</v>
      </c>
      <c r="H1375" s="36">
        <v>30</v>
      </c>
    </row>
    <row r="1376" spans="1:8">
      <c r="A1376" s="62">
        <v>139073157963</v>
      </c>
      <c r="B1376" t="s">
        <v>4</v>
      </c>
      <c r="C1376" s="35" t="s">
        <v>430</v>
      </c>
      <c r="D1376" t="s">
        <v>260</v>
      </c>
      <c r="E1376" s="35" t="s">
        <v>430</v>
      </c>
      <c r="F1376" s="29" t="s">
        <v>262</v>
      </c>
      <c r="G1376" s="36">
        <v>11800</v>
      </c>
      <c r="H1376" s="36">
        <v>70.8</v>
      </c>
    </row>
    <row r="1377" spans="1:8">
      <c r="A1377" s="62">
        <v>139077062539</v>
      </c>
      <c r="B1377" t="s">
        <v>263</v>
      </c>
      <c r="C1377" s="35" t="s">
        <v>430</v>
      </c>
      <c r="D1377" t="s">
        <v>260</v>
      </c>
      <c r="E1377" s="35" t="s">
        <v>430</v>
      </c>
      <c r="F1377" s="29" t="s">
        <v>262</v>
      </c>
      <c r="G1377" s="36">
        <v>5000</v>
      </c>
      <c r="H1377" s="36">
        <v>30</v>
      </c>
    </row>
    <row r="1378" spans="1:8">
      <c r="A1378" s="62">
        <v>139724393082</v>
      </c>
      <c r="B1378" t="s">
        <v>263</v>
      </c>
      <c r="C1378" s="35" t="s">
        <v>430</v>
      </c>
      <c r="D1378" t="s">
        <v>260</v>
      </c>
      <c r="E1378" s="35" t="s">
        <v>430</v>
      </c>
      <c r="F1378" s="29" t="s">
        <v>262</v>
      </c>
      <c r="G1378" s="36">
        <v>10000</v>
      </c>
      <c r="H1378" s="36">
        <v>60</v>
      </c>
    </row>
    <row r="1379" spans="1:8">
      <c r="A1379" s="62">
        <v>139079138431</v>
      </c>
      <c r="B1379" t="s">
        <v>4</v>
      </c>
      <c r="C1379" s="35" t="s">
        <v>430</v>
      </c>
      <c r="D1379" t="s">
        <v>260</v>
      </c>
      <c r="E1379" s="35" t="s">
        <v>430</v>
      </c>
      <c r="F1379" s="29" t="s">
        <v>262</v>
      </c>
      <c r="G1379" s="36">
        <v>10000</v>
      </c>
      <c r="H1379" s="36">
        <v>60</v>
      </c>
    </row>
    <row r="1380" spans="1:8">
      <c r="A1380" s="62">
        <v>139082306869</v>
      </c>
      <c r="B1380" t="s">
        <v>263</v>
      </c>
      <c r="C1380" s="35" t="s">
        <v>430</v>
      </c>
      <c r="D1380" t="s">
        <v>260</v>
      </c>
      <c r="E1380" s="35" t="s">
        <v>430</v>
      </c>
      <c r="F1380" s="29" t="s">
        <v>262</v>
      </c>
      <c r="G1380" s="36">
        <v>52500</v>
      </c>
      <c r="H1380" s="36">
        <v>315</v>
      </c>
    </row>
    <row r="1381" spans="1:8">
      <c r="A1381" s="62">
        <v>139082797497</v>
      </c>
      <c r="B1381" t="s">
        <v>4</v>
      </c>
      <c r="C1381" s="35" t="s">
        <v>430</v>
      </c>
      <c r="D1381" t="s">
        <v>260</v>
      </c>
      <c r="E1381" s="35" t="s">
        <v>430</v>
      </c>
      <c r="F1381" s="29" t="s">
        <v>262</v>
      </c>
      <c r="G1381" s="36">
        <v>48800</v>
      </c>
      <c r="H1381" s="36">
        <v>292.8</v>
      </c>
    </row>
    <row r="1382" spans="1:8">
      <c r="A1382" s="62">
        <v>139082973003</v>
      </c>
      <c r="B1382" t="s">
        <v>263</v>
      </c>
      <c r="C1382" s="35" t="s">
        <v>430</v>
      </c>
      <c r="D1382" t="s">
        <v>260</v>
      </c>
      <c r="E1382" s="35" t="s">
        <v>430</v>
      </c>
      <c r="F1382" s="29" t="s">
        <v>262</v>
      </c>
      <c r="G1382" s="36">
        <v>10000</v>
      </c>
      <c r="H1382" s="36">
        <v>60</v>
      </c>
    </row>
    <row r="1383" spans="1:8">
      <c r="A1383" s="62">
        <v>139083518057</v>
      </c>
      <c r="B1383" t="s">
        <v>263</v>
      </c>
      <c r="C1383" s="35" t="s">
        <v>430</v>
      </c>
      <c r="D1383" t="s">
        <v>260</v>
      </c>
      <c r="E1383" s="35" t="s">
        <v>430</v>
      </c>
      <c r="F1383" s="29" t="s">
        <v>262</v>
      </c>
      <c r="G1383" s="36">
        <v>85700</v>
      </c>
      <c r="H1383" s="36">
        <v>514.20000000000005</v>
      </c>
    </row>
    <row r="1384" spans="1:8">
      <c r="A1384" s="62">
        <v>139084107193</v>
      </c>
      <c r="B1384" t="s">
        <v>4</v>
      </c>
      <c r="C1384" s="35" t="s">
        <v>430</v>
      </c>
      <c r="D1384" t="s">
        <v>260</v>
      </c>
      <c r="E1384" s="35" t="s">
        <v>430</v>
      </c>
      <c r="F1384" s="29" t="s">
        <v>262</v>
      </c>
      <c r="G1384" s="36">
        <v>37600</v>
      </c>
      <c r="H1384" s="36">
        <v>225.6</v>
      </c>
    </row>
    <row r="1385" spans="1:8">
      <c r="A1385" s="62">
        <v>139734214508</v>
      </c>
      <c r="B1385" t="s">
        <v>263</v>
      </c>
      <c r="C1385" s="35" t="s">
        <v>430</v>
      </c>
      <c r="D1385" t="s">
        <v>260</v>
      </c>
      <c r="E1385" s="35" t="s">
        <v>430</v>
      </c>
      <c r="F1385" s="29" t="s">
        <v>262</v>
      </c>
      <c r="G1385" s="36">
        <v>53600</v>
      </c>
      <c r="H1385" s="36">
        <v>321.60000000000002</v>
      </c>
    </row>
    <row r="1386" spans="1:8">
      <c r="A1386" s="62">
        <v>139087122709</v>
      </c>
      <c r="B1386" t="s">
        <v>263</v>
      </c>
      <c r="C1386" s="35" t="s">
        <v>430</v>
      </c>
      <c r="D1386" t="s">
        <v>260</v>
      </c>
      <c r="E1386" s="35" t="s">
        <v>430</v>
      </c>
      <c r="F1386" s="29" t="s">
        <v>262</v>
      </c>
      <c r="G1386" s="36">
        <v>14000</v>
      </c>
      <c r="H1386" s="36">
        <v>84</v>
      </c>
    </row>
    <row r="1387" spans="1:8">
      <c r="A1387" s="62">
        <v>139734505018</v>
      </c>
      <c r="B1387" t="s">
        <v>263</v>
      </c>
      <c r="C1387" s="35" t="s">
        <v>430</v>
      </c>
      <c r="D1387" t="s">
        <v>260</v>
      </c>
      <c r="E1387" s="35" t="s">
        <v>430</v>
      </c>
      <c r="F1387" s="29" t="s">
        <v>262</v>
      </c>
      <c r="G1387" s="36">
        <v>55300</v>
      </c>
      <c r="H1387" s="36">
        <v>331.8</v>
      </c>
    </row>
    <row r="1388" spans="1:8">
      <c r="A1388" s="62">
        <v>139087711755</v>
      </c>
      <c r="B1388" t="s">
        <v>4</v>
      </c>
      <c r="C1388" s="35" t="s">
        <v>430</v>
      </c>
      <c r="D1388" t="s">
        <v>260</v>
      </c>
      <c r="E1388" s="35" t="s">
        <v>430</v>
      </c>
      <c r="F1388" s="29" t="s">
        <v>262</v>
      </c>
      <c r="G1388" s="36">
        <v>25300</v>
      </c>
      <c r="H1388" s="36">
        <v>151.80000000000001</v>
      </c>
    </row>
    <row r="1389" spans="1:8">
      <c r="A1389" s="62">
        <v>139087916413</v>
      </c>
      <c r="B1389" t="s">
        <v>433</v>
      </c>
      <c r="C1389" s="35" t="s">
        <v>430</v>
      </c>
      <c r="D1389" t="s">
        <v>260</v>
      </c>
      <c r="E1389" s="35" t="s">
        <v>430</v>
      </c>
      <c r="F1389" s="29" t="s">
        <v>262</v>
      </c>
      <c r="G1389" s="36">
        <v>2530</v>
      </c>
      <c r="H1389" s="36">
        <v>15.18</v>
      </c>
    </row>
    <row r="1390" spans="1:8">
      <c r="A1390" s="62">
        <v>139089399095</v>
      </c>
      <c r="B1390" t="s">
        <v>434</v>
      </c>
      <c r="C1390" s="35" t="s">
        <v>430</v>
      </c>
      <c r="D1390" t="s">
        <v>260</v>
      </c>
      <c r="E1390" s="35" t="s">
        <v>430</v>
      </c>
      <c r="F1390" s="29" t="s">
        <v>262</v>
      </c>
      <c r="G1390" s="36">
        <v>500</v>
      </c>
      <c r="H1390" s="36">
        <v>3</v>
      </c>
    </row>
    <row r="1391" spans="1:8">
      <c r="A1391" s="62">
        <v>139090278709</v>
      </c>
      <c r="B1391" t="s">
        <v>263</v>
      </c>
      <c r="C1391" s="35" t="s">
        <v>430</v>
      </c>
      <c r="D1391" t="s">
        <v>260</v>
      </c>
      <c r="E1391" s="35" t="s">
        <v>430</v>
      </c>
      <c r="F1391" s="29" t="s">
        <v>262</v>
      </c>
      <c r="G1391" s="36">
        <v>75300</v>
      </c>
      <c r="H1391" s="36">
        <v>451.8</v>
      </c>
    </row>
    <row r="1392" spans="1:8">
      <c r="A1392" s="62">
        <v>139738821200</v>
      </c>
      <c r="B1392" t="s">
        <v>4</v>
      </c>
      <c r="C1392" s="35" t="s">
        <v>430</v>
      </c>
      <c r="D1392" t="s">
        <v>260</v>
      </c>
      <c r="E1392" s="35" t="s">
        <v>430</v>
      </c>
      <c r="F1392" s="29" t="s">
        <v>262</v>
      </c>
      <c r="G1392" s="36">
        <v>34200</v>
      </c>
      <c r="H1392" s="36">
        <v>205.2</v>
      </c>
    </row>
    <row r="1393" spans="1:8">
      <c r="A1393" s="62">
        <v>139093878133</v>
      </c>
      <c r="B1393" t="s">
        <v>263</v>
      </c>
      <c r="C1393" s="35" t="s">
        <v>430</v>
      </c>
      <c r="D1393" t="s">
        <v>260</v>
      </c>
      <c r="E1393" s="35" t="s">
        <v>435</v>
      </c>
      <c r="F1393" s="29" t="s">
        <v>262</v>
      </c>
      <c r="G1393" s="36">
        <v>31600</v>
      </c>
      <c r="H1393" s="36">
        <v>189.6</v>
      </c>
    </row>
    <row r="1394" spans="1:8">
      <c r="A1394" s="62">
        <v>139094071125</v>
      </c>
      <c r="B1394" t="s">
        <v>263</v>
      </c>
      <c r="C1394" s="35" t="s">
        <v>430</v>
      </c>
      <c r="D1394" t="s">
        <v>260</v>
      </c>
      <c r="E1394" s="35" t="s">
        <v>435</v>
      </c>
      <c r="F1394" s="29" t="s">
        <v>262</v>
      </c>
      <c r="G1394" s="36">
        <v>19200</v>
      </c>
      <c r="H1394" s="36">
        <v>115.2</v>
      </c>
    </row>
    <row r="1395" spans="1:8">
      <c r="A1395" s="62">
        <v>139741640206</v>
      </c>
      <c r="B1395" t="s">
        <v>4</v>
      </c>
      <c r="C1395" s="35" t="s">
        <v>430</v>
      </c>
      <c r="D1395" t="s">
        <v>260</v>
      </c>
      <c r="E1395" s="35" t="s">
        <v>435</v>
      </c>
      <c r="F1395" s="29" t="s">
        <v>262</v>
      </c>
      <c r="G1395" s="36">
        <v>10000</v>
      </c>
      <c r="H1395" s="36">
        <v>60</v>
      </c>
    </row>
    <row r="1396" spans="1:8">
      <c r="A1396" s="62">
        <v>139742356014</v>
      </c>
      <c r="B1396" t="s">
        <v>263</v>
      </c>
      <c r="C1396" s="35" t="s">
        <v>430</v>
      </c>
      <c r="D1396" t="s">
        <v>260</v>
      </c>
      <c r="E1396" s="35" t="s">
        <v>435</v>
      </c>
      <c r="F1396" s="29" t="s">
        <v>262</v>
      </c>
      <c r="G1396" s="36">
        <v>86200</v>
      </c>
      <c r="H1396" s="36">
        <v>517.20000000000005</v>
      </c>
    </row>
    <row r="1397" spans="1:8">
      <c r="A1397" s="62">
        <v>139742892010</v>
      </c>
      <c r="B1397" t="s">
        <v>4</v>
      </c>
      <c r="C1397" s="35" t="s">
        <v>430</v>
      </c>
      <c r="D1397" t="s">
        <v>260</v>
      </c>
      <c r="E1397" s="35" t="s">
        <v>435</v>
      </c>
      <c r="F1397" s="29" t="s">
        <v>262</v>
      </c>
      <c r="G1397" s="36">
        <v>46300</v>
      </c>
      <c r="H1397" s="36">
        <v>277.8</v>
      </c>
    </row>
    <row r="1398" spans="1:8">
      <c r="A1398" s="62">
        <v>139095930685</v>
      </c>
      <c r="B1398" t="s">
        <v>436</v>
      </c>
      <c r="C1398" s="35" t="s">
        <v>435</v>
      </c>
      <c r="D1398" t="s">
        <v>260</v>
      </c>
      <c r="E1398" s="35" t="s">
        <v>435</v>
      </c>
      <c r="F1398" s="29" t="s">
        <v>262</v>
      </c>
      <c r="G1398" s="36">
        <v>2830</v>
      </c>
      <c r="H1398" s="36">
        <v>16.98</v>
      </c>
    </row>
    <row r="1399" spans="1:8">
      <c r="A1399" s="62">
        <v>139743113042</v>
      </c>
      <c r="B1399" t="s">
        <v>4</v>
      </c>
      <c r="C1399" s="35" t="s">
        <v>435</v>
      </c>
      <c r="D1399" t="s">
        <v>260</v>
      </c>
      <c r="E1399" s="35" t="s">
        <v>435</v>
      </c>
      <c r="F1399" s="29" t="s">
        <v>262</v>
      </c>
      <c r="G1399" s="36">
        <v>56600</v>
      </c>
      <c r="H1399" s="36">
        <v>339.6</v>
      </c>
    </row>
    <row r="1400" spans="1:8">
      <c r="A1400" s="62">
        <v>139096355877</v>
      </c>
      <c r="B1400" t="s">
        <v>4</v>
      </c>
      <c r="C1400" s="35" t="s">
        <v>435</v>
      </c>
      <c r="D1400" t="s">
        <v>260</v>
      </c>
      <c r="E1400" s="35" t="s">
        <v>435</v>
      </c>
      <c r="F1400" s="29" t="s">
        <v>262</v>
      </c>
      <c r="G1400" s="36">
        <v>70900</v>
      </c>
      <c r="H1400" s="36">
        <v>425.4</v>
      </c>
    </row>
    <row r="1401" spans="1:8">
      <c r="A1401" s="62">
        <v>139743954796</v>
      </c>
      <c r="B1401" t="s">
        <v>263</v>
      </c>
      <c r="C1401" s="35" t="s">
        <v>435</v>
      </c>
      <c r="D1401" t="s">
        <v>260</v>
      </c>
      <c r="E1401" s="35" t="s">
        <v>435</v>
      </c>
      <c r="F1401" s="29" t="s">
        <v>262</v>
      </c>
      <c r="G1401" s="36">
        <v>29200</v>
      </c>
      <c r="H1401" s="36">
        <v>175.2</v>
      </c>
    </row>
    <row r="1402" spans="1:8">
      <c r="A1402" s="62">
        <v>139745018564</v>
      </c>
      <c r="B1402" t="s">
        <v>4</v>
      </c>
      <c r="C1402" s="35" t="s">
        <v>435</v>
      </c>
      <c r="D1402" t="s">
        <v>260</v>
      </c>
      <c r="E1402" s="35" t="s">
        <v>435</v>
      </c>
      <c r="F1402" s="29" t="s">
        <v>262</v>
      </c>
      <c r="G1402" s="36">
        <v>58000</v>
      </c>
      <c r="H1402" s="36">
        <v>348</v>
      </c>
    </row>
    <row r="1403" spans="1:8">
      <c r="A1403" s="62">
        <v>139745156910</v>
      </c>
      <c r="B1403" t="s">
        <v>263</v>
      </c>
      <c r="C1403" s="35" t="s">
        <v>435</v>
      </c>
      <c r="D1403" t="s">
        <v>260</v>
      </c>
      <c r="E1403" s="35" t="s">
        <v>435</v>
      </c>
      <c r="F1403" s="29" t="s">
        <v>262</v>
      </c>
      <c r="G1403" s="36">
        <v>33000</v>
      </c>
      <c r="H1403" s="36">
        <v>198</v>
      </c>
    </row>
    <row r="1404" spans="1:8">
      <c r="A1404" s="62">
        <v>139745222594</v>
      </c>
      <c r="B1404" t="s">
        <v>263</v>
      </c>
      <c r="C1404" s="35" t="s">
        <v>435</v>
      </c>
      <c r="D1404" t="s">
        <v>260</v>
      </c>
      <c r="E1404" s="35" t="s">
        <v>435</v>
      </c>
      <c r="F1404" s="29" t="s">
        <v>262</v>
      </c>
      <c r="G1404" s="36">
        <v>113100</v>
      </c>
      <c r="H1404" s="36">
        <v>678.6</v>
      </c>
    </row>
    <row r="1405" spans="1:8">
      <c r="A1405" s="62">
        <v>139098023351</v>
      </c>
      <c r="B1405" t="s">
        <v>4</v>
      </c>
      <c r="C1405" s="35" t="s">
        <v>435</v>
      </c>
      <c r="D1405" t="s">
        <v>260</v>
      </c>
      <c r="E1405" s="35" t="s">
        <v>435</v>
      </c>
      <c r="F1405" s="29" t="s">
        <v>262</v>
      </c>
      <c r="G1405" s="36">
        <v>15300</v>
      </c>
      <c r="H1405" s="36">
        <v>91.8</v>
      </c>
    </row>
    <row r="1406" spans="1:8">
      <c r="A1406" s="62">
        <v>139098272395</v>
      </c>
      <c r="B1406" t="s">
        <v>4</v>
      </c>
      <c r="C1406" s="35" t="s">
        <v>435</v>
      </c>
      <c r="D1406" t="s">
        <v>260</v>
      </c>
      <c r="E1406" s="35" t="s">
        <v>435</v>
      </c>
      <c r="F1406" s="29" t="s">
        <v>262</v>
      </c>
      <c r="G1406" s="36">
        <v>76400</v>
      </c>
      <c r="H1406" s="36">
        <v>458.4</v>
      </c>
    </row>
    <row r="1407" spans="1:8">
      <c r="A1407" s="62">
        <v>139746116204</v>
      </c>
      <c r="B1407" t="s">
        <v>4</v>
      </c>
      <c r="C1407" s="35" t="s">
        <v>435</v>
      </c>
      <c r="D1407" t="s">
        <v>260</v>
      </c>
      <c r="E1407" s="35" t="s">
        <v>435</v>
      </c>
      <c r="F1407" s="29" t="s">
        <v>262</v>
      </c>
      <c r="G1407" s="36">
        <v>41000</v>
      </c>
      <c r="H1407" s="36">
        <v>246</v>
      </c>
    </row>
    <row r="1408" spans="1:8">
      <c r="A1408" s="62">
        <v>139099300533</v>
      </c>
      <c r="B1408" t="s">
        <v>437</v>
      </c>
      <c r="C1408" s="35" t="s">
        <v>435</v>
      </c>
      <c r="D1408" t="s">
        <v>260</v>
      </c>
      <c r="E1408" s="35" t="s">
        <v>435</v>
      </c>
      <c r="F1408" s="29" t="s">
        <v>262</v>
      </c>
      <c r="G1408" s="36">
        <v>2055</v>
      </c>
      <c r="H1408" s="36">
        <v>12.33</v>
      </c>
    </row>
    <row r="1409" spans="1:8">
      <c r="A1409" s="62">
        <v>139746652180</v>
      </c>
      <c r="B1409" t="s">
        <v>4</v>
      </c>
      <c r="C1409" s="35" t="s">
        <v>435</v>
      </c>
      <c r="D1409" t="s">
        <v>260</v>
      </c>
      <c r="E1409" s="35" t="s">
        <v>435</v>
      </c>
      <c r="F1409" s="29" t="s">
        <v>262</v>
      </c>
      <c r="G1409" s="36">
        <v>41100</v>
      </c>
      <c r="H1409" s="36">
        <v>246.6</v>
      </c>
    </row>
    <row r="1410" spans="1:8">
      <c r="A1410" s="62">
        <v>139746996378</v>
      </c>
      <c r="B1410" t="s">
        <v>263</v>
      </c>
      <c r="C1410" s="35" t="s">
        <v>435</v>
      </c>
      <c r="D1410" t="s">
        <v>260</v>
      </c>
      <c r="E1410" s="35" t="s">
        <v>435</v>
      </c>
      <c r="F1410" s="29" t="s">
        <v>262</v>
      </c>
      <c r="G1410" s="36">
        <v>76500</v>
      </c>
      <c r="H1410" s="36">
        <v>459</v>
      </c>
    </row>
    <row r="1411" spans="1:8">
      <c r="A1411" s="62">
        <v>139747250496</v>
      </c>
      <c r="B1411" t="s">
        <v>263</v>
      </c>
      <c r="C1411" s="35" t="s">
        <v>435</v>
      </c>
      <c r="D1411" t="s">
        <v>260</v>
      </c>
      <c r="E1411" s="35" t="s">
        <v>435</v>
      </c>
      <c r="F1411" s="29" t="s">
        <v>262</v>
      </c>
      <c r="G1411" s="36">
        <v>149000</v>
      </c>
      <c r="H1411" s="36">
        <v>894</v>
      </c>
    </row>
    <row r="1412" spans="1:8">
      <c r="A1412" s="62">
        <v>139720219596</v>
      </c>
      <c r="B1412" t="s">
        <v>4</v>
      </c>
      <c r="C1412" s="35" t="s">
        <v>430</v>
      </c>
      <c r="D1412" t="s">
        <v>260</v>
      </c>
      <c r="E1412" s="35" t="s">
        <v>430</v>
      </c>
      <c r="F1412" s="29" t="s">
        <v>262</v>
      </c>
      <c r="G1412" s="36">
        <v>9600</v>
      </c>
      <c r="H1412" s="36">
        <v>57.6</v>
      </c>
    </row>
    <row r="1413" spans="1:8">
      <c r="A1413" s="62">
        <v>139074196447</v>
      </c>
      <c r="B1413" t="s">
        <v>4</v>
      </c>
      <c r="C1413" s="35" t="s">
        <v>430</v>
      </c>
      <c r="D1413" t="s">
        <v>260</v>
      </c>
      <c r="E1413" s="35" t="s">
        <v>430</v>
      </c>
      <c r="F1413" s="29" t="s">
        <v>262</v>
      </c>
      <c r="G1413" s="36">
        <v>25000</v>
      </c>
      <c r="H1413" s="36">
        <v>150</v>
      </c>
    </row>
    <row r="1414" spans="1:8">
      <c r="A1414" s="62">
        <v>139721874566</v>
      </c>
      <c r="B1414" t="s">
        <v>263</v>
      </c>
      <c r="C1414" s="35" t="s">
        <v>430</v>
      </c>
      <c r="D1414" t="s">
        <v>260</v>
      </c>
      <c r="E1414" s="35" t="s">
        <v>430</v>
      </c>
      <c r="F1414" s="29" t="s">
        <v>262</v>
      </c>
      <c r="G1414" s="36">
        <v>14800</v>
      </c>
      <c r="H1414" s="36">
        <v>88.8</v>
      </c>
    </row>
    <row r="1415" spans="1:8">
      <c r="A1415" s="62">
        <v>139723099764</v>
      </c>
      <c r="B1415" t="s">
        <v>4</v>
      </c>
      <c r="C1415" s="35" t="s">
        <v>430</v>
      </c>
      <c r="D1415" t="s">
        <v>260</v>
      </c>
      <c r="E1415" s="35" t="s">
        <v>430</v>
      </c>
      <c r="F1415" s="29" t="s">
        <v>262</v>
      </c>
      <c r="G1415" s="36">
        <v>20500</v>
      </c>
      <c r="H1415" s="36">
        <v>123</v>
      </c>
    </row>
    <row r="1416" spans="1:8">
      <c r="A1416" s="62">
        <v>139729250792</v>
      </c>
      <c r="B1416" t="s">
        <v>4</v>
      </c>
      <c r="C1416" s="35" t="s">
        <v>430</v>
      </c>
      <c r="D1416" t="s">
        <v>260</v>
      </c>
      <c r="E1416" s="35" t="s">
        <v>430</v>
      </c>
      <c r="F1416" s="29" t="s">
        <v>262</v>
      </c>
      <c r="G1416" s="36">
        <v>8000</v>
      </c>
      <c r="H1416" s="36">
        <v>48</v>
      </c>
    </row>
    <row r="1417" spans="1:8">
      <c r="A1417" s="62">
        <v>139730594000</v>
      </c>
      <c r="B1417" t="s">
        <v>263</v>
      </c>
      <c r="C1417" s="35" t="s">
        <v>430</v>
      </c>
      <c r="D1417" t="s">
        <v>260</v>
      </c>
      <c r="E1417" s="35" t="s">
        <v>430</v>
      </c>
      <c r="F1417" s="29" t="s">
        <v>262</v>
      </c>
      <c r="G1417" s="36">
        <v>49100</v>
      </c>
      <c r="H1417" s="36">
        <v>294.60000000000002</v>
      </c>
    </row>
    <row r="1418" spans="1:8">
      <c r="A1418" s="62">
        <v>139085202049</v>
      </c>
      <c r="B1418" t="s">
        <v>263</v>
      </c>
      <c r="C1418" s="35" t="s">
        <v>430</v>
      </c>
      <c r="D1418" t="s">
        <v>260</v>
      </c>
      <c r="E1418" s="35" t="s">
        <v>430</v>
      </c>
      <c r="F1418" s="29" t="s">
        <v>262</v>
      </c>
      <c r="G1418" s="36">
        <v>5000</v>
      </c>
      <c r="H1418" s="36">
        <v>30</v>
      </c>
    </row>
    <row r="1419" spans="1:8">
      <c r="A1419" s="62">
        <v>139089424897</v>
      </c>
      <c r="B1419" t="s">
        <v>4</v>
      </c>
      <c r="C1419" s="35" t="s">
        <v>430</v>
      </c>
      <c r="D1419" t="s">
        <v>260</v>
      </c>
      <c r="E1419" s="35" t="s">
        <v>430</v>
      </c>
      <c r="F1419" s="29" t="s">
        <v>262</v>
      </c>
      <c r="G1419" s="36">
        <v>5000</v>
      </c>
      <c r="H1419" s="36">
        <v>30</v>
      </c>
    </row>
    <row r="1420" spans="1:8">
      <c r="A1420" s="62">
        <v>139736694770</v>
      </c>
      <c r="B1420" t="s">
        <v>4</v>
      </c>
      <c r="C1420" s="35" t="s">
        <v>430</v>
      </c>
      <c r="D1420" t="s">
        <v>260</v>
      </c>
      <c r="E1420" s="35" t="s">
        <v>430</v>
      </c>
      <c r="F1420" s="29" t="s">
        <v>262</v>
      </c>
      <c r="G1420" s="36">
        <v>41200</v>
      </c>
      <c r="H1420" s="36">
        <v>247.2</v>
      </c>
    </row>
    <row r="1421" spans="1:8">
      <c r="A1421" s="62">
        <v>139089767285</v>
      </c>
      <c r="B1421" t="s">
        <v>4</v>
      </c>
      <c r="C1421" s="35" t="s">
        <v>430</v>
      </c>
      <c r="D1421" t="s">
        <v>260</v>
      </c>
      <c r="E1421" s="35" t="s">
        <v>430</v>
      </c>
      <c r="F1421" s="29" t="s">
        <v>262</v>
      </c>
      <c r="G1421" s="36">
        <v>19900</v>
      </c>
      <c r="H1421" s="36">
        <v>119.4</v>
      </c>
    </row>
    <row r="1422" spans="1:8">
      <c r="A1422" s="62">
        <v>139090047369</v>
      </c>
      <c r="B1422" t="s">
        <v>4</v>
      </c>
      <c r="C1422" s="35" t="s">
        <v>430</v>
      </c>
      <c r="D1422" t="s">
        <v>260</v>
      </c>
      <c r="E1422" s="35" t="s">
        <v>430</v>
      </c>
      <c r="F1422" s="29" t="s">
        <v>262</v>
      </c>
      <c r="G1422" s="36">
        <v>27600</v>
      </c>
      <c r="H1422" s="36">
        <v>165.6</v>
      </c>
    </row>
    <row r="1423" spans="1:8">
      <c r="A1423" s="62">
        <v>139737185630</v>
      </c>
      <c r="B1423" t="s">
        <v>438</v>
      </c>
      <c r="C1423" s="35" t="s">
        <v>430</v>
      </c>
      <c r="D1423" t="s">
        <v>260</v>
      </c>
      <c r="E1423" s="35" t="s">
        <v>430</v>
      </c>
      <c r="F1423" s="29" t="s">
        <v>262</v>
      </c>
      <c r="G1423" s="36">
        <v>2760</v>
      </c>
      <c r="H1423" s="36">
        <v>16.559999999999999</v>
      </c>
    </row>
    <row r="1424" spans="1:8">
      <c r="A1424" s="62">
        <v>139092164837</v>
      </c>
      <c r="B1424" t="s">
        <v>4</v>
      </c>
      <c r="C1424" s="35" t="s">
        <v>430</v>
      </c>
      <c r="D1424" t="s">
        <v>260</v>
      </c>
      <c r="E1424" s="35" t="s">
        <v>430</v>
      </c>
      <c r="F1424" s="29" t="s">
        <v>262</v>
      </c>
      <c r="G1424" s="36">
        <v>88100</v>
      </c>
      <c r="H1424" s="36">
        <v>528.6</v>
      </c>
    </row>
    <row r="1425" spans="1:8">
      <c r="A1425" s="62">
        <v>139740074742</v>
      </c>
      <c r="B1425" t="s">
        <v>4</v>
      </c>
      <c r="C1425" s="35" t="s">
        <v>430</v>
      </c>
      <c r="D1425" t="s">
        <v>260</v>
      </c>
      <c r="E1425" s="35" t="s">
        <v>435</v>
      </c>
      <c r="F1425" s="29" t="s">
        <v>262</v>
      </c>
      <c r="G1425" s="36">
        <v>9800</v>
      </c>
      <c r="H1425" s="36">
        <v>58.8</v>
      </c>
    </row>
    <row r="1426" spans="1:8">
      <c r="A1426" s="62">
        <v>139093374485</v>
      </c>
      <c r="B1426" t="s">
        <v>4</v>
      </c>
      <c r="C1426" s="35" t="s">
        <v>430</v>
      </c>
      <c r="D1426" t="s">
        <v>260</v>
      </c>
      <c r="E1426" s="35" t="s">
        <v>435</v>
      </c>
      <c r="F1426" s="29" t="s">
        <v>262</v>
      </c>
      <c r="G1426" s="36">
        <v>19800</v>
      </c>
      <c r="H1426" s="36">
        <v>118.8</v>
      </c>
    </row>
    <row r="1427" spans="1:8">
      <c r="A1427" s="62">
        <v>139093172083</v>
      </c>
      <c r="B1427" t="s">
        <v>439</v>
      </c>
      <c r="C1427" s="35" t="s">
        <v>430</v>
      </c>
      <c r="D1427" t="s">
        <v>260</v>
      </c>
      <c r="E1427" s="35" t="s">
        <v>435</v>
      </c>
      <c r="F1427" s="29" t="s">
        <v>262</v>
      </c>
      <c r="G1427" s="36">
        <v>990</v>
      </c>
      <c r="H1427" s="36">
        <v>5.94</v>
      </c>
    </row>
    <row r="1428" spans="1:8">
      <c r="A1428" s="62">
        <v>139094631503</v>
      </c>
      <c r="B1428" t="s">
        <v>263</v>
      </c>
      <c r="C1428" s="35" t="s">
        <v>430</v>
      </c>
      <c r="D1428" t="s">
        <v>260</v>
      </c>
      <c r="E1428" s="35" t="s">
        <v>435</v>
      </c>
      <c r="F1428" s="29" t="s">
        <v>262</v>
      </c>
      <c r="G1428" s="36">
        <v>156000</v>
      </c>
      <c r="H1428" s="36">
        <v>936</v>
      </c>
    </row>
    <row r="1429" spans="1:8">
      <c r="A1429" s="62">
        <v>139742005488</v>
      </c>
      <c r="B1429" t="s">
        <v>4</v>
      </c>
      <c r="C1429" s="35" t="s">
        <v>430</v>
      </c>
      <c r="D1429" t="s">
        <v>260</v>
      </c>
      <c r="E1429" s="35" t="s">
        <v>435</v>
      </c>
      <c r="F1429" s="29" t="s">
        <v>262</v>
      </c>
      <c r="G1429" s="36">
        <v>10000</v>
      </c>
      <c r="H1429" s="36">
        <v>60</v>
      </c>
    </row>
    <row r="1430" spans="1:8">
      <c r="A1430" s="62">
        <v>139742125860</v>
      </c>
      <c r="B1430" t="s">
        <v>4</v>
      </c>
      <c r="C1430" s="35" t="s">
        <v>430</v>
      </c>
      <c r="D1430" t="s">
        <v>260</v>
      </c>
      <c r="E1430" s="35" t="s">
        <v>435</v>
      </c>
      <c r="F1430" s="29" t="s">
        <v>262</v>
      </c>
      <c r="G1430" s="36">
        <v>55600</v>
      </c>
      <c r="H1430" s="36">
        <v>333.6</v>
      </c>
    </row>
    <row r="1431" spans="1:8">
      <c r="A1431" s="62">
        <v>139095760979</v>
      </c>
      <c r="B1431" t="s">
        <v>440</v>
      </c>
      <c r="C1431" s="35" t="s">
        <v>430</v>
      </c>
      <c r="D1431" t="s">
        <v>260</v>
      </c>
      <c r="E1431" s="35" t="s">
        <v>435</v>
      </c>
      <c r="F1431" s="29" t="s">
        <v>262</v>
      </c>
      <c r="G1431" s="36">
        <v>2315</v>
      </c>
      <c r="H1431" s="36">
        <v>13.89</v>
      </c>
    </row>
    <row r="1432" spans="1:8">
      <c r="A1432" s="62">
        <v>139095819989</v>
      </c>
      <c r="B1432" t="s">
        <v>4</v>
      </c>
      <c r="C1432" s="35" t="s">
        <v>435</v>
      </c>
      <c r="D1432" t="s">
        <v>260</v>
      </c>
      <c r="E1432" s="35" t="s">
        <v>435</v>
      </c>
      <c r="F1432" s="29" t="s">
        <v>262</v>
      </c>
      <c r="G1432" s="36">
        <v>13700</v>
      </c>
      <c r="H1432" s="36">
        <v>82.2</v>
      </c>
    </row>
    <row r="1433" spans="1:8">
      <c r="A1433" s="62">
        <v>139743764936</v>
      </c>
      <c r="B1433" t="s">
        <v>263</v>
      </c>
      <c r="C1433" s="35" t="s">
        <v>435</v>
      </c>
      <c r="D1433" t="s">
        <v>260</v>
      </c>
      <c r="E1433" s="35" t="s">
        <v>435</v>
      </c>
      <c r="F1433" s="29" t="s">
        <v>262</v>
      </c>
      <c r="G1433" s="36">
        <v>37400</v>
      </c>
      <c r="H1433" s="36">
        <v>224.4</v>
      </c>
    </row>
    <row r="1434" spans="1:8">
      <c r="A1434" s="62">
        <v>139744308788</v>
      </c>
      <c r="B1434" t="s">
        <v>4</v>
      </c>
      <c r="C1434" s="35" t="s">
        <v>435</v>
      </c>
      <c r="D1434" t="s">
        <v>260</v>
      </c>
      <c r="E1434" s="35" t="s">
        <v>435</v>
      </c>
      <c r="F1434" s="29" t="s">
        <v>262</v>
      </c>
      <c r="G1434" s="36">
        <v>10300</v>
      </c>
      <c r="H1434" s="36">
        <v>61.8</v>
      </c>
    </row>
    <row r="1435" spans="1:8">
      <c r="A1435" s="62">
        <v>139746110436</v>
      </c>
      <c r="B1435" t="s">
        <v>4</v>
      </c>
      <c r="C1435" s="35" t="s">
        <v>435</v>
      </c>
      <c r="D1435" t="s">
        <v>260</v>
      </c>
      <c r="E1435" s="35" t="s">
        <v>435</v>
      </c>
      <c r="F1435" s="29" t="s">
        <v>262</v>
      </c>
      <c r="G1435" s="36">
        <v>45300</v>
      </c>
      <c r="H1435" s="36">
        <v>271.8</v>
      </c>
    </row>
    <row r="1436" spans="1:8">
      <c r="A1436" s="62">
        <v>139746069422</v>
      </c>
      <c r="B1436" t="s">
        <v>4</v>
      </c>
      <c r="C1436" s="35" t="s">
        <v>435</v>
      </c>
      <c r="D1436" t="s">
        <v>260</v>
      </c>
      <c r="E1436" s="35" t="s">
        <v>435</v>
      </c>
      <c r="F1436" s="29" t="s">
        <v>262</v>
      </c>
      <c r="G1436" s="36">
        <v>15800</v>
      </c>
      <c r="H1436" s="36">
        <v>94.8</v>
      </c>
    </row>
    <row r="1437" spans="1:8">
      <c r="A1437" s="62">
        <v>139098946275</v>
      </c>
      <c r="B1437" t="s">
        <v>4</v>
      </c>
      <c r="C1437" s="35" t="s">
        <v>435</v>
      </c>
      <c r="D1437" t="s">
        <v>260</v>
      </c>
      <c r="E1437" s="35" t="s">
        <v>435</v>
      </c>
      <c r="F1437" s="29" t="s">
        <v>262</v>
      </c>
      <c r="G1437" s="36">
        <v>99600</v>
      </c>
      <c r="H1437" s="36">
        <v>597.6</v>
      </c>
    </row>
    <row r="1438" spans="1:8">
      <c r="A1438" s="62">
        <v>139746956110</v>
      </c>
      <c r="B1438" t="s">
        <v>263</v>
      </c>
      <c r="C1438" s="35" t="s">
        <v>435</v>
      </c>
      <c r="D1438" t="s">
        <v>260</v>
      </c>
      <c r="E1438" s="35" t="s">
        <v>435</v>
      </c>
      <c r="F1438" s="29" t="s">
        <v>262</v>
      </c>
      <c r="G1438" s="36">
        <v>27200</v>
      </c>
      <c r="H1438" s="36">
        <v>163.19999999999999</v>
      </c>
    </row>
    <row r="1439" spans="1:8">
      <c r="A1439" s="62">
        <v>139747108932</v>
      </c>
      <c r="B1439" t="s">
        <v>4</v>
      </c>
      <c r="C1439" s="35" t="s">
        <v>435</v>
      </c>
      <c r="D1439" t="s">
        <v>260</v>
      </c>
      <c r="E1439" s="35" t="s">
        <v>435</v>
      </c>
      <c r="F1439" s="29" t="s">
        <v>262</v>
      </c>
      <c r="G1439" s="36">
        <v>30000</v>
      </c>
      <c r="H1439" s="36">
        <v>180</v>
      </c>
    </row>
    <row r="1440" spans="1:8">
      <c r="A1440" s="62">
        <v>139100436161</v>
      </c>
      <c r="B1440" t="s">
        <v>4</v>
      </c>
      <c r="C1440" s="35" t="s">
        <v>435</v>
      </c>
      <c r="D1440" t="s">
        <v>260</v>
      </c>
      <c r="E1440" s="35" t="s">
        <v>435</v>
      </c>
      <c r="F1440" s="29" t="s">
        <v>262</v>
      </c>
      <c r="G1440" s="36">
        <v>14400</v>
      </c>
      <c r="H1440" s="36">
        <v>86.4</v>
      </c>
    </row>
    <row r="1441" spans="1:8">
      <c r="A1441" s="62">
        <v>139747543928</v>
      </c>
      <c r="B1441" t="s">
        <v>441</v>
      </c>
      <c r="C1441" s="35" t="s">
        <v>435</v>
      </c>
      <c r="D1441" t="s">
        <v>260</v>
      </c>
      <c r="E1441" s="35" t="s">
        <v>435</v>
      </c>
      <c r="F1441" s="29" t="s">
        <v>262</v>
      </c>
      <c r="G1441" s="36">
        <v>3100</v>
      </c>
      <c r="H1441" s="36">
        <v>18.600000000000001</v>
      </c>
    </row>
    <row r="1442" spans="1:8">
      <c r="A1442" s="62">
        <v>139100574281</v>
      </c>
      <c r="B1442" t="s">
        <v>4</v>
      </c>
      <c r="C1442" s="35" t="s">
        <v>435</v>
      </c>
      <c r="D1442" t="s">
        <v>260</v>
      </c>
      <c r="E1442" s="35" t="s">
        <v>435</v>
      </c>
      <c r="F1442" s="29" t="s">
        <v>262</v>
      </c>
      <c r="G1442" s="36">
        <v>31000</v>
      </c>
      <c r="H1442" s="36">
        <v>186</v>
      </c>
    </row>
    <row r="1443" spans="1:8">
      <c r="A1443" s="62">
        <v>139808799678</v>
      </c>
      <c r="B1443" t="s">
        <v>4</v>
      </c>
      <c r="C1443" s="35" t="s">
        <v>435</v>
      </c>
      <c r="D1443" t="s">
        <v>260</v>
      </c>
      <c r="E1443" s="35" t="s">
        <v>435</v>
      </c>
      <c r="F1443" s="29" t="s">
        <v>262</v>
      </c>
      <c r="G1443" s="36">
        <v>5500</v>
      </c>
      <c r="H1443" s="36">
        <v>33</v>
      </c>
    </row>
    <row r="1444" spans="1:8">
      <c r="A1444" s="62">
        <v>139791742310</v>
      </c>
      <c r="B1444" t="s">
        <v>442</v>
      </c>
      <c r="C1444" s="35" t="s">
        <v>435</v>
      </c>
      <c r="D1444" t="s">
        <v>260</v>
      </c>
      <c r="E1444" s="35" t="s">
        <v>435</v>
      </c>
      <c r="F1444" s="29" t="s">
        <v>262</v>
      </c>
      <c r="G1444" s="36">
        <v>86285.7</v>
      </c>
      <c r="H1444" s="36">
        <v>517.71</v>
      </c>
    </row>
    <row r="1445" spans="1:8">
      <c r="A1445" s="62">
        <v>139172546173</v>
      </c>
      <c r="B1445" t="s">
        <v>4</v>
      </c>
      <c r="C1445" s="35" t="s">
        <v>435</v>
      </c>
      <c r="D1445" t="s">
        <v>260</v>
      </c>
      <c r="E1445" s="35" t="s">
        <v>435</v>
      </c>
      <c r="F1445" s="29" t="s">
        <v>262</v>
      </c>
      <c r="G1445" s="36">
        <v>4900</v>
      </c>
      <c r="H1445" s="36">
        <v>29.4</v>
      </c>
    </row>
    <row r="1446" spans="1:8">
      <c r="A1446" s="62">
        <v>139820048220</v>
      </c>
      <c r="B1446" t="s">
        <v>4</v>
      </c>
      <c r="C1446" s="35" t="s">
        <v>435</v>
      </c>
      <c r="D1446" t="s">
        <v>260</v>
      </c>
      <c r="E1446" s="35" t="s">
        <v>435</v>
      </c>
      <c r="F1446" s="29" t="s">
        <v>262</v>
      </c>
      <c r="G1446" s="36">
        <v>19400</v>
      </c>
      <c r="H1446" s="36">
        <v>116.4</v>
      </c>
    </row>
    <row r="1447" spans="1:8">
      <c r="A1447" s="62">
        <v>139820905374</v>
      </c>
      <c r="B1447" t="s">
        <v>263</v>
      </c>
      <c r="C1447" s="35" t="s">
        <v>435</v>
      </c>
      <c r="D1447" t="s">
        <v>260</v>
      </c>
      <c r="E1447" s="35" t="s">
        <v>435</v>
      </c>
      <c r="F1447" s="29" t="s">
        <v>262</v>
      </c>
      <c r="G1447" s="36">
        <v>10000</v>
      </c>
      <c r="H1447" s="36">
        <v>60</v>
      </c>
    </row>
    <row r="1448" spans="1:8">
      <c r="A1448" s="62">
        <v>139174210059</v>
      </c>
      <c r="B1448" t="s">
        <v>4</v>
      </c>
      <c r="C1448" s="35" t="s">
        <v>435</v>
      </c>
      <c r="D1448" t="s">
        <v>260</v>
      </c>
      <c r="E1448" s="35" t="s">
        <v>435</v>
      </c>
      <c r="F1448" s="29" t="s">
        <v>262</v>
      </c>
      <c r="G1448" s="36">
        <v>5000</v>
      </c>
      <c r="H1448" s="36">
        <v>30</v>
      </c>
    </row>
    <row r="1449" spans="1:8">
      <c r="A1449" s="62">
        <v>139174829827</v>
      </c>
      <c r="B1449" t="s">
        <v>4</v>
      </c>
      <c r="C1449" s="35" t="s">
        <v>435</v>
      </c>
      <c r="D1449" t="s">
        <v>260</v>
      </c>
      <c r="E1449" s="35" t="s">
        <v>435</v>
      </c>
      <c r="F1449" s="29" t="s">
        <v>262</v>
      </c>
      <c r="G1449" s="36">
        <v>4900</v>
      </c>
      <c r="H1449" s="36">
        <v>29.4</v>
      </c>
    </row>
    <row r="1450" spans="1:8">
      <c r="A1450" s="62">
        <v>139175369981</v>
      </c>
      <c r="B1450" t="s">
        <v>4</v>
      </c>
      <c r="C1450" s="35" t="s">
        <v>435</v>
      </c>
      <c r="D1450" t="s">
        <v>260</v>
      </c>
      <c r="E1450" s="35" t="s">
        <v>435</v>
      </c>
      <c r="F1450" s="29" t="s">
        <v>262</v>
      </c>
      <c r="G1450" s="36">
        <v>7400</v>
      </c>
      <c r="H1450" s="36">
        <v>44.4</v>
      </c>
    </row>
    <row r="1451" spans="1:8">
      <c r="A1451" s="62">
        <v>139176331131</v>
      </c>
      <c r="B1451" t="s">
        <v>4</v>
      </c>
      <c r="C1451" s="35" t="s">
        <v>435</v>
      </c>
      <c r="D1451" t="s">
        <v>260</v>
      </c>
      <c r="E1451" s="35" t="s">
        <v>435</v>
      </c>
      <c r="F1451" s="29" t="s">
        <v>262</v>
      </c>
      <c r="G1451" s="36">
        <v>14000</v>
      </c>
      <c r="H1451" s="36">
        <v>84</v>
      </c>
    </row>
    <row r="1452" spans="1:8">
      <c r="A1452" s="62">
        <v>139825993870</v>
      </c>
      <c r="B1452" t="s">
        <v>263</v>
      </c>
      <c r="C1452" s="35" t="s">
        <v>435</v>
      </c>
      <c r="D1452" t="s">
        <v>260</v>
      </c>
      <c r="E1452" s="35" t="s">
        <v>435</v>
      </c>
      <c r="F1452" s="29" t="s">
        <v>262</v>
      </c>
      <c r="G1452" s="36">
        <v>30200</v>
      </c>
      <c r="H1452" s="36">
        <v>181.2</v>
      </c>
    </row>
    <row r="1453" spans="1:8">
      <c r="A1453" s="62">
        <v>139827276052</v>
      </c>
      <c r="B1453" t="s">
        <v>263</v>
      </c>
      <c r="C1453" s="35" t="s">
        <v>435</v>
      </c>
      <c r="D1453" t="s">
        <v>260</v>
      </c>
      <c r="E1453" s="35" t="s">
        <v>435</v>
      </c>
      <c r="F1453" s="29" t="s">
        <v>262</v>
      </c>
      <c r="G1453" s="36">
        <v>44400</v>
      </c>
      <c r="H1453" s="36">
        <v>266.39999999999998</v>
      </c>
    </row>
    <row r="1454" spans="1:8">
      <c r="A1454" s="62">
        <v>139828941790</v>
      </c>
      <c r="B1454" t="s">
        <v>4</v>
      </c>
      <c r="C1454" s="35" t="s">
        <v>435</v>
      </c>
      <c r="D1454" t="s">
        <v>260</v>
      </c>
      <c r="E1454" s="35" t="s">
        <v>435</v>
      </c>
      <c r="F1454" s="29" t="s">
        <v>262</v>
      </c>
      <c r="G1454" s="36">
        <v>32500</v>
      </c>
      <c r="H1454" s="36">
        <v>195</v>
      </c>
    </row>
    <row r="1455" spans="1:8">
      <c r="A1455" s="62">
        <v>139182522797</v>
      </c>
      <c r="B1455" t="s">
        <v>4</v>
      </c>
      <c r="C1455" s="35" t="s">
        <v>435</v>
      </c>
      <c r="D1455" t="s">
        <v>260</v>
      </c>
      <c r="E1455" s="35" t="s">
        <v>435</v>
      </c>
      <c r="F1455" s="29" t="s">
        <v>262</v>
      </c>
      <c r="G1455" s="36">
        <v>14800</v>
      </c>
      <c r="H1455" s="36">
        <v>88.8</v>
      </c>
    </row>
    <row r="1456" spans="1:8">
      <c r="A1456" s="62">
        <v>139829873234</v>
      </c>
      <c r="B1456" t="s">
        <v>4</v>
      </c>
      <c r="C1456" s="35" t="s">
        <v>435</v>
      </c>
      <c r="D1456" t="s">
        <v>260</v>
      </c>
      <c r="E1456" s="35" t="s">
        <v>435</v>
      </c>
      <c r="F1456" s="29" t="s">
        <v>262</v>
      </c>
      <c r="G1456" s="36">
        <v>54600</v>
      </c>
      <c r="H1456" s="36">
        <v>327.60000000000002</v>
      </c>
    </row>
    <row r="1457" spans="1:8">
      <c r="A1457" s="62">
        <v>139182797023</v>
      </c>
      <c r="B1457" t="s">
        <v>4</v>
      </c>
      <c r="C1457" s="35" t="s">
        <v>435</v>
      </c>
      <c r="D1457" t="s">
        <v>260</v>
      </c>
      <c r="E1457" s="35" t="s">
        <v>435</v>
      </c>
      <c r="F1457" s="29" t="s">
        <v>262</v>
      </c>
      <c r="G1457" s="36">
        <v>33800</v>
      </c>
      <c r="H1457" s="36">
        <v>202.8</v>
      </c>
    </row>
    <row r="1458" spans="1:8">
      <c r="A1458" s="62">
        <v>139183086281</v>
      </c>
      <c r="B1458" t="s">
        <v>4</v>
      </c>
      <c r="C1458" s="35" t="s">
        <v>435</v>
      </c>
      <c r="D1458" t="s">
        <v>260</v>
      </c>
      <c r="E1458" s="35" t="s">
        <v>435</v>
      </c>
      <c r="F1458" s="29" t="s">
        <v>262</v>
      </c>
      <c r="G1458" s="36">
        <v>24600</v>
      </c>
      <c r="H1458" s="36">
        <v>147.6</v>
      </c>
    </row>
    <row r="1459" spans="1:8">
      <c r="A1459" s="62">
        <v>139184358441</v>
      </c>
      <c r="B1459" t="s">
        <v>4</v>
      </c>
      <c r="C1459" s="35" t="s">
        <v>435</v>
      </c>
      <c r="D1459" t="s">
        <v>260</v>
      </c>
      <c r="E1459" s="35" t="s">
        <v>435</v>
      </c>
      <c r="F1459" s="29" t="s">
        <v>262</v>
      </c>
      <c r="G1459" s="36">
        <v>28000</v>
      </c>
      <c r="H1459" s="36">
        <v>168</v>
      </c>
    </row>
    <row r="1460" spans="1:8">
      <c r="A1460" s="62">
        <v>139832577514</v>
      </c>
      <c r="B1460" t="s">
        <v>4</v>
      </c>
      <c r="C1460" s="35" t="s">
        <v>435</v>
      </c>
      <c r="D1460" t="s">
        <v>260</v>
      </c>
      <c r="E1460" s="35" t="s">
        <v>435</v>
      </c>
      <c r="F1460" s="29" t="s">
        <v>262</v>
      </c>
      <c r="G1460" s="36">
        <v>35600</v>
      </c>
      <c r="H1460" s="36">
        <v>213.6</v>
      </c>
    </row>
    <row r="1461" spans="1:8">
      <c r="A1461" s="62">
        <v>139187005321</v>
      </c>
      <c r="B1461" t="s">
        <v>443</v>
      </c>
      <c r="C1461" s="35" t="s">
        <v>435</v>
      </c>
      <c r="D1461" t="s">
        <v>260</v>
      </c>
      <c r="E1461" s="35" t="s">
        <v>435</v>
      </c>
      <c r="F1461" s="29" t="s">
        <v>262</v>
      </c>
      <c r="G1461" s="36">
        <v>1000</v>
      </c>
      <c r="H1461" s="36">
        <v>6</v>
      </c>
    </row>
    <row r="1462" spans="1:8">
      <c r="A1462" s="62">
        <v>139834422234</v>
      </c>
      <c r="B1462" t="s">
        <v>4</v>
      </c>
      <c r="C1462" s="35" t="s">
        <v>435</v>
      </c>
      <c r="D1462" t="s">
        <v>260</v>
      </c>
      <c r="E1462" s="35" t="s">
        <v>435</v>
      </c>
      <c r="F1462" s="29" t="s">
        <v>262</v>
      </c>
      <c r="G1462" s="36">
        <v>10000</v>
      </c>
      <c r="H1462" s="36">
        <v>60</v>
      </c>
    </row>
    <row r="1463" spans="1:8">
      <c r="A1463" s="62">
        <v>139187061995</v>
      </c>
      <c r="B1463" t="s">
        <v>263</v>
      </c>
      <c r="C1463" s="35" t="s">
        <v>435</v>
      </c>
      <c r="D1463" t="s">
        <v>260</v>
      </c>
      <c r="E1463" s="35" t="s">
        <v>435</v>
      </c>
      <c r="F1463" s="29" t="s">
        <v>262</v>
      </c>
      <c r="G1463" s="36">
        <v>27900</v>
      </c>
      <c r="H1463" s="36">
        <v>167.4</v>
      </c>
    </row>
    <row r="1464" spans="1:8">
      <c r="A1464" s="62">
        <v>139834672452</v>
      </c>
      <c r="B1464" t="s">
        <v>4</v>
      </c>
      <c r="C1464" s="35" t="s">
        <v>435</v>
      </c>
      <c r="D1464" t="s">
        <v>260</v>
      </c>
      <c r="E1464" s="35" t="s">
        <v>435</v>
      </c>
      <c r="F1464" s="29" t="s">
        <v>262</v>
      </c>
      <c r="G1464" s="36">
        <v>40300</v>
      </c>
      <c r="H1464" s="36">
        <v>241.8</v>
      </c>
    </row>
    <row r="1465" spans="1:8">
      <c r="A1465" s="62">
        <v>139188540317</v>
      </c>
      <c r="B1465" t="s">
        <v>4</v>
      </c>
      <c r="C1465" s="35" t="s">
        <v>435</v>
      </c>
      <c r="D1465" t="s">
        <v>260</v>
      </c>
      <c r="E1465" s="35" t="s">
        <v>444</v>
      </c>
      <c r="F1465" s="29" t="s">
        <v>262</v>
      </c>
      <c r="G1465" s="36">
        <v>37800</v>
      </c>
      <c r="H1465" s="36">
        <v>226.8</v>
      </c>
    </row>
    <row r="1466" spans="1:8">
      <c r="A1466" s="62">
        <v>139836327732</v>
      </c>
      <c r="B1466" t="s">
        <v>445</v>
      </c>
      <c r="C1466" s="35" t="s">
        <v>435</v>
      </c>
      <c r="D1466" t="s">
        <v>260</v>
      </c>
      <c r="E1466" s="35" t="s">
        <v>444</v>
      </c>
      <c r="F1466" s="29" t="s">
        <v>262</v>
      </c>
      <c r="G1466" s="36">
        <v>3820</v>
      </c>
      <c r="H1466" s="36">
        <v>22.92</v>
      </c>
    </row>
    <row r="1467" spans="1:8">
      <c r="A1467" s="62">
        <v>139811178548</v>
      </c>
      <c r="B1467" t="s">
        <v>263</v>
      </c>
      <c r="C1467" s="35" t="s">
        <v>435</v>
      </c>
      <c r="D1467" t="s">
        <v>260</v>
      </c>
      <c r="E1467" s="35" t="s">
        <v>435</v>
      </c>
      <c r="F1467" s="29" t="s">
        <v>262</v>
      </c>
      <c r="G1467" s="36">
        <v>20000</v>
      </c>
      <c r="H1467" s="36">
        <v>120</v>
      </c>
    </row>
    <row r="1468" spans="1:8">
      <c r="A1468" s="62">
        <v>139836791360</v>
      </c>
      <c r="B1468" t="s">
        <v>446</v>
      </c>
      <c r="C1468" s="35" t="s">
        <v>435</v>
      </c>
      <c r="D1468" t="s">
        <v>260</v>
      </c>
      <c r="E1468" s="35" t="s">
        <v>444</v>
      </c>
      <c r="F1468" s="29" t="s">
        <v>262</v>
      </c>
      <c r="G1468" s="36">
        <v>2000</v>
      </c>
      <c r="H1468" s="36">
        <v>12</v>
      </c>
    </row>
    <row r="1469" spans="1:8">
      <c r="A1469" s="62">
        <v>139191028607</v>
      </c>
      <c r="B1469" t="s">
        <v>263</v>
      </c>
      <c r="C1469" s="35" t="s">
        <v>435</v>
      </c>
      <c r="D1469" t="s">
        <v>260</v>
      </c>
      <c r="E1469" s="35" t="s">
        <v>444</v>
      </c>
      <c r="F1469" s="29" t="s">
        <v>262</v>
      </c>
      <c r="G1469" s="36">
        <v>198700</v>
      </c>
      <c r="H1469" s="36">
        <v>1192.2</v>
      </c>
    </row>
    <row r="1470" spans="1:8">
      <c r="A1470" s="62">
        <v>139191318807</v>
      </c>
      <c r="B1470" t="s">
        <v>263</v>
      </c>
      <c r="C1470" s="35" t="s">
        <v>444</v>
      </c>
      <c r="D1470" t="s">
        <v>260</v>
      </c>
      <c r="E1470" s="35" t="s">
        <v>444</v>
      </c>
      <c r="F1470" s="29" t="s">
        <v>262</v>
      </c>
      <c r="G1470" s="36">
        <v>30500</v>
      </c>
      <c r="H1470" s="36">
        <v>183</v>
      </c>
    </row>
    <row r="1471" spans="1:8">
      <c r="A1471" s="62">
        <v>139191239891</v>
      </c>
      <c r="B1471" t="s">
        <v>4</v>
      </c>
      <c r="C1471" s="35" t="s">
        <v>444</v>
      </c>
      <c r="D1471" t="s">
        <v>260</v>
      </c>
      <c r="E1471" s="35" t="s">
        <v>444</v>
      </c>
      <c r="F1471" s="29" t="s">
        <v>262</v>
      </c>
      <c r="G1471" s="36">
        <v>16000</v>
      </c>
      <c r="H1471" s="36">
        <v>96</v>
      </c>
    </row>
    <row r="1472" spans="1:8">
      <c r="A1472" s="62">
        <v>139172710465</v>
      </c>
      <c r="B1472" t="s">
        <v>263</v>
      </c>
      <c r="C1472" s="35" t="s">
        <v>435</v>
      </c>
      <c r="D1472" t="s">
        <v>260</v>
      </c>
      <c r="E1472" s="35" t="s">
        <v>435</v>
      </c>
      <c r="F1472" s="29" t="s">
        <v>262</v>
      </c>
      <c r="G1472" s="36">
        <v>7200</v>
      </c>
      <c r="H1472" s="36">
        <v>43.2</v>
      </c>
    </row>
    <row r="1473" spans="1:8">
      <c r="A1473" s="62">
        <v>139819986828</v>
      </c>
      <c r="B1473" t="s">
        <v>447</v>
      </c>
      <c r="C1473" s="35" t="s">
        <v>435</v>
      </c>
      <c r="D1473" t="s">
        <v>260</v>
      </c>
      <c r="E1473" s="35" t="s">
        <v>435</v>
      </c>
      <c r="F1473" s="29" t="s">
        <v>262</v>
      </c>
      <c r="G1473" s="36">
        <v>1940</v>
      </c>
      <c r="H1473" s="36">
        <v>11.64</v>
      </c>
    </row>
    <row r="1474" spans="1:8">
      <c r="A1474" s="62">
        <v>139173070093</v>
      </c>
      <c r="B1474" t="s">
        <v>263</v>
      </c>
      <c r="C1474" s="35" t="s">
        <v>435</v>
      </c>
      <c r="D1474" t="s">
        <v>260</v>
      </c>
      <c r="E1474" s="35" t="s">
        <v>435</v>
      </c>
      <c r="F1474" s="29" t="s">
        <v>262</v>
      </c>
      <c r="G1474" s="36">
        <v>20000</v>
      </c>
      <c r="H1474" s="36">
        <v>120</v>
      </c>
    </row>
    <row r="1475" spans="1:8">
      <c r="A1475" s="62">
        <v>139820841428</v>
      </c>
      <c r="B1475" t="s">
        <v>4</v>
      </c>
      <c r="C1475" s="35" t="s">
        <v>435</v>
      </c>
      <c r="D1475" t="s">
        <v>260</v>
      </c>
      <c r="E1475" s="35" t="s">
        <v>435</v>
      </c>
      <c r="F1475" s="29" t="s">
        <v>262</v>
      </c>
      <c r="G1475" s="36">
        <v>13400</v>
      </c>
      <c r="H1475" s="36">
        <v>80.400000000000006</v>
      </c>
    </row>
    <row r="1476" spans="1:8">
      <c r="A1476" s="62">
        <v>139173662641</v>
      </c>
      <c r="B1476" t="s">
        <v>448</v>
      </c>
      <c r="C1476" s="35" t="s">
        <v>435</v>
      </c>
      <c r="D1476" t="s">
        <v>260</v>
      </c>
      <c r="E1476" s="35" t="s">
        <v>435</v>
      </c>
      <c r="F1476" s="29" t="s">
        <v>262</v>
      </c>
      <c r="G1476" s="36">
        <v>1340</v>
      </c>
      <c r="H1476" s="36">
        <v>8.0399999999999991</v>
      </c>
    </row>
    <row r="1477" spans="1:8">
      <c r="A1477" s="62">
        <v>139174873593</v>
      </c>
      <c r="B1477" t="s">
        <v>4</v>
      </c>
      <c r="C1477" s="35" t="s">
        <v>435</v>
      </c>
      <c r="D1477" t="s">
        <v>260</v>
      </c>
      <c r="E1477" s="35" t="s">
        <v>435</v>
      </c>
      <c r="F1477" s="29" t="s">
        <v>262</v>
      </c>
      <c r="G1477" s="36">
        <v>10000</v>
      </c>
      <c r="H1477" s="36">
        <v>60</v>
      </c>
    </row>
    <row r="1478" spans="1:8">
      <c r="A1478" s="62">
        <v>139181298385</v>
      </c>
      <c r="B1478" t="s">
        <v>263</v>
      </c>
      <c r="C1478" s="35" t="s">
        <v>435</v>
      </c>
      <c r="D1478" t="s">
        <v>260</v>
      </c>
      <c r="E1478" s="35" t="s">
        <v>435</v>
      </c>
      <c r="F1478" s="29" t="s">
        <v>262</v>
      </c>
      <c r="G1478" s="36">
        <v>87400</v>
      </c>
      <c r="H1478" s="36">
        <v>524.4</v>
      </c>
    </row>
    <row r="1479" spans="1:8">
      <c r="A1479" s="62">
        <v>139183307389</v>
      </c>
      <c r="B1479" t="s">
        <v>4</v>
      </c>
      <c r="C1479" s="35" t="s">
        <v>435</v>
      </c>
      <c r="D1479" t="s">
        <v>260</v>
      </c>
      <c r="E1479" s="35" t="s">
        <v>435</v>
      </c>
      <c r="F1479" s="29" t="s">
        <v>262</v>
      </c>
      <c r="G1479" s="36">
        <v>24300</v>
      </c>
      <c r="H1479" s="36">
        <v>145.80000000000001</v>
      </c>
    </row>
    <row r="1480" spans="1:8">
      <c r="A1480" s="62">
        <v>139830676398</v>
      </c>
      <c r="B1480" t="s">
        <v>449</v>
      </c>
      <c r="C1480" s="35" t="s">
        <v>435</v>
      </c>
      <c r="D1480" t="s">
        <v>260</v>
      </c>
      <c r="E1480" s="35" t="s">
        <v>435</v>
      </c>
      <c r="F1480" s="29" t="s">
        <v>262</v>
      </c>
      <c r="G1480" s="36">
        <v>1215</v>
      </c>
      <c r="H1480" s="36">
        <v>7.29</v>
      </c>
    </row>
    <row r="1481" spans="1:8">
      <c r="A1481" s="62">
        <v>139830848786</v>
      </c>
      <c r="B1481" t="s">
        <v>4</v>
      </c>
      <c r="C1481" s="35" t="s">
        <v>435</v>
      </c>
      <c r="D1481" t="s">
        <v>260</v>
      </c>
      <c r="E1481" s="35" t="s">
        <v>435</v>
      </c>
      <c r="F1481" s="29" t="s">
        <v>262</v>
      </c>
      <c r="G1481" s="36">
        <v>86000</v>
      </c>
      <c r="H1481" s="36">
        <v>516</v>
      </c>
    </row>
    <row r="1482" spans="1:8">
      <c r="A1482" s="62">
        <v>139184104301</v>
      </c>
      <c r="B1482" t="s">
        <v>263</v>
      </c>
      <c r="C1482" s="35" t="s">
        <v>435</v>
      </c>
      <c r="D1482" t="s">
        <v>260</v>
      </c>
      <c r="E1482" s="35" t="s">
        <v>435</v>
      </c>
      <c r="F1482" s="29" t="s">
        <v>262</v>
      </c>
      <c r="G1482" s="36">
        <v>43200</v>
      </c>
      <c r="H1482" s="36">
        <v>259.2</v>
      </c>
    </row>
    <row r="1483" spans="1:8">
      <c r="A1483" s="62">
        <v>139184362387</v>
      </c>
      <c r="B1483" t="s">
        <v>450</v>
      </c>
      <c r="C1483" s="35" t="s">
        <v>435</v>
      </c>
      <c r="D1483" t="s">
        <v>260</v>
      </c>
      <c r="E1483" s="35" t="s">
        <v>435</v>
      </c>
      <c r="F1483" s="29" t="s">
        <v>262</v>
      </c>
      <c r="G1483" s="36">
        <v>1400</v>
      </c>
      <c r="H1483" s="36">
        <v>8.4</v>
      </c>
    </row>
    <row r="1484" spans="1:8">
      <c r="A1484" s="62">
        <v>139832669638</v>
      </c>
      <c r="B1484" t="s">
        <v>4</v>
      </c>
      <c r="C1484" s="35" t="s">
        <v>435</v>
      </c>
      <c r="D1484" t="s">
        <v>260</v>
      </c>
      <c r="E1484" s="35" t="s">
        <v>435</v>
      </c>
      <c r="F1484" s="29" t="s">
        <v>262</v>
      </c>
      <c r="G1484" s="36">
        <v>53900</v>
      </c>
      <c r="H1484" s="36">
        <v>323.39999999999998</v>
      </c>
    </row>
    <row r="1485" spans="1:8">
      <c r="A1485" s="62">
        <v>139186007717</v>
      </c>
      <c r="B1485" t="s">
        <v>4</v>
      </c>
      <c r="C1485" s="35" t="s">
        <v>435</v>
      </c>
      <c r="D1485" t="s">
        <v>260</v>
      </c>
      <c r="E1485" s="35" t="s">
        <v>435</v>
      </c>
      <c r="F1485" s="29" t="s">
        <v>262</v>
      </c>
      <c r="G1485" s="36">
        <v>42000</v>
      </c>
      <c r="H1485" s="36">
        <v>252</v>
      </c>
    </row>
    <row r="1486" spans="1:8">
      <c r="A1486" s="62">
        <v>139188337731</v>
      </c>
      <c r="B1486" t="s">
        <v>451</v>
      </c>
      <c r="C1486" s="35" t="s">
        <v>435</v>
      </c>
      <c r="D1486" t="s">
        <v>260</v>
      </c>
      <c r="E1486" s="35" t="s">
        <v>444</v>
      </c>
      <c r="F1486" s="29" t="s">
        <v>262</v>
      </c>
      <c r="G1486" s="36">
        <v>5670</v>
      </c>
      <c r="H1486" s="36">
        <v>34.020000000000003</v>
      </c>
    </row>
    <row r="1487" spans="1:8">
      <c r="A1487" s="62">
        <v>139835864462</v>
      </c>
      <c r="B1487" t="s">
        <v>452</v>
      </c>
      <c r="C1487" s="35" t="s">
        <v>435</v>
      </c>
      <c r="D1487" t="s">
        <v>260</v>
      </c>
      <c r="E1487" s="35" t="s">
        <v>444</v>
      </c>
      <c r="F1487" s="29" t="s">
        <v>262</v>
      </c>
      <c r="G1487" s="36">
        <v>5430</v>
      </c>
      <c r="H1487" s="36">
        <v>32.58</v>
      </c>
    </row>
    <row r="1488" spans="1:8">
      <c r="A1488" s="62">
        <v>139188415481</v>
      </c>
      <c r="B1488" t="s">
        <v>4</v>
      </c>
      <c r="C1488" s="35" t="s">
        <v>435</v>
      </c>
      <c r="D1488" t="s">
        <v>260</v>
      </c>
      <c r="E1488" s="35" t="s">
        <v>444</v>
      </c>
      <c r="F1488" s="29" t="s">
        <v>262</v>
      </c>
      <c r="G1488" s="36">
        <v>54300</v>
      </c>
      <c r="H1488" s="36">
        <v>325.8</v>
      </c>
    </row>
    <row r="1489" spans="1:8">
      <c r="A1489" s="62">
        <v>139836291978</v>
      </c>
      <c r="B1489" t="s">
        <v>4</v>
      </c>
      <c r="C1489" s="35" t="s">
        <v>435</v>
      </c>
      <c r="D1489" t="s">
        <v>260</v>
      </c>
      <c r="E1489" s="35" t="s">
        <v>444</v>
      </c>
      <c r="F1489" s="29" t="s">
        <v>262</v>
      </c>
      <c r="G1489" s="36">
        <v>38200</v>
      </c>
      <c r="H1489" s="36">
        <v>229.2</v>
      </c>
    </row>
    <row r="1490" spans="1:8">
      <c r="A1490" s="62">
        <v>139836502702</v>
      </c>
      <c r="B1490" t="s">
        <v>4</v>
      </c>
      <c r="C1490" s="35" t="s">
        <v>435</v>
      </c>
      <c r="D1490" t="s">
        <v>260</v>
      </c>
      <c r="E1490" s="35" t="s">
        <v>444</v>
      </c>
      <c r="F1490" s="29" t="s">
        <v>262</v>
      </c>
      <c r="G1490" s="36">
        <v>40800</v>
      </c>
      <c r="H1490" s="36">
        <v>244.8</v>
      </c>
    </row>
    <row r="1491" spans="1:8">
      <c r="A1491" s="62">
        <v>139836544342</v>
      </c>
      <c r="B1491" t="s">
        <v>453</v>
      </c>
      <c r="C1491" s="35" t="s">
        <v>435</v>
      </c>
      <c r="D1491" t="s">
        <v>260</v>
      </c>
      <c r="E1491" s="35" t="s">
        <v>444</v>
      </c>
      <c r="F1491" s="29" t="s">
        <v>262</v>
      </c>
      <c r="G1491" s="36">
        <v>2040</v>
      </c>
      <c r="H1491" s="36">
        <v>12.24</v>
      </c>
    </row>
    <row r="1492" spans="1:8">
      <c r="A1492" s="62">
        <v>139836675072</v>
      </c>
      <c r="B1492" t="s">
        <v>4</v>
      </c>
      <c r="C1492" s="35" t="s">
        <v>435</v>
      </c>
      <c r="D1492" t="s">
        <v>260</v>
      </c>
      <c r="E1492" s="35" t="s">
        <v>444</v>
      </c>
      <c r="F1492" s="29" t="s">
        <v>262</v>
      </c>
      <c r="G1492" s="36">
        <v>49900</v>
      </c>
      <c r="H1492" s="36">
        <v>299.39999999999998</v>
      </c>
    </row>
    <row r="1493" spans="1:8">
      <c r="A1493" s="62">
        <v>139189628517</v>
      </c>
      <c r="B1493" t="s">
        <v>4</v>
      </c>
      <c r="C1493" s="35" t="s">
        <v>435</v>
      </c>
      <c r="D1493" t="s">
        <v>260</v>
      </c>
      <c r="E1493" s="35" t="s">
        <v>444</v>
      </c>
      <c r="F1493" s="29" t="s">
        <v>262</v>
      </c>
      <c r="G1493" s="36">
        <v>20000</v>
      </c>
      <c r="H1493" s="36">
        <v>120</v>
      </c>
    </row>
    <row r="1494" spans="1:8">
      <c r="A1494" s="62">
        <v>139837986428</v>
      </c>
      <c r="B1494" t="s">
        <v>263</v>
      </c>
      <c r="C1494" s="35" t="s">
        <v>435</v>
      </c>
      <c r="D1494" t="s">
        <v>260</v>
      </c>
      <c r="E1494" s="35" t="s">
        <v>444</v>
      </c>
      <c r="F1494" s="29" t="s">
        <v>262</v>
      </c>
      <c r="G1494" s="36">
        <v>10000</v>
      </c>
      <c r="H1494" s="36">
        <v>60</v>
      </c>
    </row>
    <row r="1495" spans="1:8">
      <c r="A1495" s="62">
        <v>139838247870</v>
      </c>
      <c r="B1495" t="s">
        <v>263</v>
      </c>
      <c r="C1495" s="35" t="s">
        <v>435</v>
      </c>
      <c r="D1495" t="s">
        <v>260</v>
      </c>
      <c r="E1495" s="35" t="s">
        <v>444</v>
      </c>
      <c r="F1495" s="29" t="s">
        <v>262</v>
      </c>
      <c r="G1495" s="36">
        <v>10500</v>
      </c>
      <c r="H1495" s="36">
        <v>63</v>
      </c>
    </row>
    <row r="1496" spans="1:8">
      <c r="A1496" s="62">
        <v>139191376159</v>
      </c>
      <c r="B1496" t="s">
        <v>4</v>
      </c>
      <c r="C1496" s="35" t="s">
        <v>444</v>
      </c>
      <c r="D1496" t="s">
        <v>260</v>
      </c>
      <c r="E1496" s="35" t="s">
        <v>444</v>
      </c>
      <c r="F1496" s="29" t="s">
        <v>262</v>
      </c>
      <c r="G1496" s="36">
        <v>29400</v>
      </c>
      <c r="H1496" s="36">
        <v>176.4</v>
      </c>
    </row>
    <row r="1497" spans="1:8">
      <c r="A1497" s="62">
        <v>139427737813</v>
      </c>
      <c r="B1497" t="s">
        <v>4</v>
      </c>
      <c r="C1497" s="35" t="s">
        <v>454</v>
      </c>
      <c r="D1497" t="s">
        <v>260</v>
      </c>
      <c r="E1497" s="35" t="s">
        <v>454</v>
      </c>
      <c r="F1497" s="29" t="s">
        <v>262</v>
      </c>
      <c r="G1497" s="36">
        <v>40000</v>
      </c>
      <c r="H1497" s="36">
        <v>240</v>
      </c>
    </row>
    <row r="1498" spans="1:8">
      <c r="A1498" s="62">
        <v>139459696295</v>
      </c>
      <c r="B1498" t="s">
        <v>263</v>
      </c>
      <c r="C1498" s="35" t="s">
        <v>454</v>
      </c>
      <c r="D1498" t="s">
        <v>260</v>
      </c>
      <c r="E1498" s="35" t="s">
        <v>454</v>
      </c>
      <c r="F1498" s="29" t="s">
        <v>262</v>
      </c>
      <c r="G1498" s="36">
        <v>20400</v>
      </c>
      <c r="H1498" s="36">
        <v>122.4</v>
      </c>
    </row>
    <row r="1499" spans="1:8">
      <c r="A1499" s="62">
        <v>140108556622</v>
      </c>
      <c r="B1499" t="s">
        <v>4</v>
      </c>
      <c r="C1499" s="35" t="s">
        <v>454</v>
      </c>
      <c r="D1499" t="s">
        <v>260</v>
      </c>
      <c r="E1499" s="35" t="s">
        <v>454</v>
      </c>
      <c r="F1499" s="29" t="s">
        <v>262</v>
      </c>
      <c r="G1499" s="36">
        <v>6000</v>
      </c>
      <c r="H1499" s="36">
        <v>36</v>
      </c>
    </row>
    <row r="1500" spans="1:8">
      <c r="A1500" s="62">
        <v>140110342078</v>
      </c>
      <c r="B1500" t="s">
        <v>4</v>
      </c>
      <c r="C1500" s="35" t="s">
        <v>454</v>
      </c>
      <c r="D1500" t="s">
        <v>260</v>
      </c>
      <c r="E1500" s="35" t="s">
        <v>454</v>
      </c>
      <c r="F1500" s="29" t="s">
        <v>262</v>
      </c>
      <c r="G1500" s="36">
        <v>19700</v>
      </c>
      <c r="H1500" s="36">
        <v>118.2</v>
      </c>
    </row>
    <row r="1501" spans="1:8">
      <c r="A1501" s="62">
        <v>140111640118</v>
      </c>
      <c r="B1501" t="s">
        <v>455</v>
      </c>
      <c r="C1501" s="35" t="s">
        <v>454</v>
      </c>
      <c r="D1501" t="s">
        <v>260</v>
      </c>
      <c r="E1501" s="35" t="s">
        <v>454</v>
      </c>
      <c r="F1501" s="29" t="s">
        <v>262</v>
      </c>
      <c r="G1501" s="36">
        <v>2505</v>
      </c>
      <c r="H1501" s="36">
        <v>15.03</v>
      </c>
    </row>
    <row r="1502" spans="1:8">
      <c r="A1502" s="62">
        <v>139464638853</v>
      </c>
      <c r="B1502" t="s">
        <v>4</v>
      </c>
      <c r="C1502" s="35" t="s">
        <v>454</v>
      </c>
      <c r="D1502" t="s">
        <v>260</v>
      </c>
      <c r="E1502" s="35" t="s">
        <v>454</v>
      </c>
      <c r="F1502" s="29" t="s">
        <v>262</v>
      </c>
      <c r="G1502" s="36">
        <v>18400</v>
      </c>
      <c r="H1502" s="36">
        <v>110.4</v>
      </c>
    </row>
    <row r="1503" spans="1:8">
      <c r="A1503" s="62">
        <v>139441467593</v>
      </c>
      <c r="B1503" t="s">
        <v>263</v>
      </c>
      <c r="C1503" s="35" t="s">
        <v>454</v>
      </c>
      <c r="D1503" t="s">
        <v>260</v>
      </c>
      <c r="E1503" s="35" t="s">
        <v>454</v>
      </c>
      <c r="F1503" s="29" t="s">
        <v>262</v>
      </c>
      <c r="G1503" s="36">
        <v>29200</v>
      </c>
      <c r="H1503" s="36">
        <v>175.2</v>
      </c>
    </row>
    <row r="1504" spans="1:8">
      <c r="A1504" s="62">
        <v>140115663656</v>
      </c>
      <c r="B1504" t="s">
        <v>263</v>
      </c>
      <c r="C1504" s="35" t="s">
        <v>454</v>
      </c>
      <c r="D1504" t="s">
        <v>260</v>
      </c>
      <c r="E1504" s="35" t="s">
        <v>454</v>
      </c>
      <c r="F1504" s="29" t="s">
        <v>262</v>
      </c>
      <c r="G1504" s="36">
        <v>10000</v>
      </c>
      <c r="H1504" s="36">
        <v>60</v>
      </c>
    </row>
    <row r="1505" spans="1:8">
      <c r="A1505" s="62">
        <v>140117650322</v>
      </c>
      <c r="B1505" t="s">
        <v>4</v>
      </c>
      <c r="C1505" s="35" t="s">
        <v>454</v>
      </c>
      <c r="D1505" t="s">
        <v>260</v>
      </c>
      <c r="E1505" s="35" t="s">
        <v>454</v>
      </c>
      <c r="F1505" s="29" t="s">
        <v>262</v>
      </c>
      <c r="G1505" s="36">
        <v>12500</v>
      </c>
      <c r="H1505" s="36">
        <v>75</v>
      </c>
    </row>
    <row r="1506" spans="1:8">
      <c r="A1506" s="62">
        <v>139447802567</v>
      </c>
      <c r="B1506" t="s">
        <v>4</v>
      </c>
      <c r="C1506" s="35" t="s">
        <v>454</v>
      </c>
      <c r="D1506" t="s">
        <v>260</v>
      </c>
      <c r="E1506" s="35" t="s">
        <v>454</v>
      </c>
      <c r="F1506" s="29" t="s">
        <v>262</v>
      </c>
      <c r="G1506" s="36">
        <v>15000</v>
      </c>
      <c r="H1506" s="36">
        <v>90</v>
      </c>
    </row>
    <row r="1507" spans="1:8">
      <c r="A1507" s="62">
        <v>139472364079</v>
      </c>
      <c r="B1507" t="s">
        <v>263</v>
      </c>
      <c r="C1507" s="35" t="s">
        <v>454</v>
      </c>
      <c r="D1507" t="s">
        <v>260</v>
      </c>
      <c r="E1507" s="35" t="s">
        <v>454</v>
      </c>
      <c r="F1507" s="29" t="s">
        <v>262</v>
      </c>
      <c r="G1507" s="36">
        <v>10000</v>
      </c>
      <c r="H1507" s="36">
        <v>60</v>
      </c>
    </row>
    <row r="1508" spans="1:8">
      <c r="A1508" s="62">
        <v>139472867537</v>
      </c>
      <c r="B1508" t="s">
        <v>4</v>
      </c>
      <c r="C1508" s="35" t="s">
        <v>454</v>
      </c>
      <c r="D1508" t="s">
        <v>260</v>
      </c>
      <c r="E1508" s="35" t="s">
        <v>454</v>
      </c>
      <c r="F1508" s="29" t="s">
        <v>262</v>
      </c>
      <c r="G1508" s="36">
        <v>29000</v>
      </c>
      <c r="H1508" s="36">
        <v>174</v>
      </c>
    </row>
    <row r="1509" spans="1:8">
      <c r="A1509" s="62">
        <v>140096941494</v>
      </c>
      <c r="B1509" t="s">
        <v>263</v>
      </c>
      <c r="C1509" s="35" t="s">
        <v>454</v>
      </c>
      <c r="D1509" t="s">
        <v>260</v>
      </c>
      <c r="E1509" s="35" t="s">
        <v>454</v>
      </c>
      <c r="F1509" s="29" t="s">
        <v>262</v>
      </c>
      <c r="G1509" s="36">
        <v>39600</v>
      </c>
      <c r="H1509" s="36">
        <v>237.6</v>
      </c>
    </row>
    <row r="1510" spans="1:8">
      <c r="A1510" s="62">
        <v>140122127434</v>
      </c>
      <c r="B1510" t="s">
        <v>263</v>
      </c>
      <c r="C1510" s="35" t="s">
        <v>454</v>
      </c>
      <c r="D1510" t="s">
        <v>260</v>
      </c>
      <c r="E1510" s="35" t="s">
        <v>454</v>
      </c>
      <c r="F1510" s="29" t="s">
        <v>262</v>
      </c>
      <c r="G1510" s="36">
        <v>5000</v>
      </c>
      <c r="H1510" s="36">
        <v>30</v>
      </c>
    </row>
    <row r="1511" spans="1:8">
      <c r="A1511" s="62">
        <v>139450291447</v>
      </c>
      <c r="B1511" t="s">
        <v>4</v>
      </c>
      <c r="C1511" s="35" t="s">
        <v>454</v>
      </c>
      <c r="D1511" t="s">
        <v>260</v>
      </c>
      <c r="E1511" s="35" t="s">
        <v>454</v>
      </c>
      <c r="F1511" s="29" t="s">
        <v>262</v>
      </c>
      <c r="G1511" s="36">
        <v>10000</v>
      </c>
      <c r="H1511" s="36">
        <v>60</v>
      </c>
    </row>
    <row r="1512" spans="1:8">
      <c r="A1512" s="62">
        <v>139474831259</v>
      </c>
      <c r="B1512" t="s">
        <v>4</v>
      </c>
      <c r="C1512" s="35" t="s">
        <v>454</v>
      </c>
      <c r="D1512" t="s">
        <v>260</v>
      </c>
      <c r="E1512" s="35" t="s">
        <v>454</v>
      </c>
      <c r="F1512" s="29" t="s">
        <v>262</v>
      </c>
      <c r="G1512" s="36">
        <v>10000</v>
      </c>
      <c r="H1512" s="36">
        <v>60</v>
      </c>
    </row>
    <row r="1513" spans="1:8">
      <c r="A1513" s="62">
        <v>139475371877</v>
      </c>
      <c r="B1513" t="s">
        <v>4</v>
      </c>
      <c r="C1513" s="35" t="s">
        <v>454</v>
      </c>
      <c r="D1513" t="s">
        <v>260</v>
      </c>
      <c r="E1513" s="35" t="s">
        <v>454</v>
      </c>
      <c r="F1513" s="29" t="s">
        <v>262</v>
      </c>
      <c r="G1513" s="36">
        <v>7500</v>
      </c>
      <c r="H1513" s="36">
        <v>45</v>
      </c>
    </row>
    <row r="1514" spans="1:8">
      <c r="A1514" s="62">
        <v>139476022875</v>
      </c>
      <c r="B1514" t="s">
        <v>4</v>
      </c>
      <c r="C1514" s="35" t="s">
        <v>454</v>
      </c>
      <c r="D1514" t="s">
        <v>260</v>
      </c>
      <c r="E1514" s="35" t="s">
        <v>454</v>
      </c>
      <c r="F1514" s="29" t="s">
        <v>262</v>
      </c>
      <c r="G1514" s="36">
        <v>4800</v>
      </c>
      <c r="H1514" s="36">
        <v>28.8</v>
      </c>
    </row>
    <row r="1515" spans="1:8">
      <c r="A1515" s="62">
        <v>140124023076</v>
      </c>
      <c r="B1515" t="s">
        <v>456</v>
      </c>
      <c r="C1515" s="35" t="s">
        <v>454</v>
      </c>
      <c r="D1515" t="s">
        <v>260</v>
      </c>
      <c r="E1515" s="35" t="s">
        <v>454</v>
      </c>
      <c r="F1515" s="29" t="s">
        <v>262</v>
      </c>
      <c r="G1515" s="36">
        <v>240</v>
      </c>
      <c r="H1515" s="36">
        <v>1.44</v>
      </c>
    </row>
    <row r="1516" spans="1:8">
      <c r="A1516" s="62">
        <v>139476163297</v>
      </c>
      <c r="B1516" t="s">
        <v>4</v>
      </c>
      <c r="C1516" s="35" t="s">
        <v>454</v>
      </c>
      <c r="D1516" t="s">
        <v>260</v>
      </c>
      <c r="E1516" s="35" t="s">
        <v>454</v>
      </c>
      <c r="F1516" s="29" t="s">
        <v>262</v>
      </c>
      <c r="G1516" s="36">
        <v>19000</v>
      </c>
      <c r="H1516" s="36">
        <v>114</v>
      </c>
    </row>
    <row r="1517" spans="1:8">
      <c r="A1517" s="62">
        <v>139476918527</v>
      </c>
      <c r="B1517" t="s">
        <v>457</v>
      </c>
      <c r="C1517" s="35" t="s">
        <v>454</v>
      </c>
      <c r="D1517" t="s">
        <v>260</v>
      </c>
      <c r="E1517" s="35" t="s">
        <v>454</v>
      </c>
      <c r="F1517" s="29" t="s">
        <v>262</v>
      </c>
      <c r="G1517" s="36">
        <v>500</v>
      </c>
      <c r="H1517" s="36">
        <v>3</v>
      </c>
    </row>
    <row r="1518" spans="1:8">
      <c r="A1518" s="62">
        <v>140124952752</v>
      </c>
      <c r="B1518" t="s">
        <v>4</v>
      </c>
      <c r="C1518" s="35" t="s">
        <v>454</v>
      </c>
      <c r="D1518" t="s">
        <v>260</v>
      </c>
      <c r="E1518" s="35" t="s">
        <v>454</v>
      </c>
      <c r="F1518" s="29" t="s">
        <v>262</v>
      </c>
      <c r="G1518" s="36">
        <v>31900</v>
      </c>
      <c r="H1518" s="36">
        <v>191.4</v>
      </c>
    </row>
    <row r="1519" spans="1:8">
      <c r="A1519" s="62">
        <v>140102435218</v>
      </c>
      <c r="B1519" t="s">
        <v>263</v>
      </c>
      <c r="C1519" s="35" t="s">
        <v>454</v>
      </c>
      <c r="D1519" t="s">
        <v>260</v>
      </c>
      <c r="E1519" s="35" t="s">
        <v>454</v>
      </c>
      <c r="F1519" s="29" t="s">
        <v>262</v>
      </c>
      <c r="G1519" s="36">
        <v>19600</v>
      </c>
      <c r="H1519" s="36">
        <v>117.6</v>
      </c>
    </row>
    <row r="1520" spans="1:8">
      <c r="A1520" s="62">
        <v>139478121971</v>
      </c>
      <c r="B1520" t="s">
        <v>4</v>
      </c>
      <c r="C1520" s="35" t="s">
        <v>454</v>
      </c>
      <c r="D1520" t="s">
        <v>260</v>
      </c>
      <c r="E1520" s="35" t="s">
        <v>454</v>
      </c>
      <c r="F1520" s="29" t="s">
        <v>262</v>
      </c>
      <c r="G1520" s="36">
        <v>7300</v>
      </c>
      <c r="H1520" s="36">
        <v>43.8</v>
      </c>
    </row>
    <row r="1521" spans="1:8">
      <c r="A1521" s="62">
        <v>140126690492</v>
      </c>
      <c r="B1521" t="s">
        <v>4</v>
      </c>
      <c r="C1521" s="35" t="s">
        <v>454</v>
      </c>
      <c r="D1521" t="s">
        <v>260</v>
      </c>
      <c r="E1521" s="35" t="s">
        <v>454</v>
      </c>
      <c r="F1521" s="29" t="s">
        <v>262</v>
      </c>
      <c r="G1521" s="36">
        <v>7500</v>
      </c>
      <c r="H1521" s="36">
        <v>45</v>
      </c>
    </row>
    <row r="1522" spans="1:8">
      <c r="A1522" s="62">
        <v>139478863041</v>
      </c>
      <c r="B1522" t="s">
        <v>4</v>
      </c>
      <c r="C1522" s="35" t="s">
        <v>454</v>
      </c>
      <c r="D1522" t="s">
        <v>260</v>
      </c>
      <c r="E1522" s="35" t="s">
        <v>454</v>
      </c>
      <c r="F1522" s="29" t="s">
        <v>262</v>
      </c>
      <c r="G1522" s="36">
        <v>48100</v>
      </c>
      <c r="H1522" s="36">
        <v>288.60000000000002</v>
      </c>
    </row>
    <row r="1523" spans="1:8">
      <c r="A1523" s="62">
        <v>140126955086</v>
      </c>
      <c r="B1523" t="s">
        <v>4</v>
      </c>
      <c r="C1523" s="35" t="s">
        <v>454</v>
      </c>
      <c r="D1523" t="s">
        <v>260</v>
      </c>
      <c r="E1523" s="35" t="s">
        <v>454</v>
      </c>
      <c r="F1523" s="29" t="s">
        <v>262</v>
      </c>
      <c r="G1523" s="36">
        <v>41700</v>
      </c>
      <c r="H1523" s="36">
        <v>250.2</v>
      </c>
    </row>
    <row r="1524" spans="1:8">
      <c r="A1524" s="62">
        <v>140127339266</v>
      </c>
      <c r="B1524" t="s">
        <v>263</v>
      </c>
      <c r="C1524" s="35" t="s">
        <v>454</v>
      </c>
      <c r="D1524" t="s">
        <v>260</v>
      </c>
      <c r="E1524" s="35" t="s">
        <v>454</v>
      </c>
      <c r="F1524" s="29" t="s">
        <v>262</v>
      </c>
      <c r="G1524" s="36">
        <v>4800</v>
      </c>
      <c r="H1524" s="36">
        <v>28.8</v>
      </c>
    </row>
    <row r="1525" spans="1:8">
      <c r="A1525" s="62">
        <v>140128375658</v>
      </c>
      <c r="B1525" t="s">
        <v>4</v>
      </c>
      <c r="C1525" s="35" t="s">
        <v>454</v>
      </c>
      <c r="D1525" t="s">
        <v>260</v>
      </c>
      <c r="E1525" s="35" t="s">
        <v>458</v>
      </c>
      <c r="F1525" s="29" t="s">
        <v>262</v>
      </c>
      <c r="G1525" s="36">
        <v>8600</v>
      </c>
      <c r="H1525" s="36">
        <v>51.6</v>
      </c>
    </row>
    <row r="1526" spans="1:8">
      <c r="A1526" s="62">
        <v>139480876737</v>
      </c>
      <c r="B1526" t="s">
        <v>459</v>
      </c>
      <c r="C1526" s="35" t="s">
        <v>454</v>
      </c>
      <c r="D1526" t="s">
        <v>260</v>
      </c>
      <c r="E1526" s="35" t="s">
        <v>458</v>
      </c>
      <c r="F1526" s="29" t="s">
        <v>262</v>
      </c>
      <c r="G1526" s="36">
        <v>500</v>
      </c>
      <c r="H1526" s="36">
        <v>3</v>
      </c>
    </row>
    <row r="1527" spans="1:8">
      <c r="A1527" s="62">
        <v>140105601398</v>
      </c>
      <c r="B1527" t="s">
        <v>4</v>
      </c>
      <c r="C1527" s="35" t="s">
        <v>454</v>
      </c>
      <c r="D1527" t="s">
        <v>260</v>
      </c>
      <c r="E1527" s="35" t="s">
        <v>454</v>
      </c>
      <c r="F1527" s="29" t="s">
        <v>262</v>
      </c>
      <c r="G1527" s="36">
        <v>36000</v>
      </c>
      <c r="H1527" s="36">
        <v>216</v>
      </c>
    </row>
    <row r="1528" spans="1:8">
      <c r="A1528" s="62">
        <v>140129225334</v>
      </c>
      <c r="B1528" t="s">
        <v>263</v>
      </c>
      <c r="C1528" s="35" t="s">
        <v>454</v>
      </c>
      <c r="D1528" t="s">
        <v>260</v>
      </c>
      <c r="E1528" s="35" t="s">
        <v>458</v>
      </c>
      <c r="F1528" s="29" t="s">
        <v>262</v>
      </c>
      <c r="G1528" s="36">
        <v>5000</v>
      </c>
      <c r="H1528" s="36">
        <v>30</v>
      </c>
    </row>
    <row r="1529" spans="1:8">
      <c r="A1529" s="62">
        <v>140129793484</v>
      </c>
      <c r="B1529" t="s">
        <v>4</v>
      </c>
      <c r="C1529" s="35" t="s">
        <v>454</v>
      </c>
      <c r="D1529" t="s">
        <v>260</v>
      </c>
      <c r="E1529" s="35" t="s">
        <v>458</v>
      </c>
      <c r="F1529" s="29" t="s">
        <v>262</v>
      </c>
      <c r="G1529" s="36">
        <v>7900</v>
      </c>
      <c r="H1529" s="36">
        <v>47.4</v>
      </c>
    </row>
    <row r="1530" spans="1:8">
      <c r="A1530" s="62">
        <v>139482363759</v>
      </c>
      <c r="B1530" t="s">
        <v>4</v>
      </c>
      <c r="C1530" s="35" t="s">
        <v>454</v>
      </c>
      <c r="D1530" t="s">
        <v>260</v>
      </c>
      <c r="E1530" s="35" t="s">
        <v>458</v>
      </c>
      <c r="F1530" s="29" t="s">
        <v>262</v>
      </c>
      <c r="G1530" s="36">
        <v>5500</v>
      </c>
      <c r="H1530" s="36">
        <v>33</v>
      </c>
    </row>
    <row r="1531" spans="1:8">
      <c r="A1531" s="62">
        <v>140130674408</v>
      </c>
      <c r="B1531" t="s">
        <v>4</v>
      </c>
      <c r="C1531" s="35" t="s">
        <v>454</v>
      </c>
      <c r="D1531" t="s">
        <v>260</v>
      </c>
      <c r="E1531" s="35" t="s">
        <v>458</v>
      </c>
      <c r="F1531" s="29" t="s">
        <v>262</v>
      </c>
      <c r="G1531" s="36">
        <v>4900</v>
      </c>
      <c r="H1531" s="36">
        <v>29.4</v>
      </c>
    </row>
    <row r="1532" spans="1:8">
      <c r="A1532" s="62">
        <v>139483146433</v>
      </c>
      <c r="B1532" t="s">
        <v>4</v>
      </c>
      <c r="C1532" s="35" t="s">
        <v>454</v>
      </c>
      <c r="D1532" t="s">
        <v>260</v>
      </c>
      <c r="E1532" s="35" t="s">
        <v>458</v>
      </c>
      <c r="F1532" s="29" t="s">
        <v>262</v>
      </c>
      <c r="G1532" s="36">
        <v>48300</v>
      </c>
      <c r="H1532" s="36">
        <v>289.8</v>
      </c>
    </row>
    <row r="1533" spans="1:8">
      <c r="A1533" s="62">
        <v>139483492351</v>
      </c>
      <c r="B1533" t="s">
        <v>263</v>
      </c>
      <c r="C1533" s="35" t="s">
        <v>458</v>
      </c>
      <c r="D1533" t="s">
        <v>260</v>
      </c>
      <c r="E1533" s="35" t="s">
        <v>458</v>
      </c>
      <c r="F1533" s="29" t="s">
        <v>262</v>
      </c>
      <c r="G1533" s="36">
        <v>11000</v>
      </c>
      <c r="H1533" s="36">
        <v>66</v>
      </c>
    </row>
    <row r="1534" spans="1:8">
      <c r="A1534" s="62">
        <v>139460219937</v>
      </c>
      <c r="B1534" t="s">
        <v>4</v>
      </c>
      <c r="C1534" s="35" t="s">
        <v>454</v>
      </c>
      <c r="D1534" t="s">
        <v>260</v>
      </c>
      <c r="E1534" s="35" t="s">
        <v>454</v>
      </c>
      <c r="F1534" s="29" t="s">
        <v>262</v>
      </c>
      <c r="G1534" s="36">
        <v>5000</v>
      </c>
      <c r="H1534" s="36">
        <v>30</v>
      </c>
    </row>
    <row r="1535" spans="1:8">
      <c r="A1535" s="62">
        <v>139484535079</v>
      </c>
      <c r="B1535" t="s">
        <v>4</v>
      </c>
      <c r="C1535" s="35" t="s">
        <v>458</v>
      </c>
      <c r="D1535" t="s">
        <v>260</v>
      </c>
      <c r="E1535" s="35" t="s">
        <v>458</v>
      </c>
      <c r="F1535" s="29" t="s">
        <v>262</v>
      </c>
      <c r="G1535" s="36">
        <v>24200</v>
      </c>
      <c r="H1535" s="36">
        <v>145.19999999999999</v>
      </c>
    </row>
    <row r="1536" spans="1:8">
      <c r="A1536" s="62">
        <v>140132881300</v>
      </c>
      <c r="B1536" t="s">
        <v>4</v>
      </c>
      <c r="C1536" s="35" t="s">
        <v>458</v>
      </c>
      <c r="D1536" t="s">
        <v>260</v>
      </c>
      <c r="E1536" s="35" t="s">
        <v>458</v>
      </c>
      <c r="F1536" s="29" t="s">
        <v>262</v>
      </c>
      <c r="G1536" s="36">
        <v>16300</v>
      </c>
      <c r="H1536" s="36">
        <v>97.8</v>
      </c>
    </row>
    <row r="1537" spans="1:8">
      <c r="A1537" s="62">
        <v>139484972295</v>
      </c>
      <c r="B1537" t="s">
        <v>4</v>
      </c>
      <c r="C1537" s="35" t="s">
        <v>458</v>
      </c>
      <c r="D1537" t="s">
        <v>260</v>
      </c>
      <c r="E1537" s="35" t="s">
        <v>458</v>
      </c>
      <c r="F1537" s="29" t="s">
        <v>262</v>
      </c>
      <c r="G1537" s="36">
        <v>32100</v>
      </c>
      <c r="H1537" s="36">
        <v>192.6</v>
      </c>
    </row>
    <row r="1538" spans="1:8">
      <c r="A1538" s="62">
        <v>140133204838</v>
      </c>
      <c r="B1538" t="s">
        <v>4</v>
      </c>
      <c r="C1538" s="35" t="s">
        <v>458</v>
      </c>
      <c r="D1538" t="s">
        <v>260</v>
      </c>
      <c r="E1538" s="35" t="s">
        <v>458</v>
      </c>
      <c r="F1538" s="29" t="s">
        <v>262</v>
      </c>
      <c r="G1538" s="36">
        <v>7900</v>
      </c>
      <c r="H1538" s="36">
        <v>47.4</v>
      </c>
    </row>
    <row r="1539" spans="1:8">
      <c r="A1539" s="62">
        <v>139485340871</v>
      </c>
      <c r="B1539" t="s">
        <v>263</v>
      </c>
      <c r="C1539" s="35" t="s">
        <v>458</v>
      </c>
      <c r="D1539" t="s">
        <v>260</v>
      </c>
      <c r="E1539" s="35" t="s">
        <v>458</v>
      </c>
      <c r="F1539" s="29" t="s">
        <v>262</v>
      </c>
      <c r="G1539" s="36">
        <v>2500</v>
      </c>
      <c r="H1539" s="36">
        <v>15</v>
      </c>
    </row>
    <row r="1540" spans="1:8">
      <c r="A1540" s="62">
        <v>139485632399</v>
      </c>
      <c r="B1540" t="s">
        <v>263</v>
      </c>
      <c r="C1540" s="35" t="s">
        <v>458</v>
      </c>
      <c r="D1540" t="s">
        <v>260</v>
      </c>
      <c r="E1540" s="35" t="s">
        <v>458</v>
      </c>
      <c r="F1540" s="29" t="s">
        <v>262</v>
      </c>
      <c r="G1540" s="36">
        <v>10400</v>
      </c>
      <c r="H1540" s="36">
        <v>62.4</v>
      </c>
    </row>
    <row r="1541" spans="1:8">
      <c r="A1541" s="62">
        <v>140133653336</v>
      </c>
      <c r="B1541" t="s">
        <v>4</v>
      </c>
      <c r="C1541" s="35" t="s">
        <v>458</v>
      </c>
      <c r="D1541" t="s">
        <v>260</v>
      </c>
      <c r="E1541" s="35" t="s">
        <v>458</v>
      </c>
      <c r="F1541" s="29" t="s">
        <v>262</v>
      </c>
      <c r="G1541" s="36">
        <v>14800</v>
      </c>
      <c r="H1541" s="36">
        <v>88.8</v>
      </c>
    </row>
    <row r="1542" spans="1:8">
      <c r="A1542" s="62">
        <v>139485756335</v>
      </c>
      <c r="B1542" t="s">
        <v>4</v>
      </c>
      <c r="C1542" s="35" t="s">
        <v>458</v>
      </c>
      <c r="D1542" t="s">
        <v>260</v>
      </c>
      <c r="E1542" s="35" t="s">
        <v>458</v>
      </c>
      <c r="F1542" s="29" t="s">
        <v>262</v>
      </c>
      <c r="G1542" s="36">
        <v>26500</v>
      </c>
      <c r="H1542" s="36">
        <v>159</v>
      </c>
    </row>
    <row r="1543" spans="1:8">
      <c r="A1543" s="62">
        <v>140133811442</v>
      </c>
      <c r="B1543" t="s">
        <v>460</v>
      </c>
      <c r="C1543" s="35" t="s">
        <v>458</v>
      </c>
      <c r="D1543" t="s">
        <v>260</v>
      </c>
      <c r="E1543" s="35" t="s">
        <v>458</v>
      </c>
      <c r="F1543" s="29" t="s">
        <v>262</v>
      </c>
      <c r="G1543" s="36">
        <v>735</v>
      </c>
      <c r="H1543" s="36">
        <v>4.41</v>
      </c>
    </row>
    <row r="1544" spans="1:8">
      <c r="A1544" s="62">
        <v>140133910726</v>
      </c>
      <c r="B1544" t="s">
        <v>4</v>
      </c>
      <c r="C1544" s="35" t="s">
        <v>458</v>
      </c>
      <c r="D1544" t="s">
        <v>260</v>
      </c>
      <c r="E1544" s="35" t="s">
        <v>458</v>
      </c>
      <c r="F1544" s="29" t="s">
        <v>262</v>
      </c>
      <c r="G1544" s="36">
        <v>14700</v>
      </c>
      <c r="H1544" s="36">
        <v>88.2</v>
      </c>
    </row>
    <row r="1545" spans="1:8">
      <c r="A1545" s="62">
        <v>139485954691</v>
      </c>
      <c r="B1545" t="s">
        <v>4</v>
      </c>
      <c r="C1545" s="35" t="s">
        <v>458</v>
      </c>
      <c r="D1545" t="s">
        <v>260</v>
      </c>
      <c r="E1545" s="35" t="s">
        <v>458</v>
      </c>
      <c r="F1545" s="29" t="s">
        <v>262</v>
      </c>
      <c r="G1545" s="36">
        <v>7500</v>
      </c>
      <c r="H1545" s="36">
        <v>45</v>
      </c>
    </row>
    <row r="1546" spans="1:8">
      <c r="A1546" s="62">
        <v>140133851874</v>
      </c>
      <c r="B1546" t="s">
        <v>461</v>
      </c>
      <c r="C1546" s="35" t="s">
        <v>458</v>
      </c>
      <c r="D1546" t="s">
        <v>260</v>
      </c>
      <c r="E1546" s="35" t="s">
        <v>458</v>
      </c>
      <c r="F1546" s="29" t="s">
        <v>262</v>
      </c>
      <c r="G1546" s="36">
        <v>480</v>
      </c>
      <c r="H1546" s="36">
        <v>2.88</v>
      </c>
    </row>
    <row r="1547" spans="1:8">
      <c r="A1547" s="62">
        <v>140133907214</v>
      </c>
      <c r="B1547" t="s">
        <v>4</v>
      </c>
      <c r="C1547" s="35" t="s">
        <v>458</v>
      </c>
      <c r="D1547" t="s">
        <v>260</v>
      </c>
      <c r="E1547" s="35" t="s">
        <v>458</v>
      </c>
      <c r="F1547" s="29" t="s">
        <v>262</v>
      </c>
      <c r="G1547" s="36">
        <v>9600</v>
      </c>
      <c r="H1547" s="36">
        <v>57.6</v>
      </c>
    </row>
    <row r="1548" spans="1:8">
      <c r="A1548" s="62">
        <v>139486142195</v>
      </c>
      <c r="B1548" t="s">
        <v>4</v>
      </c>
      <c r="C1548" s="35" t="s">
        <v>458</v>
      </c>
      <c r="D1548" t="s">
        <v>260</v>
      </c>
      <c r="E1548" s="35" t="s">
        <v>458</v>
      </c>
      <c r="F1548" s="29" t="s">
        <v>262</v>
      </c>
      <c r="G1548" s="36">
        <v>40200</v>
      </c>
      <c r="H1548" s="36">
        <v>241.2</v>
      </c>
    </row>
    <row r="1549" spans="1:8">
      <c r="A1549" s="62">
        <v>140111554838</v>
      </c>
      <c r="B1549" t="s">
        <v>4</v>
      </c>
      <c r="C1549" s="35" t="s">
        <v>454</v>
      </c>
      <c r="D1549" t="s">
        <v>260</v>
      </c>
      <c r="E1549" s="35" t="s">
        <v>454</v>
      </c>
      <c r="F1549" s="29" t="s">
        <v>262</v>
      </c>
      <c r="G1549" s="36">
        <v>16700</v>
      </c>
      <c r="H1549" s="36">
        <v>100.2</v>
      </c>
    </row>
    <row r="1550" spans="1:8">
      <c r="A1550" s="62">
        <v>139486025795</v>
      </c>
      <c r="B1550" t="s">
        <v>4</v>
      </c>
      <c r="C1550" s="35" t="s">
        <v>458</v>
      </c>
      <c r="D1550" t="s">
        <v>260</v>
      </c>
      <c r="E1550" s="35" t="s">
        <v>458</v>
      </c>
      <c r="F1550" s="29" t="s">
        <v>262</v>
      </c>
      <c r="G1550" s="36">
        <v>12600</v>
      </c>
      <c r="H1550" s="36">
        <v>75.599999999999994</v>
      </c>
    </row>
    <row r="1551" spans="1:8">
      <c r="A1551" s="62">
        <v>140134313280</v>
      </c>
      <c r="B1551" t="s">
        <v>4</v>
      </c>
      <c r="C1551" s="35" t="s">
        <v>458</v>
      </c>
      <c r="D1551" t="s">
        <v>260</v>
      </c>
      <c r="E1551" s="35" t="s">
        <v>458</v>
      </c>
      <c r="F1551" s="29" t="s">
        <v>262</v>
      </c>
      <c r="G1551" s="36">
        <v>40200</v>
      </c>
      <c r="H1551" s="36">
        <v>241.2</v>
      </c>
    </row>
    <row r="1552" spans="1:8">
      <c r="A1552" s="62">
        <v>140134432862</v>
      </c>
      <c r="B1552" t="s">
        <v>263</v>
      </c>
      <c r="C1552" s="35" t="s">
        <v>458</v>
      </c>
      <c r="D1552" t="s">
        <v>260</v>
      </c>
      <c r="E1552" s="35" t="s">
        <v>458</v>
      </c>
      <c r="F1552" s="29" t="s">
        <v>262</v>
      </c>
      <c r="G1552" s="36">
        <v>239500</v>
      </c>
      <c r="H1552" s="36">
        <v>1437</v>
      </c>
    </row>
    <row r="1553" spans="1:8">
      <c r="A1553" s="62">
        <v>139486404629</v>
      </c>
      <c r="B1553" t="s">
        <v>4</v>
      </c>
      <c r="C1553" s="35" t="s">
        <v>458</v>
      </c>
      <c r="D1553" t="s">
        <v>260</v>
      </c>
      <c r="E1553" s="35" t="s">
        <v>458</v>
      </c>
      <c r="F1553" s="29" t="s">
        <v>262</v>
      </c>
      <c r="G1553" s="36">
        <v>3400</v>
      </c>
      <c r="H1553" s="36">
        <v>20.399999999999999</v>
      </c>
    </row>
    <row r="1554" spans="1:8">
      <c r="A1554" s="62">
        <v>139486393553</v>
      </c>
      <c r="B1554" t="s">
        <v>4</v>
      </c>
      <c r="C1554" s="35" t="s">
        <v>458</v>
      </c>
      <c r="D1554" t="s">
        <v>260</v>
      </c>
      <c r="E1554" s="35" t="s">
        <v>458</v>
      </c>
      <c r="F1554" s="29" t="s">
        <v>262</v>
      </c>
      <c r="G1554" s="36">
        <v>3800</v>
      </c>
      <c r="H1554" s="36">
        <v>22.8</v>
      </c>
    </row>
    <row r="1555" spans="1:8">
      <c r="A1555" s="62">
        <v>139465107537</v>
      </c>
      <c r="B1555" t="s">
        <v>4</v>
      </c>
      <c r="C1555" s="35" t="s">
        <v>454</v>
      </c>
      <c r="D1555" t="s">
        <v>260</v>
      </c>
      <c r="E1555" s="35" t="s">
        <v>454</v>
      </c>
      <c r="F1555" s="29" t="s">
        <v>262</v>
      </c>
      <c r="G1555" s="36">
        <v>10000</v>
      </c>
      <c r="H1555" s="36">
        <v>60</v>
      </c>
    </row>
    <row r="1556" spans="1:8">
      <c r="A1556" s="62">
        <v>140113726872</v>
      </c>
      <c r="B1556" t="s">
        <v>4</v>
      </c>
      <c r="C1556" s="35" t="s">
        <v>454</v>
      </c>
      <c r="D1556" t="s">
        <v>260</v>
      </c>
      <c r="E1556" s="35" t="s">
        <v>454</v>
      </c>
      <c r="F1556" s="29" t="s">
        <v>262</v>
      </c>
      <c r="G1556" s="36">
        <v>10000</v>
      </c>
      <c r="H1556" s="36">
        <v>60</v>
      </c>
    </row>
    <row r="1557" spans="1:8">
      <c r="A1557" s="62">
        <v>140113621612</v>
      </c>
      <c r="B1557" t="s">
        <v>462</v>
      </c>
      <c r="C1557" s="35" t="s">
        <v>454</v>
      </c>
      <c r="D1557" t="s">
        <v>260</v>
      </c>
      <c r="E1557" s="35" t="s">
        <v>454</v>
      </c>
      <c r="F1557" s="29" t="s">
        <v>262</v>
      </c>
      <c r="G1557" s="36">
        <v>500</v>
      </c>
      <c r="H1557" s="36">
        <v>3</v>
      </c>
    </row>
    <row r="1558" spans="1:8">
      <c r="A1558" s="62">
        <v>139466162181</v>
      </c>
      <c r="B1558" t="s">
        <v>4</v>
      </c>
      <c r="C1558" s="35" t="s">
        <v>454</v>
      </c>
      <c r="D1558" t="s">
        <v>260</v>
      </c>
      <c r="E1558" s="35" t="s">
        <v>454</v>
      </c>
      <c r="F1558" s="29" t="s">
        <v>262</v>
      </c>
      <c r="G1558" s="36">
        <v>20000</v>
      </c>
      <c r="H1558" s="36">
        <v>120</v>
      </c>
    </row>
    <row r="1559" spans="1:8">
      <c r="A1559" s="62">
        <v>139466124447</v>
      </c>
      <c r="B1559" t="s">
        <v>463</v>
      </c>
      <c r="C1559" s="35" t="s">
        <v>454</v>
      </c>
      <c r="D1559" t="s">
        <v>260</v>
      </c>
      <c r="E1559" s="35" t="s">
        <v>454</v>
      </c>
      <c r="F1559" s="29" t="s">
        <v>262</v>
      </c>
      <c r="G1559" s="36">
        <v>1000</v>
      </c>
      <c r="H1559" s="36">
        <v>6</v>
      </c>
    </row>
    <row r="1560" spans="1:8">
      <c r="A1560" s="62">
        <v>140115445908</v>
      </c>
      <c r="B1560" t="s">
        <v>4</v>
      </c>
      <c r="C1560" s="35" t="s">
        <v>454</v>
      </c>
      <c r="D1560" t="s">
        <v>260</v>
      </c>
      <c r="E1560" s="35" t="s">
        <v>454</v>
      </c>
      <c r="F1560" s="29" t="s">
        <v>262</v>
      </c>
      <c r="G1560" s="36">
        <v>11000</v>
      </c>
      <c r="H1560" s="36">
        <v>66</v>
      </c>
    </row>
    <row r="1561" spans="1:8">
      <c r="A1561" s="62">
        <v>140116601668</v>
      </c>
      <c r="B1561" t="s">
        <v>263</v>
      </c>
      <c r="C1561" s="35" t="s">
        <v>454</v>
      </c>
      <c r="D1561" t="s">
        <v>260</v>
      </c>
      <c r="E1561" s="35" t="s">
        <v>454</v>
      </c>
      <c r="F1561" s="29" t="s">
        <v>262</v>
      </c>
      <c r="G1561" s="36">
        <v>19600</v>
      </c>
      <c r="H1561" s="36">
        <v>117.6</v>
      </c>
    </row>
    <row r="1562" spans="1:8">
      <c r="A1562" s="62">
        <v>140116779156</v>
      </c>
      <c r="B1562" t="s">
        <v>4</v>
      </c>
      <c r="C1562" s="35" t="s">
        <v>454</v>
      </c>
      <c r="D1562" t="s">
        <v>260</v>
      </c>
      <c r="E1562" s="35" t="s">
        <v>454</v>
      </c>
      <c r="F1562" s="29" t="s">
        <v>262</v>
      </c>
      <c r="G1562" s="36">
        <v>9600</v>
      </c>
      <c r="H1562" s="36">
        <v>57.6</v>
      </c>
    </row>
    <row r="1563" spans="1:8">
      <c r="A1563" s="62">
        <v>139469521293</v>
      </c>
      <c r="B1563" t="s">
        <v>4</v>
      </c>
      <c r="C1563" s="35" t="s">
        <v>454</v>
      </c>
      <c r="D1563" t="s">
        <v>260</v>
      </c>
      <c r="E1563" s="35" t="s">
        <v>454</v>
      </c>
      <c r="F1563" s="29" t="s">
        <v>262</v>
      </c>
      <c r="G1563" s="36">
        <v>43200</v>
      </c>
      <c r="H1563" s="36">
        <v>259.2</v>
      </c>
    </row>
    <row r="1564" spans="1:8">
      <c r="A1564" s="62">
        <v>139473304409</v>
      </c>
      <c r="B1564" t="s">
        <v>263</v>
      </c>
      <c r="C1564" s="35" t="s">
        <v>454</v>
      </c>
      <c r="D1564" t="s">
        <v>260</v>
      </c>
      <c r="E1564" s="35" t="s">
        <v>454</v>
      </c>
      <c r="F1564" s="29" t="s">
        <v>262</v>
      </c>
      <c r="G1564" s="36">
        <v>7500</v>
      </c>
      <c r="H1564" s="36">
        <v>45</v>
      </c>
    </row>
    <row r="1565" spans="1:8">
      <c r="A1565" s="62">
        <v>139474299533</v>
      </c>
      <c r="B1565" t="s">
        <v>263</v>
      </c>
      <c r="C1565" s="35" t="s">
        <v>454</v>
      </c>
      <c r="D1565" t="s">
        <v>260</v>
      </c>
      <c r="E1565" s="35" t="s">
        <v>454</v>
      </c>
      <c r="F1565" s="29" t="s">
        <v>262</v>
      </c>
      <c r="G1565" s="36">
        <v>5000</v>
      </c>
      <c r="H1565" s="36">
        <v>30</v>
      </c>
    </row>
    <row r="1566" spans="1:8">
      <c r="A1566" s="62">
        <v>139474889257</v>
      </c>
      <c r="B1566" t="s">
        <v>4</v>
      </c>
      <c r="C1566" s="35" t="s">
        <v>454</v>
      </c>
      <c r="D1566" t="s">
        <v>260</v>
      </c>
      <c r="E1566" s="35" t="s">
        <v>454</v>
      </c>
      <c r="F1566" s="29" t="s">
        <v>262</v>
      </c>
      <c r="G1566" s="36">
        <v>28000</v>
      </c>
      <c r="H1566" s="36">
        <v>168</v>
      </c>
    </row>
    <row r="1567" spans="1:8">
      <c r="A1567" s="62">
        <v>139476380341</v>
      </c>
      <c r="B1567" t="s">
        <v>4</v>
      </c>
      <c r="C1567" s="35" t="s">
        <v>454</v>
      </c>
      <c r="D1567" t="s">
        <v>260</v>
      </c>
      <c r="E1567" s="35" t="s">
        <v>454</v>
      </c>
      <c r="F1567" s="29" t="s">
        <v>262</v>
      </c>
      <c r="G1567" s="36">
        <v>15000</v>
      </c>
      <c r="H1567" s="36">
        <v>90</v>
      </c>
    </row>
    <row r="1568" spans="1:8">
      <c r="A1568" s="62">
        <v>139476781595</v>
      </c>
      <c r="B1568" t="s">
        <v>4</v>
      </c>
      <c r="C1568" s="35" t="s">
        <v>454</v>
      </c>
      <c r="D1568" t="s">
        <v>260</v>
      </c>
      <c r="E1568" s="35" t="s">
        <v>454</v>
      </c>
      <c r="F1568" s="29" t="s">
        <v>262</v>
      </c>
      <c r="G1568" s="36">
        <v>10000</v>
      </c>
      <c r="H1568" s="36">
        <v>60</v>
      </c>
    </row>
    <row r="1569" spans="1:8">
      <c r="A1569" s="62">
        <v>139476996191</v>
      </c>
      <c r="B1569" t="s">
        <v>464</v>
      </c>
      <c r="C1569" s="35" t="s">
        <v>454</v>
      </c>
      <c r="D1569" t="s">
        <v>260</v>
      </c>
      <c r="E1569" s="35" t="s">
        <v>454</v>
      </c>
      <c r="F1569" s="29" t="s">
        <v>262</v>
      </c>
      <c r="G1569" s="36">
        <v>3190</v>
      </c>
      <c r="H1569" s="36">
        <v>19.14</v>
      </c>
    </row>
    <row r="1570" spans="1:8">
      <c r="A1570" s="62">
        <v>140125689836</v>
      </c>
      <c r="B1570" t="s">
        <v>263</v>
      </c>
      <c r="C1570" s="35" t="s">
        <v>454</v>
      </c>
      <c r="D1570" t="s">
        <v>260</v>
      </c>
      <c r="E1570" s="35" t="s">
        <v>454</v>
      </c>
      <c r="F1570" s="29" t="s">
        <v>262</v>
      </c>
      <c r="G1570" s="36">
        <v>8000</v>
      </c>
      <c r="H1570" s="36">
        <v>48</v>
      </c>
    </row>
    <row r="1571" spans="1:8">
      <c r="A1571" s="62">
        <v>139478507609</v>
      </c>
      <c r="B1571" t="s">
        <v>465</v>
      </c>
      <c r="C1571" s="35" t="s">
        <v>454</v>
      </c>
      <c r="D1571" t="s">
        <v>260</v>
      </c>
      <c r="E1571" s="35" t="s">
        <v>454</v>
      </c>
      <c r="F1571" s="29" t="s">
        <v>262</v>
      </c>
      <c r="G1571" s="36">
        <v>375</v>
      </c>
      <c r="H1571" s="36">
        <v>2.25</v>
      </c>
    </row>
    <row r="1572" spans="1:8">
      <c r="A1572" s="62">
        <v>139479170537</v>
      </c>
      <c r="B1572" t="s">
        <v>263</v>
      </c>
      <c r="C1572" s="35" t="s">
        <v>454</v>
      </c>
      <c r="D1572" t="s">
        <v>260</v>
      </c>
      <c r="E1572" s="35" t="s">
        <v>454</v>
      </c>
      <c r="F1572" s="29" t="s">
        <v>262</v>
      </c>
      <c r="G1572" s="36">
        <v>32400</v>
      </c>
      <c r="H1572" s="36">
        <v>194.4</v>
      </c>
    </row>
    <row r="1573" spans="1:8">
      <c r="A1573" s="62">
        <v>139480783565</v>
      </c>
      <c r="B1573" t="s">
        <v>4</v>
      </c>
      <c r="C1573" s="35" t="s">
        <v>454</v>
      </c>
      <c r="D1573" t="s">
        <v>260</v>
      </c>
      <c r="E1573" s="35" t="s">
        <v>458</v>
      </c>
      <c r="F1573" s="29" t="s">
        <v>262</v>
      </c>
      <c r="G1573" s="36">
        <v>10000</v>
      </c>
      <c r="H1573" s="36">
        <v>60</v>
      </c>
    </row>
    <row r="1574" spans="1:8">
      <c r="A1574" s="62">
        <v>140129124980</v>
      </c>
      <c r="B1574" t="s">
        <v>263</v>
      </c>
      <c r="C1574" s="35" t="s">
        <v>454</v>
      </c>
      <c r="D1574" t="s">
        <v>260</v>
      </c>
      <c r="E1574" s="35" t="s">
        <v>458</v>
      </c>
      <c r="F1574" s="29" t="s">
        <v>262</v>
      </c>
      <c r="G1574" s="36">
        <v>11000</v>
      </c>
      <c r="H1574" s="36">
        <v>66</v>
      </c>
    </row>
    <row r="1575" spans="1:8">
      <c r="A1575" s="62">
        <v>139481099341</v>
      </c>
      <c r="B1575" t="s">
        <v>263</v>
      </c>
      <c r="C1575" s="35" t="s">
        <v>454</v>
      </c>
      <c r="D1575" t="s">
        <v>260</v>
      </c>
      <c r="E1575" s="35" t="s">
        <v>458</v>
      </c>
      <c r="F1575" s="29" t="s">
        <v>262</v>
      </c>
      <c r="G1575" s="36">
        <v>5000</v>
      </c>
      <c r="H1575" s="36">
        <v>30</v>
      </c>
    </row>
    <row r="1576" spans="1:8">
      <c r="A1576" s="62">
        <v>140129960332</v>
      </c>
      <c r="B1576" t="s">
        <v>466</v>
      </c>
      <c r="C1576" s="35" t="s">
        <v>454</v>
      </c>
      <c r="D1576" t="s">
        <v>260</v>
      </c>
      <c r="E1576" s="35" t="s">
        <v>458</v>
      </c>
      <c r="F1576" s="29" t="s">
        <v>262</v>
      </c>
      <c r="G1576" s="36">
        <v>395</v>
      </c>
      <c r="H1576" s="36">
        <v>2.37</v>
      </c>
    </row>
    <row r="1577" spans="1:8">
      <c r="A1577" s="62">
        <v>139482482409</v>
      </c>
      <c r="B1577" t="s">
        <v>4</v>
      </c>
      <c r="C1577" s="35" t="s">
        <v>454</v>
      </c>
      <c r="D1577" t="s">
        <v>260</v>
      </c>
      <c r="E1577" s="35" t="s">
        <v>458</v>
      </c>
      <c r="F1577" s="29" t="s">
        <v>262</v>
      </c>
      <c r="G1577" s="36">
        <v>5000</v>
      </c>
      <c r="H1577" s="36">
        <v>30</v>
      </c>
    </row>
    <row r="1578" spans="1:8">
      <c r="A1578" s="62">
        <v>139483078587</v>
      </c>
      <c r="B1578" t="s">
        <v>263</v>
      </c>
      <c r="C1578" s="35" t="s">
        <v>454</v>
      </c>
      <c r="D1578" t="s">
        <v>260</v>
      </c>
      <c r="E1578" s="35" t="s">
        <v>458</v>
      </c>
      <c r="F1578" s="29" t="s">
        <v>262</v>
      </c>
      <c r="G1578" s="36">
        <v>24400</v>
      </c>
      <c r="H1578" s="36">
        <v>146.4</v>
      </c>
    </row>
    <row r="1579" spans="1:8">
      <c r="A1579" s="62">
        <v>140131190404</v>
      </c>
      <c r="B1579" t="s">
        <v>467</v>
      </c>
      <c r="C1579" s="35" t="s">
        <v>454</v>
      </c>
      <c r="D1579" t="s">
        <v>260</v>
      </c>
      <c r="E1579" s="35" t="s">
        <v>458</v>
      </c>
      <c r="F1579" s="29" t="s">
        <v>262</v>
      </c>
      <c r="G1579" s="36">
        <v>2415</v>
      </c>
      <c r="H1579" s="36">
        <v>14.49</v>
      </c>
    </row>
    <row r="1580" spans="1:8">
      <c r="A1580" s="62">
        <v>139483278643</v>
      </c>
      <c r="B1580" t="s">
        <v>263</v>
      </c>
      <c r="C1580" s="35" t="s">
        <v>454</v>
      </c>
      <c r="D1580" t="s">
        <v>260</v>
      </c>
      <c r="E1580" s="35" t="s">
        <v>458</v>
      </c>
      <c r="F1580" s="29" t="s">
        <v>262</v>
      </c>
      <c r="G1580" s="36">
        <v>7500</v>
      </c>
      <c r="H1580" s="36">
        <v>45</v>
      </c>
    </row>
    <row r="1581" spans="1:8">
      <c r="A1581" s="62">
        <v>139483504133</v>
      </c>
      <c r="B1581" t="s">
        <v>4</v>
      </c>
      <c r="C1581" s="35" t="s">
        <v>458</v>
      </c>
      <c r="D1581" t="s">
        <v>260</v>
      </c>
      <c r="E1581" s="35" t="s">
        <v>458</v>
      </c>
      <c r="F1581" s="29" t="s">
        <v>262</v>
      </c>
      <c r="G1581" s="36">
        <v>7900</v>
      </c>
      <c r="H1581" s="36">
        <v>47.4</v>
      </c>
    </row>
    <row r="1582" spans="1:8">
      <c r="A1582" s="62">
        <v>139483449131</v>
      </c>
      <c r="B1582" t="s">
        <v>4</v>
      </c>
      <c r="C1582" s="35" t="s">
        <v>458</v>
      </c>
      <c r="D1582" t="s">
        <v>260</v>
      </c>
      <c r="E1582" s="35" t="s">
        <v>458</v>
      </c>
      <c r="F1582" s="29" t="s">
        <v>262</v>
      </c>
      <c r="G1582" s="36">
        <v>4800</v>
      </c>
      <c r="H1582" s="36">
        <v>28.8</v>
      </c>
    </row>
    <row r="1583" spans="1:8">
      <c r="A1583" s="62">
        <v>140132323268</v>
      </c>
      <c r="B1583" t="s">
        <v>4</v>
      </c>
      <c r="C1583" s="35" t="s">
        <v>458</v>
      </c>
      <c r="D1583" t="s">
        <v>260</v>
      </c>
      <c r="E1583" s="35" t="s">
        <v>458</v>
      </c>
      <c r="F1583" s="29" t="s">
        <v>262</v>
      </c>
      <c r="G1583" s="36">
        <v>18100</v>
      </c>
      <c r="H1583" s="36">
        <v>108.6</v>
      </c>
    </row>
    <row r="1584" spans="1:8">
      <c r="A1584" s="62">
        <v>140132565856</v>
      </c>
      <c r="B1584" t="s">
        <v>4</v>
      </c>
      <c r="C1584" s="35" t="s">
        <v>458</v>
      </c>
      <c r="D1584" t="s">
        <v>260</v>
      </c>
      <c r="E1584" s="35" t="s">
        <v>458</v>
      </c>
      <c r="F1584" s="29" t="s">
        <v>262</v>
      </c>
      <c r="G1584" s="36">
        <v>10500</v>
      </c>
      <c r="H1584" s="36">
        <v>63</v>
      </c>
    </row>
    <row r="1585" spans="1:8">
      <c r="A1585" s="62">
        <v>140132858928</v>
      </c>
      <c r="B1585" t="s">
        <v>4</v>
      </c>
      <c r="C1585" s="35" t="s">
        <v>458</v>
      </c>
      <c r="D1585" t="s">
        <v>260</v>
      </c>
      <c r="E1585" s="35" t="s">
        <v>458</v>
      </c>
      <c r="F1585" s="29" t="s">
        <v>262</v>
      </c>
      <c r="G1585" s="36">
        <v>30000</v>
      </c>
      <c r="H1585" s="36">
        <v>180</v>
      </c>
    </row>
    <row r="1586" spans="1:8">
      <c r="A1586" s="62">
        <v>139485224387</v>
      </c>
      <c r="B1586" t="s">
        <v>468</v>
      </c>
      <c r="C1586" s="35" t="s">
        <v>458</v>
      </c>
      <c r="D1586" t="s">
        <v>260</v>
      </c>
      <c r="E1586" s="35" t="s">
        <v>458</v>
      </c>
      <c r="F1586" s="29" t="s">
        <v>262</v>
      </c>
      <c r="G1586" s="36">
        <v>790</v>
      </c>
      <c r="H1586" s="36">
        <v>4.74</v>
      </c>
    </row>
    <row r="1587" spans="1:8">
      <c r="A1587" s="62">
        <v>139485607001</v>
      </c>
      <c r="B1587" t="s">
        <v>263</v>
      </c>
      <c r="C1587" s="35" t="s">
        <v>458</v>
      </c>
      <c r="D1587" t="s">
        <v>260</v>
      </c>
      <c r="E1587" s="35" t="s">
        <v>458</v>
      </c>
      <c r="F1587" s="29" t="s">
        <v>262</v>
      </c>
      <c r="G1587" s="36">
        <v>36300</v>
      </c>
      <c r="H1587" s="36">
        <v>217.8</v>
      </c>
    </row>
    <row r="1588" spans="1:8">
      <c r="A1588" s="62">
        <v>139485730265</v>
      </c>
      <c r="B1588" t="s">
        <v>469</v>
      </c>
      <c r="C1588" s="35" t="s">
        <v>458</v>
      </c>
      <c r="D1588" t="s">
        <v>260</v>
      </c>
      <c r="E1588" s="35" t="s">
        <v>458</v>
      </c>
      <c r="F1588" s="29" t="s">
        <v>262</v>
      </c>
      <c r="G1588" s="36">
        <v>740</v>
      </c>
      <c r="H1588" s="36">
        <v>4.4400000000000004</v>
      </c>
    </row>
    <row r="1589" spans="1:8">
      <c r="A1589" s="62">
        <v>140133896184</v>
      </c>
      <c r="B1589" t="s">
        <v>263</v>
      </c>
      <c r="C1589" s="35" t="s">
        <v>458</v>
      </c>
      <c r="D1589" t="s">
        <v>260</v>
      </c>
      <c r="E1589" s="35" t="s">
        <v>458</v>
      </c>
      <c r="F1589" s="29" t="s">
        <v>262</v>
      </c>
      <c r="G1589" s="36">
        <v>114900</v>
      </c>
      <c r="H1589" s="36">
        <v>689.4</v>
      </c>
    </row>
    <row r="1590" spans="1:8">
      <c r="A1590" s="62">
        <v>140133763234</v>
      </c>
      <c r="B1590" t="s">
        <v>4</v>
      </c>
      <c r="C1590" s="35" t="s">
        <v>458</v>
      </c>
      <c r="D1590" t="s">
        <v>260</v>
      </c>
      <c r="E1590" s="35" t="s">
        <v>458</v>
      </c>
      <c r="F1590" s="29" t="s">
        <v>262</v>
      </c>
      <c r="G1590" s="36">
        <v>19200</v>
      </c>
      <c r="H1590" s="36">
        <v>115.2</v>
      </c>
    </row>
    <row r="1591" spans="1:8">
      <c r="A1591" s="62">
        <v>139485908731</v>
      </c>
      <c r="B1591" t="s">
        <v>4</v>
      </c>
      <c r="C1591" s="35" t="s">
        <v>458</v>
      </c>
      <c r="D1591" t="s">
        <v>260</v>
      </c>
      <c r="E1591" s="35" t="s">
        <v>458</v>
      </c>
      <c r="F1591" s="29" t="s">
        <v>262</v>
      </c>
      <c r="G1591" s="36">
        <v>81400</v>
      </c>
      <c r="H1591" s="36">
        <v>488.4</v>
      </c>
    </row>
    <row r="1592" spans="1:8">
      <c r="A1592" s="62">
        <v>140133989406</v>
      </c>
      <c r="B1592" t="s">
        <v>4</v>
      </c>
      <c r="C1592" s="35" t="s">
        <v>458</v>
      </c>
      <c r="D1592" t="s">
        <v>260</v>
      </c>
      <c r="E1592" s="35" t="s">
        <v>458</v>
      </c>
      <c r="F1592" s="29" t="s">
        <v>262</v>
      </c>
      <c r="G1592" s="36">
        <v>84100</v>
      </c>
      <c r="H1592" s="36">
        <v>504.6</v>
      </c>
    </row>
    <row r="1593" spans="1:8">
      <c r="A1593" s="62">
        <v>139486182203</v>
      </c>
      <c r="B1593" t="s">
        <v>4</v>
      </c>
      <c r="C1593" s="35" t="s">
        <v>458</v>
      </c>
      <c r="D1593" t="s">
        <v>260</v>
      </c>
      <c r="E1593" s="35" t="s">
        <v>458</v>
      </c>
      <c r="F1593" s="29" t="s">
        <v>262</v>
      </c>
      <c r="G1593" s="36">
        <v>36500</v>
      </c>
      <c r="H1593" s="36">
        <v>219</v>
      </c>
    </row>
    <row r="1594" spans="1:8">
      <c r="A1594" s="62">
        <v>140134110924</v>
      </c>
      <c r="B1594" t="s">
        <v>263</v>
      </c>
      <c r="C1594" s="35" t="s">
        <v>458</v>
      </c>
      <c r="D1594" t="s">
        <v>260</v>
      </c>
      <c r="E1594" s="35" t="s">
        <v>458</v>
      </c>
      <c r="F1594" s="29" t="s">
        <v>262</v>
      </c>
      <c r="G1594" s="36">
        <v>5000</v>
      </c>
      <c r="H1594" s="36">
        <v>30</v>
      </c>
    </row>
    <row r="1595" spans="1:8">
      <c r="A1595" s="62">
        <v>140134031710</v>
      </c>
      <c r="B1595" t="s">
        <v>4</v>
      </c>
      <c r="C1595" s="35" t="s">
        <v>458</v>
      </c>
      <c r="D1595" t="s">
        <v>260</v>
      </c>
      <c r="E1595" s="35" t="s">
        <v>458</v>
      </c>
      <c r="F1595" s="29" t="s">
        <v>262</v>
      </c>
      <c r="G1595" s="36">
        <v>4900</v>
      </c>
      <c r="H1595" s="36">
        <v>29.4</v>
      </c>
    </row>
    <row r="1596" spans="1:8">
      <c r="A1596" s="62">
        <v>139486246871</v>
      </c>
      <c r="B1596" t="s">
        <v>4</v>
      </c>
      <c r="C1596" s="35" t="s">
        <v>458</v>
      </c>
      <c r="D1596" t="s">
        <v>260</v>
      </c>
      <c r="E1596" s="35" t="s">
        <v>458</v>
      </c>
      <c r="F1596" s="29" t="s">
        <v>262</v>
      </c>
      <c r="G1596" s="36">
        <v>8000</v>
      </c>
      <c r="H1596" s="36">
        <v>48</v>
      </c>
    </row>
    <row r="1597" spans="1:8">
      <c r="B1597" s="35"/>
      <c r="D1597" s="35"/>
      <c r="E1597" s="35"/>
      <c r="F1597" s="29"/>
      <c r="G1597" s="36"/>
      <c r="H1597" s="36"/>
    </row>
    <row r="1598" spans="1:8">
      <c r="G1598" s="63">
        <f>SUM(G20:G1597)</f>
        <v>52306113.609999992</v>
      </c>
      <c r="H1598" s="63">
        <f>SUM(H20:H1597)</f>
        <v>313836.65999999939</v>
      </c>
    </row>
    <row r="1601" spans="1:9">
      <c r="A1601" s="62">
        <v>137621114436</v>
      </c>
      <c r="B1601" t="s">
        <v>4</v>
      </c>
      <c r="C1601" s="35" t="s">
        <v>327</v>
      </c>
      <c r="D1601" t="s">
        <v>260</v>
      </c>
      <c r="E1601" s="35" t="s">
        <v>327</v>
      </c>
      <c r="F1601" s="29" t="s">
        <v>262</v>
      </c>
      <c r="G1601" s="36">
        <v>44999</v>
      </c>
      <c r="H1601" s="36">
        <v>269.99</v>
      </c>
      <c r="I1601" t="s">
        <v>1303</v>
      </c>
    </row>
  </sheetData>
  <mergeCells count="5">
    <mergeCell ref="A1:H1"/>
    <mergeCell ref="A13:D13"/>
    <mergeCell ref="A15:D15"/>
    <mergeCell ref="A18:D18"/>
    <mergeCell ref="E18:H18"/>
  </mergeCells>
  <hyperlinks>
    <hyperlink ref="A13:D13" r:id="rId1" location="from-section=bitacora" display="Encuentra los movimientos de dinero en tu cuenta de Mercado Pago, en informes de balance.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BA95-02CE-44D4-9FB2-FF78DED967E2}">
  <dimension ref="A1:M1616"/>
  <sheetViews>
    <sheetView workbookViewId="0">
      <selection activeCell="L5" sqref="L5"/>
    </sheetView>
  </sheetViews>
  <sheetFormatPr defaultRowHeight="14.25"/>
  <cols>
    <col min="1" max="1" width="15.3984375" bestFit="1" customWidth="1"/>
    <col min="2" max="2" width="73.53125" bestFit="1" customWidth="1"/>
    <col min="3" max="3" width="12.86328125" bestFit="1" customWidth="1"/>
    <col min="4" max="4" width="25.9296875" bestFit="1" customWidth="1"/>
    <col min="5" max="6" width="16.46484375" bestFit="1" customWidth="1"/>
    <col min="7" max="7" width="29.3984375" bestFit="1" customWidth="1"/>
    <col min="8" max="8" width="13.796875" bestFit="1" customWidth="1"/>
    <col min="9" max="9" width="9.265625" customWidth="1"/>
    <col min="13" max="13" width="12.33203125" bestFit="1" customWidth="1"/>
  </cols>
  <sheetData>
    <row r="1" spans="1:13">
      <c r="A1" t="s">
        <v>0</v>
      </c>
      <c r="B1" t="s">
        <v>1</v>
      </c>
      <c r="C1" s="51" t="s">
        <v>2</v>
      </c>
      <c r="D1" t="s">
        <v>3</v>
      </c>
      <c r="G1" s="16"/>
      <c r="H1" s="16"/>
      <c r="I1" s="16"/>
      <c r="J1" s="16"/>
      <c r="K1" s="16"/>
      <c r="L1" s="16"/>
      <c r="M1" s="16"/>
    </row>
    <row r="2" spans="1:13">
      <c r="A2" s="1">
        <v>20952879.02</v>
      </c>
      <c r="B2" s="1">
        <v>37229763.950000003</v>
      </c>
      <c r="C2" s="51">
        <v>-46195594.939999998</v>
      </c>
      <c r="D2" s="1">
        <v>11987048.029999999</v>
      </c>
      <c r="G2" s="16"/>
      <c r="H2" s="16"/>
      <c r="I2" s="16"/>
      <c r="J2" s="16"/>
      <c r="K2" s="16"/>
      <c r="L2" s="16"/>
      <c r="M2" s="16"/>
    </row>
    <row r="3" spans="1:13">
      <c r="A3" t="s">
        <v>4</v>
      </c>
      <c r="C3" s="51"/>
      <c r="G3" s="16"/>
      <c r="H3" s="16"/>
      <c r="I3" s="16"/>
      <c r="J3" s="16"/>
      <c r="K3" s="16"/>
      <c r="L3" s="16"/>
      <c r="M3" s="16"/>
    </row>
    <row r="4" spans="1:13">
      <c r="A4" t="s">
        <v>5</v>
      </c>
      <c r="B4" t="s">
        <v>6</v>
      </c>
      <c r="C4" s="51" t="s">
        <v>7</v>
      </c>
      <c r="D4" t="s">
        <v>8</v>
      </c>
      <c r="E4" t="s">
        <v>9</v>
      </c>
      <c r="F4" s="16" t="s">
        <v>1236</v>
      </c>
      <c r="G4" s="16" t="s">
        <v>1237</v>
      </c>
      <c r="H4" s="16" t="s">
        <v>1238</v>
      </c>
      <c r="I4" s="16" t="s">
        <v>1239</v>
      </c>
      <c r="J4" s="16" t="s">
        <v>1240</v>
      </c>
      <c r="K4" s="16" t="s">
        <v>1241</v>
      </c>
      <c r="L4" s="16" t="s">
        <v>1242</v>
      </c>
      <c r="M4" s="52" t="s">
        <v>1243</v>
      </c>
    </row>
    <row r="5" spans="1:13">
      <c r="A5" t="s">
        <v>10</v>
      </c>
      <c r="B5" t="s">
        <v>11</v>
      </c>
      <c r="C5" s="51">
        <v>135329078135</v>
      </c>
      <c r="D5" s="1">
        <v>19388.57</v>
      </c>
      <c r="E5" s="1">
        <v>20972267.59</v>
      </c>
      <c r="F5" t="s">
        <v>1280</v>
      </c>
      <c r="I5" s="16"/>
      <c r="J5" s="68"/>
      <c r="K5" s="68"/>
      <c r="L5" s="68"/>
      <c r="M5" s="74">
        <f>+D5-I5-J5-K5-L5</f>
        <v>19388.57</v>
      </c>
    </row>
    <row r="6" spans="1:13">
      <c r="A6" t="s">
        <v>10</v>
      </c>
      <c r="B6" t="s">
        <v>11</v>
      </c>
      <c r="C6" s="51">
        <v>135329349869</v>
      </c>
      <c r="D6" s="1">
        <v>37599.06</v>
      </c>
      <c r="E6" s="1">
        <v>21009866.649999999</v>
      </c>
      <c r="F6" t="s">
        <v>1280</v>
      </c>
      <c r="I6" s="16"/>
      <c r="J6" s="68"/>
      <c r="K6" s="68"/>
      <c r="L6" s="68"/>
      <c r="M6" s="74">
        <f t="shared" ref="M6:M12" si="0">+D6-I6-J6-K6-L6</f>
        <v>37599.06</v>
      </c>
    </row>
    <row r="7" spans="1:13">
      <c r="A7" t="s">
        <v>10</v>
      </c>
      <c r="B7" t="s">
        <v>11</v>
      </c>
      <c r="C7" s="51">
        <v>135945633656</v>
      </c>
      <c r="D7" s="1">
        <v>8184.12</v>
      </c>
      <c r="E7" s="1">
        <v>21018050.77</v>
      </c>
      <c r="F7" t="s">
        <v>1280</v>
      </c>
      <c r="I7" s="16"/>
      <c r="J7" s="68"/>
      <c r="K7" s="68"/>
      <c r="L7" s="68"/>
      <c r="M7" s="74">
        <f t="shared" si="0"/>
        <v>8184.12</v>
      </c>
    </row>
    <row r="8" spans="1:13">
      <c r="A8" t="s">
        <v>10</v>
      </c>
      <c r="B8" t="s">
        <v>11</v>
      </c>
      <c r="C8" s="51">
        <v>135945997406</v>
      </c>
      <c r="D8" s="1">
        <v>12276.18</v>
      </c>
      <c r="E8" s="1">
        <v>21030326.949999999</v>
      </c>
      <c r="F8" t="s">
        <v>1280</v>
      </c>
      <c r="I8" s="16"/>
      <c r="J8" s="68"/>
      <c r="K8" s="68"/>
      <c r="L8" s="68"/>
      <c r="M8" s="74">
        <f t="shared" si="0"/>
        <v>12276.18</v>
      </c>
    </row>
    <row r="9" spans="1:13">
      <c r="A9" t="s">
        <v>10</v>
      </c>
      <c r="B9" t="s">
        <v>11</v>
      </c>
      <c r="C9" s="51">
        <v>135330440377</v>
      </c>
      <c r="D9" s="1">
        <v>55242.81</v>
      </c>
      <c r="E9" s="1">
        <v>21085569.760000002</v>
      </c>
      <c r="F9" t="s">
        <v>1280</v>
      </c>
      <c r="I9" s="16"/>
      <c r="J9" s="68"/>
      <c r="K9" s="68"/>
      <c r="L9" s="68"/>
      <c r="M9" s="74">
        <f t="shared" si="0"/>
        <v>55242.81</v>
      </c>
    </row>
    <row r="10" spans="1:13">
      <c r="A10" t="s">
        <v>10</v>
      </c>
      <c r="B10" t="s">
        <v>11</v>
      </c>
      <c r="C10" s="51">
        <v>135330988071</v>
      </c>
      <c r="D10" s="1">
        <v>47518.41</v>
      </c>
      <c r="E10" s="1">
        <v>21133088.170000002</v>
      </c>
      <c r="F10" t="s">
        <v>1280</v>
      </c>
      <c r="I10" s="16"/>
      <c r="J10" s="68"/>
      <c r="K10" s="68"/>
      <c r="L10" s="68"/>
      <c r="M10" s="74">
        <f t="shared" si="0"/>
        <v>47518.41</v>
      </c>
    </row>
    <row r="11" spans="1:13">
      <c r="A11" t="s">
        <v>10</v>
      </c>
      <c r="B11" t="s">
        <v>11</v>
      </c>
      <c r="C11" s="51">
        <v>135331302959</v>
      </c>
      <c r="D11" s="1">
        <v>16368.24</v>
      </c>
      <c r="E11" s="1">
        <v>21149456.41</v>
      </c>
      <c r="F11" t="s">
        <v>1280</v>
      </c>
      <c r="I11" s="16"/>
      <c r="J11" s="68"/>
      <c r="K11" s="68"/>
      <c r="L11" s="68"/>
      <c r="M11" s="74">
        <f t="shared" si="0"/>
        <v>16368.24</v>
      </c>
    </row>
    <row r="12" spans="1:13">
      <c r="A12" t="s">
        <v>10</v>
      </c>
      <c r="B12" t="s">
        <v>11</v>
      </c>
      <c r="C12" s="51">
        <v>135949105672</v>
      </c>
      <c r="D12" s="1">
        <v>9840.43</v>
      </c>
      <c r="E12" s="1">
        <v>21159296.84</v>
      </c>
      <c r="F12" t="s">
        <v>1280</v>
      </c>
      <c r="I12" s="16"/>
      <c r="J12" s="68"/>
      <c r="K12" s="68"/>
      <c r="L12" s="68"/>
      <c r="M12" s="74">
        <f t="shared" si="0"/>
        <v>9840.43</v>
      </c>
    </row>
    <row r="13" spans="1:13">
      <c r="A13" s="59" t="s">
        <v>10</v>
      </c>
      <c r="B13" s="59" t="s">
        <v>13</v>
      </c>
      <c r="C13" s="65">
        <v>135362543637</v>
      </c>
      <c r="D13" s="66">
        <v>-3309.17</v>
      </c>
      <c r="E13" s="1">
        <v>20202058.75</v>
      </c>
      <c r="F13" s="59" t="s">
        <v>1242</v>
      </c>
      <c r="G13" s="67">
        <f>+D13/0.006</f>
        <v>-551528.33333333337</v>
      </c>
      <c r="H13" s="67"/>
      <c r="I13" s="16"/>
      <c r="J13" s="68"/>
      <c r="K13" s="68"/>
      <c r="L13" s="68"/>
      <c r="M13" s="75">
        <f>+D13</f>
        <v>-3309.17</v>
      </c>
    </row>
    <row r="14" spans="1:13">
      <c r="A14" s="59" t="s">
        <v>10</v>
      </c>
      <c r="B14" s="59" t="s">
        <v>14</v>
      </c>
      <c r="C14" s="65">
        <v>135362543637</v>
      </c>
      <c r="D14" s="66">
        <v>-551528.92000000004</v>
      </c>
      <c r="E14" s="1">
        <v>20205367.920000002</v>
      </c>
      <c r="F14" s="59" t="s">
        <v>1281</v>
      </c>
      <c r="G14" s="67">
        <f>+D14/1.006</f>
        <v>-548239.4831013917</v>
      </c>
      <c r="H14" s="67"/>
      <c r="I14" s="16"/>
      <c r="J14" s="68"/>
      <c r="K14" s="68"/>
      <c r="L14" s="68"/>
      <c r="M14" s="75">
        <f>+D14</f>
        <v>-551528.92000000004</v>
      </c>
    </row>
    <row r="15" spans="1:13">
      <c r="A15" s="59" t="s">
        <v>10</v>
      </c>
      <c r="B15" s="59" t="s">
        <v>13</v>
      </c>
      <c r="C15" s="65">
        <v>135979554276</v>
      </c>
      <c r="D15" s="66">
        <v>-2400</v>
      </c>
      <c r="E15" s="1">
        <v>20756896.84</v>
      </c>
      <c r="F15" s="59" t="s">
        <v>1242</v>
      </c>
      <c r="G15" s="67">
        <f>+D15/0.006</f>
        <v>-400000</v>
      </c>
      <c r="H15" s="67"/>
      <c r="I15" s="16"/>
      <c r="J15" s="68"/>
      <c r="K15" s="68"/>
      <c r="L15" s="68"/>
      <c r="M15" s="75">
        <f>+D15</f>
        <v>-2400</v>
      </c>
    </row>
    <row r="16" spans="1:13">
      <c r="A16" s="59" t="s">
        <v>10</v>
      </c>
      <c r="B16" s="59" t="s">
        <v>12</v>
      </c>
      <c r="C16" s="65">
        <v>135979554276</v>
      </c>
      <c r="D16" s="66">
        <v>-400000</v>
      </c>
      <c r="E16" s="1">
        <v>20759296.84</v>
      </c>
      <c r="F16" s="59" t="s">
        <v>1281</v>
      </c>
      <c r="G16" s="67"/>
      <c r="H16" s="67"/>
      <c r="I16" s="16"/>
      <c r="J16" s="68"/>
      <c r="K16" s="68"/>
      <c r="L16" s="68"/>
      <c r="M16" s="75">
        <f>+D16</f>
        <v>-400000</v>
      </c>
    </row>
    <row r="17" spans="1:13">
      <c r="A17" t="s">
        <v>15</v>
      </c>
      <c r="B17" t="s">
        <v>11</v>
      </c>
      <c r="C17" s="51">
        <v>135734903707</v>
      </c>
      <c r="D17" s="1">
        <v>11690.63</v>
      </c>
      <c r="E17" s="1">
        <v>20213749.379999999</v>
      </c>
      <c r="F17" t="s">
        <v>1280</v>
      </c>
      <c r="I17" s="16"/>
      <c r="J17" s="68"/>
      <c r="K17" s="68"/>
      <c r="L17" s="68"/>
      <c r="M17" s="74">
        <f t="shared" ref="M17:M80" si="1">+D17-I17-J17-K17-L17</f>
        <v>11690.63</v>
      </c>
    </row>
    <row r="18" spans="1:13">
      <c r="A18" t="s">
        <v>15</v>
      </c>
      <c r="B18" t="s">
        <v>11</v>
      </c>
      <c r="C18" s="51">
        <v>135738371583</v>
      </c>
      <c r="D18" s="1">
        <v>24467.73</v>
      </c>
      <c r="E18" s="1">
        <v>20238217.109999999</v>
      </c>
      <c r="F18" t="s">
        <v>1280</v>
      </c>
      <c r="I18" s="16"/>
      <c r="J18" s="68"/>
      <c r="K18" s="68"/>
      <c r="L18" s="68"/>
      <c r="M18" s="74">
        <f t="shared" si="1"/>
        <v>24467.73</v>
      </c>
    </row>
    <row r="19" spans="1:13">
      <c r="A19" t="s">
        <v>15</v>
      </c>
      <c r="B19" t="s">
        <v>11</v>
      </c>
      <c r="C19" s="51">
        <v>135739132419</v>
      </c>
      <c r="D19" s="1">
        <v>15681.08</v>
      </c>
      <c r="E19" s="1">
        <v>20253898.190000001</v>
      </c>
      <c r="F19" t="s">
        <v>1280</v>
      </c>
      <c r="I19" s="16"/>
      <c r="J19" s="68"/>
      <c r="K19" s="68"/>
      <c r="L19" s="68"/>
      <c r="M19" s="74">
        <f t="shared" si="1"/>
        <v>15681.08</v>
      </c>
    </row>
    <row r="20" spans="1:13">
      <c r="A20" t="s">
        <v>15</v>
      </c>
      <c r="B20" t="s">
        <v>11</v>
      </c>
      <c r="C20" s="51">
        <v>136364441784</v>
      </c>
      <c r="D20" s="1">
        <v>4357.92</v>
      </c>
      <c r="E20" s="1">
        <v>20258256.109999999</v>
      </c>
      <c r="F20" t="s">
        <v>1280</v>
      </c>
      <c r="I20" s="16"/>
      <c r="J20" s="68"/>
      <c r="K20" s="68"/>
      <c r="L20" s="68"/>
      <c r="M20" s="74">
        <f t="shared" si="1"/>
        <v>4357.92</v>
      </c>
    </row>
    <row r="21" spans="1:13">
      <c r="A21" t="s">
        <v>15</v>
      </c>
      <c r="B21" t="s">
        <v>16</v>
      </c>
      <c r="C21" s="51">
        <v>136364596558</v>
      </c>
      <c r="D21">
        <v>234.96</v>
      </c>
      <c r="E21" s="1">
        <v>20258491.07</v>
      </c>
      <c r="F21" t="s">
        <v>1280</v>
      </c>
      <c r="I21" s="16"/>
      <c r="J21" s="68"/>
      <c r="K21" s="68"/>
      <c r="L21" s="68"/>
      <c r="M21" s="74">
        <f t="shared" si="1"/>
        <v>234.96</v>
      </c>
    </row>
    <row r="22" spans="1:13">
      <c r="A22" t="s">
        <v>15</v>
      </c>
      <c r="B22" t="s">
        <v>11</v>
      </c>
      <c r="C22" s="51">
        <v>136364614462</v>
      </c>
      <c r="D22" s="1">
        <v>9069.1200000000008</v>
      </c>
      <c r="E22" s="1">
        <v>20267560.190000001</v>
      </c>
      <c r="F22" t="s">
        <v>1280</v>
      </c>
      <c r="I22" s="16"/>
      <c r="J22" s="68"/>
      <c r="K22" s="68"/>
      <c r="L22" s="68"/>
      <c r="M22" s="74">
        <f t="shared" si="1"/>
        <v>9069.1200000000008</v>
      </c>
    </row>
    <row r="23" spans="1:13">
      <c r="A23" t="s">
        <v>15</v>
      </c>
      <c r="B23" t="s">
        <v>11</v>
      </c>
      <c r="C23" s="51">
        <v>136366138324</v>
      </c>
      <c r="D23" s="1">
        <v>7989.26</v>
      </c>
      <c r="E23" s="1">
        <v>20275549.449999999</v>
      </c>
      <c r="F23" t="s">
        <v>1280</v>
      </c>
      <c r="I23" s="16"/>
      <c r="J23" s="68"/>
      <c r="K23" s="68"/>
      <c r="L23" s="68"/>
      <c r="M23" s="74">
        <f t="shared" si="1"/>
        <v>7989.26</v>
      </c>
    </row>
    <row r="24" spans="1:13">
      <c r="A24" t="s">
        <v>15</v>
      </c>
      <c r="B24" t="s">
        <v>11</v>
      </c>
      <c r="C24" s="51">
        <v>135748062571</v>
      </c>
      <c r="D24" s="1">
        <v>45629.01</v>
      </c>
      <c r="E24" s="1">
        <v>20321178.460000001</v>
      </c>
      <c r="F24" t="s">
        <v>1280</v>
      </c>
      <c r="I24" s="16"/>
      <c r="J24" s="68"/>
      <c r="K24" s="68"/>
      <c r="L24" s="68"/>
      <c r="M24" s="74">
        <f t="shared" si="1"/>
        <v>45629.01</v>
      </c>
    </row>
    <row r="25" spans="1:13">
      <c r="A25" t="s">
        <v>15</v>
      </c>
      <c r="B25" t="s">
        <v>11</v>
      </c>
      <c r="C25" s="51">
        <v>136370129344</v>
      </c>
      <c r="D25" s="1">
        <v>23675.49</v>
      </c>
      <c r="E25" s="1">
        <v>20344853.949999999</v>
      </c>
      <c r="F25" t="s">
        <v>1280</v>
      </c>
      <c r="I25" s="16"/>
      <c r="J25" s="68"/>
      <c r="K25" s="68"/>
      <c r="L25" s="68"/>
      <c r="M25" s="74">
        <f t="shared" si="1"/>
        <v>23675.49</v>
      </c>
    </row>
    <row r="26" spans="1:13">
      <c r="A26" t="s">
        <v>15</v>
      </c>
      <c r="B26" t="s">
        <v>11</v>
      </c>
      <c r="C26" s="51">
        <v>135749825345</v>
      </c>
      <c r="D26" s="1">
        <v>9069.1200000000008</v>
      </c>
      <c r="E26" s="1">
        <v>20353923.07</v>
      </c>
      <c r="F26" t="s">
        <v>1280</v>
      </c>
      <c r="I26" s="16"/>
      <c r="J26" s="68"/>
      <c r="K26" s="68"/>
      <c r="L26" s="68"/>
      <c r="M26" s="74">
        <f t="shared" si="1"/>
        <v>9069.1200000000008</v>
      </c>
    </row>
    <row r="27" spans="1:13">
      <c r="A27" t="s">
        <v>15</v>
      </c>
      <c r="B27" t="s">
        <v>11</v>
      </c>
      <c r="C27" s="51">
        <v>136373560516</v>
      </c>
      <c r="D27" s="1">
        <v>30203.3</v>
      </c>
      <c r="E27" s="1">
        <v>20384126.370000001</v>
      </c>
      <c r="F27" t="s">
        <v>1280</v>
      </c>
      <c r="I27" s="16"/>
      <c r="J27" s="68"/>
      <c r="K27" s="68"/>
      <c r="L27" s="68"/>
      <c r="M27" s="74">
        <f t="shared" si="1"/>
        <v>30203.3</v>
      </c>
    </row>
    <row r="28" spans="1:13">
      <c r="A28" t="s">
        <v>15</v>
      </c>
      <c r="B28" t="s">
        <v>11</v>
      </c>
      <c r="C28" s="51">
        <v>136374043234</v>
      </c>
      <c r="D28" s="1">
        <v>14127.35</v>
      </c>
      <c r="E28" s="1">
        <v>20398253.719999999</v>
      </c>
      <c r="F28" t="s">
        <v>1280</v>
      </c>
      <c r="I28" s="16"/>
      <c r="J28" s="68"/>
      <c r="K28" s="68"/>
      <c r="L28" s="68"/>
      <c r="M28" s="74">
        <f t="shared" si="1"/>
        <v>14127.35</v>
      </c>
    </row>
    <row r="29" spans="1:13">
      <c r="A29" t="s">
        <v>15</v>
      </c>
      <c r="B29" t="s">
        <v>11</v>
      </c>
      <c r="C29" s="51">
        <v>136374478166</v>
      </c>
      <c r="D29" s="1">
        <v>29034.14</v>
      </c>
      <c r="E29" s="1">
        <v>20427287.859999999</v>
      </c>
      <c r="F29" t="s">
        <v>1280</v>
      </c>
      <c r="I29" s="16"/>
      <c r="J29" s="68"/>
      <c r="K29" s="68"/>
      <c r="L29" s="68"/>
      <c r="M29" s="74">
        <f t="shared" si="1"/>
        <v>29034.14</v>
      </c>
    </row>
    <row r="30" spans="1:13">
      <c r="A30" t="s">
        <v>15</v>
      </c>
      <c r="B30" t="s">
        <v>11</v>
      </c>
      <c r="C30" s="51">
        <v>135753489523</v>
      </c>
      <c r="D30" s="1">
        <v>8573.84</v>
      </c>
      <c r="E30" s="1">
        <v>20435861.699999999</v>
      </c>
      <c r="F30" t="s">
        <v>1280</v>
      </c>
      <c r="I30" s="16"/>
      <c r="J30" s="68"/>
      <c r="K30" s="68"/>
      <c r="L30" s="68"/>
      <c r="M30" s="74">
        <f t="shared" si="1"/>
        <v>8573.84</v>
      </c>
    </row>
    <row r="31" spans="1:13">
      <c r="A31" t="s">
        <v>15</v>
      </c>
      <c r="B31" t="s">
        <v>11</v>
      </c>
      <c r="C31" s="51">
        <v>136374909026</v>
      </c>
      <c r="D31" s="1">
        <v>28155.32</v>
      </c>
      <c r="E31" s="1">
        <v>20464017.02</v>
      </c>
      <c r="F31" t="s">
        <v>1280</v>
      </c>
      <c r="I31" s="16"/>
      <c r="J31" s="68"/>
      <c r="K31" s="68"/>
      <c r="L31" s="68"/>
      <c r="M31" s="74">
        <f t="shared" si="1"/>
        <v>28155.32</v>
      </c>
    </row>
    <row r="32" spans="1:13">
      <c r="A32" t="s">
        <v>15</v>
      </c>
      <c r="B32" t="s">
        <v>17</v>
      </c>
      <c r="C32" s="51">
        <v>136374922986</v>
      </c>
      <c r="D32" s="1">
        <v>2828.33</v>
      </c>
      <c r="E32" s="1">
        <v>20466845.350000001</v>
      </c>
      <c r="F32" t="s">
        <v>1280</v>
      </c>
      <c r="I32" s="16"/>
      <c r="J32" s="68"/>
      <c r="K32" s="68"/>
      <c r="L32" s="68"/>
      <c r="M32" s="74">
        <f t="shared" si="1"/>
        <v>2828.33</v>
      </c>
    </row>
    <row r="33" spans="1:13">
      <c r="A33" t="s">
        <v>15</v>
      </c>
      <c r="B33" t="s">
        <v>11</v>
      </c>
      <c r="C33" s="51">
        <v>135754447275</v>
      </c>
      <c r="D33" s="1">
        <v>11335.46</v>
      </c>
      <c r="E33" s="1">
        <v>20478180.809999999</v>
      </c>
      <c r="F33" t="s">
        <v>1280</v>
      </c>
      <c r="I33" s="16"/>
      <c r="J33" s="68"/>
      <c r="K33" s="68"/>
      <c r="L33" s="68"/>
      <c r="M33" s="74">
        <f t="shared" si="1"/>
        <v>11335.46</v>
      </c>
    </row>
    <row r="34" spans="1:13">
      <c r="A34" t="s">
        <v>15</v>
      </c>
      <c r="B34" t="s">
        <v>11</v>
      </c>
      <c r="C34" s="51">
        <v>135754874311</v>
      </c>
      <c r="D34" s="1">
        <v>45848.95</v>
      </c>
      <c r="E34" s="1">
        <v>20524029.760000002</v>
      </c>
      <c r="F34" t="s">
        <v>1280</v>
      </c>
      <c r="I34" s="16"/>
      <c r="J34" s="68"/>
      <c r="K34" s="68"/>
      <c r="L34" s="68"/>
      <c r="M34" s="74">
        <f t="shared" si="1"/>
        <v>45848.95</v>
      </c>
    </row>
    <row r="35" spans="1:13">
      <c r="A35" t="s">
        <v>15</v>
      </c>
      <c r="B35" t="s">
        <v>11</v>
      </c>
      <c r="C35" s="51">
        <v>136376223468</v>
      </c>
      <c r="D35" s="1">
        <v>21787.78</v>
      </c>
      <c r="E35" s="1">
        <v>20545817.539999999</v>
      </c>
      <c r="F35" t="s">
        <v>1280</v>
      </c>
      <c r="I35" s="16"/>
      <c r="J35" s="68"/>
      <c r="K35" s="68"/>
      <c r="L35" s="68"/>
      <c r="M35" s="74">
        <f t="shared" si="1"/>
        <v>21787.78</v>
      </c>
    </row>
    <row r="36" spans="1:13">
      <c r="A36" t="s">
        <v>15</v>
      </c>
      <c r="B36" t="s">
        <v>11</v>
      </c>
      <c r="C36" s="51">
        <v>136377026240</v>
      </c>
      <c r="D36" s="1">
        <v>32025.33</v>
      </c>
      <c r="E36" s="1">
        <v>20577842.870000001</v>
      </c>
      <c r="F36" t="s">
        <v>1280</v>
      </c>
      <c r="I36" s="16"/>
      <c r="J36" s="68"/>
      <c r="K36" s="68"/>
      <c r="L36" s="68"/>
      <c r="M36" s="74">
        <f t="shared" si="1"/>
        <v>32025.33</v>
      </c>
    </row>
    <row r="37" spans="1:13">
      <c r="A37" t="s">
        <v>15</v>
      </c>
      <c r="B37" t="s">
        <v>11</v>
      </c>
      <c r="C37" s="51">
        <v>135757136427</v>
      </c>
      <c r="D37" s="1">
        <v>4676.6400000000003</v>
      </c>
      <c r="E37" s="1">
        <v>20582519.510000002</v>
      </c>
      <c r="F37" t="s">
        <v>1280</v>
      </c>
      <c r="I37" s="16"/>
      <c r="J37" s="68"/>
      <c r="K37" s="68"/>
      <c r="L37" s="68"/>
      <c r="M37" s="74">
        <f t="shared" si="1"/>
        <v>4676.6400000000003</v>
      </c>
    </row>
    <row r="38" spans="1:13">
      <c r="A38" t="s">
        <v>15</v>
      </c>
      <c r="B38" t="s">
        <v>11</v>
      </c>
      <c r="C38" s="51">
        <v>135757391225</v>
      </c>
      <c r="D38" s="1">
        <v>106198.7</v>
      </c>
      <c r="E38" s="1">
        <v>20688718.210000001</v>
      </c>
      <c r="F38" t="s">
        <v>1280</v>
      </c>
      <c r="I38" s="16"/>
      <c r="J38" s="68"/>
      <c r="K38" s="68"/>
      <c r="L38" s="68"/>
      <c r="M38" s="74">
        <f t="shared" si="1"/>
        <v>106198.7</v>
      </c>
    </row>
    <row r="39" spans="1:13">
      <c r="A39" t="s">
        <v>15</v>
      </c>
      <c r="B39" t="s">
        <v>11</v>
      </c>
      <c r="C39" s="51">
        <v>135757364099</v>
      </c>
      <c r="D39" s="1">
        <v>14224.78</v>
      </c>
      <c r="E39" s="1">
        <v>20702942.989999998</v>
      </c>
      <c r="F39" t="s">
        <v>1280</v>
      </c>
      <c r="I39" s="16"/>
      <c r="J39" s="68"/>
      <c r="K39" s="68"/>
      <c r="L39" s="68"/>
      <c r="M39" s="74">
        <f t="shared" si="1"/>
        <v>14224.78</v>
      </c>
    </row>
    <row r="40" spans="1:13">
      <c r="A40" t="s">
        <v>15</v>
      </c>
      <c r="B40" t="s">
        <v>11</v>
      </c>
      <c r="C40" s="51">
        <v>136379529420</v>
      </c>
      <c r="D40" s="1">
        <v>69435.45</v>
      </c>
      <c r="E40" s="1">
        <v>20772378.440000001</v>
      </c>
      <c r="F40" t="s">
        <v>1280</v>
      </c>
      <c r="I40" s="16"/>
      <c r="J40" s="68"/>
      <c r="K40" s="68"/>
      <c r="L40" s="68"/>
      <c r="M40" s="74">
        <f t="shared" si="1"/>
        <v>69435.45</v>
      </c>
    </row>
    <row r="41" spans="1:13">
      <c r="A41" t="s">
        <v>15</v>
      </c>
      <c r="B41" t="s">
        <v>11</v>
      </c>
      <c r="C41" s="51">
        <v>136380032928</v>
      </c>
      <c r="D41" s="1">
        <v>146331.20000000001</v>
      </c>
      <c r="E41" s="1">
        <v>20918709.640000001</v>
      </c>
      <c r="F41" t="s">
        <v>1280</v>
      </c>
      <c r="I41" s="16"/>
      <c r="J41" s="68"/>
      <c r="K41" s="68"/>
      <c r="L41" s="68"/>
      <c r="M41" s="74">
        <f t="shared" si="1"/>
        <v>146331.20000000001</v>
      </c>
    </row>
    <row r="42" spans="1:13">
      <c r="A42" t="s">
        <v>15</v>
      </c>
      <c r="B42" t="s">
        <v>11</v>
      </c>
      <c r="C42" s="51">
        <v>136380185164</v>
      </c>
      <c r="D42" s="1">
        <v>48772.08</v>
      </c>
      <c r="E42" s="1">
        <v>20967481.719999999</v>
      </c>
      <c r="F42" t="s">
        <v>1280</v>
      </c>
      <c r="I42" s="16"/>
      <c r="J42" s="68"/>
      <c r="K42" s="68"/>
      <c r="L42" s="68"/>
      <c r="M42" s="74">
        <f t="shared" si="1"/>
        <v>48772.08</v>
      </c>
    </row>
    <row r="43" spans="1:13">
      <c r="A43" t="s">
        <v>15</v>
      </c>
      <c r="B43" t="s">
        <v>11</v>
      </c>
      <c r="C43" s="51">
        <v>135759480719</v>
      </c>
      <c r="D43" s="1">
        <v>23381.25</v>
      </c>
      <c r="E43" s="1">
        <v>20990862.969999999</v>
      </c>
      <c r="F43" t="s">
        <v>1280</v>
      </c>
      <c r="I43" s="16"/>
      <c r="J43" s="68"/>
      <c r="K43" s="68"/>
      <c r="L43" s="68"/>
      <c r="M43" s="74">
        <f t="shared" si="1"/>
        <v>23381.25</v>
      </c>
    </row>
    <row r="44" spans="1:13">
      <c r="A44" t="s">
        <v>15</v>
      </c>
      <c r="B44" t="s">
        <v>18</v>
      </c>
      <c r="C44" s="51">
        <v>135759329655</v>
      </c>
      <c r="D44" s="1">
        <v>1173.82</v>
      </c>
      <c r="E44" s="1">
        <v>20992036.789999999</v>
      </c>
      <c r="F44" t="s">
        <v>1280</v>
      </c>
      <c r="I44" s="16"/>
      <c r="J44" s="68"/>
      <c r="K44" s="68"/>
      <c r="L44" s="68"/>
      <c r="M44" s="74">
        <f t="shared" si="1"/>
        <v>1173.82</v>
      </c>
    </row>
    <row r="45" spans="1:13">
      <c r="A45" t="s">
        <v>15</v>
      </c>
      <c r="B45" t="s">
        <v>11</v>
      </c>
      <c r="C45" s="51">
        <v>136380675948</v>
      </c>
      <c r="D45" s="1">
        <v>67615.45</v>
      </c>
      <c r="E45" s="1">
        <v>21059652.239999998</v>
      </c>
      <c r="F45" t="s">
        <v>1280</v>
      </c>
      <c r="I45" s="16"/>
      <c r="J45" s="68"/>
      <c r="K45" s="68"/>
      <c r="L45" s="68"/>
      <c r="M45" s="74">
        <f t="shared" si="1"/>
        <v>67615.45</v>
      </c>
    </row>
    <row r="46" spans="1:13">
      <c r="A46" t="s">
        <v>15</v>
      </c>
      <c r="B46" t="s">
        <v>11</v>
      </c>
      <c r="C46" s="51">
        <v>135759894119</v>
      </c>
      <c r="D46" s="1">
        <v>35071.879999999997</v>
      </c>
      <c r="E46" s="1">
        <v>21094724.120000001</v>
      </c>
      <c r="F46" t="s">
        <v>1280</v>
      </c>
      <c r="I46" s="16"/>
      <c r="J46" s="68"/>
      <c r="K46" s="68"/>
      <c r="L46" s="68"/>
      <c r="M46" s="74">
        <f t="shared" si="1"/>
        <v>35071.879999999997</v>
      </c>
    </row>
    <row r="47" spans="1:13">
      <c r="A47" t="s">
        <v>19</v>
      </c>
      <c r="B47" t="s">
        <v>11</v>
      </c>
      <c r="C47" s="51">
        <v>135759931927</v>
      </c>
      <c r="D47" s="1">
        <v>8184.12</v>
      </c>
      <c r="E47" s="1">
        <v>21102908.239999998</v>
      </c>
      <c r="F47" t="s">
        <v>1280</v>
      </c>
      <c r="I47" s="16"/>
      <c r="J47" s="68"/>
      <c r="K47" s="68"/>
      <c r="L47" s="68"/>
      <c r="M47" s="74">
        <f t="shared" si="1"/>
        <v>8184.12</v>
      </c>
    </row>
    <row r="48" spans="1:13">
      <c r="A48" t="s">
        <v>19</v>
      </c>
      <c r="B48" t="s">
        <v>11</v>
      </c>
      <c r="C48" s="51">
        <v>136381321286</v>
      </c>
      <c r="D48" s="1">
        <v>9840.43</v>
      </c>
      <c r="E48" s="1">
        <v>21112748.670000002</v>
      </c>
      <c r="F48" t="s">
        <v>1280</v>
      </c>
      <c r="I48" s="16"/>
      <c r="J48" s="68"/>
      <c r="K48" s="68"/>
      <c r="L48" s="68"/>
      <c r="M48" s="74">
        <f t="shared" si="1"/>
        <v>9840.43</v>
      </c>
    </row>
    <row r="49" spans="1:13">
      <c r="A49" t="s">
        <v>19</v>
      </c>
      <c r="B49" t="s">
        <v>11</v>
      </c>
      <c r="C49" s="51">
        <v>135760346847</v>
      </c>
      <c r="D49" s="1">
        <v>11690.63</v>
      </c>
      <c r="E49" s="1">
        <v>21124439.300000001</v>
      </c>
      <c r="F49" t="s">
        <v>1280</v>
      </c>
      <c r="I49" s="16"/>
      <c r="J49" s="68"/>
      <c r="K49" s="68"/>
      <c r="L49" s="68"/>
      <c r="M49" s="74">
        <f t="shared" si="1"/>
        <v>11690.63</v>
      </c>
    </row>
    <row r="50" spans="1:13">
      <c r="A50" t="s">
        <v>19</v>
      </c>
      <c r="B50" t="s">
        <v>11</v>
      </c>
      <c r="C50" s="51">
        <v>135760275699</v>
      </c>
      <c r="D50" s="1">
        <v>61868.05</v>
      </c>
      <c r="E50" s="1">
        <v>21186307.350000001</v>
      </c>
      <c r="F50" t="s">
        <v>1280</v>
      </c>
      <c r="I50" s="16"/>
      <c r="J50" s="68"/>
      <c r="K50" s="68"/>
      <c r="L50" s="68"/>
      <c r="M50" s="74">
        <f t="shared" si="1"/>
        <v>61868.05</v>
      </c>
    </row>
    <row r="51" spans="1:13">
      <c r="A51" t="s">
        <v>19</v>
      </c>
      <c r="B51" t="s">
        <v>11</v>
      </c>
      <c r="C51" s="51">
        <v>136382002426</v>
      </c>
      <c r="D51" s="1">
        <v>52319.91</v>
      </c>
      <c r="E51" s="1">
        <v>21238627.260000002</v>
      </c>
      <c r="F51" t="s">
        <v>1280</v>
      </c>
      <c r="I51" s="16"/>
      <c r="J51" s="68"/>
      <c r="K51" s="68"/>
      <c r="L51" s="68"/>
      <c r="M51" s="74">
        <f t="shared" si="1"/>
        <v>52319.91</v>
      </c>
    </row>
    <row r="52" spans="1:13">
      <c r="A52" t="s">
        <v>19</v>
      </c>
      <c r="B52" t="s">
        <v>11</v>
      </c>
      <c r="C52" s="51">
        <v>135762331375</v>
      </c>
      <c r="D52" s="1">
        <v>4774.07</v>
      </c>
      <c r="E52" s="1">
        <v>21243401.329999998</v>
      </c>
      <c r="F52" t="s">
        <v>1280</v>
      </c>
      <c r="I52" s="16"/>
      <c r="J52" s="68"/>
      <c r="K52" s="68"/>
      <c r="L52" s="68"/>
      <c r="M52" s="74">
        <f t="shared" si="1"/>
        <v>4774.07</v>
      </c>
    </row>
    <row r="53" spans="1:13">
      <c r="A53" t="s">
        <v>19</v>
      </c>
      <c r="B53" t="s">
        <v>11</v>
      </c>
      <c r="C53" s="51">
        <v>136383695972</v>
      </c>
      <c r="D53" s="1">
        <v>31320.73</v>
      </c>
      <c r="E53" s="1">
        <v>21274722.059999999</v>
      </c>
      <c r="F53" t="s">
        <v>1280</v>
      </c>
      <c r="I53" s="16"/>
      <c r="J53" s="68"/>
      <c r="K53" s="68"/>
      <c r="L53" s="68"/>
      <c r="M53" s="74">
        <f t="shared" si="1"/>
        <v>31320.73</v>
      </c>
    </row>
    <row r="54" spans="1:13">
      <c r="A54" t="s">
        <v>19</v>
      </c>
      <c r="B54" t="s">
        <v>11</v>
      </c>
      <c r="C54" s="51">
        <v>136383829954</v>
      </c>
      <c r="D54" s="1">
        <v>29813.58</v>
      </c>
      <c r="E54" s="1">
        <v>21304535.640000001</v>
      </c>
      <c r="F54" t="s">
        <v>1280</v>
      </c>
      <c r="I54" s="16"/>
      <c r="J54" s="68"/>
      <c r="K54" s="68"/>
      <c r="L54" s="68"/>
      <c r="M54" s="74">
        <f t="shared" si="1"/>
        <v>29813.58</v>
      </c>
    </row>
    <row r="55" spans="1:13">
      <c r="A55" t="s">
        <v>19</v>
      </c>
      <c r="B55" t="s">
        <v>20</v>
      </c>
      <c r="C55" s="51">
        <v>135762846725</v>
      </c>
      <c r="D55" s="1">
        <v>1497.87</v>
      </c>
      <c r="E55" s="1">
        <v>21306033.510000002</v>
      </c>
      <c r="F55" t="s">
        <v>1280</v>
      </c>
      <c r="I55" s="16"/>
      <c r="J55" s="68"/>
      <c r="K55" s="68"/>
      <c r="L55" s="68"/>
      <c r="M55" s="74">
        <f t="shared" si="1"/>
        <v>1497.87</v>
      </c>
    </row>
    <row r="56" spans="1:13">
      <c r="A56" t="s">
        <v>19</v>
      </c>
      <c r="B56" t="s">
        <v>11</v>
      </c>
      <c r="C56" s="51">
        <v>136384024660</v>
      </c>
      <c r="D56" s="1">
        <v>18901.419999999998</v>
      </c>
      <c r="E56" s="1">
        <v>21324934.93</v>
      </c>
      <c r="F56" t="s">
        <v>1280</v>
      </c>
      <c r="I56" s="16"/>
      <c r="J56" s="68"/>
      <c r="K56" s="68"/>
      <c r="L56" s="68"/>
      <c r="M56" s="74">
        <f t="shared" si="1"/>
        <v>18901.419999999998</v>
      </c>
    </row>
    <row r="57" spans="1:13">
      <c r="A57" t="s">
        <v>19</v>
      </c>
      <c r="B57" t="s">
        <v>11</v>
      </c>
      <c r="C57" s="51">
        <v>136384104070</v>
      </c>
      <c r="D57" s="1">
        <v>44967.72</v>
      </c>
      <c r="E57" s="1">
        <v>21369902.649999999</v>
      </c>
      <c r="F57" t="s">
        <v>1280</v>
      </c>
      <c r="I57" s="16"/>
      <c r="J57" s="68"/>
      <c r="K57" s="68"/>
      <c r="L57" s="68"/>
      <c r="M57" s="74">
        <f t="shared" si="1"/>
        <v>44967.72</v>
      </c>
    </row>
    <row r="58" spans="1:13">
      <c r="A58" t="s">
        <v>19</v>
      </c>
      <c r="B58" t="s">
        <v>11</v>
      </c>
      <c r="C58" s="51">
        <v>135763446201</v>
      </c>
      <c r="D58" s="1">
        <v>20655.16</v>
      </c>
      <c r="E58" s="1">
        <v>21390557.809999999</v>
      </c>
      <c r="F58" t="s">
        <v>1280</v>
      </c>
      <c r="I58" s="16"/>
      <c r="J58" s="68"/>
      <c r="K58" s="68"/>
      <c r="L58" s="68"/>
      <c r="M58" s="74">
        <f t="shared" si="1"/>
        <v>20655.16</v>
      </c>
    </row>
    <row r="59" spans="1:13">
      <c r="A59" t="s">
        <v>19</v>
      </c>
      <c r="B59" t="s">
        <v>11</v>
      </c>
      <c r="C59" s="51">
        <v>135877734691</v>
      </c>
      <c r="D59" s="1">
        <v>13797.42</v>
      </c>
      <c r="E59" s="1">
        <v>21404355.23</v>
      </c>
      <c r="F59" t="s">
        <v>1280</v>
      </c>
      <c r="I59" s="16"/>
      <c r="J59" s="68"/>
      <c r="K59" s="68"/>
      <c r="L59" s="68"/>
      <c r="M59" s="74">
        <f t="shared" si="1"/>
        <v>13797.42</v>
      </c>
    </row>
    <row r="60" spans="1:13">
      <c r="A60" t="s">
        <v>19</v>
      </c>
      <c r="B60" t="s">
        <v>11</v>
      </c>
      <c r="C60" s="51">
        <v>136505580672</v>
      </c>
      <c r="D60" s="1">
        <v>25602.78</v>
      </c>
      <c r="E60" s="1">
        <v>21429958.010000002</v>
      </c>
      <c r="F60" t="s">
        <v>1280</v>
      </c>
      <c r="I60" s="16"/>
      <c r="J60" s="68"/>
      <c r="K60" s="68"/>
      <c r="L60" s="68"/>
      <c r="M60" s="74">
        <f t="shared" si="1"/>
        <v>25602.78</v>
      </c>
    </row>
    <row r="61" spans="1:13">
      <c r="A61" t="s">
        <v>19</v>
      </c>
      <c r="B61" t="s">
        <v>21</v>
      </c>
      <c r="C61" s="51">
        <v>136505473782</v>
      </c>
      <c r="D61" s="1">
        <v>2760.78</v>
      </c>
      <c r="E61" s="1">
        <v>21432718.789999999</v>
      </c>
      <c r="F61" t="s">
        <v>1280</v>
      </c>
      <c r="I61" s="16"/>
      <c r="J61" s="68"/>
      <c r="K61" s="68"/>
      <c r="L61" s="68"/>
      <c r="M61" s="74">
        <f t="shared" si="1"/>
        <v>2760.78</v>
      </c>
    </row>
    <row r="62" spans="1:13">
      <c r="A62" t="s">
        <v>19</v>
      </c>
      <c r="B62" t="s">
        <v>11</v>
      </c>
      <c r="C62" s="51">
        <v>135884884887</v>
      </c>
      <c r="D62" s="1">
        <v>29002.29</v>
      </c>
      <c r="E62" s="1">
        <v>21461721.079999998</v>
      </c>
      <c r="F62" t="s">
        <v>1280</v>
      </c>
      <c r="I62" s="16"/>
      <c r="J62" s="68"/>
      <c r="K62" s="68"/>
      <c r="L62" s="68"/>
      <c r="M62" s="74">
        <f t="shared" si="1"/>
        <v>29002.29</v>
      </c>
    </row>
    <row r="63" spans="1:13">
      <c r="A63" t="s">
        <v>19</v>
      </c>
      <c r="B63" t="s">
        <v>11</v>
      </c>
      <c r="C63" s="51">
        <v>136507926506</v>
      </c>
      <c r="D63" s="1">
        <v>9258.06</v>
      </c>
      <c r="E63" s="1">
        <v>21470979.140000001</v>
      </c>
      <c r="F63" t="s">
        <v>1280</v>
      </c>
      <c r="I63" s="16"/>
      <c r="J63" s="68"/>
      <c r="K63" s="68"/>
      <c r="L63" s="68"/>
      <c r="M63" s="74">
        <f t="shared" si="1"/>
        <v>9258.06</v>
      </c>
    </row>
    <row r="64" spans="1:13">
      <c r="A64" t="s">
        <v>19</v>
      </c>
      <c r="B64" t="s">
        <v>11</v>
      </c>
      <c r="C64" s="51">
        <v>135887589531</v>
      </c>
      <c r="D64" s="1">
        <v>7935.48</v>
      </c>
      <c r="E64" s="1">
        <v>21478914.620000001</v>
      </c>
      <c r="F64" t="s">
        <v>1280</v>
      </c>
      <c r="I64" s="16"/>
      <c r="J64" s="68"/>
      <c r="K64" s="68"/>
      <c r="L64" s="68"/>
      <c r="M64" s="74">
        <f t="shared" si="1"/>
        <v>7935.48</v>
      </c>
    </row>
    <row r="65" spans="1:13">
      <c r="A65" t="s">
        <v>19</v>
      </c>
      <c r="B65" t="s">
        <v>11</v>
      </c>
      <c r="C65" s="51">
        <v>135889088143</v>
      </c>
      <c r="D65" s="1">
        <v>9645.57</v>
      </c>
      <c r="E65" s="1">
        <v>21488560.190000001</v>
      </c>
      <c r="F65" t="s">
        <v>1280</v>
      </c>
      <c r="I65" s="16"/>
      <c r="J65" s="68"/>
      <c r="K65" s="68"/>
      <c r="L65" s="68"/>
      <c r="M65" s="74">
        <f t="shared" si="1"/>
        <v>9645.57</v>
      </c>
    </row>
    <row r="66" spans="1:13">
      <c r="A66" t="s">
        <v>19</v>
      </c>
      <c r="B66" t="s">
        <v>22</v>
      </c>
      <c r="C66" s="51">
        <v>135888975597</v>
      </c>
      <c r="D66">
        <v>484.6</v>
      </c>
      <c r="E66" s="1">
        <v>21489044.789999999</v>
      </c>
      <c r="F66" t="s">
        <v>1280</v>
      </c>
      <c r="I66" s="16"/>
      <c r="J66" s="68"/>
      <c r="K66" s="68"/>
      <c r="L66" s="68"/>
      <c r="M66" s="74">
        <f t="shared" si="1"/>
        <v>484.6</v>
      </c>
    </row>
    <row r="67" spans="1:13">
      <c r="A67" t="s">
        <v>19</v>
      </c>
      <c r="B67" t="s">
        <v>11</v>
      </c>
      <c r="C67" s="51">
        <v>136512148984</v>
      </c>
      <c r="D67" s="1">
        <v>9548.14</v>
      </c>
      <c r="E67" s="1">
        <v>21498592.93</v>
      </c>
      <c r="F67" t="s">
        <v>1280</v>
      </c>
      <c r="I67" s="16"/>
      <c r="J67" s="68"/>
      <c r="K67" s="68"/>
      <c r="L67" s="68"/>
      <c r="M67" s="74">
        <f t="shared" si="1"/>
        <v>9548.14</v>
      </c>
    </row>
    <row r="68" spans="1:13">
      <c r="A68" t="s">
        <v>19</v>
      </c>
      <c r="B68" t="s">
        <v>11</v>
      </c>
      <c r="C68" s="51">
        <v>135897982183</v>
      </c>
      <c r="D68" s="1">
        <v>4440.09</v>
      </c>
      <c r="E68" s="1">
        <v>21503033.02</v>
      </c>
      <c r="F68" t="s">
        <v>1280</v>
      </c>
      <c r="I68" s="16"/>
      <c r="J68" s="68"/>
      <c r="K68" s="68"/>
      <c r="L68" s="68"/>
      <c r="M68" s="74">
        <f t="shared" si="1"/>
        <v>4440.09</v>
      </c>
    </row>
    <row r="69" spans="1:13">
      <c r="A69" t="s">
        <v>19</v>
      </c>
      <c r="B69" t="s">
        <v>11</v>
      </c>
      <c r="C69" s="51">
        <v>136520889392</v>
      </c>
      <c r="D69" s="1">
        <v>4676.6400000000003</v>
      </c>
      <c r="E69" s="1">
        <v>21507709.66</v>
      </c>
      <c r="F69" t="s">
        <v>1280</v>
      </c>
      <c r="I69" s="16"/>
      <c r="J69" s="68"/>
      <c r="K69" s="68"/>
      <c r="L69" s="68"/>
      <c r="M69" s="74">
        <f t="shared" si="1"/>
        <v>4676.6400000000003</v>
      </c>
    </row>
    <row r="70" spans="1:13">
      <c r="A70" t="s">
        <v>19</v>
      </c>
      <c r="B70" t="s">
        <v>11</v>
      </c>
      <c r="C70" s="51">
        <v>135898239819</v>
      </c>
      <c r="D70" s="1">
        <v>4092.06</v>
      </c>
      <c r="E70" s="1">
        <v>21511801.719999999</v>
      </c>
      <c r="F70" t="s">
        <v>1280</v>
      </c>
      <c r="I70" s="16"/>
      <c r="J70" s="68"/>
      <c r="K70" s="68"/>
      <c r="L70" s="68"/>
      <c r="M70" s="74">
        <f t="shared" si="1"/>
        <v>4092.06</v>
      </c>
    </row>
    <row r="71" spans="1:13">
      <c r="A71" t="s">
        <v>19</v>
      </c>
      <c r="B71" t="s">
        <v>11</v>
      </c>
      <c r="C71" s="51">
        <v>136521246224</v>
      </c>
      <c r="D71" s="1">
        <v>21306.22</v>
      </c>
      <c r="E71" s="1">
        <v>21533107.940000001</v>
      </c>
      <c r="F71" t="s">
        <v>1280</v>
      </c>
      <c r="I71" s="16"/>
      <c r="J71" s="68"/>
      <c r="K71" s="68"/>
      <c r="L71" s="68"/>
      <c r="M71" s="74">
        <f t="shared" si="1"/>
        <v>21306.22</v>
      </c>
    </row>
    <row r="72" spans="1:13">
      <c r="A72" t="s">
        <v>19</v>
      </c>
      <c r="B72" t="s">
        <v>11</v>
      </c>
      <c r="C72" s="51">
        <v>135899858747</v>
      </c>
      <c r="D72" s="1">
        <v>12764.96</v>
      </c>
      <c r="E72" s="1">
        <v>21545872.899999999</v>
      </c>
      <c r="F72" t="s">
        <v>1280</v>
      </c>
      <c r="I72" s="16"/>
      <c r="J72" s="68"/>
      <c r="K72" s="68"/>
      <c r="L72" s="68"/>
      <c r="M72" s="74">
        <f t="shared" si="1"/>
        <v>12764.96</v>
      </c>
    </row>
    <row r="73" spans="1:13">
      <c r="A73" t="s">
        <v>19</v>
      </c>
      <c r="B73" t="s">
        <v>11</v>
      </c>
      <c r="C73" s="51">
        <v>136522852030</v>
      </c>
      <c r="D73" s="1">
        <v>26988.11</v>
      </c>
      <c r="E73" s="1">
        <v>21572861.010000002</v>
      </c>
      <c r="F73" t="s">
        <v>1280</v>
      </c>
      <c r="I73" s="16"/>
      <c r="J73" s="68"/>
      <c r="K73" s="68"/>
      <c r="L73" s="68"/>
      <c r="M73" s="74">
        <f t="shared" si="1"/>
        <v>26988.11</v>
      </c>
    </row>
    <row r="74" spans="1:13">
      <c r="A74" t="s">
        <v>19</v>
      </c>
      <c r="B74" t="s">
        <v>11</v>
      </c>
      <c r="C74" s="51">
        <v>135900371775</v>
      </c>
      <c r="D74" s="1">
        <v>14926.26</v>
      </c>
      <c r="E74" s="1">
        <v>21587787.27</v>
      </c>
      <c r="F74" t="s">
        <v>1280</v>
      </c>
      <c r="I74" s="16"/>
      <c r="J74" s="68"/>
      <c r="K74" s="68"/>
      <c r="L74" s="68"/>
      <c r="M74" s="74">
        <f t="shared" si="1"/>
        <v>14926.26</v>
      </c>
    </row>
    <row r="75" spans="1:13">
      <c r="A75" t="s">
        <v>19</v>
      </c>
      <c r="B75" t="s">
        <v>11</v>
      </c>
      <c r="C75" s="51">
        <v>135900611305</v>
      </c>
      <c r="D75" s="1">
        <v>4092.06</v>
      </c>
      <c r="E75" s="1">
        <v>21591879.329999998</v>
      </c>
      <c r="F75" t="s">
        <v>1280</v>
      </c>
      <c r="I75" s="16"/>
      <c r="J75" s="68"/>
      <c r="K75" s="68"/>
      <c r="L75" s="68"/>
      <c r="M75" s="74">
        <f t="shared" si="1"/>
        <v>4092.06</v>
      </c>
    </row>
    <row r="76" spans="1:13">
      <c r="A76" t="s">
        <v>19</v>
      </c>
      <c r="B76" t="s">
        <v>23</v>
      </c>
      <c r="C76" s="51">
        <v>135900601361</v>
      </c>
      <c r="D76">
        <v>205.59</v>
      </c>
      <c r="E76" s="1">
        <v>21592084.920000002</v>
      </c>
      <c r="F76" t="s">
        <v>1280</v>
      </c>
      <c r="I76" s="16"/>
      <c r="J76" s="68"/>
      <c r="K76" s="68"/>
      <c r="L76" s="68"/>
      <c r="M76" s="74">
        <f t="shared" si="1"/>
        <v>205.59</v>
      </c>
    </row>
    <row r="77" spans="1:13">
      <c r="A77" t="s">
        <v>19</v>
      </c>
      <c r="B77" t="s">
        <v>11</v>
      </c>
      <c r="C77" s="51">
        <v>136523721252</v>
      </c>
      <c r="D77" s="1">
        <v>5358.65</v>
      </c>
      <c r="E77" s="1">
        <v>21597443.57</v>
      </c>
      <c r="F77" t="s">
        <v>1280</v>
      </c>
      <c r="I77" s="16"/>
      <c r="J77" s="68"/>
      <c r="K77" s="68"/>
      <c r="L77" s="68"/>
      <c r="M77" s="74">
        <f t="shared" si="1"/>
        <v>5358.65</v>
      </c>
    </row>
    <row r="78" spans="1:13">
      <c r="A78" t="s">
        <v>19</v>
      </c>
      <c r="B78" t="s">
        <v>11</v>
      </c>
      <c r="C78" s="51">
        <v>136523955074</v>
      </c>
      <c r="D78" s="1">
        <v>3994.63</v>
      </c>
      <c r="E78" s="1">
        <v>21601438.199999999</v>
      </c>
      <c r="F78" t="s">
        <v>1280</v>
      </c>
      <c r="I78" s="16"/>
      <c r="J78" s="68"/>
      <c r="K78" s="68"/>
      <c r="L78" s="68"/>
      <c r="M78" s="74">
        <f t="shared" si="1"/>
        <v>3994.63</v>
      </c>
    </row>
    <row r="79" spans="1:13">
      <c r="A79" t="s">
        <v>19</v>
      </c>
      <c r="B79" t="s">
        <v>11</v>
      </c>
      <c r="C79" s="51">
        <v>136524590174</v>
      </c>
      <c r="D79" s="1">
        <v>31175.1</v>
      </c>
      <c r="E79" s="1">
        <v>21632613.300000001</v>
      </c>
      <c r="F79" t="s">
        <v>1280</v>
      </c>
      <c r="I79" s="16"/>
      <c r="J79" s="68"/>
      <c r="K79" s="68"/>
      <c r="L79" s="68"/>
      <c r="M79" s="74">
        <f t="shared" si="1"/>
        <v>31175.1</v>
      </c>
    </row>
    <row r="80" spans="1:13">
      <c r="A80" t="s">
        <v>19</v>
      </c>
      <c r="B80" t="s">
        <v>11</v>
      </c>
      <c r="C80" s="51">
        <v>135902300611</v>
      </c>
      <c r="D80" s="1">
        <v>10985.59</v>
      </c>
      <c r="E80" s="1">
        <v>21643598.890000001</v>
      </c>
      <c r="F80" t="s">
        <v>1280</v>
      </c>
      <c r="I80" s="16"/>
      <c r="J80" s="68"/>
      <c r="K80" s="68"/>
      <c r="L80" s="68"/>
      <c r="M80" s="74">
        <f t="shared" si="1"/>
        <v>10985.59</v>
      </c>
    </row>
    <row r="81" spans="1:13">
      <c r="A81" t="s">
        <v>19</v>
      </c>
      <c r="B81" t="s">
        <v>11</v>
      </c>
      <c r="C81" s="51">
        <v>135902991043</v>
      </c>
      <c r="D81" s="1">
        <v>13934.88</v>
      </c>
      <c r="E81" s="1">
        <v>21657533.77</v>
      </c>
      <c r="F81" t="s">
        <v>1280</v>
      </c>
      <c r="I81" s="16"/>
      <c r="J81" s="68"/>
      <c r="K81" s="68"/>
      <c r="L81" s="68"/>
      <c r="M81" s="74">
        <f t="shared" ref="M81:M144" si="2">+D81-I81-J81-K81-L81</f>
        <v>13934.88</v>
      </c>
    </row>
    <row r="82" spans="1:13">
      <c r="A82" t="s">
        <v>19</v>
      </c>
      <c r="B82" t="s">
        <v>11</v>
      </c>
      <c r="C82" s="51">
        <v>135903079939</v>
      </c>
      <c r="D82" s="1">
        <v>41212.89</v>
      </c>
      <c r="E82" s="1">
        <v>21698746.66</v>
      </c>
      <c r="F82" t="s">
        <v>1280</v>
      </c>
      <c r="I82" s="16"/>
      <c r="J82" s="68"/>
      <c r="K82" s="68"/>
      <c r="L82" s="68"/>
      <c r="M82" s="74">
        <f t="shared" si="2"/>
        <v>41212.89</v>
      </c>
    </row>
    <row r="83" spans="1:13">
      <c r="A83" t="s">
        <v>19</v>
      </c>
      <c r="B83" t="s">
        <v>11</v>
      </c>
      <c r="C83" s="51">
        <v>135903488753</v>
      </c>
      <c r="D83" s="1">
        <v>4676.6400000000003</v>
      </c>
      <c r="E83" s="1">
        <v>21703423.300000001</v>
      </c>
      <c r="F83" t="s">
        <v>1280</v>
      </c>
      <c r="I83" s="16"/>
      <c r="J83" s="68"/>
      <c r="K83" s="68"/>
      <c r="L83" s="68"/>
      <c r="M83" s="74">
        <f t="shared" si="2"/>
        <v>4676.6400000000003</v>
      </c>
    </row>
    <row r="84" spans="1:13">
      <c r="A84" t="s">
        <v>19</v>
      </c>
      <c r="B84" t="s">
        <v>11</v>
      </c>
      <c r="C84" s="51">
        <v>136525966018</v>
      </c>
      <c r="D84" s="1">
        <v>5358.65</v>
      </c>
      <c r="E84" s="1">
        <v>21708781.949999999</v>
      </c>
      <c r="F84" t="s">
        <v>1280</v>
      </c>
      <c r="I84" s="16"/>
      <c r="J84" s="68"/>
      <c r="K84" s="68"/>
      <c r="L84" s="68"/>
      <c r="M84" s="74">
        <f t="shared" si="2"/>
        <v>5358.65</v>
      </c>
    </row>
    <row r="85" spans="1:13">
      <c r="A85" t="s">
        <v>19</v>
      </c>
      <c r="B85" t="s">
        <v>11</v>
      </c>
      <c r="C85" s="51">
        <v>135903704321</v>
      </c>
      <c r="D85" s="1">
        <v>4384.3500000000004</v>
      </c>
      <c r="E85" s="1">
        <v>21713166.300000001</v>
      </c>
      <c r="F85" t="s">
        <v>1280</v>
      </c>
      <c r="I85" s="16"/>
      <c r="J85" s="68"/>
      <c r="K85" s="68"/>
      <c r="L85" s="68"/>
      <c r="M85" s="74">
        <f t="shared" si="2"/>
        <v>4384.3500000000004</v>
      </c>
    </row>
    <row r="86" spans="1:13">
      <c r="A86" t="s">
        <v>19</v>
      </c>
      <c r="B86" t="s">
        <v>11</v>
      </c>
      <c r="C86" s="51">
        <v>135903824609</v>
      </c>
      <c r="D86" s="1">
        <v>31177.599999999999</v>
      </c>
      <c r="E86" s="1">
        <v>21744343.899999999</v>
      </c>
      <c r="F86" t="s">
        <v>1280</v>
      </c>
      <c r="I86" s="16"/>
      <c r="J86" s="68"/>
      <c r="K86" s="68"/>
      <c r="L86" s="68"/>
      <c r="M86" s="74">
        <f t="shared" si="2"/>
        <v>31177.599999999999</v>
      </c>
    </row>
    <row r="87" spans="1:13">
      <c r="A87" t="s">
        <v>19</v>
      </c>
      <c r="B87" t="s">
        <v>11</v>
      </c>
      <c r="C87" s="51">
        <v>135903962267</v>
      </c>
      <c r="D87" s="1">
        <v>3897.2</v>
      </c>
      <c r="E87" s="1">
        <v>21748241.100000001</v>
      </c>
      <c r="F87" t="s">
        <v>1280</v>
      </c>
      <c r="I87" s="16"/>
      <c r="J87" s="68"/>
      <c r="K87" s="68"/>
      <c r="L87" s="68"/>
      <c r="M87" s="74">
        <f t="shared" si="2"/>
        <v>3897.2</v>
      </c>
    </row>
    <row r="88" spans="1:13">
      <c r="A88" t="s">
        <v>19</v>
      </c>
      <c r="B88" t="s">
        <v>24</v>
      </c>
      <c r="C88" s="51">
        <v>135903889629</v>
      </c>
      <c r="D88">
        <v>195.8</v>
      </c>
      <c r="E88" s="1">
        <v>21748436.899999999</v>
      </c>
      <c r="F88" t="s">
        <v>1280</v>
      </c>
      <c r="I88" s="16"/>
      <c r="J88" s="68"/>
      <c r="K88" s="68"/>
      <c r="L88" s="68"/>
      <c r="M88" s="74">
        <f t="shared" si="2"/>
        <v>195.8</v>
      </c>
    </row>
    <row r="89" spans="1:13">
      <c r="A89" t="s">
        <v>19</v>
      </c>
      <c r="B89" t="s">
        <v>11</v>
      </c>
      <c r="C89" s="51">
        <v>135903977575</v>
      </c>
      <c r="D89" s="1">
        <v>10717.3</v>
      </c>
      <c r="E89" s="1">
        <v>21759154.199999999</v>
      </c>
      <c r="F89" t="s">
        <v>1280</v>
      </c>
      <c r="I89" s="16"/>
      <c r="J89" s="68"/>
      <c r="K89" s="68"/>
      <c r="L89" s="68"/>
      <c r="M89" s="74">
        <f t="shared" si="2"/>
        <v>10717.3</v>
      </c>
    </row>
    <row r="90" spans="1:13">
      <c r="A90" t="s">
        <v>19</v>
      </c>
      <c r="B90" t="s">
        <v>11</v>
      </c>
      <c r="C90" s="51">
        <v>135904176073</v>
      </c>
      <c r="D90" s="1">
        <v>4644.96</v>
      </c>
      <c r="E90" s="1">
        <v>21763799.16</v>
      </c>
      <c r="F90" t="s">
        <v>1280</v>
      </c>
      <c r="I90" s="16"/>
      <c r="J90" s="68"/>
      <c r="K90" s="68"/>
      <c r="L90" s="68"/>
      <c r="M90" s="74">
        <f t="shared" si="2"/>
        <v>4644.96</v>
      </c>
    </row>
    <row r="91" spans="1:13">
      <c r="A91" t="s">
        <v>19</v>
      </c>
      <c r="B91" t="s">
        <v>11</v>
      </c>
      <c r="C91" s="51">
        <v>136526927868</v>
      </c>
      <c r="D91" s="1">
        <v>4676.6400000000003</v>
      </c>
      <c r="E91" s="1">
        <v>21768475.800000001</v>
      </c>
      <c r="F91" t="s">
        <v>1280</v>
      </c>
      <c r="I91" s="16"/>
      <c r="J91" s="68"/>
      <c r="K91" s="68"/>
      <c r="L91" s="68"/>
      <c r="M91" s="74">
        <f t="shared" si="2"/>
        <v>4676.6400000000003</v>
      </c>
    </row>
    <row r="92" spans="1:13">
      <c r="A92" t="s">
        <v>19</v>
      </c>
      <c r="B92" t="s">
        <v>25</v>
      </c>
      <c r="C92" s="51">
        <v>135904259461</v>
      </c>
      <c r="D92">
        <v>234.96</v>
      </c>
      <c r="E92" s="1">
        <v>21768710.760000002</v>
      </c>
      <c r="F92" t="s">
        <v>1280</v>
      </c>
      <c r="I92" s="16"/>
      <c r="J92" s="68"/>
      <c r="K92" s="68"/>
      <c r="L92" s="68"/>
      <c r="M92" s="74">
        <f t="shared" si="2"/>
        <v>234.96</v>
      </c>
    </row>
    <row r="93" spans="1:13">
      <c r="A93" t="s">
        <v>19</v>
      </c>
      <c r="B93" t="s">
        <v>11</v>
      </c>
      <c r="C93" s="51">
        <v>136527051650</v>
      </c>
      <c r="D93" s="1">
        <v>9353.2800000000007</v>
      </c>
      <c r="E93" s="1">
        <v>21778064.039999999</v>
      </c>
      <c r="F93" t="s">
        <v>1280</v>
      </c>
      <c r="I93" s="16"/>
      <c r="J93" s="68"/>
      <c r="K93" s="68"/>
      <c r="L93" s="68"/>
      <c r="M93" s="74">
        <f t="shared" si="2"/>
        <v>9353.2800000000007</v>
      </c>
    </row>
    <row r="94" spans="1:13">
      <c r="A94" t="s">
        <v>19</v>
      </c>
      <c r="B94" t="s">
        <v>11</v>
      </c>
      <c r="C94" s="51">
        <v>136527375236</v>
      </c>
      <c r="D94" s="1">
        <v>9353.2800000000007</v>
      </c>
      <c r="E94" s="1">
        <v>21787417.32</v>
      </c>
      <c r="F94" t="s">
        <v>1280</v>
      </c>
      <c r="I94" s="16"/>
      <c r="J94" s="68"/>
      <c r="K94" s="68"/>
      <c r="L94" s="68"/>
      <c r="M94" s="74">
        <f t="shared" si="2"/>
        <v>9353.2800000000007</v>
      </c>
    </row>
    <row r="95" spans="1:13">
      <c r="A95" t="s">
        <v>19</v>
      </c>
      <c r="B95" t="s">
        <v>11</v>
      </c>
      <c r="C95" s="51">
        <v>135904784987</v>
      </c>
      <c r="D95" s="1">
        <v>5322.35</v>
      </c>
      <c r="E95" s="1">
        <v>21792739.670000002</v>
      </c>
      <c r="F95" t="s">
        <v>1280</v>
      </c>
      <c r="I95" s="16"/>
      <c r="J95" s="68"/>
      <c r="K95" s="68"/>
      <c r="L95" s="68"/>
      <c r="M95" s="74">
        <f t="shared" si="2"/>
        <v>5322.35</v>
      </c>
    </row>
    <row r="96" spans="1:13">
      <c r="A96" t="s">
        <v>19</v>
      </c>
      <c r="B96" t="s">
        <v>11</v>
      </c>
      <c r="C96" s="51">
        <v>136527796466</v>
      </c>
      <c r="D96" s="1">
        <v>3994.63</v>
      </c>
      <c r="E96" s="1">
        <v>21796734.300000001</v>
      </c>
      <c r="F96" t="s">
        <v>1280</v>
      </c>
      <c r="I96" s="16"/>
      <c r="J96" s="68"/>
      <c r="K96" s="68"/>
      <c r="L96" s="68"/>
      <c r="M96" s="74">
        <f t="shared" si="2"/>
        <v>3994.63</v>
      </c>
    </row>
    <row r="97" spans="1:13">
      <c r="A97" t="s">
        <v>19</v>
      </c>
      <c r="B97" t="s">
        <v>11</v>
      </c>
      <c r="C97" s="51">
        <v>136527826814</v>
      </c>
      <c r="D97" s="1">
        <v>4286.92</v>
      </c>
      <c r="E97" s="1">
        <v>21801021.219999999</v>
      </c>
      <c r="F97" t="s">
        <v>1280</v>
      </c>
      <c r="I97" s="16"/>
      <c r="J97" s="68"/>
      <c r="K97" s="68"/>
      <c r="L97" s="68"/>
      <c r="M97" s="74">
        <f t="shared" si="2"/>
        <v>4286.92</v>
      </c>
    </row>
    <row r="98" spans="1:13">
      <c r="A98" t="s">
        <v>19</v>
      </c>
      <c r="B98" t="s">
        <v>11</v>
      </c>
      <c r="C98" s="51">
        <v>136528092580</v>
      </c>
      <c r="D98" s="1">
        <v>22408.9</v>
      </c>
      <c r="E98" s="1">
        <v>21823430.120000001</v>
      </c>
      <c r="F98" t="s">
        <v>1280</v>
      </c>
      <c r="I98" s="16"/>
      <c r="J98" s="68"/>
      <c r="K98" s="68"/>
      <c r="L98" s="68"/>
      <c r="M98" s="74">
        <f t="shared" si="2"/>
        <v>22408.9</v>
      </c>
    </row>
    <row r="99" spans="1:13">
      <c r="A99" t="s">
        <v>19</v>
      </c>
      <c r="B99" t="s">
        <v>11</v>
      </c>
      <c r="C99" s="51">
        <v>136528512600</v>
      </c>
      <c r="D99" s="1">
        <v>5358.65</v>
      </c>
      <c r="E99" s="1">
        <v>21828788.77</v>
      </c>
      <c r="F99" t="s">
        <v>1280</v>
      </c>
      <c r="I99" s="16"/>
      <c r="J99" s="68"/>
      <c r="K99" s="68"/>
      <c r="L99" s="68"/>
      <c r="M99" s="74">
        <f t="shared" si="2"/>
        <v>5358.65</v>
      </c>
    </row>
    <row r="100" spans="1:13">
      <c r="A100" t="s">
        <v>19</v>
      </c>
      <c r="B100" t="s">
        <v>11</v>
      </c>
      <c r="C100" s="51">
        <v>136528767468</v>
      </c>
      <c r="D100" s="1">
        <v>4286.92</v>
      </c>
      <c r="E100" s="1">
        <v>21833075.690000001</v>
      </c>
      <c r="F100" t="s">
        <v>1280</v>
      </c>
      <c r="I100" s="16"/>
      <c r="J100" s="68"/>
      <c r="K100" s="68"/>
      <c r="L100" s="68"/>
      <c r="M100" s="74">
        <f t="shared" si="2"/>
        <v>4286.92</v>
      </c>
    </row>
    <row r="101" spans="1:13">
      <c r="A101" t="s">
        <v>19</v>
      </c>
      <c r="B101" t="s">
        <v>11</v>
      </c>
      <c r="C101" s="51">
        <v>136528753792</v>
      </c>
      <c r="D101" s="1">
        <v>14418.73</v>
      </c>
      <c r="E101" s="1">
        <v>21847494.420000002</v>
      </c>
      <c r="F101" t="s">
        <v>1280</v>
      </c>
      <c r="I101" s="16"/>
      <c r="J101" s="68"/>
      <c r="K101" s="68"/>
      <c r="L101" s="68"/>
      <c r="M101" s="74">
        <f t="shared" si="2"/>
        <v>14418.73</v>
      </c>
    </row>
    <row r="102" spans="1:13">
      <c r="A102" t="s">
        <v>19</v>
      </c>
      <c r="B102" t="s">
        <v>11</v>
      </c>
      <c r="C102" s="51">
        <v>135906555589</v>
      </c>
      <c r="D102" s="1">
        <v>14029.92</v>
      </c>
      <c r="E102" s="1">
        <v>21861524.34</v>
      </c>
      <c r="F102" t="s">
        <v>1280</v>
      </c>
      <c r="I102" s="16"/>
      <c r="J102" s="68"/>
      <c r="K102" s="68"/>
      <c r="L102" s="68"/>
      <c r="M102" s="74">
        <f t="shared" si="2"/>
        <v>14029.92</v>
      </c>
    </row>
    <row r="103" spans="1:13">
      <c r="A103" t="s">
        <v>19</v>
      </c>
      <c r="B103" t="s">
        <v>11</v>
      </c>
      <c r="C103" s="51">
        <v>136529368322</v>
      </c>
      <c r="D103" s="1">
        <v>16075.95</v>
      </c>
      <c r="E103" s="1">
        <v>21877600.289999999</v>
      </c>
      <c r="F103" t="s">
        <v>1280</v>
      </c>
      <c r="I103" s="16"/>
      <c r="J103" s="68"/>
      <c r="K103" s="68"/>
      <c r="L103" s="68"/>
      <c r="M103" s="74">
        <f t="shared" si="2"/>
        <v>16075.95</v>
      </c>
    </row>
    <row r="104" spans="1:13">
      <c r="A104" t="s">
        <v>19</v>
      </c>
      <c r="B104" t="s">
        <v>11</v>
      </c>
      <c r="C104" s="51">
        <v>136529601672</v>
      </c>
      <c r="D104" s="1">
        <v>4676.6400000000003</v>
      </c>
      <c r="E104" s="1">
        <v>21882276.93</v>
      </c>
      <c r="F104" t="s">
        <v>1280</v>
      </c>
      <c r="I104" s="16"/>
      <c r="J104" s="68"/>
      <c r="K104" s="68"/>
      <c r="L104" s="68"/>
      <c r="M104" s="74">
        <f t="shared" si="2"/>
        <v>4676.6400000000003</v>
      </c>
    </row>
    <row r="105" spans="1:13">
      <c r="A105" t="s">
        <v>19</v>
      </c>
      <c r="B105" t="s">
        <v>11</v>
      </c>
      <c r="C105" s="51">
        <v>136529790482</v>
      </c>
      <c r="D105" s="1">
        <v>3897.2</v>
      </c>
      <c r="E105" s="1">
        <v>21886174.129999999</v>
      </c>
      <c r="F105" t="s">
        <v>1280</v>
      </c>
      <c r="I105" s="16"/>
      <c r="J105" s="68"/>
      <c r="K105" s="68"/>
      <c r="L105" s="68"/>
      <c r="M105" s="74">
        <f t="shared" si="2"/>
        <v>3897.2</v>
      </c>
    </row>
    <row r="106" spans="1:13">
      <c r="A106" t="s">
        <v>19</v>
      </c>
      <c r="B106" t="s">
        <v>11</v>
      </c>
      <c r="C106" s="51">
        <v>136530047680</v>
      </c>
      <c r="D106" s="1">
        <v>54239.58</v>
      </c>
      <c r="E106" s="1">
        <v>21940413.710000001</v>
      </c>
      <c r="F106" t="s">
        <v>1280</v>
      </c>
      <c r="I106" s="16"/>
      <c r="J106" s="68"/>
      <c r="K106" s="68"/>
      <c r="L106" s="68"/>
      <c r="M106" s="74">
        <f t="shared" si="2"/>
        <v>54239.58</v>
      </c>
    </row>
    <row r="107" spans="1:13">
      <c r="A107" t="s">
        <v>26</v>
      </c>
      <c r="B107" t="s">
        <v>11</v>
      </c>
      <c r="C107" s="51">
        <v>135908897041</v>
      </c>
      <c r="D107" s="1">
        <v>45792.1</v>
      </c>
      <c r="E107" s="1">
        <v>21986205.809999999</v>
      </c>
      <c r="F107" t="s">
        <v>1280</v>
      </c>
      <c r="I107" s="16"/>
      <c r="J107" s="68"/>
      <c r="K107" s="68"/>
      <c r="L107" s="68"/>
      <c r="M107" s="74">
        <f t="shared" si="2"/>
        <v>45792.1</v>
      </c>
    </row>
    <row r="108" spans="1:13">
      <c r="A108" t="s">
        <v>26</v>
      </c>
      <c r="B108" t="s">
        <v>27</v>
      </c>
      <c r="C108" s="51">
        <v>136531346928</v>
      </c>
      <c r="D108" s="1">
        <v>2300.65</v>
      </c>
      <c r="E108" s="1">
        <v>21988506.460000001</v>
      </c>
      <c r="F108" t="s">
        <v>1280</v>
      </c>
      <c r="I108" s="16"/>
      <c r="J108" s="68"/>
      <c r="K108" s="68"/>
      <c r="L108" s="68"/>
      <c r="M108" s="74">
        <f t="shared" si="2"/>
        <v>2300.65</v>
      </c>
    </row>
    <row r="109" spans="1:13">
      <c r="A109" t="s">
        <v>26</v>
      </c>
      <c r="B109" t="s">
        <v>11</v>
      </c>
      <c r="C109" s="51">
        <v>135909210549</v>
      </c>
      <c r="D109" s="1">
        <v>41700.04</v>
      </c>
      <c r="E109" s="1">
        <v>22030206.5</v>
      </c>
      <c r="F109" t="s">
        <v>1280</v>
      </c>
      <c r="I109" s="16"/>
      <c r="J109" s="68"/>
      <c r="K109" s="68"/>
      <c r="L109" s="68"/>
      <c r="M109" s="74">
        <f t="shared" si="2"/>
        <v>41700.04</v>
      </c>
    </row>
    <row r="110" spans="1:13">
      <c r="A110" t="s">
        <v>26</v>
      </c>
      <c r="B110" t="s">
        <v>11</v>
      </c>
      <c r="C110" s="51">
        <v>135909548389</v>
      </c>
      <c r="D110" s="1">
        <v>18803.990000000002</v>
      </c>
      <c r="E110" s="1">
        <v>22049010.489999998</v>
      </c>
      <c r="F110" t="s">
        <v>1280</v>
      </c>
      <c r="I110" s="16"/>
      <c r="J110" s="68"/>
      <c r="K110" s="68"/>
      <c r="L110" s="68"/>
      <c r="M110" s="74">
        <f t="shared" si="2"/>
        <v>18803.990000000002</v>
      </c>
    </row>
    <row r="111" spans="1:13">
      <c r="A111" t="s">
        <v>26</v>
      </c>
      <c r="B111" t="s">
        <v>11</v>
      </c>
      <c r="C111" s="51">
        <v>136532314330</v>
      </c>
      <c r="D111" s="1">
        <v>19744.23</v>
      </c>
      <c r="E111" s="1">
        <v>22068754.719999999</v>
      </c>
      <c r="F111" t="s">
        <v>1280</v>
      </c>
      <c r="I111" s="16"/>
      <c r="J111" s="68"/>
      <c r="K111" s="68"/>
      <c r="L111" s="68"/>
      <c r="M111" s="74">
        <f t="shared" si="2"/>
        <v>19744.23</v>
      </c>
    </row>
    <row r="112" spans="1:13">
      <c r="A112" t="s">
        <v>26</v>
      </c>
      <c r="B112" t="s">
        <v>11</v>
      </c>
      <c r="C112" s="51">
        <v>136532271696</v>
      </c>
      <c r="D112" s="1">
        <v>26829.48</v>
      </c>
      <c r="E112" s="1">
        <v>22095584.199999999</v>
      </c>
      <c r="F112" t="s">
        <v>1280</v>
      </c>
      <c r="I112" s="16"/>
      <c r="J112" s="68"/>
      <c r="K112" s="68"/>
      <c r="L112" s="68"/>
      <c r="M112" s="74">
        <f t="shared" si="2"/>
        <v>26829.48</v>
      </c>
    </row>
    <row r="113" spans="1:13">
      <c r="A113" t="s">
        <v>26</v>
      </c>
      <c r="B113" t="s">
        <v>11</v>
      </c>
      <c r="C113" s="51">
        <v>135909801847</v>
      </c>
      <c r="D113" s="1">
        <v>23772.92</v>
      </c>
      <c r="E113" s="1">
        <v>22119357.120000001</v>
      </c>
      <c r="F113" t="s">
        <v>1280</v>
      </c>
      <c r="I113" s="16"/>
      <c r="J113" s="68"/>
      <c r="K113" s="68"/>
      <c r="L113" s="68"/>
      <c r="M113" s="74">
        <f t="shared" si="2"/>
        <v>23772.92</v>
      </c>
    </row>
    <row r="114" spans="1:13">
      <c r="A114" t="s">
        <v>26</v>
      </c>
      <c r="B114" t="s">
        <v>11</v>
      </c>
      <c r="C114" s="51">
        <v>135910347159</v>
      </c>
      <c r="D114" s="1">
        <v>44525.51</v>
      </c>
      <c r="E114" s="1">
        <v>22163882.629999999</v>
      </c>
      <c r="F114" t="s">
        <v>1280</v>
      </c>
      <c r="I114" s="16"/>
      <c r="J114" s="68"/>
      <c r="K114" s="68"/>
      <c r="L114" s="68"/>
      <c r="M114" s="74">
        <f t="shared" si="2"/>
        <v>44525.51</v>
      </c>
    </row>
    <row r="115" spans="1:13">
      <c r="A115" t="s">
        <v>26</v>
      </c>
      <c r="B115" t="s">
        <v>11</v>
      </c>
      <c r="C115" s="51">
        <v>136532968476</v>
      </c>
      <c r="D115" s="1">
        <v>175383.55</v>
      </c>
      <c r="E115" s="1">
        <v>22339266.18</v>
      </c>
      <c r="F115" t="s">
        <v>1280</v>
      </c>
      <c r="I115" s="16"/>
      <c r="J115" s="68"/>
      <c r="K115" s="68"/>
      <c r="L115" s="68"/>
      <c r="M115" s="74">
        <f t="shared" si="2"/>
        <v>175383.55</v>
      </c>
    </row>
    <row r="116" spans="1:13">
      <c r="A116" t="s">
        <v>26</v>
      </c>
      <c r="B116" t="s">
        <v>11</v>
      </c>
      <c r="C116" s="51">
        <v>135910717417</v>
      </c>
      <c r="D116" s="1">
        <v>83511.48</v>
      </c>
      <c r="E116" s="1">
        <v>22422777.66</v>
      </c>
      <c r="F116" t="s">
        <v>1280</v>
      </c>
      <c r="I116" s="16"/>
      <c r="J116" s="68"/>
      <c r="K116" s="68"/>
      <c r="L116" s="68"/>
      <c r="M116" s="74">
        <f t="shared" si="2"/>
        <v>83511.48</v>
      </c>
    </row>
    <row r="117" spans="1:13">
      <c r="A117" t="s">
        <v>26</v>
      </c>
      <c r="B117" t="s">
        <v>11</v>
      </c>
      <c r="C117" s="51">
        <v>135910779181</v>
      </c>
      <c r="D117" s="1">
        <v>5725.46</v>
      </c>
      <c r="E117" s="1">
        <v>22428503.120000001</v>
      </c>
      <c r="F117" t="s">
        <v>1280</v>
      </c>
      <c r="I117" s="16"/>
      <c r="J117" s="68"/>
      <c r="K117" s="68"/>
      <c r="L117" s="68"/>
      <c r="M117" s="74">
        <f t="shared" si="2"/>
        <v>5725.46</v>
      </c>
    </row>
    <row r="118" spans="1:13">
      <c r="A118" t="s">
        <v>26</v>
      </c>
      <c r="B118" t="s">
        <v>11</v>
      </c>
      <c r="C118" s="51">
        <v>135910838031</v>
      </c>
      <c r="D118" s="1">
        <v>4384.3500000000004</v>
      </c>
      <c r="E118" s="1">
        <v>22432887.469999999</v>
      </c>
      <c r="F118" t="s">
        <v>1280</v>
      </c>
      <c r="I118" s="16"/>
      <c r="J118" s="68"/>
      <c r="K118" s="68"/>
      <c r="L118" s="68"/>
      <c r="M118" s="74">
        <f t="shared" si="2"/>
        <v>4384.3500000000004</v>
      </c>
    </row>
    <row r="119" spans="1:13">
      <c r="A119" t="s">
        <v>26</v>
      </c>
      <c r="B119" t="s">
        <v>11</v>
      </c>
      <c r="C119" s="51">
        <v>135910964657</v>
      </c>
      <c r="D119" s="1">
        <v>85933.26</v>
      </c>
      <c r="E119" s="1">
        <v>22518820.73</v>
      </c>
      <c r="F119" t="s">
        <v>1280</v>
      </c>
      <c r="I119" s="16"/>
      <c r="J119" s="68"/>
      <c r="K119" s="68"/>
      <c r="L119" s="68"/>
      <c r="M119" s="74">
        <f t="shared" si="2"/>
        <v>85933.26</v>
      </c>
    </row>
    <row r="120" spans="1:13">
      <c r="A120" t="s">
        <v>26</v>
      </c>
      <c r="B120" t="s">
        <v>11</v>
      </c>
      <c r="C120" s="51">
        <v>135911102295</v>
      </c>
      <c r="D120" s="1">
        <v>67546.05</v>
      </c>
      <c r="E120" s="1">
        <v>22586366.780000001</v>
      </c>
      <c r="F120" t="s">
        <v>1280</v>
      </c>
      <c r="I120" s="16"/>
      <c r="J120" s="68"/>
      <c r="K120" s="68"/>
      <c r="L120" s="68"/>
      <c r="M120" s="74">
        <f t="shared" si="2"/>
        <v>67546.05</v>
      </c>
    </row>
    <row r="121" spans="1:13">
      <c r="A121" t="s">
        <v>26</v>
      </c>
      <c r="B121" t="s">
        <v>11</v>
      </c>
      <c r="C121" s="51">
        <v>135911230541</v>
      </c>
      <c r="D121" s="1">
        <v>47140.53</v>
      </c>
      <c r="E121" s="1">
        <v>22633507.309999999</v>
      </c>
      <c r="F121" t="s">
        <v>1280</v>
      </c>
      <c r="I121" s="16"/>
      <c r="J121" s="68"/>
      <c r="K121" s="68"/>
      <c r="L121" s="68"/>
      <c r="M121" s="74">
        <f t="shared" si="2"/>
        <v>47140.53</v>
      </c>
    </row>
    <row r="122" spans="1:13">
      <c r="A122" t="s">
        <v>26</v>
      </c>
      <c r="B122" t="s">
        <v>11</v>
      </c>
      <c r="C122" s="51">
        <v>136534523898</v>
      </c>
      <c r="D122" s="1">
        <v>15393.94</v>
      </c>
      <c r="E122" s="1">
        <v>22648901.25</v>
      </c>
      <c r="F122" t="s">
        <v>1280</v>
      </c>
      <c r="I122" s="16"/>
      <c r="J122" s="68"/>
      <c r="K122" s="68"/>
      <c r="L122" s="68"/>
      <c r="M122" s="74">
        <f t="shared" si="2"/>
        <v>15393.94</v>
      </c>
    </row>
    <row r="123" spans="1:13">
      <c r="A123" t="s">
        <v>26</v>
      </c>
      <c r="B123" t="s">
        <v>11</v>
      </c>
      <c r="C123" s="51">
        <v>136535032914</v>
      </c>
      <c r="D123" s="1">
        <v>4774.07</v>
      </c>
      <c r="E123" s="1">
        <v>22653675.32</v>
      </c>
      <c r="F123" t="s">
        <v>1280</v>
      </c>
      <c r="I123" s="16"/>
      <c r="J123" s="68"/>
      <c r="K123" s="68"/>
      <c r="L123" s="68"/>
      <c r="M123" s="74">
        <f t="shared" si="2"/>
        <v>4774.07</v>
      </c>
    </row>
    <row r="124" spans="1:13">
      <c r="A124" t="s">
        <v>26</v>
      </c>
      <c r="B124" t="s">
        <v>11</v>
      </c>
      <c r="C124" s="51">
        <v>136535221070</v>
      </c>
      <c r="D124" s="1">
        <v>62160.34</v>
      </c>
      <c r="E124" s="1">
        <v>22715835.66</v>
      </c>
      <c r="F124" t="s">
        <v>1280</v>
      </c>
      <c r="I124" s="16"/>
      <c r="J124" s="68"/>
      <c r="K124" s="68"/>
      <c r="L124" s="68"/>
      <c r="M124" s="74">
        <f t="shared" si="2"/>
        <v>62160.34</v>
      </c>
    </row>
    <row r="125" spans="1:13">
      <c r="A125" t="s">
        <v>26</v>
      </c>
      <c r="B125" t="s">
        <v>11</v>
      </c>
      <c r="C125" s="51">
        <v>136535378680</v>
      </c>
      <c r="D125" s="1">
        <v>43940.93</v>
      </c>
      <c r="E125" s="1">
        <v>22759776.59</v>
      </c>
      <c r="F125" t="s">
        <v>1280</v>
      </c>
      <c r="I125" s="16"/>
      <c r="J125" s="68"/>
      <c r="K125" s="68"/>
      <c r="L125" s="68"/>
      <c r="M125" s="74">
        <f t="shared" si="2"/>
        <v>43940.93</v>
      </c>
    </row>
    <row r="126" spans="1:13">
      <c r="A126" t="s">
        <v>26</v>
      </c>
      <c r="B126" t="s">
        <v>11</v>
      </c>
      <c r="C126" s="51">
        <v>136537920028</v>
      </c>
      <c r="D126" s="1">
        <v>19096.28</v>
      </c>
      <c r="E126" s="1">
        <v>22778872.870000001</v>
      </c>
      <c r="F126" t="s">
        <v>1280</v>
      </c>
      <c r="I126" s="16"/>
      <c r="J126" s="68"/>
      <c r="K126" s="68"/>
      <c r="L126" s="68"/>
      <c r="M126" s="74">
        <f t="shared" si="2"/>
        <v>19096.28</v>
      </c>
    </row>
    <row r="127" spans="1:13">
      <c r="A127" t="s">
        <v>26</v>
      </c>
      <c r="B127" t="s">
        <v>11</v>
      </c>
      <c r="C127" s="51">
        <v>135915566345</v>
      </c>
      <c r="D127" s="1">
        <v>23480.63</v>
      </c>
      <c r="E127" s="1">
        <v>22802353.5</v>
      </c>
      <c r="F127" t="s">
        <v>1280</v>
      </c>
      <c r="I127" s="16"/>
      <c r="J127" s="68"/>
      <c r="K127" s="68"/>
      <c r="L127" s="68"/>
      <c r="M127" s="74">
        <f t="shared" si="2"/>
        <v>23480.63</v>
      </c>
    </row>
    <row r="128" spans="1:13">
      <c r="A128" t="s">
        <v>26</v>
      </c>
      <c r="B128" t="s">
        <v>11</v>
      </c>
      <c r="C128" s="51">
        <v>135916127391</v>
      </c>
      <c r="D128" s="1">
        <v>39946.300000000003</v>
      </c>
      <c r="E128" s="1">
        <v>22842299.800000001</v>
      </c>
      <c r="F128" t="s">
        <v>1280</v>
      </c>
      <c r="I128" s="16"/>
      <c r="J128" s="68"/>
      <c r="K128" s="68"/>
      <c r="L128" s="68"/>
      <c r="M128" s="74">
        <f t="shared" si="2"/>
        <v>39946.300000000003</v>
      </c>
    </row>
    <row r="129" spans="1:13">
      <c r="A129" t="s">
        <v>26</v>
      </c>
      <c r="B129" t="s">
        <v>11</v>
      </c>
      <c r="C129" s="51">
        <v>136539211002</v>
      </c>
      <c r="D129" s="1">
        <v>8525.1200000000008</v>
      </c>
      <c r="E129" s="1">
        <v>22850824.920000002</v>
      </c>
      <c r="F129" t="s">
        <v>1280</v>
      </c>
      <c r="I129" s="16"/>
      <c r="J129" s="68"/>
      <c r="K129" s="68"/>
      <c r="L129" s="68"/>
      <c r="M129" s="74">
        <f t="shared" si="2"/>
        <v>8525.1200000000008</v>
      </c>
    </row>
    <row r="130" spans="1:13">
      <c r="A130" t="s">
        <v>26</v>
      </c>
      <c r="B130" t="s">
        <v>28</v>
      </c>
      <c r="C130" s="51">
        <v>136582518616</v>
      </c>
      <c r="D130" s="1">
        <v>63145.5</v>
      </c>
      <c r="E130" s="1">
        <v>22913970.420000002</v>
      </c>
      <c r="F130" t="s">
        <v>1280</v>
      </c>
      <c r="I130" s="16"/>
      <c r="J130" s="68"/>
      <c r="K130" s="68"/>
      <c r="L130" s="68"/>
      <c r="M130" s="74">
        <f t="shared" si="2"/>
        <v>63145.5</v>
      </c>
    </row>
    <row r="131" spans="1:13">
      <c r="A131" t="s">
        <v>26</v>
      </c>
      <c r="B131" t="s">
        <v>11</v>
      </c>
      <c r="C131" s="51">
        <v>136675013138</v>
      </c>
      <c r="D131" s="1">
        <v>4092.06</v>
      </c>
      <c r="E131" s="1">
        <v>22918062.48</v>
      </c>
      <c r="F131" t="s">
        <v>1280</v>
      </c>
      <c r="I131" s="16"/>
      <c r="J131" s="68"/>
      <c r="K131" s="68"/>
      <c r="L131" s="68"/>
      <c r="M131" s="74">
        <f t="shared" si="2"/>
        <v>4092.06</v>
      </c>
    </row>
    <row r="132" spans="1:13">
      <c r="A132" t="s">
        <v>26</v>
      </c>
      <c r="B132" t="s">
        <v>29</v>
      </c>
      <c r="C132" s="51">
        <v>136051543027</v>
      </c>
      <c r="D132">
        <v>205.59</v>
      </c>
      <c r="E132" s="1">
        <v>22918268.07</v>
      </c>
      <c r="F132" t="s">
        <v>1280</v>
      </c>
      <c r="I132" s="16"/>
      <c r="J132" s="68"/>
      <c r="K132" s="68"/>
      <c r="L132" s="68"/>
      <c r="M132" s="74">
        <f t="shared" si="2"/>
        <v>205.59</v>
      </c>
    </row>
    <row r="133" spans="1:13">
      <c r="A133" t="s">
        <v>26</v>
      </c>
      <c r="B133" t="s">
        <v>11</v>
      </c>
      <c r="C133" s="51">
        <v>136052254573</v>
      </c>
      <c r="D133" s="1">
        <v>4534.5600000000004</v>
      </c>
      <c r="E133" s="1">
        <v>22922802.629999999</v>
      </c>
      <c r="F133" t="s">
        <v>1280</v>
      </c>
      <c r="I133" s="16"/>
      <c r="J133" s="68"/>
      <c r="K133" s="68"/>
      <c r="L133" s="68"/>
      <c r="M133" s="74">
        <f t="shared" si="2"/>
        <v>4534.5600000000004</v>
      </c>
    </row>
    <row r="134" spans="1:13">
      <c r="A134" t="s">
        <v>26</v>
      </c>
      <c r="B134" t="s">
        <v>11</v>
      </c>
      <c r="C134" s="51">
        <v>136676483834</v>
      </c>
      <c r="D134" s="1">
        <v>23969</v>
      </c>
      <c r="E134" s="1">
        <v>22946771.629999999</v>
      </c>
      <c r="F134" t="s">
        <v>1280</v>
      </c>
      <c r="I134" s="16"/>
      <c r="J134" s="68"/>
      <c r="K134" s="68"/>
      <c r="L134" s="68"/>
      <c r="M134" s="74">
        <f t="shared" si="2"/>
        <v>23969</v>
      </c>
    </row>
    <row r="135" spans="1:13">
      <c r="A135" t="s">
        <v>26</v>
      </c>
      <c r="B135" t="s">
        <v>11</v>
      </c>
      <c r="C135" s="51">
        <v>136676932768</v>
      </c>
      <c r="D135" s="1">
        <v>15870.96</v>
      </c>
      <c r="E135" s="1">
        <v>22962642.59</v>
      </c>
      <c r="F135" t="s">
        <v>1280</v>
      </c>
      <c r="I135" s="16"/>
      <c r="J135" s="68"/>
      <c r="K135" s="68"/>
      <c r="L135" s="68"/>
      <c r="M135" s="74">
        <f t="shared" si="2"/>
        <v>15870.96</v>
      </c>
    </row>
    <row r="136" spans="1:13">
      <c r="A136" t="s">
        <v>26</v>
      </c>
      <c r="B136" t="s">
        <v>11</v>
      </c>
      <c r="C136" s="51">
        <v>136677967596</v>
      </c>
      <c r="D136" s="1">
        <v>15296.51</v>
      </c>
      <c r="E136" s="1">
        <v>22977939.100000001</v>
      </c>
      <c r="F136" t="s">
        <v>1280</v>
      </c>
      <c r="I136" s="16"/>
      <c r="J136" s="68"/>
      <c r="K136" s="68"/>
      <c r="L136" s="68"/>
      <c r="M136" s="74">
        <f t="shared" si="2"/>
        <v>15296.51</v>
      </c>
    </row>
    <row r="137" spans="1:13">
      <c r="A137" t="s">
        <v>26</v>
      </c>
      <c r="B137" t="s">
        <v>11</v>
      </c>
      <c r="C137" s="51">
        <v>136058124483</v>
      </c>
      <c r="D137" s="1">
        <v>8715.84</v>
      </c>
      <c r="E137" s="1">
        <v>22986654.940000001</v>
      </c>
      <c r="F137" t="s">
        <v>1280</v>
      </c>
      <c r="I137" s="16"/>
      <c r="J137" s="68"/>
      <c r="K137" s="68"/>
      <c r="L137" s="68"/>
      <c r="M137" s="74">
        <f t="shared" si="2"/>
        <v>8715.84</v>
      </c>
    </row>
    <row r="138" spans="1:13">
      <c r="A138" t="s">
        <v>26</v>
      </c>
      <c r="B138" t="s">
        <v>11</v>
      </c>
      <c r="C138" s="51">
        <v>136684362466</v>
      </c>
      <c r="D138" s="1">
        <v>26793.25</v>
      </c>
      <c r="E138" s="1">
        <v>23013448.190000001</v>
      </c>
      <c r="F138" t="s">
        <v>1280</v>
      </c>
      <c r="I138" s="16"/>
      <c r="J138" s="68"/>
      <c r="K138" s="68"/>
      <c r="L138" s="68"/>
      <c r="M138" s="74">
        <f t="shared" si="2"/>
        <v>26793.25</v>
      </c>
    </row>
    <row r="139" spans="1:13">
      <c r="A139" t="s">
        <v>26</v>
      </c>
      <c r="B139" t="s">
        <v>30</v>
      </c>
      <c r="C139" s="51">
        <v>136684356570</v>
      </c>
      <c r="D139" s="1">
        <v>1346.12</v>
      </c>
      <c r="E139" s="1">
        <v>23014794.309999999</v>
      </c>
      <c r="F139" t="s">
        <v>1280</v>
      </c>
      <c r="I139" s="16"/>
      <c r="J139" s="68"/>
      <c r="K139" s="68"/>
      <c r="L139" s="68"/>
      <c r="M139" s="74">
        <f t="shared" si="2"/>
        <v>1346.12</v>
      </c>
    </row>
    <row r="140" spans="1:13">
      <c r="A140" t="s">
        <v>26</v>
      </c>
      <c r="B140" t="s">
        <v>11</v>
      </c>
      <c r="C140" s="51">
        <v>136684524618</v>
      </c>
      <c r="D140" s="1">
        <v>4629.03</v>
      </c>
      <c r="E140" s="1">
        <v>23019423.34</v>
      </c>
      <c r="F140" t="s">
        <v>1280</v>
      </c>
      <c r="I140" s="16"/>
      <c r="J140" s="68"/>
      <c r="K140" s="68"/>
      <c r="L140" s="68"/>
      <c r="M140" s="74">
        <f t="shared" si="2"/>
        <v>4629.03</v>
      </c>
    </row>
    <row r="141" spans="1:13">
      <c r="A141" t="s">
        <v>26</v>
      </c>
      <c r="B141" t="s">
        <v>11</v>
      </c>
      <c r="C141" s="51">
        <v>136686063362</v>
      </c>
      <c r="D141" s="1">
        <v>9548.14</v>
      </c>
      <c r="E141" s="1">
        <v>23028971.48</v>
      </c>
      <c r="F141" t="s">
        <v>1280</v>
      </c>
      <c r="I141" s="16"/>
      <c r="J141" s="68"/>
      <c r="K141" s="68"/>
      <c r="L141" s="68"/>
      <c r="M141" s="74">
        <f t="shared" si="2"/>
        <v>9548.14</v>
      </c>
    </row>
    <row r="142" spans="1:13">
      <c r="A142" t="s">
        <v>26</v>
      </c>
      <c r="B142" t="s">
        <v>11</v>
      </c>
      <c r="C142" s="51">
        <v>136689125144</v>
      </c>
      <c r="D142" s="1">
        <v>8768.7000000000007</v>
      </c>
      <c r="E142" s="1">
        <v>23037740.18</v>
      </c>
      <c r="F142" t="s">
        <v>1280</v>
      </c>
      <c r="I142" s="16"/>
      <c r="J142" s="68"/>
      <c r="K142" s="68"/>
      <c r="L142" s="68"/>
      <c r="M142" s="74">
        <f t="shared" si="2"/>
        <v>8768.7000000000007</v>
      </c>
    </row>
    <row r="143" spans="1:13">
      <c r="A143" t="s">
        <v>26</v>
      </c>
      <c r="B143" t="s">
        <v>11</v>
      </c>
      <c r="C143" s="51">
        <v>136689207772</v>
      </c>
      <c r="D143" s="1">
        <v>42889.38</v>
      </c>
      <c r="E143" s="1">
        <v>23080629.559999999</v>
      </c>
      <c r="F143" t="s">
        <v>1280</v>
      </c>
      <c r="I143" s="16"/>
      <c r="J143" s="68"/>
      <c r="K143" s="68"/>
      <c r="L143" s="68"/>
      <c r="M143" s="74">
        <f t="shared" si="2"/>
        <v>42889.38</v>
      </c>
    </row>
    <row r="144" spans="1:13">
      <c r="A144" t="s">
        <v>26</v>
      </c>
      <c r="B144" t="s">
        <v>11</v>
      </c>
      <c r="C144" s="51">
        <v>136690556608</v>
      </c>
      <c r="D144" s="1">
        <v>16012.66</v>
      </c>
      <c r="E144" s="1">
        <v>23096642.219999999</v>
      </c>
      <c r="F144" t="s">
        <v>1280</v>
      </c>
      <c r="I144" s="16"/>
      <c r="J144" s="68"/>
      <c r="K144" s="68"/>
      <c r="L144" s="68"/>
      <c r="M144" s="74">
        <f t="shared" si="2"/>
        <v>16012.66</v>
      </c>
    </row>
    <row r="145" spans="1:13">
      <c r="A145" t="s">
        <v>26</v>
      </c>
      <c r="B145" t="s">
        <v>11</v>
      </c>
      <c r="C145" s="51">
        <v>136067110391</v>
      </c>
      <c r="D145" s="1">
        <v>18657.82</v>
      </c>
      <c r="E145" s="1">
        <v>23115300.039999999</v>
      </c>
      <c r="F145" t="s">
        <v>1280</v>
      </c>
      <c r="I145" s="16"/>
      <c r="J145" s="68"/>
      <c r="K145" s="68"/>
      <c r="L145" s="68"/>
      <c r="M145" s="74">
        <f t="shared" ref="M145:M181" si="3">+D145-I145-J145-K145-L145</f>
        <v>18657.82</v>
      </c>
    </row>
    <row r="146" spans="1:13">
      <c r="A146" t="s">
        <v>26</v>
      </c>
      <c r="B146" t="s">
        <v>11</v>
      </c>
      <c r="C146" s="51">
        <v>136691246728</v>
      </c>
      <c r="D146" s="1">
        <v>50176.45</v>
      </c>
      <c r="E146" s="1">
        <v>23165476.489999998</v>
      </c>
      <c r="F146" t="s">
        <v>1280</v>
      </c>
      <c r="I146" s="16"/>
      <c r="J146" s="68"/>
      <c r="K146" s="68"/>
      <c r="L146" s="68"/>
      <c r="M146" s="74">
        <f t="shared" si="3"/>
        <v>50176.45</v>
      </c>
    </row>
    <row r="147" spans="1:13">
      <c r="A147" t="s">
        <v>26</v>
      </c>
      <c r="B147" t="s">
        <v>11</v>
      </c>
      <c r="C147" s="51">
        <v>136067944241</v>
      </c>
      <c r="D147" s="1">
        <v>13164.55</v>
      </c>
      <c r="E147" s="1">
        <v>23178641.039999999</v>
      </c>
      <c r="F147" t="s">
        <v>1280</v>
      </c>
      <c r="I147" s="16"/>
      <c r="J147" s="68"/>
      <c r="K147" s="68"/>
      <c r="L147" s="68"/>
      <c r="M147" s="74">
        <f t="shared" si="3"/>
        <v>13164.55</v>
      </c>
    </row>
    <row r="148" spans="1:13">
      <c r="A148" t="s">
        <v>26</v>
      </c>
      <c r="B148" t="s">
        <v>11</v>
      </c>
      <c r="C148" s="51">
        <v>136693286622</v>
      </c>
      <c r="D148" s="1">
        <v>4774.07</v>
      </c>
      <c r="E148" s="1">
        <v>23183415.109999999</v>
      </c>
      <c r="F148" t="s">
        <v>1280</v>
      </c>
      <c r="I148" s="16"/>
      <c r="J148" s="68"/>
      <c r="K148" s="68"/>
      <c r="L148" s="68"/>
      <c r="M148" s="74">
        <f t="shared" si="3"/>
        <v>4774.07</v>
      </c>
    </row>
    <row r="149" spans="1:13">
      <c r="A149" t="s">
        <v>26</v>
      </c>
      <c r="B149" t="s">
        <v>11</v>
      </c>
      <c r="C149" s="51">
        <v>136072576761</v>
      </c>
      <c r="D149" s="1">
        <v>25136.94</v>
      </c>
      <c r="E149" s="1">
        <v>23208552.050000001</v>
      </c>
      <c r="F149" t="s">
        <v>1280</v>
      </c>
      <c r="I149" s="16"/>
      <c r="J149" s="68"/>
      <c r="K149" s="68"/>
      <c r="L149" s="68"/>
      <c r="M149" s="74">
        <f t="shared" si="3"/>
        <v>25136.94</v>
      </c>
    </row>
    <row r="150" spans="1:13">
      <c r="A150" t="s">
        <v>26</v>
      </c>
      <c r="B150" t="s">
        <v>11</v>
      </c>
      <c r="C150" s="51">
        <v>136697737900</v>
      </c>
      <c r="D150" s="1">
        <v>29716.15</v>
      </c>
      <c r="E150" s="1">
        <v>23238268.199999999</v>
      </c>
      <c r="F150" t="s">
        <v>1280</v>
      </c>
      <c r="I150" s="16"/>
      <c r="J150" s="68"/>
      <c r="K150" s="68"/>
      <c r="L150" s="68"/>
      <c r="M150" s="74">
        <f t="shared" si="3"/>
        <v>29716.15</v>
      </c>
    </row>
    <row r="151" spans="1:13">
      <c r="A151" t="s">
        <v>26</v>
      </c>
      <c r="B151" t="s">
        <v>11</v>
      </c>
      <c r="C151" s="51">
        <v>136075632673</v>
      </c>
      <c r="D151" s="1">
        <v>63621.79</v>
      </c>
      <c r="E151" s="1">
        <v>23301889.989999998</v>
      </c>
      <c r="F151" t="s">
        <v>1280</v>
      </c>
      <c r="I151" s="16"/>
      <c r="J151" s="68"/>
      <c r="K151" s="68"/>
      <c r="L151" s="68"/>
      <c r="M151" s="74">
        <f t="shared" si="3"/>
        <v>63621.79</v>
      </c>
    </row>
    <row r="152" spans="1:13">
      <c r="A152" t="s">
        <v>26</v>
      </c>
      <c r="B152" t="s">
        <v>11</v>
      </c>
      <c r="C152" s="51">
        <v>136699638344</v>
      </c>
      <c r="D152" s="1">
        <v>57386.27</v>
      </c>
      <c r="E152" s="1">
        <v>23359276.260000002</v>
      </c>
      <c r="F152" t="s">
        <v>1280</v>
      </c>
      <c r="I152" s="16"/>
      <c r="J152" s="68"/>
      <c r="K152" s="68"/>
      <c r="L152" s="68"/>
      <c r="M152" s="74">
        <f t="shared" si="3"/>
        <v>57386.27</v>
      </c>
    </row>
    <row r="153" spans="1:13">
      <c r="A153" t="s">
        <v>26</v>
      </c>
      <c r="B153" t="s">
        <v>11</v>
      </c>
      <c r="C153" s="51">
        <v>136076832363</v>
      </c>
      <c r="D153" s="1">
        <v>31762.18</v>
      </c>
      <c r="E153" s="1">
        <v>23391038.440000001</v>
      </c>
      <c r="F153" t="s">
        <v>1280</v>
      </c>
      <c r="I153" s="16"/>
      <c r="J153" s="68"/>
      <c r="K153" s="68"/>
      <c r="L153" s="68"/>
      <c r="M153" s="74">
        <f t="shared" si="3"/>
        <v>31762.18</v>
      </c>
    </row>
    <row r="154" spans="1:13">
      <c r="A154" t="s">
        <v>31</v>
      </c>
      <c r="B154" t="s">
        <v>11</v>
      </c>
      <c r="C154" s="51">
        <v>136078016419</v>
      </c>
      <c r="D154" s="1">
        <v>39361.72</v>
      </c>
      <c r="E154" s="1">
        <v>23430400.16</v>
      </c>
      <c r="F154" t="s">
        <v>1280</v>
      </c>
      <c r="I154" s="16"/>
      <c r="J154" s="68"/>
      <c r="K154" s="68"/>
      <c r="L154" s="68"/>
      <c r="M154" s="74">
        <f t="shared" si="3"/>
        <v>39361.72</v>
      </c>
    </row>
    <row r="155" spans="1:13">
      <c r="A155" t="s">
        <v>31</v>
      </c>
      <c r="B155" t="s">
        <v>11</v>
      </c>
      <c r="C155" s="51">
        <v>136078826713</v>
      </c>
      <c r="D155" s="1">
        <v>37315.69</v>
      </c>
      <c r="E155" s="1">
        <v>23467715.850000001</v>
      </c>
      <c r="F155" t="s">
        <v>1280</v>
      </c>
      <c r="I155" s="16"/>
      <c r="J155" s="68"/>
      <c r="K155" s="68"/>
      <c r="L155" s="68"/>
      <c r="M155" s="74">
        <f t="shared" si="3"/>
        <v>37315.69</v>
      </c>
    </row>
    <row r="156" spans="1:13">
      <c r="A156" t="s">
        <v>31</v>
      </c>
      <c r="B156" t="s">
        <v>11</v>
      </c>
      <c r="C156" s="51">
        <v>136703140262</v>
      </c>
      <c r="D156" s="1">
        <v>57191.41</v>
      </c>
      <c r="E156" s="1">
        <v>23524907.260000002</v>
      </c>
      <c r="F156" t="s">
        <v>1280</v>
      </c>
      <c r="I156" s="16"/>
      <c r="J156" s="68"/>
      <c r="K156" s="68"/>
      <c r="L156" s="68"/>
      <c r="M156" s="74">
        <f t="shared" si="3"/>
        <v>57191.41</v>
      </c>
    </row>
    <row r="157" spans="1:13">
      <c r="A157" t="s">
        <v>31</v>
      </c>
      <c r="B157" t="s">
        <v>32</v>
      </c>
      <c r="C157" s="51">
        <v>136079648859</v>
      </c>
      <c r="D157" s="1">
        <v>2873.36</v>
      </c>
      <c r="E157" s="1">
        <v>23527780.620000001</v>
      </c>
      <c r="F157" t="s">
        <v>1280</v>
      </c>
      <c r="I157" s="16"/>
      <c r="J157" s="68"/>
      <c r="K157" s="68"/>
      <c r="L157" s="68"/>
      <c r="M157" s="74">
        <f t="shared" si="3"/>
        <v>2873.36</v>
      </c>
    </row>
    <row r="158" spans="1:13">
      <c r="A158" t="s">
        <v>31</v>
      </c>
      <c r="B158" t="s">
        <v>11</v>
      </c>
      <c r="C158" s="51">
        <v>136703920262</v>
      </c>
      <c r="D158" s="1">
        <v>42576.91</v>
      </c>
      <c r="E158" s="1">
        <v>23570357.530000001</v>
      </c>
      <c r="F158" t="s">
        <v>1280</v>
      </c>
      <c r="I158" s="16"/>
      <c r="J158" s="68"/>
      <c r="K158" s="68"/>
      <c r="L158" s="68"/>
      <c r="M158" s="74">
        <f t="shared" si="3"/>
        <v>42576.91</v>
      </c>
    </row>
    <row r="159" spans="1:13">
      <c r="A159" t="s">
        <v>31</v>
      </c>
      <c r="B159" t="s">
        <v>11</v>
      </c>
      <c r="C159" s="51">
        <v>136704187344</v>
      </c>
      <c r="D159" s="1">
        <v>21546</v>
      </c>
      <c r="E159" s="1">
        <v>23591903.530000001</v>
      </c>
      <c r="F159" t="s">
        <v>1280</v>
      </c>
      <c r="I159" s="16"/>
      <c r="J159" s="68"/>
      <c r="K159" s="68"/>
      <c r="L159" s="68"/>
      <c r="M159" s="74">
        <f t="shared" si="3"/>
        <v>21546</v>
      </c>
    </row>
    <row r="160" spans="1:13">
      <c r="A160" t="s">
        <v>31</v>
      </c>
      <c r="B160" t="s">
        <v>11</v>
      </c>
      <c r="C160" s="51">
        <v>136080717447</v>
      </c>
      <c r="D160" s="1">
        <v>13445.34</v>
      </c>
      <c r="E160" s="1">
        <v>23605348.870000001</v>
      </c>
      <c r="F160" t="s">
        <v>1280</v>
      </c>
      <c r="I160" s="16"/>
      <c r="J160" s="68"/>
      <c r="K160" s="68"/>
      <c r="L160" s="68"/>
      <c r="M160" s="74">
        <f t="shared" si="3"/>
        <v>13445.34</v>
      </c>
    </row>
    <row r="161" spans="1:13">
      <c r="A161" t="s">
        <v>31</v>
      </c>
      <c r="B161" t="s">
        <v>11</v>
      </c>
      <c r="C161" s="51">
        <v>136082008275</v>
      </c>
      <c r="D161" s="1">
        <v>25234.37</v>
      </c>
      <c r="E161" s="1">
        <v>23630583.239999998</v>
      </c>
      <c r="F161" t="s">
        <v>1280</v>
      </c>
      <c r="I161" s="16"/>
      <c r="J161" s="68"/>
      <c r="K161" s="68"/>
      <c r="L161" s="68"/>
      <c r="M161" s="74">
        <f t="shared" si="3"/>
        <v>25234.37</v>
      </c>
    </row>
    <row r="162" spans="1:13">
      <c r="A162" t="s">
        <v>31</v>
      </c>
      <c r="B162" t="s">
        <v>11</v>
      </c>
      <c r="C162" s="51">
        <v>136082556343</v>
      </c>
      <c r="D162" s="1">
        <v>13131.33</v>
      </c>
      <c r="E162" s="1">
        <v>23643714.57</v>
      </c>
      <c r="F162" t="s">
        <v>1280</v>
      </c>
      <c r="I162" s="16"/>
      <c r="J162" s="68"/>
      <c r="K162" s="68"/>
      <c r="L162" s="68"/>
      <c r="M162" s="74">
        <f t="shared" si="3"/>
        <v>13131.33</v>
      </c>
    </row>
    <row r="163" spans="1:13">
      <c r="A163" t="s">
        <v>31</v>
      </c>
      <c r="B163" t="s">
        <v>11</v>
      </c>
      <c r="C163" s="51">
        <v>136706179074</v>
      </c>
      <c r="D163" s="1">
        <v>93825.09</v>
      </c>
      <c r="E163" s="1">
        <v>23737539.66</v>
      </c>
      <c r="F163" t="s">
        <v>1280</v>
      </c>
      <c r="I163" s="16"/>
      <c r="J163" s="68"/>
      <c r="K163" s="68"/>
      <c r="L163" s="68"/>
      <c r="M163" s="74">
        <f t="shared" si="3"/>
        <v>93825.09</v>
      </c>
    </row>
    <row r="164" spans="1:13">
      <c r="A164" t="s">
        <v>31</v>
      </c>
      <c r="B164" t="s">
        <v>11</v>
      </c>
      <c r="C164" s="51">
        <v>136706567546</v>
      </c>
      <c r="D164" s="1">
        <v>18998.849999999999</v>
      </c>
      <c r="E164" s="1">
        <v>23756538.510000002</v>
      </c>
      <c r="F164" t="s">
        <v>1280</v>
      </c>
      <c r="I164" s="16"/>
      <c r="J164" s="68"/>
      <c r="K164" s="68"/>
      <c r="L164" s="68"/>
      <c r="M164" s="74">
        <f t="shared" si="3"/>
        <v>18998.849999999999</v>
      </c>
    </row>
    <row r="165" spans="1:13">
      <c r="A165" t="s">
        <v>31</v>
      </c>
      <c r="B165" t="s">
        <v>11</v>
      </c>
      <c r="C165" s="51">
        <v>136706595996</v>
      </c>
      <c r="D165" s="1">
        <v>83497.509999999995</v>
      </c>
      <c r="E165" s="1">
        <v>23840036.02</v>
      </c>
      <c r="F165" t="s">
        <v>1280</v>
      </c>
      <c r="I165" s="16"/>
      <c r="J165" s="68"/>
      <c r="K165" s="68"/>
      <c r="L165" s="68"/>
      <c r="M165" s="74">
        <f t="shared" si="3"/>
        <v>83497.509999999995</v>
      </c>
    </row>
    <row r="166" spans="1:13">
      <c r="A166" t="s">
        <v>31</v>
      </c>
      <c r="B166" t="s">
        <v>11</v>
      </c>
      <c r="C166" s="51">
        <v>136083238703</v>
      </c>
      <c r="D166" s="1">
        <v>45304.95</v>
      </c>
      <c r="E166" s="1">
        <v>23885340.969999999</v>
      </c>
      <c r="F166" t="s">
        <v>1280</v>
      </c>
      <c r="I166" s="16"/>
      <c r="J166" s="68"/>
      <c r="K166" s="68"/>
      <c r="L166" s="68"/>
      <c r="M166" s="74">
        <f t="shared" si="3"/>
        <v>45304.95</v>
      </c>
    </row>
    <row r="167" spans="1:13">
      <c r="A167" t="s">
        <v>31</v>
      </c>
      <c r="B167" t="s">
        <v>11</v>
      </c>
      <c r="C167" s="51">
        <v>136707102110</v>
      </c>
      <c r="D167" s="1">
        <v>19778.29</v>
      </c>
      <c r="E167" s="1">
        <v>23905119.260000002</v>
      </c>
      <c r="F167" t="s">
        <v>1280</v>
      </c>
      <c r="I167" s="16"/>
      <c r="J167" s="68"/>
      <c r="K167" s="68"/>
      <c r="L167" s="68"/>
      <c r="M167" s="74">
        <f t="shared" si="3"/>
        <v>19778.29</v>
      </c>
    </row>
    <row r="168" spans="1:13">
      <c r="A168" t="s">
        <v>31</v>
      </c>
      <c r="B168" t="s">
        <v>11</v>
      </c>
      <c r="C168" s="51">
        <v>136707233790</v>
      </c>
      <c r="D168" s="1">
        <v>47740.7</v>
      </c>
      <c r="E168" s="1">
        <v>23952859.960000001</v>
      </c>
      <c r="F168" t="s">
        <v>1280</v>
      </c>
      <c r="I168" s="16"/>
      <c r="J168" s="68"/>
      <c r="K168" s="68"/>
      <c r="L168" s="68"/>
      <c r="M168" s="74">
        <f t="shared" si="3"/>
        <v>47740.7</v>
      </c>
    </row>
    <row r="169" spans="1:13">
      <c r="A169" t="s">
        <v>31</v>
      </c>
      <c r="B169" t="s">
        <v>23</v>
      </c>
      <c r="C169" s="51">
        <v>136083759929</v>
      </c>
      <c r="D169" s="1">
        <v>4797.1000000000004</v>
      </c>
      <c r="E169" s="1">
        <v>23957657.059999999</v>
      </c>
      <c r="F169" t="s">
        <v>1280</v>
      </c>
      <c r="I169" s="16"/>
      <c r="J169" s="68"/>
      <c r="K169" s="68"/>
      <c r="L169" s="68"/>
      <c r="M169" s="74">
        <f t="shared" si="3"/>
        <v>4797.1000000000004</v>
      </c>
    </row>
    <row r="170" spans="1:13">
      <c r="A170" t="s">
        <v>31</v>
      </c>
      <c r="B170" t="s">
        <v>11</v>
      </c>
      <c r="C170" s="51">
        <v>136707892144</v>
      </c>
      <c r="D170" s="1">
        <v>53001.919999999998</v>
      </c>
      <c r="E170" s="1">
        <v>24010658.98</v>
      </c>
      <c r="F170" t="s">
        <v>1280</v>
      </c>
      <c r="I170" s="16"/>
      <c r="J170" s="68"/>
      <c r="K170" s="68"/>
      <c r="L170" s="68"/>
      <c r="M170" s="74">
        <f t="shared" si="3"/>
        <v>53001.919999999998</v>
      </c>
    </row>
    <row r="171" spans="1:13">
      <c r="A171" t="s">
        <v>31</v>
      </c>
      <c r="B171" t="s">
        <v>11</v>
      </c>
      <c r="C171" s="51">
        <v>136708150316</v>
      </c>
      <c r="D171" s="1">
        <v>16075.95</v>
      </c>
      <c r="E171" s="1">
        <v>24026734.93</v>
      </c>
      <c r="F171" t="s">
        <v>1280</v>
      </c>
      <c r="I171" s="16"/>
      <c r="J171" s="68"/>
      <c r="K171" s="68"/>
      <c r="L171" s="68"/>
      <c r="M171" s="74">
        <f t="shared" si="3"/>
        <v>16075.95</v>
      </c>
    </row>
    <row r="172" spans="1:13">
      <c r="A172" t="s">
        <v>31</v>
      </c>
      <c r="B172" t="s">
        <v>11</v>
      </c>
      <c r="C172" s="51">
        <v>136708166040</v>
      </c>
      <c r="D172" s="1">
        <v>13547.8</v>
      </c>
      <c r="E172" s="1">
        <v>24040282.73</v>
      </c>
      <c r="F172" t="s">
        <v>1280</v>
      </c>
      <c r="I172" s="16"/>
      <c r="J172" s="68"/>
      <c r="K172" s="68"/>
      <c r="L172" s="68"/>
      <c r="M172" s="74">
        <f t="shared" si="3"/>
        <v>13547.8</v>
      </c>
    </row>
    <row r="173" spans="1:13">
      <c r="A173" t="s">
        <v>31</v>
      </c>
      <c r="B173" t="s">
        <v>11</v>
      </c>
      <c r="C173" s="51">
        <v>136085098461</v>
      </c>
      <c r="D173" s="1">
        <v>58068.28</v>
      </c>
      <c r="E173" s="1">
        <v>24098351.010000002</v>
      </c>
      <c r="F173" t="s">
        <v>1280</v>
      </c>
      <c r="I173" s="16"/>
      <c r="J173" s="68"/>
      <c r="K173" s="68"/>
      <c r="L173" s="68"/>
      <c r="M173" s="74">
        <f t="shared" si="3"/>
        <v>58068.28</v>
      </c>
    </row>
    <row r="174" spans="1:13">
      <c r="A174" t="s">
        <v>31</v>
      </c>
      <c r="B174" t="s">
        <v>11</v>
      </c>
      <c r="C174" s="51">
        <v>136085255891</v>
      </c>
      <c r="D174" s="1">
        <v>8313.36</v>
      </c>
      <c r="E174" s="1">
        <v>24106664.370000001</v>
      </c>
      <c r="F174" t="s">
        <v>1280</v>
      </c>
      <c r="I174" s="16"/>
      <c r="J174" s="68"/>
      <c r="K174" s="68"/>
      <c r="L174" s="68"/>
      <c r="M174" s="74">
        <f t="shared" si="3"/>
        <v>8313.36</v>
      </c>
    </row>
    <row r="175" spans="1:13">
      <c r="A175" t="s">
        <v>31</v>
      </c>
      <c r="B175" t="s">
        <v>11</v>
      </c>
      <c r="C175" s="51">
        <v>136709093234</v>
      </c>
      <c r="D175" s="1">
        <v>30398.16</v>
      </c>
      <c r="E175" s="1">
        <v>24137062.530000001</v>
      </c>
      <c r="F175" t="s">
        <v>1280</v>
      </c>
      <c r="I175" s="16"/>
      <c r="J175" s="68"/>
      <c r="K175" s="68"/>
      <c r="L175" s="68"/>
      <c r="M175" s="74">
        <f t="shared" si="3"/>
        <v>30398.16</v>
      </c>
    </row>
    <row r="176" spans="1:13">
      <c r="A176" t="s">
        <v>31</v>
      </c>
      <c r="B176" t="s">
        <v>33</v>
      </c>
      <c r="C176" s="51">
        <v>136085501779</v>
      </c>
      <c r="D176" s="1">
        <v>1527.24</v>
      </c>
      <c r="E176" s="1">
        <v>24138589.77</v>
      </c>
      <c r="F176" t="s">
        <v>1280</v>
      </c>
      <c r="I176" s="16"/>
      <c r="J176" s="68"/>
      <c r="K176" s="68"/>
      <c r="L176" s="68"/>
      <c r="M176" s="74">
        <f t="shared" si="3"/>
        <v>1527.24</v>
      </c>
    </row>
    <row r="177" spans="1:13">
      <c r="A177" t="s">
        <v>31</v>
      </c>
      <c r="B177" t="s">
        <v>11</v>
      </c>
      <c r="C177" s="51">
        <v>136709325646</v>
      </c>
      <c r="D177" s="1">
        <v>17537.400000000001</v>
      </c>
      <c r="E177" s="1">
        <v>24156127.170000002</v>
      </c>
      <c r="F177" t="s">
        <v>1280</v>
      </c>
      <c r="I177" s="16"/>
      <c r="J177" s="68"/>
      <c r="K177" s="68"/>
      <c r="L177" s="68"/>
      <c r="M177" s="74">
        <f t="shared" si="3"/>
        <v>17537.400000000001</v>
      </c>
    </row>
    <row r="178" spans="1:13">
      <c r="A178" t="s">
        <v>31</v>
      </c>
      <c r="B178" t="s">
        <v>11</v>
      </c>
      <c r="C178" s="51">
        <v>136709365352</v>
      </c>
      <c r="D178" s="1">
        <v>59237.440000000002</v>
      </c>
      <c r="E178" s="1">
        <v>24215364.609999999</v>
      </c>
      <c r="F178" t="s">
        <v>1280</v>
      </c>
      <c r="I178" s="16"/>
      <c r="J178" s="68"/>
      <c r="K178" s="68"/>
      <c r="L178" s="68"/>
      <c r="M178" s="74">
        <f t="shared" si="3"/>
        <v>59237.440000000002</v>
      </c>
    </row>
    <row r="179" spans="1:13">
      <c r="A179" t="s">
        <v>31</v>
      </c>
      <c r="B179" t="s">
        <v>34</v>
      </c>
      <c r="C179" s="51">
        <v>136709402958</v>
      </c>
      <c r="D179" s="1">
        <v>2976.16</v>
      </c>
      <c r="E179" s="1">
        <v>24218340.77</v>
      </c>
      <c r="F179" t="s">
        <v>1280</v>
      </c>
      <c r="I179" s="16"/>
      <c r="J179" s="68"/>
      <c r="K179" s="68"/>
      <c r="L179" s="68"/>
      <c r="M179" s="74">
        <f t="shared" si="3"/>
        <v>2976.16</v>
      </c>
    </row>
    <row r="180" spans="1:13">
      <c r="A180" t="s">
        <v>31</v>
      </c>
      <c r="B180" t="s">
        <v>11</v>
      </c>
      <c r="C180" s="51">
        <v>136086050167</v>
      </c>
      <c r="D180" s="1">
        <v>10619.87</v>
      </c>
      <c r="E180" s="1">
        <v>24228960.640000001</v>
      </c>
      <c r="F180" t="s">
        <v>1280</v>
      </c>
      <c r="I180" s="16"/>
      <c r="J180" s="68"/>
      <c r="K180" s="68"/>
      <c r="L180" s="68"/>
      <c r="M180" s="74">
        <f t="shared" si="3"/>
        <v>10619.87</v>
      </c>
    </row>
    <row r="181" spans="1:13">
      <c r="A181" t="s">
        <v>31</v>
      </c>
      <c r="B181" t="s">
        <v>11</v>
      </c>
      <c r="C181" s="51">
        <v>136086178973</v>
      </c>
      <c r="D181" s="1">
        <v>22896.05</v>
      </c>
      <c r="E181" s="1">
        <v>24251856.690000001</v>
      </c>
      <c r="F181" t="s">
        <v>1280</v>
      </c>
      <c r="I181" s="16"/>
      <c r="J181" s="68"/>
      <c r="K181" s="68"/>
      <c r="L181" s="68"/>
      <c r="M181" s="74">
        <f t="shared" si="3"/>
        <v>22896.05</v>
      </c>
    </row>
    <row r="182" spans="1:13">
      <c r="A182" t="s">
        <v>31</v>
      </c>
      <c r="B182" t="s">
        <v>35</v>
      </c>
      <c r="C182" s="51">
        <v>136154630259</v>
      </c>
      <c r="D182" s="1">
        <v>-30763.360000000001</v>
      </c>
      <c r="E182" s="1">
        <v>24221093.329999998</v>
      </c>
      <c r="F182" s="27" t="s">
        <v>1281</v>
      </c>
      <c r="G182" s="16">
        <f>+D182/1.006</f>
        <v>-30579.880715705767</v>
      </c>
      <c r="H182" s="16"/>
      <c r="I182" s="16"/>
      <c r="J182" s="68"/>
      <c r="K182" s="68"/>
      <c r="L182" s="68"/>
      <c r="M182" s="52">
        <f>+D182-I182-J182-K182-L182</f>
        <v>-30763.360000000001</v>
      </c>
    </row>
    <row r="183" spans="1:13">
      <c r="A183" t="s">
        <v>31</v>
      </c>
      <c r="B183" t="s">
        <v>11</v>
      </c>
      <c r="C183" s="51">
        <v>136182589345</v>
      </c>
      <c r="D183">
        <v>14.17</v>
      </c>
      <c r="E183" s="1">
        <v>24221107.5</v>
      </c>
      <c r="F183" t="s">
        <v>1280</v>
      </c>
      <c r="I183" s="16"/>
      <c r="J183" s="68"/>
      <c r="K183" s="68"/>
      <c r="L183" s="68"/>
      <c r="M183" s="74">
        <f t="shared" ref="M183:M246" si="4">+D183-I183-J183-K183-L183</f>
        <v>14.17</v>
      </c>
    </row>
    <row r="184" spans="1:13">
      <c r="A184" t="s">
        <v>31</v>
      </c>
      <c r="B184" t="s">
        <v>36</v>
      </c>
      <c r="C184" s="51">
        <v>136182589345</v>
      </c>
      <c r="D184">
        <v>-14.17</v>
      </c>
      <c r="E184" s="1">
        <v>24221093.329999998</v>
      </c>
      <c r="F184" t="s">
        <v>1280</v>
      </c>
      <c r="I184" s="16"/>
      <c r="J184" s="68"/>
      <c r="K184" s="68"/>
      <c r="L184" s="68"/>
      <c r="M184" s="74">
        <f t="shared" si="4"/>
        <v>-14.17</v>
      </c>
    </row>
    <row r="185" spans="1:13">
      <c r="A185" t="s">
        <v>31</v>
      </c>
      <c r="B185" t="s">
        <v>11</v>
      </c>
      <c r="C185" s="51">
        <v>136818536256</v>
      </c>
      <c r="D185" s="1">
        <v>7935.48</v>
      </c>
      <c r="E185" s="1">
        <v>24229028.809999999</v>
      </c>
      <c r="F185" t="s">
        <v>1280</v>
      </c>
      <c r="I185" s="16"/>
      <c r="J185" s="68"/>
      <c r="K185" s="68"/>
      <c r="L185" s="68"/>
      <c r="M185" s="74">
        <f t="shared" si="4"/>
        <v>7935.48</v>
      </c>
    </row>
    <row r="186" spans="1:13">
      <c r="A186" t="s">
        <v>31</v>
      </c>
      <c r="B186" t="s">
        <v>11</v>
      </c>
      <c r="C186" s="51">
        <v>136197610809</v>
      </c>
      <c r="D186" s="1">
        <v>9353.2800000000007</v>
      </c>
      <c r="E186" s="1">
        <v>24238382.09</v>
      </c>
      <c r="F186" t="s">
        <v>1280</v>
      </c>
      <c r="I186" s="16"/>
      <c r="J186" s="68"/>
      <c r="K186" s="68"/>
      <c r="L186" s="68"/>
      <c r="M186" s="74">
        <f t="shared" si="4"/>
        <v>9353.2800000000007</v>
      </c>
    </row>
    <row r="187" spans="1:13">
      <c r="A187" t="s">
        <v>31</v>
      </c>
      <c r="B187" t="s">
        <v>11</v>
      </c>
      <c r="C187" s="51">
        <v>136199301371</v>
      </c>
      <c r="D187" s="1">
        <v>12081.32</v>
      </c>
      <c r="E187" s="1">
        <v>24250463.41</v>
      </c>
      <c r="F187" t="s">
        <v>1280</v>
      </c>
      <c r="I187" s="16"/>
      <c r="J187" s="68"/>
      <c r="K187" s="68"/>
      <c r="L187" s="68"/>
      <c r="M187" s="74">
        <f t="shared" si="4"/>
        <v>12081.32</v>
      </c>
    </row>
    <row r="188" spans="1:13">
      <c r="A188" t="s">
        <v>31</v>
      </c>
      <c r="B188" t="s">
        <v>11</v>
      </c>
      <c r="C188" s="51">
        <v>136825810056</v>
      </c>
      <c r="D188" s="1">
        <v>13225.8</v>
      </c>
      <c r="E188" s="1">
        <v>24263689.210000001</v>
      </c>
      <c r="F188" t="s">
        <v>1280</v>
      </c>
      <c r="I188" s="16"/>
      <c r="J188" s="68"/>
      <c r="K188" s="68"/>
      <c r="L188" s="68"/>
      <c r="M188" s="74">
        <f t="shared" si="4"/>
        <v>13225.8</v>
      </c>
    </row>
    <row r="189" spans="1:13">
      <c r="A189" t="s">
        <v>31</v>
      </c>
      <c r="B189" t="s">
        <v>11</v>
      </c>
      <c r="C189" s="51">
        <v>136203880503</v>
      </c>
      <c r="D189" s="1">
        <v>22483.86</v>
      </c>
      <c r="E189" s="1">
        <v>24286173.07</v>
      </c>
      <c r="F189" t="s">
        <v>1280</v>
      </c>
      <c r="I189" s="16"/>
      <c r="J189" s="68"/>
      <c r="K189" s="68"/>
      <c r="L189" s="68"/>
      <c r="M189" s="74">
        <f t="shared" si="4"/>
        <v>22483.86</v>
      </c>
    </row>
    <row r="190" spans="1:13">
      <c r="A190" t="s">
        <v>31</v>
      </c>
      <c r="B190" t="s">
        <v>11</v>
      </c>
      <c r="C190" s="51">
        <v>136204861051</v>
      </c>
      <c r="D190" s="1">
        <v>19778.29</v>
      </c>
      <c r="E190" s="1">
        <v>24305951.359999999</v>
      </c>
      <c r="F190" t="s">
        <v>1280</v>
      </c>
      <c r="I190" s="16"/>
      <c r="J190" s="68"/>
      <c r="K190" s="68"/>
      <c r="L190" s="68"/>
      <c r="M190" s="74">
        <f t="shared" si="4"/>
        <v>19778.29</v>
      </c>
    </row>
    <row r="191" spans="1:13">
      <c r="A191" t="s">
        <v>31</v>
      </c>
      <c r="B191" t="s">
        <v>37</v>
      </c>
      <c r="C191" s="51">
        <v>136829205946</v>
      </c>
      <c r="D191">
        <v>993.68</v>
      </c>
      <c r="E191" s="1">
        <v>24306945.039999999</v>
      </c>
      <c r="F191" t="s">
        <v>1280</v>
      </c>
      <c r="I191" s="16"/>
      <c r="J191" s="68"/>
      <c r="K191" s="68"/>
      <c r="L191" s="68"/>
      <c r="M191" s="74">
        <f t="shared" si="4"/>
        <v>993.68</v>
      </c>
    </row>
    <row r="192" spans="1:13">
      <c r="A192" t="s">
        <v>31</v>
      </c>
      <c r="B192" t="s">
        <v>11</v>
      </c>
      <c r="C192" s="51">
        <v>136206758325</v>
      </c>
      <c r="D192" s="1">
        <v>71905.679999999993</v>
      </c>
      <c r="E192" s="1">
        <v>24378850.719999999</v>
      </c>
      <c r="F192" t="s">
        <v>1280</v>
      </c>
      <c r="I192" s="16"/>
      <c r="J192" s="68"/>
      <c r="K192" s="68"/>
      <c r="L192" s="68"/>
      <c r="M192" s="74">
        <f t="shared" si="4"/>
        <v>71905.679999999993</v>
      </c>
    </row>
    <row r="193" spans="1:13">
      <c r="A193" t="s">
        <v>31</v>
      </c>
      <c r="B193" t="s">
        <v>11</v>
      </c>
      <c r="C193" s="51">
        <v>136206659707</v>
      </c>
      <c r="D193" s="1">
        <v>34879.94</v>
      </c>
      <c r="E193" s="1">
        <v>24413730.66</v>
      </c>
      <c r="F193" t="s">
        <v>1280</v>
      </c>
      <c r="I193" s="16"/>
      <c r="J193" s="68"/>
      <c r="K193" s="68"/>
      <c r="L193" s="68"/>
      <c r="M193" s="74">
        <f t="shared" si="4"/>
        <v>34879.94</v>
      </c>
    </row>
    <row r="194" spans="1:13">
      <c r="A194" t="s">
        <v>31</v>
      </c>
      <c r="B194" t="s">
        <v>11</v>
      </c>
      <c r="C194" s="51">
        <v>136830857486</v>
      </c>
      <c r="D194" s="1">
        <v>9548.14</v>
      </c>
      <c r="E194" s="1">
        <v>24423278.800000001</v>
      </c>
      <c r="F194" t="s">
        <v>1280</v>
      </c>
      <c r="I194" s="16"/>
      <c r="J194" s="68"/>
      <c r="K194" s="68"/>
      <c r="L194" s="68"/>
      <c r="M194" s="74">
        <f t="shared" si="4"/>
        <v>9548.14</v>
      </c>
    </row>
    <row r="195" spans="1:13">
      <c r="A195" t="s">
        <v>31</v>
      </c>
      <c r="B195" t="s">
        <v>11</v>
      </c>
      <c r="C195" s="51">
        <v>136831622152</v>
      </c>
      <c r="D195" s="1">
        <v>31536.959999999999</v>
      </c>
      <c r="E195" s="1">
        <v>24454815.760000002</v>
      </c>
      <c r="F195" t="s">
        <v>1280</v>
      </c>
      <c r="I195" s="16"/>
      <c r="J195" s="68"/>
      <c r="K195" s="68"/>
      <c r="L195" s="68"/>
      <c r="M195" s="74">
        <f t="shared" si="4"/>
        <v>31536.959999999999</v>
      </c>
    </row>
    <row r="196" spans="1:13">
      <c r="A196" t="s">
        <v>31</v>
      </c>
      <c r="B196" t="s">
        <v>11</v>
      </c>
      <c r="C196" s="51">
        <v>136832417604</v>
      </c>
      <c r="D196" s="1">
        <v>9258.06</v>
      </c>
      <c r="E196" s="1">
        <v>24464073.82</v>
      </c>
      <c r="F196" t="s">
        <v>1280</v>
      </c>
      <c r="I196" s="16"/>
      <c r="J196" s="68"/>
      <c r="K196" s="68"/>
      <c r="L196" s="68"/>
      <c r="M196" s="74">
        <f t="shared" si="4"/>
        <v>9258.06</v>
      </c>
    </row>
    <row r="197" spans="1:13">
      <c r="A197" t="s">
        <v>31</v>
      </c>
      <c r="B197" t="s">
        <v>11</v>
      </c>
      <c r="C197" s="51">
        <v>136832854604</v>
      </c>
      <c r="D197" s="1">
        <v>41672.61</v>
      </c>
      <c r="E197" s="1">
        <v>24505746.43</v>
      </c>
      <c r="F197" t="s">
        <v>1280</v>
      </c>
      <c r="I197" s="16"/>
      <c r="J197" s="68"/>
      <c r="K197" s="68"/>
      <c r="L197" s="68"/>
      <c r="M197" s="74">
        <f t="shared" si="4"/>
        <v>41672.61</v>
      </c>
    </row>
    <row r="198" spans="1:13">
      <c r="A198" t="s">
        <v>31</v>
      </c>
      <c r="B198" t="s">
        <v>11</v>
      </c>
      <c r="C198" s="51">
        <v>136833574628</v>
      </c>
      <c r="D198" s="1">
        <v>15776.49</v>
      </c>
      <c r="E198" s="1">
        <v>24521522.920000002</v>
      </c>
      <c r="F198" t="s">
        <v>1280</v>
      </c>
      <c r="I198" s="16"/>
      <c r="J198" s="68"/>
      <c r="K198" s="68"/>
      <c r="L198" s="68"/>
      <c r="M198" s="74">
        <f t="shared" si="4"/>
        <v>15776.49</v>
      </c>
    </row>
    <row r="199" spans="1:13">
      <c r="A199" t="s">
        <v>31</v>
      </c>
      <c r="B199" t="s">
        <v>11</v>
      </c>
      <c r="C199" s="51">
        <v>136834634474</v>
      </c>
      <c r="D199" s="1">
        <v>55242.81</v>
      </c>
      <c r="E199" s="1">
        <v>24576765.73</v>
      </c>
      <c r="F199" t="s">
        <v>1280</v>
      </c>
      <c r="I199" s="16"/>
      <c r="J199" s="68"/>
      <c r="K199" s="68"/>
      <c r="L199" s="68"/>
      <c r="M199" s="74">
        <f t="shared" si="4"/>
        <v>55242.81</v>
      </c>
    </row>
    <row r="200" spans="1:13">
      <c r="A200" t="s">
        <v>31</v>
      </c>
      <c r="B200" t="s">
        <v>38</v>
      </c>
      <c r="C200" s="51">
        <v>136210105119</v>
      </c>
      <c r="D200" s="1">
        <v>5550.93</v>
      </c>
      <c r="E200" s="1">
        <v>24582316.66</v>
      </c>
      <c r="F200" t="s">
        <v>1280</v>
      </c>
      <c r="I200" s="16"/>
      <c r="J200" s="68"/>
      <c r="K200" s="68"/>
      <c r="L200" s="68"/>
      <c r="M200" s="74">
        <f t="shared" si="4"/>
        <v>5550.93</v>
      </c>
    </row>
    <row r="201" spans="1:13">
      <c r="A201" t="s">
        <v>31</v>
      </c>
      <c r="B201" t="s">
        <v>11</v>
      </c>
      <c r="C201" s="51">
        <v>136210130003</v>
      </c>
      <c r="D201" s="1">
        <v>9010.56</v>
      </c>
      <c r="E201" s="1">
        <v>24591327.219999999</v>
      </c>
      <c r="F201" t="s">
        <v>1280</v>
      </c>
      <c r="I201" s="16"/>
      <c r="J201" s="68"/>
      <c r="K201" s="68"/>
      <c r="L201" s="68"/>
      <c r="M201" s="74">
        <f t="shared" si="4"/>
        <v>9010.56</v>
      </c>
    </row>
    <row r="202" spans="1:13">
      <c r="A202" t="s">
        <v>31</v>
      </c>
      <c r="B202" t="s">
        <v>11</v>
      </c>
      <c r="C202" s="51">
        <v>136834993162</v>
      </c>
      <c r="D202" s="1">
        <v>28059.84</v>
      </c>
      <c r="E202" s="1">
        <v>24619387.059999999</v>
      </c>
      <c r="F202" t="s">
        <v>1280</v>
      </c>
      <c r="I202" s="16"/>
      <c r="J202" s="68"/>
      <c r="K202" s="68"/>
      <c r="L202" s="68"/>
      <c r="M202" s="74">
        <f t="shared" si="4"/>
        <v>28059.84</v>
      </c>
    </row>
    <row r="203" spans="1:13">
      <c r="A203" t="s">
        <v>31</v>
      </c>
      <c r="B203" t="s">
        <v>11</v>
      </c>
      <c r="C203" s="51">
        <v>136211684499</v>
      </c>
      <c r="D203" s="1">
        <v>7935.48</v>
      </c>
      <c r="E203" s="1">
        <v>24627322.539999999</v>
      </c>
      <c r="F203" t="s">
        <v>1280</v>
      </c>
      <c r="I203" s="16"/>
      <c r="J203" s="68"/>
      <c r="K203" s="68"/>
      <c r="L203" s="68"/>
      <c r="M203" s="74">
        <f t="shared" si="4"/>
        <v>7935.48</v>
      </c>
    </row>
    <row r="204" spans="1:13">
      <c r="A204" t="s">
        <v>31</v>
      </c>
      <c r="B204" t="s">
        <v>11</v>
      </c>
      <c r="C204" s="51">
        <v>136213897005</v>
      </c>
      <c r="D204" s="1">
        <v>27864.98</v>
      </c>
      <c r="E204" s="1">
        <v>24655187.52</v>
      </c>
      <c r="F204" t="s">
        <v>1280</v>
      </c>
      <c r="I204" s="16"/>
      <c r="J204" s="68"/>
      <c r="K204" s="68"/>
      <c r="L204" s="68"/>
      <c r="M204" s="74">
        <f t="shared" si="4"/>
        <v>27864.98</v>
      </c>
    </row>
    <row r="205" spans="1:13">
      <c r="A205" t="s">
        <v>31</v>
      </c>
      <c r="B205" t="s">
        <v>11</v>
      </c>
      <c r="C205" s="51">
        <v>136838943248</v>
      </c>
      <c r="D205" s="1">
        <v>53781.36</v>
      </c>
      <c r="E205" s="1">
        <v>24708968.879999999</v>
      </c>
      <c r="F205" t="s">
        <v>1280</v>
      </c>
      <c r="I205" s="16"/>
      <c r="J205" s="68"/>
      <c r="K205" s="68"/>
      <c r="L205" s="68"/>
      <c r="M205" s="74">
        <f t="shared" si="4"/>
        <v>53781.36</v>
      </c>
    </row>
    <row r="206" spans="1:13">
      <c r="A206" t="s">
        <v>31</v>
      </c>
      <c r="B206" t="s">
        <v>11</v>
      </c>
      <c r="C206" s="51">
        <v>136215527717</v>
      </c>
      <c r="D206" s="1">
        <v>9548.14</v>
      </c>
      <c r="E206" s="1">
        <v>24718517.02</v>
      </c>
      <c r="F206" t="s">
        <v>1280</v>
      </c>
      <c r="I206" s="16"/>
      <c r="J206" s="68"/>
      <c r="K206" s="68"/>
      <c r="L206" s="68"/>
      <c r="M206" s="74">
        <f t="shared" si="4"/>
        <v>9548.14</v>
      </c>
    </row>
    <row r="207" spans="1:13">
      <c r="A207" t="s">
        <v>31</v>
      </c>
      <c r="B207" t="s">
        <v>11</v>
      </c>
      <c r="C207" s="51">
        <v>136216655895</v>
      </c>
      <c r="D207" s="1">
        <v>72975.070000000007</v>
      </c>
      <c r="E207" s="1">
        <v>24791492.09</v>
      </c>
      <c r="F207" t="s">
        <v>1280</v>
      </c>
      <c r="I207" s="16"/>
      <c r="J207" s="68"/>
      <c r="K207" s="68"/>
      <c r="L207" s="68"/>
      <c r="M207" s="74">
        <f t="shared" si="4"/>
        <v>72975.070000000007</v>
      </c>
    </row>
    <row r="208" spans="1:13">
      <c r="A208" t="s">
        <v>31</v>
      </c>
      <c r="B208" t="s">
        <v>11</v>
      </c>
      <c r="C208" s="51">
        <v>136841338408</v>
      </c>
      <c r="D208" s="1">
        <v>27600.16</v>
      </c>
      <c r="E208" s="1">
        <v>24819092.25</v>
      </c>
      <c r="F208" t="s">
        <v>1280</v>
      </c>
      <c r="I208" s="16"/>
      <c r="J208" s="68"/>
      <c r="K208" s="68"/>
      <c r="L208" s="68"/>
      <c r="M208" s="74">
        <f t="shared" si="4"/>
        <v>27600.16</v>
      </c>
    </row>
    <row r="209" spans="1:13">
      <c r="A209" t="s">
        <v>31</v>
      </c>
      <c r="B209" t="s">
        <v>11</v>
      </c>
      <c r="C209" s="51">
        <v>136842377166</v>
      </c>
      <c r="D209" s="1">
        <v>44720.37</v>
      </c>
      <c r="E209" s="1">
        <v>24863812.620000001</v>
      </c>
      <c r="F209" t="s">
        <v>1280</v>
      </c>
      <c r="I209" s="16"/>
      <c r="J209" s="68"/>
      <c r="K209" s="68"/>
      <c r="L209" s="68"/>
      <c r="M209" s="74">
        <f t="shared" si="4"/>
        <v>44720.37</v>
      </c>
    </row>
    <row r="210" spans="1:13">
      <c r="A210" t="s">
        <v>31</v>
      </c>
      <c r="B210" t="s">
        <v>11</v>
      </c>
      <c r="C210" s="51">
        <v>136218123829</v>
      </c>
      <c r="D210" s="1">
        <v>32139.66</v>
      </c>
      <c r="E210" s="1">
        <v>24895952.280000001</v>
      </c>
      <c r="F210" t="s">
        <v>1280</v>
      </c>
      <c r="I210" s="16"/>
      <c r="J210" s="68"/>
      <c r="K210" s="68"/>
      <c r="L210" s="68"/>
      <c r="M210" s="74">
        <f t="shared" si="4"/>
        <v>32139.66</v>
      </c>
    </row>
    <row r="211" spans="1:13">
      <c r="A211" t="s">
        <v>31</v>
      </c>
      <c r="B211" t="s">
        <v>11</v>
      </c>
      <c r="C211" s="51">
        <v>136218385685</v>
      </c>
      <c r="D211" s="1">
        <v>11169.34</v>
      </c>
      <c r="E211" s="1">
        <v>24907121.620000001</v>
      </c>
      <c r="F211" t="s">
        <v>1280</v>
      </c>
      <c r="I211" s="16"/>
      <c r="J211" s="68"/>
      <c r="K211" s="68"/>
      <c r="L211" s="68"/>
      <c r="M211" s="74">
        <f t="shared" si="4"/>
        <v>11169.34</v>
      </c>
    </row>
    <row r="212" spans="1:13">
      <c r="A212" t="s">
        <v>31</v>
      </c>
      <c r="B212" t="s">
        <v>11</v>
      </c>
      <c r="C212" s="51">
        <v>136219156717</v>
      </c>
      <c r="D212" s="1">
        <v>30105.87</v>
      </c>
      <c r="E212" s="1">
        <v>24937227.489999998</v>
      </c>
      <c r="F212" t="s">
        <v>1280</v>
      </c>
      <c r="I212" s="16"/>
      <c r="J212" s="68"/>
      <c r="K212" s="68"/>
      <c r="L212" s="68"/>
      <c r="M212" s="74">
        <f t="shared" si="4"/>
        <v>30105.87</v>
      </c>
    </row>
    <row r="213" spans="1:13">
      <c r="A213" t="s">
        <v>31</v>
      </c>
      <c r="B213" t="s">
        <v>39</v>
      </c>
      <c r="C213" s="51">
        <v>136843283090</v>
      </c>
      <c r="D213" s="1">
        <v>3025.11</v>
      </c>
      <c r="E213" s="1">
        <v>24940252.600000001</v>
      </c>
      <c r="F213" t="s">
        <v>1280</v>
      </c>
      <c r="I213" s="16"/>
      <c r="J213" s="68"/>
      <c r="K213" s="68"/>
      <c r="L213" s="68"/>
      <c r="M213" s="74">
        <f t="shared" si="4"/>
        <v>3025.11</v>
      </c>
    </row>
    <row r="214" spans="1:13">
      <c r="A214" t="s">
        <v>31</v>
      </c>
      <c r="B214" t="s">
        <v>11</v>
      </c>
      <c r="C214" s="51">
        <v>136219694583</v>
      </c>
      <c r="D214" s="1">
        <v>13445.34</v>
      </c>
      <c r="E214" s="1">
        <v>24953697.940000001</v>
      </c>
      <c r="F214" t="s">
        <v>1280</v>
      </c>
      <c r="I214" s="16"/>
      <c r="J214" s="68"/>
      <c r="K214" s="68"/>
      <c r="L214" s="68"/>
      <c r="M214" s="74">
        <f t="shared" si="4"/>
        <v>13445.34</v>
      </c>
    </row>
    <row r="215" spans="1:13">
      <c r="A215" t="s">
        <v>31</v>
      </c>
      <c r="B215" t="s">
        <v>11</v>
      </c>
      <c r="C215" s="51">
        <v>136219721357</v>
      </c>
      <c r="D215" s="1">
        <v>46181.82</v>
      </c>
      <c r="E215" s="1">
        <v>24999879.760000002</v>
      </c>
      <c r="F215" t="s">
        <v>1280</v>
      </c>
      <c r="I215" s="16"/>
      <c r="J215" s="68"/>
      <c r="K215" s="68"/>
      <c r="L215" s="68"/>
      <c r="M215" s="74">
        <f t="shared" si="4"/>
        <v>46181.82</v>
      </c>
    </row>
    <row r="216" spans="1:13">
      <c r="A216" t="s">
        <v>40</v>
      </c>
      <c r="B216" t="s">
        <v>11</v>
      </c>
      <c r="C216" s="51">
        <v>136220079091</v>
      </c>
      <c r="D216" s="1">
        <v>39459.15</v>
      </c>
      <c r="E216" s="1">
        <v>25039338.91</v>
      </c>
      <c r="F216" t="s">
        <v>1280</v>
      </c>
      <c r="I216" s="16"/>
      <c r="J216" s="68"/>
      <c r="K216" s="68"/>
      <c r="L216" s="68"/>
      <c r="M216" s="74">
        <f t="shared" si="4"/>
        <v>39459.15</v>
      </c>
    </row>
    <row r="217" spans="1:13">
      <c r="A217" t="s">
        <v>40</v>
      </c>
      <c r="B217" t="s">
        <v>11</v>
      </c>
      <c r="C217" s="51">
        <v>136220272599</v>
      </c>
      <c r="D217" s="1">
        <v>74158.95</v>
      </c>
      <c r="E217" s="1">
        <v>25113497.859999999</v>
      </c>
      <c r="F217" t="s">
        <v>1280</v>
      </c>
      <c r="I217" s="16"/>
      <c r="J217" s="68"/>
      <c r="K217" s="68"/>
      <c r="L217" s="68"/>
      <c r="M217" s="74">
        <f t="shared" si="4"/>
        <v>74158.95</v>
      </c>
    </row>
    <row r="218" spans="1:13">
      <c r="A218" t="s">
        <v>40</v>
      </c>
      <c r="B218" t="s">
        <v>11</v>
      </c>
      <c r="C218" s="51">
        <v>136220557227</v>
      </c>
      <c r="D218" s="1">
        <v>39556.58</v>
      </c>
      <c r="E218" s="1">
        <v>25153054.440000001</v>
      </c>
      <c r="F218" t="s">
        <v>1280</v>
      </c>
      <c r="I218" s="16"/>
      <c r="J218" s="68"/>
      <c r="K218" s="68"/>
      <c r="L218" s="68"/>
      <c r="M218" s="74">
        <f t="shared" si="4"/>
        <v>39556.58</v>
      </c>
    </row>
    <row r="219" spans="1:13">
      <c r="A219" t="s">
        <v>40</v>
      </c>
      <c r="B219" t="s">
        <v>11</v>
      </c>
      <c r="C219" s="51">
        <v>136220730559</v>
      </c>
      <c r="D219" s="1">
        <v>65667.820000000007</v>
      </c>
      <c r="E219" s="1">
        <v>25218722.260000002</v>
      </c>
      <c r="F219" t="s">
        <v>1280</v>
      </c>
      <c r="I219" s="16"/>
      <c r="J219" s="68"/>
      <c r="K219" s="68"/>
      <c r="L219" s="68"/>
      <c r="M219" s="74">
        <f t="shared" si="4"/>
        <v>65667.820000000007</v>
      </c>
    </row>
    <row r="220" spans="1:13">
      <c r="A220" t="s">
        <v>40</v>
      </c>
      <c r="B220" t="s">
        <v>41</v>
      </c>
      <c r="C220" s="51">
        <v>136220625165</v>
      </c>
      <c r="D220" s="1">
        <v>3299.23</v>
      </c>
      <c r="E220" s="1">
        <v>25222021.489999998</v>
      </c>
      <c r="F220" t="s">
        <v>1280</v>
      </c>
      <c r="I220" s="16"/>
      <c r="J220" s="68"/>
      <c r="K220" s="68"/>
      <c r="L220" s="68"/>
      <c r="M220" s="74">
        <f t="shared" si="4"/>
        <v>3299.23</v>
      </c>
    </row>
    <row r="221" spans="1:13">
      <c r="A221" t="s">
        <v>40</v>
      </c>
      <c r="B221" t="s">
        <v>11</v>
      </c>
      <c r="C221" s="51">
        <v>136220865009</v>
      </c>
      <c r="D221" s="1">
        <v>104995.45</v>
      </c>
      <c r="E221" s="1">
        <v>25327016.940000001</v>
      </c>
      <c r="F221" t="s">
        <v>1280</v>
      </c>
      <c r="I221" s="16"/>
      <c r="J221" s="68"/>
      <c r="K221" s="68"/>
      <c r="L221" s="68"/>
      <c r="M221" s="74">
        <f t="shared" si="4"/>
        <v>104995.45</v>
      </c>
    </row>
    <row r="222" spans="1:13">
      <c r="A222" t="s">
        <v>40</v>
      </c>
      <c r="B222" t="s">
        <v>11</v>
      </c>
      <c r="C222" s="51">
        <v>136220881265</v>
      </c>
      <c r="D222" s="1">
        <v>4774.07</v>
      </c>
      <c r="E222" s="1">
        <v>25331791.010000002</v>
      </c>
      <c r="F222" t="s">
        <v>1280</v>
      </c>
      <c r="I222" s="16"/>
      <c r="J222" s="68"/>
      <c r="K222" s="68"/>
      <c r="L222" s="68"/>
      <c r="M222" s="74">
        <f t="shared" si="4"/>
        <v>4774.07</v>
      </c>
    </row>
    <row r="223" spans="1:13">
      <c r="A223" t="s">
        <v>40</v>
      </c>
      <c r="B223" t="s">
        <v>42</v>
      </c>
      <c r="C223" s="51">
        <v>136845098224</v>
      </c>
      <c r="D223">
        <v>479.71</v>
      </c>
      <c r="E223" s="1">
        <v>25332270.719999999</v>
      </c>
      <c r="F223" t="s">
        <v>1280</v>
      </c>
      <c r="I223" s="16"/>
      <c r="J223" s="68"/>
      <c r="K223" s="68"/>
      <c r="L223" s="68"/>
      <c r="M223" s="74">
        <f t="shared" si="4"/>
        <v>479.71</v>
      </c>
    </row>
    <row r="224" spans="1:13">
      <c r="A224" t="s">
        <v>40</v>
      </c>
      <c r="B224" t="s">
        <v>11</v>
      </c>
      <c r="C224" s="51">
        <v>136221145509</v>
      </c>
      <c r="D224" s="1">
        <v>38192.559999999998</v>
      </c>
      <c r="E224" s="1">
        <v>25370463.280000001</v>
      </c>
      <c r="F224" t="s">
        <v>1280</v>
      </c>
      <c r="I224" s="16"/>
      <c r="J224" s="68"/>
      <c r="K224" s="68"/>
      <c r="L224" s="68"/>
      <c r="M224" s="74">
        <f t="shared" si="4"/>
        <v>38192.559999999998</v>
      </c>
    </row>
    <row r="225" spans="1:13">
      <c r="A225" t="s">
        <v>40</v>
      </c>
      <c r="B225" t="s">
        <v>11</v>
      </c>
      <c r="C225" s="51">
        <v>136845876898</v>
      </c>
      <c r="D225" s="1">
        <v>9743</v>
      </c>
      <c r="E225" s="1">
        <v>25380206.280000001</v>
      </c>
      <c r="F225" t="s">
        <v>1280</v>
      </c>
      <c r="I225" s="16"/>
      <c r="J225" s="68"/>
      <c r="K225" s="68"/>
      <c r="L225" s="68"/>
      <c r="M225" s="74">
        <f t="shared" si="4"/>
        <v>9743</v>
      </c>
    </row>
    <row r="226" spans="1:13">
      <c r="A226" t="s">
        <v>40</v>
      </c>
      <c r="B226" t="s">
        <v>43</v>
      </c>
      <c r="C226" s="51">
        <v>136845900762</v>
      </c>
      <c r="D226">
        <v>979</v>
      </c>
      <c r="E226" s="1">
        <v>25381185.280000001</v>
      </c>
      <c r="F226" t="s">
        <v>1280</v>
      </c>
      <c r="I226" s="16"/>
      <c r="J226" s="68"/>
      <c r="K226" s="68"/>
      <c r="L226" s="68"/>
      <c r="M226" s="74">
        <f t="shared" si="4"/>
        <v>979</v>
      </c>
    </row>
    <row r="227" spans="1:13">
      <c r="A227" t="s">
        <v>40</v>
      </c>
      <c r="B227" t="s">
        <v>11</v>
      </c>
      <c r="C227" s="51">
        <v>136221829339</v>
      </c>
      <c r="D227" s="1">
        <v>64835.9</v>
      </c>
      <c r="E227" s="1">
        <v>25446021.18</v>
      </c>
      <c r="F227" t="s">
        <v>1280</v>
      </c>
      <c r="I227" s="16"/>
      <c r="J227" s="68"/>
      <c r="K227" s="68"/>
      <c r="L227" s="68"/>
      <c r="M227" s="74">
        <f t="shared" si="4"/>
        <v>64835.9</v>
      </c>
    </row>
    <row r="228" spans="1:13">
      <c r="A228" t="s">
        <v>40</v>
      </c>
      <c r="B228" t="s">
        <v>11</v>
      </c>
      <c r="C228" s="51">
        <v>136222531101</v>
      </c>
      <c r="D228" s="1">
        <v>65940.06</v>
      </c>
      <c r="E228" s="1">
        <v>25511961.239999998</v>
      </c>
      <c r="F228" t="s">
        <v>1280</v>
      </c>
      <c r="I228" s="16"/>
      <c r="J228" s="68"/>
      <c r="K228" s="68"/>
      <c r="L228" s="68"/>
      <c r="M228" s="74">
        <f t="shared" si="4"/>
        <v>65940.06</v>
      </c>
    </row>
    <row r="229" spans="1:13">
      <c r="A229" t="s">
        <v>40</v>
      </c>
      <c r="B229" t="s">
        <v>11</v>
      </c>
      <c r="C229" s="51">
        <v>136847009092</v>
      </c>
      <c r="D229" s="1">
        <v>47707.61</v>
      </c>
      <c r="E229" s="1">
        <v>25559668.850000001</v>
      </c>
      <c r="F229" t="s">
        <v>1280</v>
      </c>
      <c r="I229" s="16"/>
      <c r="J229" s="68"/>
      <c r="K229" s="68"/>
      <c r="L229" s="68"/>
      <c r="M229" s="74">
        <f t="shared" si="4"/>
        <v>47707.61</v>
      </c>
    </row>
    <row r="230" spans="1:13">
      <c r="A230" t="s">
        <v>40</v>
      </c>
      <c r="B230" t="s">
        <v>11</v>
      </c>
      <c r="C230" s="51">
        <v>136847414214</v>
      </c>
      <c r="D230" s="1">
        <v>118937.73</v>
      </c>
      <c r="E230" s="1">
        <v>25678606.579999998</v>
      </c>
      <c r="F230" t="s">
        <v>1280</v>
      </c>
      <c r="I230" s="16"/>
      <c r="J230" s="68"/>
      <c r="K230" s="68"/>
      <c r="L230" s="68"/>
      <c r="M230" s="74">
        <f t="shared" si="4"/>
        <v>118937.73</v>
      </c>
    </row>
    <row r="231" spans="1:13">
      <c r="A231" t="s">
        <v>40</v>
      </c>
      <c r="B231" t="s">
        <v>11</v>
      </c>
      <c r="C231" s="51">
        <v>136223253361</v>
      </c>
      <c r="D231" s="1">
        <v>39069.43</v>
      </c>
      <c r="E231" s="1">
        <v>25717676.010000002</v>
      </c>
      <c r="F231" t="s">
        <v>1280</v>
      </c>
      <c r="I231" s="16"/>
      <c r="J231" s="68"/>
      <c r="K231" s="68"/>
      <c r="L231" s="68"/>
      <c r="M231" s="74">
        <f t="shared" si="4"/>
        <v>39069.43</v>
      </c>
    </row>
    <row r="232" spans="1:13">
      <c r="A232" t="s">
        <v>40</v>
      </c>
      <c r="B232" t="s">
        <v>44</v>
      </c>
      <c r="C232" s="51">
        <v>136223263413</v>
      </c>
      <c r="D232" s="1">
        <v>1962.89</v>
      </c>
      <c r="E232" s="1">
        <v>25719638.899999999</v>
      </c>
      <c r="F232" t="s">
        <v>1280</v>
      </c>
      <c r="I232" s="16"/>
      <c r="J232" s="68"/>
      <c r="K232" s="68"/>
      <c r="L232" s="68"/>
      <c r="M232" s="74">
        <f t="shared" si="4"/>
        <v>1962.89</v>
      </c>
    </row>
    <row r="233" spans="1:13">
      <c r="A233" t="s">
        <v>40</v>
      </c>
      <c r="B233" t="s">
        <v>11</v>
      </c>
      <c r="C233" s="51">
        <v>136223962251</v>
      </c>
      <c r="D233" s="1">
        <v>4676.6400000000003</v>
      </c>
      <c r="E233" s="1">
        <v>25724315.539999999</v>
      </c>
      <c r="F233" t="s">
        <v>1280</v>
      </c>
      <c r="I233" s="16"/>
      <c r="J233" s="68"/>
      <c r="K233" s="68"/>
      <c r="L233" s="68"/>
      <c r="M233" s="74">
        <f t="shared" si="4"/>
        <v>4676.6400000000003</v>
      </c>
    </row>
    <row r="234" spans="1:13">
      <c r="A234" t="s">
        <v>40</v>
      </c>
      <c r="B234" t="s">
        <v>45</v>
      </c>
      <c r="C234" s="51">
        <v>136847779382</v>
      </c>
      <c r="D234">
        <v>234.96</v>
      </c>
      <c r="E234" s="1">
        <v>25724550.5</v>
      </c>
      <c r="F234" t="s">
        <v>1280</v>
      </c>
      <c r="I234" s="16"/>
      <c r="J234" s="68"/>
      <c r="K234" s="68"/>
      <c r="L234" s="68"/>
      <c r="M234" s="74">
        <f t="shared" si="4"/>
        <v>234.96</v>
      </c>
    </row>
    <row r="235" spans="1:13">
      <c r="A235" t="s">
        <v>40</v>
      </c>
      <c r="B235" t="s">
        <v>11</v>
      </c>
      <c r="C235" s="51">
        <v>136847902518</v>
      </c>
      <c r="D235" s="1">
        <v>34100.5</v>
      </c>
      <c r="E235" s="1">
        <v>25758651</v>
      </c>
      <c r="F235" t="s">
        <v>1280</v>
      </c>
      <c r="I235" s="16"/>
      <c r="J235" s="68"/>
      <c r="K235" s="68"/>
      <c r="L235" s="68"/>
      <c r="M235" s="74">
        <f t="shared" si="4"/>
        <v>34100.5</v>
      </c>
    </row>
    <row r="236" spans="1:13">
      <c r="A236" t="s">
        <v>40</v>
      </c>
      <c r="B236" t="s">
        <v>11</v>
      </c>
      <c r="C236" s="51">
        <v>136848149164</v>
      </c>
      <c r="D236" s="1">
        <v>7508.8</v>
      </c>
      <c r="E236" s="1">
        <v>25766159.800000001</v>
      </c>
      <c r="F236" t="s">
        <v>1280</v>
      </c>
      <c r="I236" s="16"/>
      <c r="J236" s="68"/>
      <c r="K236" s="68"/>
      <c r="L236" s="68"/>
      <c r="M236" s="74">
        <f t="shared" si="4"/>
        <v>7508.8</v>
      </c>
    </row>
    <row r="237" spans="1:13">
      <c r="A237" t="s">
        <v>40</v>
      </c>
      <c r="B237" t="s">
        <v>11</v>
      </c>
      <c r="C237" s="51">
        <v>136224880879</v>
      </c>
      <c r="D237" s="1">
        <v>28624.41</v>
      </c>
      <c r="E237" s="1">
        <v>25794784.210000001</v>
      </c>
      <c r="F237" t="s">
        <v>1280</v>
      </c>
      <c r="I237" s="16"/>
      <c r="J237" s="68"/>
      <c r="K237" s="68"/>
      <c r="L237" s="68"/>
      <c r="M237" s="74">
        <f t="shared" si="4"/>
        <v>28624.41</v>
      </c>
    </row>
    <row r="238" spans="1:13">
      <c r="A238" t="s">
        <v>40</v>
      </c>
      <c r="B238" t="s">
        <v>11</v>
      </c>
      <c r="C238" s="51">
        <v>136224867297</v>
      </c>
      <c r="D238" s="1">
        <v>14829.88</v>
      </c>
      <c r="E238" s="1">
        <v>25809614.09</v>
      </c>
      <c r="F238" t="s">
        <v>1280</v>
      </c>
      <c r="I238" s="16"/>
      <c r="J238" s="68"/>
      <c r="K238" s="68"/>
      <c r="L238" s="68"/>
      <c r="M238" s="74">
        <f t="shared" si="4"/>
        <v>14829.88</v>
      </c>
    </row>
    <row r="239" spans="1:13">
      <c r="A239" t="s">
        <v>40</v>
      </c>
      <c r="B239" t="s">
        <v>11</v>
      </c>
      <c r="C239" s="51">
        <v>136849120260</v>
      </c>
      <c r="D239" s="1">
        <v>125100.12</v>
      </c>
      <c r="E239" s="1">
        <v>25934714.210000001</v>
      </c>
      <c r="F239" t="s">
        <v>1280</v>
      </c>
      <c r="I239" s="16"/>
      <c r="J239" s="68"/>
      <c r="K239" s="68"/>
      <c r="L239" s="68"/>
      <c r="M239" s="74">
        <f t="shared" si="4"/>
        <v>125100.12</v>
      </c>
    </row>
    <row r="240" spans="1:13">
      <c r="A240" t="s">
        <v>40</v>
      </c>
      <c r="B240" t="s">
        <v>11</v>
      </c>
      <c r="C240" s="51">
        <v>136849253616</v>
      </c>
      <c r="D240" s="1">
        <v>26306.1</v>
      </c>
      <c r="E240" s="1">
        <v>25961020.309999999</v>
      </c>
      <c r="F240" t="s">
        <v>1280</v>
      </c>
      <c r="I240" s="16"/>
      <c r="J240" s="68"/>
      <c r="K240" s="68"/>
      <c r="L240" s="68"/>
      <c r="M240" s="74">
        <f t="shared" si="4"/>
        <v>26306.1</v>
      </c>
    </row>
    <row r="241" spans="1:13">
      <c r="A241" t="s">
        <v>40</v>
      </c>
      <c r="B241" t="s">
        <v>46</v>
      </c>
      <c r="C241" s="51">
        <v>136849195784</v>
      </c>
      <c r="D241" s="1">
        <v>2643.3</v>
      </c>
      <c r="E241" s="1">
        <v>25963663.609999999</v>
      </c>
      <c r="F241" t="s">
        <v>1280</v>
      </c>
      <c r="I241" s="16"/>
      <c r="J241" s="68"/>
      <c r="K241" s="68"/>
      <c r="L241" s="68"/>
      <c r="M241" s="74">
        <f t="shared" si="4"/>
        <v>2643.3</v>
      </c>
    </row>
    <row r="242" spans="1:13">
      <c r="A242" t="s">
        <v>40</v>
      </c>
      <c r="B242" t="s">
        <v>11</v>
      </c>
      <c r="C242" s="51">
        <v>136225228919</v>
      </c>
      <c r="D242" s="1">
        <v>17571.419999999998</v>
      </c>
      <c r="E242" s="1">
        <v>25981235.030000001</v>
      </c>
      <c r="F242" t="s">
        <v>1280</v>
      </c>
      <c r="I242" s="16"/>
      <c r="J242" s="68"/>
      <c r="K242" s="68"/>
      <c r="L242" s="68"/>
      <c r="M242" s="74">
        <f t="shared" si="4"/>
        <v>17571.419999999998</v>
      </c>
    </row>
    <row r="243" spans="1:13">
      <c r="A243" t="s">
        <v>40</v>
      </c>
      <c r="B243" t="s">
        <v>11</v>
      </c>
      <c r="C243" s="51">
        <v>136225395513</v>
      </c>
      <c r="D243" s="1">
        <v>53391.64</v>
      </c>
      <c r="E243" s="1">
        <v>26034626.670000002</v>
      </c>
      <c r="F243" t="s">
        <v>1280</v>
      </c>
      <c r="I243" s="16"/>
      <c r="J243" s="68"/>
      <c r="K243" s="68"/>
      <c r="L243" s="68"/>
      <c r="M243" s="74">
        <f t="shared" si="4"/>
        <v>53391.64</v>
      </c>
    </row>
    <row r="244" spans="1:13">
      <c r="A244" t="s">
        <v>40</v>
      </c>
      <c r="B244" t="s">
        <v>11</v>
      </c>
      <c r="C244" s="51">
        <v>136850043496</v>
      </c>
      <c r="D244" s="1">
        <v>7989.26</v>
      </c>
      <c r="E244" s="1">
        <v>26042615.93</v>
      </c>
      <c r="F244" t="s">
        <v>1280</v>
      </c>
      <c r="I244" s="16"/>
      <c r="J244" s="68"/>
      <c r="K244" s="68"/>
      <c r="L244" s="68"/>
      <c r="M244" s="74">
        <f t="shared" si="4"/>
        <v>7989.26</v>
      </c>
    </row>
    <row r="245" spans="1:13">
      <c r="A245" t="s">
        <v>40</v>
      </c>
      <c r="B245" t="s">
        <v>11</v>
      </c>
      <c r="C245" s="51">
        <v>136225810367</v>
      </c>
      <c r="D245" s="1">
        <v>13250.48</v>
      </c>
      <c r="E245" s="1">
        <v>26055866.41</v>
      </c>
      <c r="F245" t="s">
        <v>1280</v>
      </c>
      <c r="I245" s="16"/>
      <c r="J245" s="68"/>
      <c r="K245" s="68"/>
      <c r="L245" s="68"/>
      <c r="M245" s="74">
        <f t="shared" si="4"/>
        <v>13250.48</v>
      </c>
    </row>
    <row r="246" spans="1:13">
      <c r="A246" t="s">
        <v>40</v>
      </c>
      <c r="B246" t="s">
        <v>11</v>
      </c>
      <c r="C246" s="51">
        <v>136226252295</v>
      </c>
      <c r="D246" s="1">
        <v>38874.57</v>
      </c>
      <c r="E246" s="1">
        <v>26094740.98</v>
      </c>
      <c r="F246" t="s">
        <v>1280</v>
      </c>
      <c r="I246" s="16"/>
      <c r="J246" s="68"/>
      <c r="K246" s="68"/>
      <c r="L246" s="68"/>
      <c r="M246" s="74">
        <f t="shared" si="4"/>
        <v>38874.57</v>
      </c>
    </row>
    <row r="247" spans="1:13">
      <c r="A247" t="s">
        <v>40</v>
      </c>
      <c r="B247" t="s">
        <v>47</v>
      </c>
      <c r="C247" s="51">
        <v>136850580072</v>
      </c>
      <c r="D247" s="1">
        <v>1953.1</v>
      </c>
      <c r="E247" s="1">
        <v>26096694.079999998</v>
      </c>
      <c r="F247" t="s">
        <v>1280</v>
      </c>
      <c r="I247" s="16"/>
      <c r="J247" s="68"/>
      <c r="K247" s="68"/>
      <c r="L247" s="68"/>
      <c r="M247" s="74">
        <f t="shared" ref="M247:M310" si="5">+D247-I247-J247-K247-L247</f>
        <v>1953.1</v>
      </c>
    </row>
    <row r="248" spans="1:13">
      <c r="A248" t="s">
        <v>40</v>
      </c>
      <c r="B248" t="s">
        <v>11</v>
      </c>
      <c r="C248" s="51">
        <v>136851154852</v>
      </c>
      <c r="D248" s="1">
        <v>14980.35</v>
      </c>
      <c r="E248" s="1">
        <v>26111674.43</v>
      </c>
      <c r="F248" t="s">
        <v>1280</v>
      </c>
      <c r="I248" s="16"/>
      <c r="J248" s="68"/>
      <c r="K248" s="68"/>
      <c r="L248" s="68"/>
      <c r="M248" s="74">
        <f t="shared" si="5"/>
        <v>14980.35</v>
      </c>
    </row>
    <row r="249" spans="1:13">
      <c r="A249" t="s">
        <v>40</v>
      </c>
      <c r="B249" t="s">
        <v>11</v>
      </c>
      <c r="C249" s="51">
        <v>136851820766</v>
      </c>
      <c r="D249" s="1">
        <v>10717.3</v>
      </c>
      <c r="E249" s="1">
        <v>26122391.73</v>
      </c>
      <c r="F249" t="s">
        <v>1280</v>
      </c>
      <c r="I249" s="16"/>
      <c r="J249" s="68"/>
      <c r="K249" s="68"/>
      <c r="L249" s="68"/>
      <c r="M249" s="74">
        <f t="shared" si="5"/>
        <v>10717.3</v>
      </c>
    </row>
    <row r="250" spans="1:13">
      <c r="A250" t="s">
        <v>40</v>
      </c>
      <c r="B250" t="s">
        <v>11</v>
      </c>
      <c r="C250" s="51">
        <v>136228392459</v>
      </c>
      <c r="D250" s="1">
        <v>9069.1200000000008</v>
      </c>
      <c r="E250" s="1">
        <v>26131460.850000001</v>
      </c>
      <c r="F250" t="s">
        <v>1280</v>
      </c>
      <c r="I250" s="16"/>
      <c r="J250" s="68"/>
      <c r="K250" s="68"/>
      <c r="L250" s="68"/>
      <c r="M250" s="74">
        <f t="shared" si="5"/>
        <v>9069.1200000000008</v>
      </c>
    </row>
    <row r="251" spans="1:13">
      <c r="A251" t="s">
        <v>40</v>
      </c>
      <c r="B251" t="s">
        <v>11</v>
      </c>
      <c r="C251" s="51">
        <v>136852498300</v>
      </c>
      <c r="D251" s="1">
        <v>49591.87</v>
      </c>
      <c r="E251" s="1">
        <v>26181052.719999999</v>
      </c>
      <c r="F251" t="s">
        <v>1280</v>
      </c>
      <c r="I251" s="16"/>
      <c r="J251" s="68"/>
      <c r="K251" s="68"/>
      <c r="L251" s="68"/>
      <c r="M251" s="74">
        <f t="shared" si="5"/>
        <v>49591.87</v>
      </c>
    </row>
    <row r="252" spans="1:13">
      <c r="A252" t="s">
        <v>40</v>
      </c>
      <c r="B252" t="s">
        <v>11</v>
      </c>
      <c r="C252" s="51">
        <v>136852538278</v>
      </c>
      <c r="D252" s="1">
        <v>38972</v>
      </c>
      <c r="E252" s="1">
        <v>26220024.719999999</v>
      </c>
      <c r="F252" t="s">
        <v>1280</v>
      </c>
      <c r="I252" s="16"/>
      <c r="J252" s="68"/>
      <c r="K252" s="68"/>
      <c r="L252" s="68"/>
      <c r="M252" s="74">
        <f t="shared" si="5"/>
        <v>38972</v>
      </c>
    </row>
    <row r="253" spans="1:13">
      <c r="A253" t="s">
        <v>40</v>
      </c>
      <c r="B253" t="s">
        <v>11</v>
      </c>
      <c r="C253" s="51">
        <v>136852576368</v>
      </c>
      <c r="D253" s="1">
        <v>22896.05</v>
      </c>
      <c r="E253" s="1">
        <v>26242920.77</v>
      </c>
      <c r="F253" t="s">
        <v>1280</v>
      </c>
      <c r="I253" s="16"/>
      <c r="J253" s="68"/>
      <c r="K253" s="68"/>
      <c r="L253" s="68"/>
      <c r="M253" s="74">
        <f t="shared" si="5"/>
        <v>22896.05</v>
      </c>
    </row>
    <row r="254" spans="1:13">
      <c r="A254" t="s">
        <v>40</v>
      </c>
      <c r="B254" t="s">
        <v>48</v>
      </c>
      <c r="C254" s="51">
        <v>136852399824</v>
      </c>
      <c r="D254" s="1">
        <v>1150.32</v>
      </c>
      <c r="E254" s="1">
        <v>26244071.09</v>
      </c>
      <c r="F254" t="s">
        <v>1280</v>
      </c>
      <c r="I254" s="16"/>
      <c r="J254" s="68"/>
      <c r="K254" s="68"/>
      <c r="L254" s="68"/>
      <c r="M254" s="74">
        <f t="shared" si="5"/>
        <v>1150.32</v>
      </c>
    </row>
    <row r="255" spans="1:13">
      <c r="A255" t="s">
        <v>40</v>
      </c>
      <c r="B255" t="s">
        <v>11</v>
      </c>
      <c r="C255" s="51">
        <v>136228863049</v>
      </c>
      <c r="D255" s="1">
        <v>22798.62</v>
      </c>
      <c r="E255" s="1">
        <v>26266869.710000001</v>
      </c>
      <c r="F255" t="s">
        <v>1280</v>
      </c>
      <c r="I255" s="16"/>
      <c r="J255" s="68"/>
      <c r="K255" s="68"/>
      <c r="L255" s="68"/>
      <c r="M255" s="74">
        <f t="shared" si="5"/>
        <v>22798.62</v>
      </c>
    </row>
    <row r="256" spans="1:13">
      <c r="A256" t="s">
        <v>40</v>
      </c>
      <c r="B256" t="s">
        <v>11</v>
      </c>
      <c r="C256" s="51">
        <v>136853004650</v>
      </c>
      <c r="D256" s="1">
        <v>12092.16</v>
      </c>
      <c r="E256" s="1">
        <v>26278961.870000001</v>
      </c>
      <c r="F256" t="s">
        <v>1280</v>
      </c>
      <c r="I256" s="16"/>
      <c r="J256" s="68"/>
      <c r="K256" s="68"/>
      <c r="L256" s="68"/>
      <c r="M256" s="74">
        <f t="shared" si="5"/>
        <v>12092.16</v>
      </c>
    </row>
    <row r="257" spans="1:13">
      <c r="A257" t="s">
        <v>40</v>
      </c>
      <c r="B257" t="s">
        <v>11</v>
      </c>
      <c r="C257" s="51">
        <v>136229026095</v>
      </c>
      <c r="D257" s="1">
        <v>10717.3</v>
      </c>
      <c r="E257" s="1">
        <v>26289679.170000002</v>
      </c>
      <c r="F257" t="s">
        <v>1280</v>
      </c>
      <c r="I257" s="16"/>
      <c r="J257" s="68"/>
      <c r="K257" s="68"/>
      <c r="L257" s="68"/>
      <c r="M257" s="74">
        <f t="shared" si="5"/>
        <v>10717.3</v>
      </c>
    </row>
    <row r="258" spans="1:13">
      <c r="A258" t="s">
        <v>40</v>
      </c>
      <c r="B258" t="s">
        <v>11</v>
      </c>
      <c r="C258" s="51">
        <v>136853257216</v>
      </c>
      <c r="D258" s="1">
        <v>9069.1200000000008</v>
      </c>
      <c r="E258" s="1">
        <v>26298748.289999999</v>
      </c>
      <c r="F258" t="s">
        <v>1280</v>
      </c>
      <c r="I258" s="16"/>
      <c r="J258" s="68"/>
      <c r="K258" s="68"/>
      <c r="L258" s="68"/>
      <c r="M258" s="74">
        <f t="shared" si="5"/>
        <v>9069.1200000000008</v>
      </c>
    </row>
    <row r="259" spans="1:13">
      <c r="A259" t="s">
        <v>40</v>
      </c>
      <c r="B259" t="s">
        <v>11</v>
      </c>
      <c r="C259" s="51">
        <v>136853330906</v>
      </c>
      <c r="D259" s="1">
        <v>21880.39</v>
      </c>
      <c r="E259" s="1">
        <v>26320628.68</v>
      </c>
      <c r="F259" t="s">
        <v>1280</v>
      </c>
      <c r="I259" s="16"/>
      <c r="J259" s="68"/>
      <c r="K259" s="68"/>
      <c r="L259" s="68"/>
      <c r="M259" s="74">
        <f t="shared" si="5"/>
        <v>21880.39</v>
      </c>
    </row>
    <row r="260" spans="1:13">
      <c r="A260" t="s">
        <v>40</v>
      </c>
      <c r="B260" t="s">
        <v>11</v>
      </c>
      <c r="C260" s="51">
        <v>136853412720</v>
      </c>
      <c r="D260" s="1">
        <v>8671.27</v>
      </c>
      <c r="E260" s="1">
        <v>26329299.949999999</v>
      </c>
      <c r="F260" t="s">
        <v>1280</v>
      </c>
      <c r="I260" s="16"/>
      <c r="J260" s="68"/>
      <c r="K260" s="68"/>
      <c r="L260" s="68"/>
      <c r="M260" s="74">
        <f t="shared" si="5"/>
        <v>8671.27</v>
      </c>
    </row>
    <row r="261" spans="1:13">
      <c r="A261" t="s">
        <v>40</v>
      </c>
      <c r="B261" t="s">
        <v>11</v>
      </c>
      <c r="C261" s="51">
        <v>136853256074</v>
      </c>
      <c r="D261" s="1">
        <v>4481.78</v>
      </c>
      <c r="E261" s="1">
        <v>26333781.73</v>
      </c>
      <c r="F261" t="s">
        <v>1280</v>
      </c>
      <c r="I261" s="16"/>
      <c r="J261" s="68"/>
      <c r="K261" s="68"/>
      <c r="L261" s="68"/>
      <c r="M261" s="74">
        <f t="shared" si="5"/>
        <v>4481.78</v>
      </c>
    </row>
    <row r="262" spans="1:13">
      <c r="A262" t="s">
        <v>40</v>
      </c>
      <c r="B262" t="s">
        <v>11</v>
      </c>
      <c r="C262" s="51">
        <v>136853572472</v>
      </c>
      <c r="D262" s="1">
        <v>23188.34</v>
      </c>
      <c r="E262" s="1">
        <v>26356970.07</v>
      </c>
      <c r="F262" t="s">
        <v>1280</v>
      </c>
      <c r="I262" s="16"/>
      <c r="J262" s="68"/>
      <c r="K262" s="68"/>
      <c r="L262" s="68"/>
      <c r="M262" s="74">
        <f t="shared" si="5"/>
        <v>23188.34</v>
      </c>
    </row>
    <row r="263" spans="1:13">
      <c r="A263" t="s">
        <v>40</v>
      </c>
      <c r="B263" t="s">
        <v>11</v>
      </c>
      <c r="C263" s="51">
        <v>136229366917</v>
      </c>
      <c r="D263" s="1">
        <v>18327.18</v>
      </c>
      <c r="E263" s="1">
        <v>26375297.25</v>
      </c>
      <c r="F263" t="s">
        <v>1280</v>
      </c>
      <c r="I263" s="16"/>
      <c r="J263" s="68"/>
      <c r="K263" s="68"/>
      <c r="L263" s="68"/>
      <c r="M263" s="74">
        <f t="shared" si="5"/>
        <v>18327.18</v>
      </c>
    </row>
    <row r="264" spans="1:13">
      <c r="A264" t="s">
        <v>40</v>
      </c>
      <c r="B264" t="s">
        <v>11</v>
      </c>
      <c r="C264" s="51">
        <v>136307742213</v>
      </c>
      <c r="D264" s="1">
        <v>13835.06</v>
      </c>
      <c r="E264" s="1">
        <v>26389132.309999999</v>
      </c>
      <c r="F264" t="s">
        <v>1280</v>
      </c>
      <c r="I264" s="16"/>
      <c r="J264" s="68"/>
      <c r="K264" s="68"/>
      <c r="L264" s="68"/>
      <c r="M264" s="74">
        <f t="shared" si="5"/>
        <v>13835.06</v>
      </c>
    </row>
    <row r="265" spans="1:13">
      <c r="A265" t="s">
        <v>40</v>
      </c>
      <c r="B265" t="s">
        <v>11</v>
      </c>
      <c r="C265" s="51">
        <v>136932804102</v>
      </c>
      <c r="D265" s="1">
        <v>19096.28</v>
      </c>
      <c r="E265" s="1">
        <v>26408228.59</v>
      </c>
      <c r="F265" t="s">
        <v>1280</v>
      </c>
      <c r="I265" s="16"/>
      <c r="J265" s="68"/>
      <c r="K265" s="68"/>
      <c r="L265" s="68"/>
      <c r="M265" s="74">
        <f t="shared" si="5"/>
        <v>19096.28</v>
      </c>
    </row>
    <row r="266" spans="1:13">
      <c r="A266" t="s">
        <v>40</v>
      </c>
      <c r="B266" t="s">
        <v>11</v>
      </c>
      <c r="C266" s="51">
        <v>136308302633</v>
      </c>
      <c r="D266" s="1">
        <v>14127.35</v>
      </c>
      <c r="E266" s="1">
        <v>26422355.940000001</v>
      </c>
      <c r="F266" t="s">
        <v>1280</v>
      </c>
      <c r="I266" s="16"/>
      <c r="J266" s="68"/>
      <c r="K266" s="68"/>
      <c r="L266" s="68"/>
      <c r="M266" s="74">
        <f t="shared" si="5"/>
        <v>14127.35</v>
      </c>
    </row>
    <row r="267" spans="1:13">
      <c r="A267" t="s">
        <v>40</v>
      </c>
      <c r="B267" t="s">
        <v>49</v>
      </c>
      <c r="C267" s="51">
        <v>136308330289</v>
      </c>
      <c r="D267">
        <v>709.77</v>
      </c>
      <c r="E267" s="1">
        <v>26423065.710000001</v>
      </c>
      <c r="F267" t="s">
        <v>1280</v>
      </c>
      <c r="I267" s="16"/>
      <c r="J267" s="68"/>
      <c r="K267" s="68"/>
      <c r="L267" s="68"/>
      <c r="M267" s="74">
        <f t="shared" si="5"/>
        <v>709.77</v>
      </c>
    </row>
    <row r="268" spans="1:13">
      <c r="A268" t="s">
        <v>40</v>
      </c>
      <c r="B268" t="s">
        <v>11</v>
      </c>
      <c r="C268" s="51">
        <v>136310829977</v>
      </c>
      <c r="D268" s="1">
        <v>11301.88</v>
      </c>
      <c r="E268" s="1">
        <v>26434367.59</v>
      </c>
      <c r="F268" t="s">
        <v>1280</v>
      </c>
      <c r="I268" s="16"/>
      <c r="J268" s="68"/>
      <c r="K268" s="68"/>
      <c r="L268" s="68"/>
      <c r="M268" s="74">
        <f t="shared" si="5"/>
        <v>11301.88</v>
      </c>
    </row>
    <row r="269" spans="1:13">
      <c r="A269" t="s">
        <v>40</v>
      </c>
      <c r="B269" t="s">
        <v>11</v>
      </c>
      <c r="C269" s="51">
        <v>136311573047</v>
      </c>
      <c r="D269" s="1">
        <v>28352.13</v>
      </c>
      <c r="E269" s="1">
        <v>26462719.719999999</v>
      </c>
      <c r="F269" t="s">
        <v>1280</v>
      </c>
      <c r="I269" s="16"/>
      <c r="J269" s="68"/>
      <c r="K269" s="68"/>
      <c r="L269" s="68"/>
      <c r="M269" s="74">
        <f t="shared" si="5"/>
        <v>28352.13</v>
      </c>
    </row>
    <row r="270" spans="1:13">
      <c r="A270" t="s">
        <v>40</v>
      </c>
      <c r="B270" t="s">
        <v>50</v>
      </c>
      <c r="C270" s="51">
        <v>136936109502</v>
      </c>
      <c r="D270" s="1">
        <v>1424.44</v>
      </c>
      <c r="E270" s="1">
        <v>26464144.16</v>
      </c>
      <c r="F270" t="s">
        <v>1280</v>
      </c>
      <c r="I270" s="16"/>
      <c r="J270" s="68"/>
      <c r="K270" s="68"/>
      <c r="L270" s="68"/>
      <c r="M270" s="74">
        <f t="shared" si="5"/>
        <v>1424.44</v>
      </c>
    </row>
    <row r="271" spans="1:13">
      <c r="A271" t="s">
        <v>40</v>
      </c>
      <c r="B271" t="s">
        <v>11</v>
      </c>
      <c r="C271" s="51">
        <v>136936831094</v>
      </c>
      <c r="D271" s="1">
        <v>9548.14</v>
      </c>
      <c r="E271" s="1">
        <v>26473692.300000001</v>
      </c>
      <c r="F271" t="s">
        <v>1280</v>
      </c>
      <c r="I271" s="16"/>
      <c r="J271" s="68"/>
      <c r="K271" s="68"/>
      <c r="L271" s="68"/>
      <c r="M271" s="74">
        <f t="shared" si="5"/>
        <v>9548.14</v>
      </c>
    </row>
    <row r="272" spans="1:13">
      <c r="A272" t="s">
        <v>40</v>
      </c>
      <c r="B272" t="s">
        <v>11</v>
      </c>
      <c r="C272" s="51">
        <v>136941329056</v>
      </c>
      <c r="D272" s="1">
        <v>7884.24</v>
      </c>
      <c r="E272" s="1">
        <v>26481576.539999999</v>
      </c>
      <c r="F272" t="s">
        <v>1280</v>
      </c>
      <c r="I272" s="16"/>
      <c r="J272" s="68"/>
      <c r="K272" s="68"/>
      <c r="L272" s="68"/>
      <c r="M272" s="74">
        <f t="shared" si="5"/>
        <v>7884.24</v>
      </c>
    </row>
    <row r="273" spans="1:13">
      <c r="A273" t="s">
        <v>40</v>
      </c>
      <c r="B273" t="s">
        <v>11</v>
      </c>
      <c r="C273" s="51">
        <v>136317195527</v>
      </c>
      <c r="D273" s="1">
        <v>15661.27</v>
      </c>
      <c r="E273" s="1">
        <v>26497237.809999999</v>
      </c>
      <c r="F273" t="s">
        <v>1280</v>
      </c>
      <c r="I273" s="16"/>
      <c r="J273" s="68"/>
      <c r="K273" s="68"/>
      <c r="L273" s="68"/>
      <c r="M273" s="74">
        <f t="shared" si="5"/>
        <v>15661.27</v>
      </c>
    </row>
    <row r="274" spans="1:13">
      <c r="A274" t="s">
        <v>40</v>
      </c>
      <c r="B274" t="s">
        <v>11</v>
      </c>
      <c r="C274" s="51">
        <v>136319101835</v>
      </c>
      <c r="D274" s="1">
        <v>9353.2800000000007</v>
      </c>
      <c r="E274" s="1">
        <v>26506591.09</v>
      </c>
      <c r="F274" t="s">
        <v>1280</v>
      </c>
      <c r="I274" s="16"/>
      <c r="J274" s="68"/>
      <c r="K274" s="68"/>
      <c r="L274" s="68"/>
      <c r="M274" s="74">
        <f t="shared" si="5"/>
        <v>9353.2800000000007</v>
      </c>
    </row>
    <row r="275" spans="1:13">
      <c r="A275" t="s">
        <v>40</v>
      </c>
      <c r="B275" t="s">
        <v>11</v>
      </c>
      <c r="C275" s="51">
        <v>136943872826</v>
      </c>
      <c r="D275" s="1">
        <v>27475.26</v>
      </c>
      <c r="E275" s="1">
        <v>26534066.350000001</v>
      </c>
      <c r="F275" t="s">
        <v>1280</v>
      </c>
      <c r="I275" s="16"/>
      <c r="J275" s="68"/>
      <c r="K275" s="68"/>
      <c r="L275" s="68"/>
      <c r="M275" s="74">
        <f t="shared" si="5"/>
        <v>27475.26</v>
      </c>
    </row>
    <row r="276" spans="1:13">
      <c r="A276" t="s">
        <v>40</v>
      </c>
      <c r="B276" t="s">
        <v>51</v>
      </c>
      <c r="C276" s="51">
        <v>136943914206</v>
      </c>
      <c r="D276" s="1">
        <v>2760.78</v>
      </c>
      <c r="E276" s="1">
        <v>26536827.129999999</v>
      </c>
      <c r="F276" t="s">
        <v>1280</v>
      </c>
      <c r="I276" s="16"/>
      <c r="J276" s="68"/>
      <c r="K276" s="68"/>
      <c r="L276" s="68"/>
      <c r="M276" s="74">
        <f t="shared" si="5"/>
        <v>2760.78</v>
      </c>
    </row>
    <row r="277" spans="1:13">
      <c r="A277" t="s">
        <v>40</v>
      </c>
      <c r="B277" t="s">
        <v>11</v>
      </c>
      <c r="C277" s="51">
        <v>136944124048</v>
      </c>
      <c r="D277" s="1">
        <v>8671.27</v>
      </c>
      <c r="E277" s="1">
        <v>26545498.399999999</v>
      </c>
      <c r="F277" t="s">
        <v>1280</v>
      </c>
      <c r="I277" s="16"/>
      <c r="J277" s="68"/>
      <c r="K277" s="68"/>
      <c r="L277" s="68"/>
      <c r="M277" s="74">
        <f t="shared" si="5"/>
        <v>8671.27</v>
      </c>
    </row>
    <row r="278" spans="1:13">
      <c r="A278" t="s">
        <v>40</v>
      </c>
      <c r="B278" t="s">
        <v>11</v>
      </c>
      <c r="C278" s="51">
        <v>136319916303</v>
      </c>
      <c r="D278" s="1">
        <v>61186.04</v>
      </c>
      <c r="E278" s="1">
        <v>26606684.440000001</v>
      </c>
      <c r="F278" t="s">
        <v>1280</v>
      </c>
      <c r="I278" s="16"/>
      <c r="J278" s="68"/>
      <c r="K278" s="68"/>
      <c r="L278" s="68"/>
      <c r="M278" s="74">
        <f t="shared" si="5"/>
        <v>61186.04</v>
      </c>
    </row>
    <row r="279" spans="1:13">
      <c r="A279" t="s">
        <v>40</v>
      </c>
      <c r="B279" t="s">
        <v>52</v>
      </c>
      <c r="C279" s="51">
        <v>136319904505</v>
      </c>
      <c r="D279" s="1">
        <v>6148.12</v>
      </c>
      <c r="E279" s="1">
        <v>26612832.559999999</v>
      </c>
      <c r="F279" t="s">
        <v>1280</v>
      </c>
      <c r="I279" s="16"/>
      <c r="J279" s="68"/>
      <c r="K279" s="68"/>
      <c r="L279" s="68"/>
      <c r="M279" s="74">
        <f t="shared" si="5"/>
        <v>6148.12</v>
      </c>
    </row>
    <row r="280" spans="1:13">
      <c r="A280" t="s">
        <v>40</v>
      </c>
      <c r="B280" t="s">
        <v>11</v>
      </c>
      <c r="C280" s="51">
        <v>136319893937</v>
      </c>
      <c r="D280" s="1">
        <v>65718.64</v>
      </c>
      <c r="E280" s="1">
        <v>26678551.199999999</v>
      </c>
      <c r="F280" t="s">
        <v>1280</v>
      </c>
      <c r="I280" s="16"/>
      <c r="J280" s="68"/>
      <c r="K280" s="68"/>
      <c r="L280" s="68"/>
      <c r="M280" s="74">
        <f t="shared" si="5"/>
        <v>65718.64</v>
      </c>
    </row>
    <row r="281" spans="1:13">
      <c r="A281" t="s">
        <v>40</v>
      </c>
      <c r="B281" t="s">
        <v>11</v>
      </c>
      <c r="C281" s="51">
        <v>136320927381</v>
      </c>
      <c r="D281" s="1">
        <v>29474.639999999999</v>
      </c>
      <c r="E281" s="1">
        <v>26708025.84</v>
      </c>
      <c r="F281" t="s">
        <v>1280</v>
      </c>
      <c r="I281" s="16"/>
      <c r="J281" s="68"/>
      <c r="K281" s="68"/>
      <c r="L281" s="68"/>
      <c r="M281" s="74">
        <f t="shared" si="5"/>
        <v>29474.639999999999</v>
      </c>
    </row>
    <row r="282" spans="1:13">
      <c r="A282" t="s">
        <v>40</v>
      </c>
      <c r="B282" t="s">
        <v>11</v>
      </c>
      <c r="C282" s="51">
        <v>136321148165</v>
      </c>
      <c r="D282" s="1">
        <v>9353.2800000000007</v>
      </c>
      <c r="E282" s="1">
        <v>26717379.120000001</v>
      </c>
      <c r="F282" t="s">
        <v>1280</v>
      </c>
      <c r="I282" s="16"/>
      <c r="J282" s="68"/>
      <c r="K282" s="68"/>
      <c r="L282" s="68"/>
      <c r="M282" s="74">
        <f t="shared" si="5"/>
        <v>9353.2800000000007</v>
      </c>
    </row>
    <row r="283" spans="1:13">
      <c r="A283" t="s">
        <v>40</v>
      </c>
      <c r="B283" t="s">
        <v>11</v>
      </c>
      <c r="C283" s="51">
        <v>136945689714</v>
      </c>
      <c r="D283" s="1">
        <v>44233.22</v>
      </c>
      <c r="E283" s="1">
        <v>26761612.34</v>
      </c>
      <c r="F283" t="s">
        <v>1280</v>
      </c>
      <c r="I283" s="16"/>
      <c r="J283" s="68"/>
      <c r="K283" s="68"/>
      <c r="L283" s="68"/>
      <c r="M283" s="74">
        <f t="shared" si="5"/>
        <v>44233.22</v>
      </c>
    </row>
    <row r="284" spans="1:13">
      <c r="A284" t="s">
        <v>40</v>
      </c>
      <c r="B284" t="s">
        <v>11</v>
      </c>
      <c r="C284" s="51">
        <v>136321226061</v>
      </c>
      <c r="D284" s="1">
        <v>45012.66</v>
      </c>
      <c r="E284" s="1">
        <v>26806625</v>
      </c>
      <c r="F284" t="s">
        <v>1280</v>
      </c>
      <c r="I284" s="16"/>
      <c r="J284" s="68"/>
      <c r="K284" s="68"/>
      <c r="L284" s="68"/>
      <c r="M284" s="74">
        <f t="shared" si="5"/>
        <v>45012.66</v>
      </c>
    </row>
    <row r="285" spans="1:13">
      <c r="A285" t="s">
        <v>40</v>
      </c>
      <c r="B285" t="s">
        <v>11</v>
      </c>
      <c r="C285" s="51">
        <v>136946176762</v>
      </c>
      <c r="D285" s="1">
        <v>76615.17</v>
      </c>
      <c r="E285" s="1">
        <v>26883240.170000002</v>
      </c>
      <c r="F285" t="s">
        <v>1280</v>
      </c>
      <c r="I285" s="16"/>
      <c r="J285" s="68"/>
      <c r="K285" s="68"/>
      <c r="L285" s="68"/>
      <c r="M285" s="74">
        <f t="shared" si="5"/>
        <v>76615.17</v>
      </c>
    </row>
    <row r="286" spans="1:13">
      <c r="A286" t="s">
        <v>40</v>
      </c>
      <c r="B286" t="s">
        <v>11</v>
      </c>
      <c r="C286" s="51">
        <v>136946271262</v>
      </c>
      <c r="D286" s="1">
        <v>4676.6400000000003</v>
      </c>
      <c r="E286" s="1">
        <v>26887916.809999999</v>
      </c>
      <c r="F286" t="s">
        <v>1280</v>
      </c>
      <c r="I286" s="16"/>
      <c r="J286" s="68"/>
      <c r="K286" s="68"/>
      <c r="L286" s="68"/>
      <c r="M286" s="74">
        <f t="shared" si="5"/>
        <v>4676.6400000000003</v>
      </c>
    </row>
    <row r="287" spans="1:13">
      <c r="A287" t="s">
        <v>40</v>
      </c>
      <c r="B287" t="s">
        <v>53</v>
      </c>
      <c r="C287" s="51">
        <v>136321620855</v>
      </c>
      <c r="D287">
        <v>234.96</v>
      </c>
      <c r="E287" s="1">
        <v>26888151.77</v>
      </c>
      <c r="F287" t="s">
        <v>1280</v>
      </c>
      <c r="I287" s="16"/>
      <c r="J287" s="68"/>
      <c r="K287" s="68"/>
      <c r="L287" s="68"/>
      <c r="M287" s="74">
        <f t="shared" si="5"/>
        <v>234.96</v>
      </c>
    </row>
    <row r="288" spans="1:13">
      <c r="A288" t="s">
        <v>40</v>
      </c>
      <c r="B288" t="s">
        <v>11</v>
      </c>
      <c r="C288" s="51">
        <v>136321853917</v>
      </c>
      <c r="D288" s="1">
        <v>39677.4</v>
      </c>
      <c r="E288" s="1">
        <v>26927829.170000002</v>
      </c>
      <c r="F288" t="s">
        <v>1280</v>
      </c>
      <c r="I288" s="16"/>
      <c r="J288" s="68"/>
      <c r="K288" s="68"/>
      <c r="L288" s="68"/>
      <c r="M288" s="74">
        <f t="shared" si="5"/>
        <v>39677.4</v>
      </c>
    </row>
    <row r="289" spans="1:13">
      <c r="A289" t="s">
        <v>40</v>
      </c>
      <c r="B289" t="s">
        <v>11</v>
      </c>
      <c r="C289" s="51">
        <v>136948433642</v>
      </c>
      <c r="D289" s="1">
        <v>29618.720000000001</v>
      </c>
      <c r="E289" s="1">
        <v>26957447.890000001</v>
      </c>
      <c r="F289" t="s">
        <v>1280</v>
      </c>
      <c r="I289" s="16"/>
      <c r="J289" s="68"/>
      <c r="K289" s="68"/>
      <c r="L289" s="68"/>
      <c r="M289" s="74">
        <f t="shared" si="5"/>
        <v>29618.720000000001</v>
      </c>
    </row>
    <row r="290" spans="1:13">
      <c r="A290" t="s">
        <v>40</v>
      </c>
      <c r="B290" t="s">
        <v>11</v>
      </c>
      <c r="C290" s="51">
        <v>136324281207</v>
      </c>
      <c r="D290" s="1">
        <v>37504.589999999997</v>
      </c>
      <c r="E290" s="1">
        <v>26994952.48</v>
      </c>
      <c r="F290" t="s">
        <v>1280</v>
      </c>
      <c r="I290" s="16"/>
      <c r="J290" s="68"/>
      <c r="K290" s="68"/>
      <c r="L290" s="68"/>
      <c r="M290" s="74">
        <f t="shared" si="5"/>
        <v>37504.589999999997</v>
      </c>
    </row>
    <row r="291" spans="1:13">
      <c r="A291" t="s">
        <v>40</v>
      </c>
      <c r="B291" t="s">
        <v>11</v>
      </c>
      <c r="C291" s="51">
        <v>136324541637</v>
      </c>
      <c r="D291" s="1">
        <v>36276.480000000003</v>
      </c>
      <c r="E291" s="1">
        <v>27031228.960000001</v>
      </c>
      <c r="F291" t="s">
        <v>1280</v>
      </c>
      <c r="I291" s="16"/>
      <c r="J291" s="68"/>
      <c r="K291" s="68"/>
      <c r="L291" s="68"/>
      <c r="M291" s="74">
        <f t="shared" si="5"/>
        <v>36276.480000000003</v>
      </c>
    </row>
    <row r="292" spans="1:13">
      <c r="A292" t="s">
        <v>40</v>
      </c>
      <c r="B292" t="s">
        <v>11</v>
      </c>
      <c r="C292" s="51">
        <v>136324797799</v>
      </c>
      <c r="D292" s="1">
        <v>36588.370000000003</v>
      </c>
      <c r="E292" s="1">
        <v>27067817.329999998</v>
      </c>
      <c r="F292" t="s">
        <v>1280</v>
      </c>
      <c r="I292" s="16"/>
      <c r="J292" s="68"/>
      <c r="K292" s="68"/>
      <c r="L292" s="68"/>
      <c r="M292" s="74">
        <f t="shared" si="5"/>
        <v>36588.370000000003</v>
      </c>
    </row>
    <row r="293" spans="1:13">
      <c r="A293" t="s">
        <v>40</v>
      </c>
      <c r="B293" t="s">
        <v>11</v>
      </c>
      <c r="C293" s="51">
        <v>136325278171</v>
      </c>
      <c r="D293" s="1">
        <v>9258.06</v>
      </c>
      <c r="E293" s="1">
        <v>27077075.390000001</v>
      </c>
      <c r="F293" t="s">
        <v>1280</v>
      </c>
      <c r="I293" s="16"/>
      <c r="J293" s="68"/>
      <c r="K293" s="68"/>
      <c r="L293" s="68"/>
      <c r="M293" s="74">
        <f t="shared" si="5"/>
        <v>9258.06</v>
      </c>
    </row>
    <row r="294" spans="1:13">
      <c r="A294" t="s">
        <v>40</v>
      </c>
      <c r="B294" t="s">
        <v>11</v>
      </c>
      <c r="C294" s="51">
        <v>136950108244</v>
      </c>
      <c r="D294" s="1">
        <v>10035.290000000001</v>
      </c>
      <c r="E294" s="1">
        <v>27087110.68</v>
      </c>
      <c r="F294" t="s">
        <v>1280</v>
      </c>
      <c r="I294" s="16"/>
      <c r="J294" s="68"/>
      <c r="K294" s="68"/>
      <c r="L294" s="68"/>
      <c r="M294" s="74">
        <f t="shared" si="5"/>
        <v>10035.290000000001</v>
      </c>
    </row>
    <row r="295" spans="1:13">
      <c r="A295" t="s">
        <v>40</v>
      </c>
      <c r="B295" t="s">
        <v>11</v>
      </c>
      <c r="C295" s="51">
        <v>136326087677</v>
      </c>
      <c r="D295" s="1">
        <v>36341.39</v>
      </c>
      <c r="E295" s="1">
        <v>27123452.07</v>
      </c>
      <c r="F295" t="s">
        <v>1280</v>
      </c>
      <c r="I295" s="16"/>
      <c r="J295" s="68"/>
      <c r="K295" s="68"/>
      <c r="L295" s="68"/>
      <c r="M295" s="74">
        <f t="shared" si="5"/>
        <v>36341.39</v>
      </c>
    </row>
    <row r="296" spans="1:13">
      <c r="A296" t="s">
        <v>40</v>
      </c>
      <c r="B296" t="s">
        <v>54</v>
      </c>
      <c r="C296" s="51">
        <v>136950519952</v>
      </c>
      <c r="D296" s="1">
        <v>3651.67</v>
      </c>
      <c r="E296" s="1">
        <v>27127103.739999998</v>
      </c>
      <c r="F296" t="s">
        <v>1280</v>
      </c>
      <c r="I296" s="16"/>
      <c r="J296" s="68"/>
      <c r="K296" s="68"/>
      <c r="L296" s="68"/>
      <c r="M296" s="74">
        <f t="shared" si="5"/>
        <v>3651.67</v>
      </c>
    </row>
    <row r="297" spans="1:13">
      <c r="A297" t="s">
        <v>40</v>
      </c>
      <c r="B297" t="s">
        <v>11</v>
      </c>
      <c r="C297" s="51">
        <v>136326212539</v>
      </c>
      <c r="D297" s="1">
        <v>33064.5</v>
      </c>
      <c r="E297" s="1">
        <v>27160168.239999998</v>
      </c>
      <c r="F297" t="s">
        <v>1280</v>
      </c>
      <c r="I297" s="16"/>
      <c r="J297" s="68"/>
      <c r="K297" s="68"/>
      <c r="L297" s="68"/>
      <c r="M297" s="74">
        <f t="shared" si="5"/>
        <v>33064.5</v>
      </c>
    </row>
    <row r="298" spans="1:13">
      <c r="A298" t="s">
        <v>40</v>
      </c>
      <c r="B298" t="s">
        <v>11</v>
      </c>
      <c r="C298" s="51">
        <v>136950669354</v>
      </c>
      <c r="D298" s="1">
        <v>34576.019999999997</v>
      </c>
      <c r="E298" s="1">
        <v>27194744.260000002</v>
      </c>
      <c r="F298" t="s">
        <v>1280</v>
      </c>
      <c r="I298" s="16"/>
      <c r="J298" s="68"/>
      <c r="K298" s="68"/>
      <c r="L298" s="68"/>
      <c r="M298" s="74">
        <f t="shared" si="5"/>
        <v>34576.019999999997</v>
      </c>
    </row>
    <row r="299" spans="1:13">
      <c r="A299" t="s">
        <v>40</v>
      </c>
      <c r="B299" t="s">
        <v>11</v>
      </c>
      <c r="C299" s="51">
        <v>136951233398</v>
      </c>
      <c r="D299" s="1">
        <v>59529.73</v>
      </c>
      <c r="E299" s="1">
        <v>27254273.989999998</v>
      </c>
      <c r="F299" t="s">
        <v>1280</v>
      </c>
      <c r="I299" s="16"/>
      <c r="J299" s="68"/>
      <c r="K299" s="68"/>
      <c r="L299" s="68"/>
      <c r="M299" s="74">
        <f t="shared" si="5"/>
        <v>59529.73</v>
      </c>
    </row>
    <row r="300" spans="1:13">
      <c r="A300" t="s">
        <v>40</v>
      </c>
      <c r="B300" t="s">
        <v>11</v>
      </c>
      <c r="C300" s="51">
        <v>136326731001</v>
      </c>
      <c r="D300" s="1">
        <v>11594.17</v>
      </c>
      <c r="E300" s="1">
        <v>27265868.16</v>
      </c>
      <c r="F300" t="s">
        <v>1280</v>
      </c>
      <c r="I300" s="16"/>
      <c r="J300" s="68"/>
      <c r="K300" s="68"/>
      <c r="L300" s="68"/>
      <c r="M300" s="74">
        <f t="shared" si="5"/>
        <v>11594.17</v>
      </c>
    </row>
    <row r="301" spans="1:13">
      <c r="A301" t="s">
        <v>40</v>
      </c>
      <c r="B301" t="s">
        <v>11</v>
      </c>
      <c r="C301" s="51">
        <v>136951857762</v>
      </c>
      <c r="D301" s="1">
        <v>39288.620000000003</v>
      </c>
      <c r="E301" s="1">
        <v>27305156.780000001</v>
      </c>
      <c r="F301" t="s">
        <v>1280</v>
      </c>
      <c r="I301" s="16"/>
      <c r="J301" s="68"/>
      <c r="K301" s="68"/>
      <c r="L301" s="68"/>
      <c r="M301" s="74">
        <f t="shared" si="5"/>
        <v>39288.620000000003</v>
      </c>
    </row>
    <row r="302" spans="1:13">
      <c r="A302" t="s">
        <v>40</v>
      </c>
      <c r="B302" t="s">
        <v>11</v>
      </c>
      <c r="C302" s="51">
        <v>136327286571</v>
      </c>
      <c r="D302" s="1">
        <v>19388.57</v>
      </c>
      <c r="E302" s="1">
        <v>27324545.350000001</v>
      </c>
      <c r="F302" t="s">
        <v>1280</v>
      </c>
      <c r="I302" s="16"/>
      <c r="J302" s="68"/>
      <c r="K302" s="68"/>
      <c r="L302" s="68"/>
      <c r="M302" s="74">
        <f t="shared" si="5"/>
        <v>19388.57</v>
      </c>
    </row>
    <row r="303" spans="1:13">
      <c r="A303" t="s">
        <v>40</v>
      </c>
      <c r="B303" t="s">
        <v>11</v>
      </c>
      <c r="C303" s="51">
        <v>136952258442</v>
      </c>
      <c r="D303" s="1">
        <v>47545.84</v>
      </c>
      <c r="E303" s="1">
        <v>27372091.190000001</v>
      </c>
      <c r="F303" t="s">
        <v>1280</v>
      </c>
      <c r="I303" s="16"/>
      <c r="J303" s="68"/>
      <c r="K303" s="68"/>
      <c r="L303" s="68"/>
      <c r="M303" s="74">
        <f t="shared" si="5"/>
        <v>47545.84</v>
      </c>
    </row>
    <row r="304" spans="1:13">
      <c r="A304" t="s">
        <v>40</v>
      </c>
      <c r="B304" t="s">
        <v>11</v>
      </c>
      <c r="C304" s="51">
        <v>136952289620</v>
      </c>
      <c r="D304" s="1">
        <v>4774.07</v>
      </c>
      <c r="E304" s="1">
        <v>27376865.260000002</v>
      </c>
      <c r="F304" t="s">
        <v>1280</v>
      </c>
      <c r="I304" s="16"/>
      <c r="J304" s="68"/>
      <c r="K304" s="68"/>
      <c r="L304" s="68"/>
      <c r="M304" s="74">
        <f t="shared" si="5"/>
        <v>4774.07</v>
      </c>
    </row>
    <row r="305" spans="1:13">
      <c r="A305" t="s">
        <v>40</v>
      </c>
      <c r="B305" t="s">
        <v>11</v>
      </c>
      <c r="C305" s="51">
        <v>136328449873</v>
      </c>
      <c r="D305" s="1">
        <v>141370.93</v>
      </c>
      <c r="E305" s="1">
        <v>27518236.190000001</v>
      </c>
      <c r="F305" t="s">
        <v>1280</v>
      </c>
      <c r="I305" s="16"/>
      <c r="J305" s="68"/>
      <c r="K305" s="68"/>
      <c r="L305" s="68"/>
      <c r="M305" s="74">
        <f t="shared" si="5"/>
        <v>141370.93</v>
      </c>
    </row>
    <row r="306" spans="1:13">
      <c r="A306" t="s">
        <v>40</v>
      </c>
      <c r="B306" t="s">
        <v>11</v>
      </c>
      <c r="C306" s="51">
        <v>136328990057</v>
      </c>
      <c r="D306" s="1">
        <v>53564.49</v>
      </c>
      <c r="E306" s="1">
        <v>27571800.68</v>
      </c>
      <c r="F306" t="s">
        <v>1280</v>
      </c>
      <c r="I306" s="16"/>
      <c r="J306" s="68"/>
      <c r="K306" s="68"/>
      <c r="L306" s="68"/>
      <c r="M306" s="74">
        <f t="shared" si="5"/>
        <v>53564.49</v>
      </c>
    </row>
    <row r="307" spans="1:13">
      <c r="A307" t="s">
        <v>40</v>
      </c>
      <c r="B307" t="s">
        <v>11</v>
      </c>
      <c r="C307" s="51">
        <v>136953884316</v>
      </c>
      <c r="D307" s="1">
        <v>45345.599999999999</v>
      </c>
      <c r="E307" s="1">
        <v>27617146.280000001</v>
      </c>
      <c r="F307" t="s">
        <v>1280</v>
      </c>
      <c r="I307" s="16"/>
      <c r="J307" s="68"/>
      <c r="K307" s="68"/>
      <c r="L307" s="68"/>
      <c r="M307" s="74">
        <f t="shared" si="5"/>
        <v>45345.599999999999</v>
      </c>
    </row>
    <row r="308" spans="1:13">
      <c r="A308" t="s">
        <v>40</v>
      </c>
      <c r="B308" t="s">
        <v>11</v>
      </c>
      <c r="C308" s="51">
        <v>136329284763</v>
      </c>
      <c r="D308" s="1">
        <v>32931.339999999997</v>
      </c>
      <c r="E308" s="1">
        <v>27650077.620000001</v>
      </c>
      <c r="F308" t="s">
        <v>1280</v>
      </c>
      <c r="I308" s="16"/>
      <c r="J308" s="68"/>
      <c r="K308" s="68"/>
      <c r="L308" s="68"/>
      <c r="M308" s="74">
        <f t="shared" si="5"/>
        <v>32931.339999999997</v>
      </c>
    </row>
    <row r="309" spans="1:13">
      <c r="A309" t="s">
        <v>55</v>
      </c>
      <c r="B309" t="s">
        <v>11</v>
      </c>
      <c r="C309" s="51">
        <v>136954494152</v>
      </c>
      <c r="D309" s="1">
        <v>27207.360000000001</v>
      </c>
      <c r="E309" s="1">
        <v>27677284.98</v>
      </c>
      <c r="F309" t="s">
        <v>1280</v>
      </c>
      <c r="I309" s="16"/>
      <c r="J309" s="68"/>
      <c r="K309" s="68"/>
      <c r="L309" s="68"/>
      <c r="M309" s="74">
        <f t="shared" si="5"/>
        <v>27207.360000000001</v>
      </c>
    </row>
    <row r="310" spans="1:13">
      <c r="A310" t="s">
        <v>55</v>
      </c>
      <c r="B310" t="s">
        <v>11</v>
      </c>
      <c r="C310" s="51">
        <v>136330605015</v>
      </c>
      <c r="D310" s="1">
        <v>18490.419999999998</v>
      </c>
      <c r="E310" s="1">
        <v>27695775.399999999</v>
      </c>
      <c r="F310" t="s">
        <v>1280</v>
      </c>
      <c r="I310" s="16"/>
      <c r="J310" s="68"/>
      <c r="K310" s="68"/>
      <c r="L310" s="68"/>
      <c r="M310" s="74">
        <f t="shared" si="5"/>
        <v>18490.419999999998</v>
      </c>
    </row>
    <row r="311" spans="1:13">
      <c r="A311" t="s">
        <v>55</v>
      </c>
      <c r="B311" t="s">
        <v>11</v>
      </c>
      <c r="C311" s="51">
        <v>136330599489</v>
      </c>
      <c r="D311" s="1">
        <v>73949.37</v>
      </c>
      <c r="E311" s="1">
        <v>27769724.77</v>
      </c>
      <c r="F311" t="s">
        <v>1280</v>
      </c>
      <c r="I311" s="16"/>
      <c r="J311" s="68"/>
      <c r="K311" s="68"/>
      <c r="L311" s="68"/>
      <c r="M311" s="74">
        <f t="shared" ref="M311:M352" si="6">+D311-I311-J311-K311-L311</f>
        <v>73949.37</v>
      </c>
    </row>
    <row r="312" spans="1:13">
      <c r="A312" t="s">
        <v>55</v>
      </c>
      <c r="B312" t="s">
        <v>11</v>
      </c>
      <c r="C312" s="51">
        <v>136330783263</v>
      </c>
      <c r="D312" s="1">
        <v>10391.700000000001</v>
      </c>
      <c r="E312" s="1">
        <v>27780116.469999999</v>
      </c>
      <c r="F312" t="s">
        <v>1280</v>
      </c>
      <c r="I312" s="16"/>
      <c r="J312" s="68"/>
      <c r="K312" s="68"/>
      <c r="L312" s="68"/>
      <c r="M312" s="74">
        <f t="shared" si="6"/>
        <v>10391.700000000001</v>
      </c>
    </row>
    <row r="313" spans="1:13">
      <c r="A313" t="s">
        <v>55</v>
      </c>
      <c r="B313" t="s">
        <v>11</v>
      </c>
      <c r="C313" s="51">
        <v>136330964239</v>
      </c>
      <c r="D313" s="1">
        <v>57873.42</v>
      </c>
      <c r="E313" s="1">
        <v>27837989.890000001</v>
      </c>
      <c r="F313" t="s">
        <v>1280</v>
      </c>
      <c r="I313" s="16"/>
      <c r="J313" s="68"/>
      <c r="K313" s="68"/>
      <c r="L313" s="68"/>
      <c r="M313" s="74">
        <f t="shared" si="6"/>
        <v>57873.42</v>
      </c>
    </row>
    <row r="314" spans="1:13">
      <c r="A314" t="s">
        <v>55</v>
      </c>
      <c r="B314" t="s">
        <v>11</v>
      </c>
      <c r="C314" s="51">
        <v>136955923120</v>
      </c>
      <c r="D314" s="1">
        <v>8625.0499999999993</v>
      </c>
      <c r="E314" s="1">
        <v>27846614.940000001</v>
      </c>
      <c r="F314" t="s">
        <v>1280</v>
      </c>
      <c r="I314" s="16"/>
      <c r="J314" s="68"/>
      <c r="K314" s="68"/>
      <c r="L314" s="68"/>
      <c r="M314" s="74">
        <f t="shared" si="6"/>
        <v>8625.0499999999993</v>
      </c>
    </row>
    <row r="315" spans="1:13">
      <c r="A315" t="s">
        <v>55</v>
      </c>
      <c r="B315" t="s">
        <v>11</v>
      </c>
      <c r="C315" s="51">
        <v>136331418449</v>
      </c>
      <c r="D315" s="1">
        <v>53124.76</v>
      </c>
      <c r="E315" s="1">
        <v>27899739.699999999</v>
      </c>
      <c r="F315" t="s">
        <v>1280</v>
      </c>
      <c r="I315" s="16"/>
      <c r="J315" s="68"/>
      <c r="K315" s="68"/>
      <c r="L315" s="68"/>
      <c r="M315" s="74">
        <f t="shared" si="6"/>
        <v>53124.76</v>
      </c>
    </row>
    <row r="316" spans="1:13">
      <c r="A316" t="s">
        <v>55</v>
      </c>
      <c r="B316" t="s">
        <v>11</v>
      </c>
      <c r="C316" s="51">
        <v>136331423567</v>
      </c>
      <c r="D316" s="1">
        <v>43064.06</v>
      </c>
      <c r="E316" s="1">
        <v>27942803.760000002</v>
      </c>
      <c r="F316" t="s">
        <v>1280</v>
      </c>
      <c r="I316" s="16"/>
      <c r="J316" s="68"/>
      <c r="K316" s="68"/>
      <c r="L316" s="68"/>
      <c r="M316" s="74">
        <f t="shared" si="6"/>
        <v>43064.06</v>
      </c>
    </row>
    <row r="317" spans="1:13">
      <c r="A317" t="s">
        <v>55</v>
      </c>
      <c r="B317" t="s">
        <v>11</v>
      </c>
      <c r="C317" s="51">
        <v>136956632996</v>
      </c>
      <c r="D317" s="1">
        <v>21493.94</v>
      </c>
      <c r="E317" s="1">
        <v>27964297.699999999</v>
      </c>
      <c r="F317" t="s">
        <v>1280</v>
      </c>
      <c r="I317" s="16"/>
      <c r="J317" s="68"/>
      <c r="K317" s="68"/>
      <c r="L317" s="68"/>
      <c r="M317" s="74">
        <f t="shared" si="6"/>
        <v>21493.94</v>
      </c>
    </row>
    <row r="318" spans="1:13">
      <c r="A318" t="s">
        <v>55</v>
      </c>
      <c r="B318" t="s">
        <v>56</v>
      </c>
      <c r="C318" s="51">
        <v>136956585806</v>
      </c>
      <c r="D318" s="1">
        <v>1120.95</v>
      </c>
      <c r="E318" s="1">
        <v>27965418.649999999</v>
      </c>
      <c r="F318" t="s">
        <v>1280</v>
      </c>
      <c r="I318" s="16"/>
      <c r="J318" s="68"/>
      <c r="K318" s="68"/>
      <c r="L318" s="68"/>
      <c r="M318" s="74">
        <f t="shared" si="6"/>
        <v>1120.95</v>
      </c>
    </row>
    <row r="319" spans="1:13">
      <c r="A319" t="s">
        <v>55</v>
      </c>
      <c r="B319" t="s">
        <v>11</v>
      </c>
      <c r="C319" s="51">
        <v>136956816280</v>
      </c>
      <c r="D319" s="1">
        <v>20881.7</v>
      </c>
      <c r="E319" s="1">
        <v>27986300.350000001</v>
      </c>
      <c r="F319" t="s">
        <v>1280</v>
      </c>
      <c r="I319" s="16"/>
      <c r="J319" s="68"/>
      <c r="K319" s="68"/>
      <c r="L319" s="68"/>
      <c r="M319" s="74">
        <f t="shared" si="6"/>
        <v>20881.7</v>
      </c>
    </row>
    <row r="320" spans="1:13">
      <c r="A320" t="s">
        <v>55</v>
      </c>
      <c r="B320" t="s">
        <v>11</v>
      </c>
      <c r="C320" s="51">
        <v>136956905972</v>
      </c>
      <c r="D320" s="1">
        <v>42674.34</v>
      </c>
      <c r="E320" s="1">
        <v>28028974.690000001</v>
      </c>
      <c r="F320" t="s">
        <v>1280</v>
      </c>
      <c r="I320" s="16"/>
      <c r="J320" s="68"/>
      <c r="K320" s="68"/>
      <c r="L320" s="68"/>
      <c r="M320" s="74">
        <f t="shared" si="6"/>
        <v>42674.34</v>
      </c>
    </row>
    <row r="321" spans="1:13">
      <c r="A321" t="s">
        <v>55</v>
      </c>
      <c r="B321" t="s">
        <v>11</v>
      </c>
      <c r="C321" s="51">
        <v>136332882027</v>
      </c>
      <c r="D321" s="1">
        <v>76426.23</v>
      </c>
      <c r="E321" s="1">
        <v>28105400.920000002</v>
      </c>
      <c r="F321" t="s">
        <v>1280</v>
      </c>
      <c r="I321" s="16"/>
      <c r="J321" s="68"/>
      <c r="K321" s="68"/>
      <c r="L321" s="68"/>
      <c r="M321" s="74">
        <f t="shared" si="6"/>
        <v>76426.23</v>
      </c>
    </row>
    <row r="322" spans="1:13">
      <c r="A322" t="s">
        <v>55</v>
      </c>
      <c r="B322" t="s">
        <v>11</v>
      </c>
      <c r="C322" s="51">
        <v>136958169118</v>
      </c>
      <c r="D322" s="1">
        <v>59529.73</v>
      </c>
      <c r="E322" s="1">
        <v>28164930.649999999</v>
      </c>
      <c r="F322" t="s">
        <v>1280</v>
      </c>
      <c r="I322" s="16"/>
      <c r="J322" s="68"/>
      <c r="K322" s="68"/>
      <c r="L322" s="68"/>
      <c r="M322" s="74">
        <f t="shared" si="6"/>
        <v>59529.73</v>
      </c>
    </row>
    <row r="323" spans="1:13">
      <c r="A323" t="s">
        <v>55</v>
      </c>
      <c r="B323" t="s">
        <v>11</v>
      </c>
      <c r="C323" s="51">
        <v>136333515769</v>
      </c>
      <c r="D323" s="1">
        <v>2815.8</v>
      </c>
      <c r="E323" s="1">
        <v>28167746.449999999</v>
      </c>
      <c r="F323" t="s">
        <v>1280</v>
      </c>
      <c r="I323" s="16"/>
      <c r="J323" s="68"/>
      <c r="K323" s="68"/>
      <c r="L323" s="68"/>
      <c r="M323" s="74">
        <f t="shared" si="6"/>
        <v>2815.8</v>
      </c>
    </row>
    <row r="324" spans="1:13">
      <c r="A324" t="s">
        <v>55</v>
      </c>
      <c r="B324" t="s">
        <v>11</v>
      </c>
      <c r="C324" s="51">
        <v>136333640811</v>
      </c>
      <c r="D324" s="1">
        <v>8353.5400000000009</v>
      </c>
      <c r="E324" s="1">
        <v>28176099.989999998</v>
      </c>
      <c r="F324" t="s">
        <v>1280</v>
      </c>
      <c r="I324" s="16"/>
      <c r="J324" s="68"/>
      <c r="K324" s="68"/>
      <c r="L324" s="68"/>
      <c r="M324" s="74">
        <f t="shared" si="6"/>
        <v>8353.5400000000009</v>
      </c>
    </row>
    <row r="325" spans="1:13">
      <c r="A325" t="s">
        <v>55</v>
      </c>
      <c r="B325" t="s">
        <v>11</v>
      </c>
      <c r="C325" s="51">
        <v>136333603887</v>
      </c>
      <c r="D325" s="1">
        <v>31859.61</v>
      </c>
      <c r="E325" s="1">
        <v>28207959.600000001</v>
      </c>
      <c r="F325" t="s">
        <v>1280</v>
      </c>
      <c r="I325" s="16"/>
      <c r="J325" s="68"/>
      <c r="K325" s="68"/>
      <c r="L325" s="68"/>
      <c r="M325" s="74">
        <f t="shared" si="6"/>
        <v>31859.61</v>
      </c>
    </row>
    <row r="326" spans="1:13">
      <c r="A326" t="s">
        <v>55</v>
      </c>
      <c r="B326" t="s">
        <v>11</v>
      </c>
      <c r="C326" s="51">
        <v>136333850811</v>
      </c>
      <c r="D326" s="1">
        <v>11886.46</v>
      </c>
      <c r="E326" s="1">
        <v>28219846.059999999</v>
      </c>
      <c r="F326" t="s">
        <v>1280</v>
      </c>
      <c r="I326" s="16"/>
      <c r="J326" s="68"/>
      <c r="K326" s="68"/>
      <c r="L326" s="68"/>
      <c r="M326" s="74">
        <f t="shared" si="6"/>
        <v>11886.46</v>
      </c>
    </row>
    <row r="327" spans="1:13">
      <c r="A327" t="s">
        <v>55</v>
      </c>
      <c r="B327" t="s">
        <v>11</v>
      </c>
      <c r="C327" s="51">
        <v>136334028143</v>
      </c>
      <c r="D327" s="1">
        <v>47058.69</v>
      </c>
      <c r="E327" s="1">
        <v>28266904.75</v>
      </c>
      <c r="F327" t="s">
        <v>1280</v>
      </c>
      <c r="I327" s="16"/>
      <c r="J327" s="68"/>
      <c r="K327" s="68"/>
      <c r="L327" s="68"/>
      <c r="M327" s="74">
        <f t="shared" si="6"/>
        <v>47058.69</v>
      </c>
    </row>
    <row r="328" spans="1:13">
      <c r="A328" t="s">
        <v>55</v>
      </c>
      <c r="B328" t="s">
        <v>57</v>
      </c>
      <c r="C328" s="51">
        <v>136333911623</v>
      </c>
      <c r="D328" s="1">
        <v>2364.2800000000002</v>
      </c>
      <c r="E328" s="1">
        <v>28269269.030000001</v>
      </c>
      <c r="F328" t="s">
        <v>1280</v>
      </c>
      <c r="I328" s="16"/>
      <c r="J328" s="68"/>
      <c r="K328" s="68"/>
      <c r="L328" s="68"/>
      <c r="M328" s="74">
        <f t="shared" si="6"/>
        <v>2364.2800000000002</v>
      </c>
    </row>
    <row r="329" spans="1:13">
      <c r="A329" t="s">
        <v>55</v>
      </c>
      <c r="B329" t="s">
        <v>11</v>
      </c>
      <c r="C329" s="51">
        <v>136958415842</v>
      </c>
      <c r="D329" s="1">
        <v>17732.259999999998</v>
      </c>
      <c r="E329" s="1">
        <v>28287001.289999999</v>
      </c>
      <c r="F329" t="s">
        <v>1280</v>
      </c>
      <c r="I329" s="16"/>
      <c r="J329" s="68"/>
      <c r="K329" s="68"/>
      <c r="L329" s="68"/>
      <c r="M329" s="74">
        <f t="shared" si="6"/>
        <v>17732.259999999998</v>
      </c>
    </row>
    <row r="330" spans="1:13">
      <c r="A330" t="s">
        <v>55</v>
      </c>
      <c r="B330" t="s">
        <v>11</v>
      </c>
      <c r="C330" s="51">
        <v>136334135265</v>
      </c>
      <c r="D330" s="1">
        <v>29229</v>
      </c>
      <c r="E330" s="1">
        <v>28316230.289999999</v>
      </c>
      <c r="F330" t="s">
        <v>1280</v>
      </c>
      <c r="I330" s="16"/>
      <c r="J330" s="68"/>
      <c r="K330" s="68"/>
      <c r="L330" s="68"/>
      <c r="M330" s="74">
        <f t="shared" si="6"/>
        <v>29229</v>
      </c>
    </row>
    <row r="331" spans="1:13">
      <c r="A331" t="s">
        <v>55</v>
      </c>
      <c r="B331" t="s">
        <v>11</v>
      </c>
      <c r="C331" s="51">
        <v>136334261105</v>
      </c>
      <c r="D331" s="1">
        <v>7696.97</v>
      </c>
      <c r="E331" s="1">
        <v>28323927.260000002</v>
      </c>
      <c r="F331" t="s">
        <v>1280</v>
      </c>
      <c r="I331" s="16"/>
      <c r="J331" s="68"/>
      <c r="K331" s="68"/>
      <c r="L331" s="68"/>
      <c r="M331" s="74">
        <f t="shared" si="6"/>
        <v>7696.97</v>
      </c>
    </row>
    <row r="332" spans="1:13">
      <c r="A332" t="s">
        <v>55</v>
      </c>
      <c r="B332" t="s">
        <v>58</v>
      </c>
      <c r="C332" s="51">
        <v>136334300589</v>
      </c>
      <c r="D332">
        <v>386.7</v>
      </c>
      <c r="E332" s="1">
        <v>28324313.960000001</v>
      </c>
      <c r="F332" t="s">
        <v>1280</v>
      </c>
      <c r="I332" s="16"/>
      <c r="J332" s="68"/>
      <c r="K332" s="68"/>
      <c r="L332" s="68"/>
      <c r="M332" s="74">
        <f t="shared" si="6"/>
        <v>386.7</v>
      </c>
    </row>
    <row r="333" spans="1:13">
      <c r="A333" t="s">
        <v>55</v>
      </c>
      <c r="B333" t="s">
        <v>11</v>
      </c>
      <c r="C333" s="51">
        <v>136334273453</v>
      </c>
      <c r="D333" s="1">
        <v>15393.94</v>
      </c>
      <c r="E333" s="1">
        <v>28339707.899999999</v>
      </c>
      <c r="F333" t="s">
        <v>1280</v>
      </c>
      <c r="I333" s="16"/>
      <c r="J333" s="68"/>
      <c r="K333" s="68"/>
      <c r="L333" s="68"/>
      <c r="M333" s="74">
        <f t="shared" si="6"/>
        <v>15393.94</v>
      </c>
    </row>
    <row r="334" spans="1:13">
      <c r="A334" t="s">
        <v>55</v>
      </c>
      <c r="B334" t="s">
        <v>11</v>
      </c>
      <c r="C334" s="51">
        <v>136958889094</v>
      </c>
      <c r="D334" s="1">
        <v>19680.86</v>
      </c>
      <c r="E334" s="1">
        <v>28359388.760000002</v>
      </c>
      <c r="F334" t="s">
        <v>1280</v>
      </c>
      <c r="I334" s="16"/>
      <c r="J334" s="68"/>
      <c r="K334" s="68"/>
      <c r="L334" s="68"/>
      <c r="M334" s="74">
        <f t="shared" si="6"/>
        <v>19680.86</v>
      </c>
    </row>
    <row r="335" spans="1:13">
      <c r="A335" t="s">
        <v>55</v>
      </c>
      <c r="B335" t="s">
        <v>59</v>
      </c>
      <c r="C335" s="51">
        <v>136958796086</v>
      </c>
      <c r="D335">
        <v>988.79</v>
      </c>
      <c r="E335" s="1">
        <v>28360377.550000001</v>
      </c>
      <c r="F335" t="s">
        <v>1280</v>
      </c>
      <c r="I335" s="16"/>
      <c r="J335" s="68"/>
      <c r="K335" s="68"/>
      <c r="L335" s="68"/>
      <c r="M335" s="74">
        <f t="shared" si="6"/>
        <v>988.79</v>
      </c>
    </row>
    <row r="336" spans="1:13">
      <c r="A336" t="s">
        <v>55</v>
      </c>
      <c r="B336" t="s">
        <v>11</v>
      </c>
      <c r="C336" s="51">
        <v>136958915420</v>
      </c>
      <c r="D336" s="1">
        <v>9255.85</v>
      </c>
      <c r="E336" s="1">
        <v>28369633.399999999</v>
      </c>
      <c r="F336" t="s">
        <v>1280</v>
      </c>
      <c r="I336" s="16"/>
      <c r="J336" s="68"/>
      <c r="K336" s="68"/>
      <c r="L336" s="68"/>
      <c r="M336" s="74">
        <f t="shared" si="6"/>
        <v>9255.85</v>
      </c>
    </row>
    <row r="337" spans="1:13">
      <c r="A337" t="s">
        <v>55</v>
      </c>
      <c r="B337" t="s">
        <v>60</v>
      </c>
      <c r="C337" s="51">
        <v>136334392821</v>
      </c>
      <c r="D337">
        <v>465.02</v>
      </c>
      <c r="E337" s="1">
        <v>28370098.420000002</v>
      </c>
      <c r="F337" t="s">
        <v>1280</v>
      </c>
      <c r="I337" s="16"/>
      <c r="J337" s="68"/>
      <c r="K337" s="68"/>
      <c r="L337" s="68"/>
      <c r="M337" s="74">
        <f t="shared" si="6"/>
        <v>465.02</v>
      </c>
    </row>
    <row r="338" spans="1:13">
      <c r="A338" t="s">
        <v>55</v>
      </c>
      <c r="B338" t="s">
        <v>11</v>
      </c>
      <c r="C338" s="51">
        <v>136334494425</v>
      </c>
      <c r="D338" s="1">
        <v>25526.66</v>
      </c>
      <c r="E338" s="1">
        <v>28395625.079999998</v>
      </c>
      <c r="F338" t="s">
        <v>1280</v>
      </c>
      <c r="I338" s="16"/>
      <c r="J338" s="68"/>
      <c r="K338" s="68"/>
      <c r="L338" s="68"/>
      <c r="M338" s="74">
        <f t="shared" si="6"/>
        <v>25526.66</v>
      </c>
    </row>
    <row r="339" spans="1:13">
      <c r="A339" t="s">
        <v>55</v>
      </c>
      <c r="B339" t="s">
        <v>11</v>
      </c>
      <c r="C339" s="51">
        <v>136959425226</v>
      </c>
      <c r="D339" s="1">
        <v>16368.24</v>
      </c>
      <c r="E339" s="1">
        <v>28411993.32</v>
      </c>
      <c r="F339" t="s">
        <v>1280</v>
      </c>
      <c r="I339" s="16"/>
      <c r="J339" s="68"/>
      <c r="K339" s="68"/>
      <c r="L339" s="68"/>
      <c r="M339" s="74">
        <f t="shared" si="6"/>
        <v>16368.24</v>
      </c>
    </row>
    <row r="340" spans="1:13">
      <c r="A340" t="s">
        <v>55</v>
      </c>
      <c r="B340" t="s">
        <v>11</v>
      </c>
      <c r="C340" s="51">
        <v>136334778599</v>
      </c>
      <c r="D340" s="1">
        <v>83066.100000000006</v>
      </c>
      <c r="E340" s="1">
        <v>28495059.420000002</v>
      </c>
      <c r="F340" t="s">
        <v>1280</v>
      </c>
      <c r="I340" s="16"/>
      <c r="J340" s="68"/>
      <c r="K340" s="68"/>
      <c r="L340" s="68"/>
      <c r="M340" s="74">
        <f t="shared" si="6"/>
        <v>83066.100000000006</v>
      </c>
    </row>
    <row r="341" spans="1:13">
      <c r="A341" t="s">
        <v>55</v>
      </c>
      <c r="B341" t="s">
        <v>11</v>
      </c>
      <c r="C341" s="51">
        <v>136959531074</v>
      </c>
      <c r="D341" s="1">
        <v>20655.16</v>
      </c>
      <c r="E341" s="1">
        <v>28515714.579999998</v>
      </c>
      <c r="F341" t="s">
        <v>1280</v>
      </c>
      <c r="I341" s="16"/>
      <c r="J341" s="68"/>
      <c r="K341" s="68"/>
      <c r="L341" s="68"/>
      <c r="M341" s="74">
        <f t="shared" si="6"/>
        <v>20655.16</v>
      </c>
    </row>
    <row r="342" spans="1:13">
      <c r="A342" t="s">
        <v>55</v>
      </c>
      <c r="B342" t="s">
        <v>11</v>
      </c>
      <c r="C342" s="51">
        <v>136334764081</v>
      </c>
      <c r="D342" s="1">
        <v>28059.84</v>
      </c>
      <c r="E342" s="1">
        <v>28543774.420000002</v>
      </c>
      <c r="F342" t="s">
        <v>1280</v>
      </c>
      <c r="I342" s="16"/>
      <c r="J342" s="68"/>
      <c r="K342" s="68"/>
      <c r="L342" s="68"/>
      <c r="M342" s="74">
        <f t="shared" si="6"/>
        <v>28059.84</v>
      </c>
    </row>
    <row r="343" spans="1:13">
      <c r="A343" t="s">
        <v>55</v>
      </c>
      <c r="B343" t="s">
        <v>11</v>
      </c>
      <c r="C343" s="51">
        <v>136334940399</v>
      </c>
      <c r="D343" s="1">
        <v>35269.660000000003</v>
      </c>
      <c r="E343" s="1">
        <v>28579044.079999998</v>
      </c>
      <c r="F343" t="s">
        <v>1280</v>
      </c>
      <c r="I343" s="16"/>
      <c r="J343" s="68"/>
      <c r="K343" s="68"/>
      <c r="L343" s="68"/>
      <c r="M343" s="74">
        <f t="shared" si="6"/>
        <v>35269.660000000003</v>
      </c>
    </row>
    <row r="344" spans="1:13">
      <c r="A344" t="s">
        <v>55</v>
      </c>
      <c r="B344" t="s">
        <v>61</v>
      </c>
      <c r="C344" s="51">
        <v>136334889161</v>
      </c>
      <c r="D344" s="1">
        <v>3543.98</v>
      </c>
      <c r="E344" s="1">
        <v>28582588.059999999</v>
      </c>
      <c r="F344" t="s">
        <v>1280</v>
      </c>
      <c r="I344" s="16"/>
      <c r="J344" s="68"/>
      <c r="K344" s="68"/>
      <c r="L344" s="68"/>
      <c r="M344" s="74">
        <f t="shared" si="6"/>
        <v>3543.98</v>
      </c>
    </row>
    <row r="345" spans="1:13">
      <c r="A345" t="s">
        <v>55</v>
      </c>
      <c r="B345" t="s">
        <v>11</v>
      </c>
      <c r="C345" s="51">
        <v>136959626564</v>
      </c>
      <c r="D345" s="1">
        <v>18138.240000000002</v>
      </c>
      <c r="E345" s="1">
        <v>28600726.300000001</v>
      </c>
      <c r="F345" t="s">
        <v>1280</v>
      </c>
      <c r="I345" s="16"/>
      <c r="J345" s="68"/>
      <c r="K345" s="68"/>
      <c r="L345" s="68"/>
      <c r="M345" s="74">
        <f t="shared" si="6"/>
        <v>18138.240000000002</v>
      </c>
    </row>
    <row r="346" spans="1:13">
      <c r="A346" t="s">
        <v>55</v>
      </c>
      <c r="B346" t="s">
        <v>11</v>
      </c>
      <c r="C346" s="51">
        <v>136334877837</v>
      </c>
      <c r="D346" s="1">
        <v>14322.21</v>
      </c>
      <c r="E346" s="1">
        <v>28615048.510000002</v>
      </c>
      <c r="F346" t="s">
        <v>1280</v>
      </c>
      <c r="I346" s="16"/>
      <c r="J346" s="68"/>
      <c r="K346" s="68"/>
      <c r="L346" s="68"/>
      <c r="M346" s="74">
        <f t="shared" si="6"/>
        <v>14322.21</v>
      </c>
    </row>
    <row r="347" spans="1:13">
      <c r="A347" t="s">
        <v>55</v>
      </c>
      <c r="B347" t="s">
        <v>11</v>
      </c>
      <c r="C347" s="51">
        <v>136335028573</v>
      </c>
      <c r="D347" s="1">
        <v>10327.58</v>
      </c>
      <c r="E347" s="1">
        <v>28625376.09</v>
      </c>
      <c r="F347" t="s">
        <v>1280</v>
      </c>
      <c r="I347" s="16"/>
      <c r="J347" s="68"/>
      <c r="K347" s="68"/>
      <c r="L347" s="68"/>
      <c r="M347" s="74">
        <f t="shared" si="6"/>
        <v>10327.58</v>
      </c>
    </row>
    <row r="348" spans="1:13">
      <c r="A348" t="s">
        <v>55</v>
      </c>
      <c r="B348" t="s">
        <v>62</v>
      </c>
      <c r="C348" s="51">
        <v>136334931569</v>
      </c>
      <c r="D348">
        <v>518.87</v>
      </c>
      <c r="E348" s="1">
        <v>28625894.960000001</v>
      </c>
      <c r="F348" t="s">
        <v>1280</v>
      </c>
      <c r="I348" s="16"/>
      <c r="J348" s="68"/>
      <c r="K348" s="68"/>
      <c r="L348" s="68"/>
      <c r="M348" s="74">
        <f t="shared" si="6"/>
        <v>518.87</v>
      </c>
    </row>
    <row r="349" spans="1:13">
      <c r="A349" t="s">
        <v>55</v>
      </c>
      <c r="B349" t="s">
        <v>11</v>
      </c>
      <c r="C349" s="51">
        <v>136335038561</v>
      </c>
      <c r="D349" s="1">
        <v>20265.439999999999</v>
      </c>
      <c r="E349" s="1">
        <v>28646160.399999999</v>
      </c>
      <c r="F349" t="s">
        <v>1280</v>
      </c>
      <c r="I349" s="16"/>
      <c r="J349" s="68"/>
      <c r="K349" s="68"/>
      <c r="L349" s="68"/>
      <c r="M349" s="74">
        <f t="shared" si="6"/>
        <v>20265.439999999999</v>
      </c>
    </row>
    <row r="350" spans="1:13">
      <c r="A350" t="s">
        <v>55</v>
      </c>
      <c r="B350" t="s">
        <v>63</v>
      </c>
      <c r="C350" s="51">
        <v>136959627750</v>
      </c>
      <c r="D350" s="1">
        <v>1018.16</v>
      </c>
      <c r="E350" s="1">
        <v>28647178.559999999</v>
      </c>
      <c r="F350" t="s">
        <v>1280</v>
      </c>
      <c r="I350" s="16"/>
      <c r="J350" s="68"/>
      <c r="K350" s="68"/>
      <c r="L350" s="68"/>
      <c r="M350" s="74">
        <f t="shared" si="6"/>
        <v>1018.16</v>
      </c>
    </row>
    <row r="351" spans="1:13">
      <c r="A351" t="s">
        <v>55</v>
      </c>
      <c r="B351" t="s">
        <v>11</v>
      </c>
      <c r="C351" s="51">
        <v>136959665908</v>
      </c>
      <c r="D351" s="1">
        <v>14906.79</v>
      </c>
      <c r="E351" s="1">
        <v>28662085.350000001</v>
      </c>
      <c r="F351" t="s">
        <v>1280</v>
      </c>
      <c r="I351" s="16"/>
      <c r="J351" s="68"/>
      <c r="K351" s="68"/>
      <c r="L351" s="68"/>
      <c r="M351" s="74">
        <f t="shared" si="6"/>
        <v>14906.79</v>
      </c>
    </row>
    <row r="352" spans="1:13">
      <c r="A352" t="s">
        <v>55</v>
      </c>
      <c r="B352" t="s">
        <v>11</v>
      </c>
      <c r="C352" s="51">
        <v>136959788742</v>
      </c>
      <c r="D352" s="1">
        <v>9986.9</v>
      </c>
      <c r="E352" s="1">
        <v>28672072.25</v>
      </c>
      <c r="F352" t="s">
        <v>1280</v>
      </c>
      <c r="I352" s="16"/>
      <c r="J352" s="68"/>
      <c r="K352" s="68"/>
      <c r="L352" s="68"/>
      <c r="M352" s="74">
        <f t="shared" si="6"/>
        <v>9986.9</v>
      </c>
    </row>
    <row r="353" spans="1:13">
      <c r="A353" t="s">
        <v>64</v>
      </c>
      <c r="B353" t="s">
        <v>65</v>
      </c>
      <c r="C353" s="51">
        <v>136635567927</v>
      </c>
      <c r="D353" s="17">
        <v>-2368604.66</v>
      </c>
      <c r="E353" s="1">
        <v>26303467.59</v>
      </c>
      <c r="F353" s="27" t="s">
        <v>1282</v>
      </c>
      <c r="G353" s="16">
        <f>+D353/1.006</f>
        <v>-2354477.793240557</v>
      </c>
      <c r="H353" s="16"/>
      <c r="I353" s="16"/>
      <c r="J353" s="68"/>
      <c r="K353" s="68"/>
      <c r="L353" s="68"/>
      <c r="M353" s="52">
        <f>+D353-I353-J353-K353-L353</f>
        <v>-2368604.66</v>
      </c>
    </row>
    <row r="354" spans="1:13">
      <c r="A354" t="s">
        <v>64</v>
      </c>
      <c r="B354" t="s">
        <v>67</v>
      </c>
      <c r="C354" s="51">
        <v>136642965749</v>
      </c>
      <c r="D354" s="1">
        <v>-1000000</v>
      </c>
      <c r="E354" s="1">
        <v>22800467.59</v>
      </c>
      <c r="F354" s="27" t="s">
        <v>1283</v>
      </c>
      <c r="G354" s="16">
        <f t="shared" ref="G354:G359" si="7">+D354</f>
        <v>-1000000</v>
      </c>
      <c r="H354" s="16"/>
      <c r="I354" s="16"/>
      <c r="J354" s="68"/>
      <c r="K354" s="68"/>
      <c r="L354" s="68"/>
      <c r="M354" s="52">
        <f>+D354</f>
        <v>-1000000</v>
      </c>
    </row>
    <row r="355" spans="1:13">
      <c r="A355" t="s">
        <v>64</v>
      </c>
      <c r="B355" t="s">
        <v>67</v>
      </c>
      <c r="C355" s="51">
        <v>136642967981</v>
      </c>
      <c r="D355" s="1">
        <v>-1000000</v>
      </c>
      <c r="E355" s="1">
        <v>19800467.59</v>
      </c>
      <c r="F355" s="27" t="s">
        <v>1283</v>
      </c>
      <c r="G355" s="16">
        <f t="shared" si="7"/>
        <v>-1000000</v>
      </c>
      <c r="H355" s="16"/>
      <c r="I355" s="16"/>
      <c r="J355" s="68"/>
      <c r="K355" s="68"/>
      <c r="L355" s="68"/>
      <c r="M355" s="52">
        <f t="shared" ref="M355:M359" si="8">+D355</f>
        <v>-1000000</v>
      </c>
    </row>
    <row r="356" spans="1:13">
      <c r="A356" t="s">
        <v>64</v>
      </c>
      <c r="B356" t="s">
        <v>67</v>
      </c>
      <c r="C356" s="51">
        <v>136643127123</v>
      </c>
      <c r="D356" s="1">
        <v>-1000000</v>
      </c>
      <c r="E356" s="1">
        <v>24800467.59</v>
      </c>
      <c r="F356" s="27" t="s">
        <v>1283</v>
      </c>
      <c r="G356" s="16">
        <f t="shared" si="7"/>
        <v>-1000000</v>
      </c>
      <c r="H356" s="16"/>
      <c r="I356" s="16"/>
      <c r="J356" s="68"/>
      <c r="K356" s="68"/>
      <c r="L356" s="68"/>
      <c r="M356" s="52">
        <f t="shared" si="8"/>
        <v>-1000000</v>
      </c>
    </row>
    <row r="357" spans="1:13">
      <c r="A357" t="s">
        <v>64</v>
      </c>
      <c r="B357" t="s">
        <v>67</v>
      </c>
      <c r="C357" s="51">
        <v>136643473817</v>
      </c>
      <c r="D357" s="1">
        <v>-1000000</v>
      </c>
      <c r="E357" s="1">
        <v>17800467.59</v>
      </c>
      <c r="F357" s="27" t="s">
        <v>1283</v>
      </c>
      <c r="G357" s="16">
        <f t="shared" si="7"/>
        <v>-1000000</v>
      </c>
      <c r="H357" s="16"/>
      <c r="I357" s="16"/>
      <c r="J357" s="68"/>
      <c r="K357" s="68"/>
      <c r="L357" s="68"/>
      <c r="M357" s="52">
        <f t="shared" si="8"/>
        <v>-1000000</v>
      </c>
    </row>
    <row r="358" spans="1:13">
      <c r="A358" t="s">
        <v>64</v>
      </c>
      <c r="B358" t="s">
        <v>67</v>
      </c>
      <c r="C358" s="51">
        <v>136643589881</v>
      </c>
      <c r="D358" s="1">
        <v>-1000000</v>
      </c>
      <c r="E358" s="1">
        <v>16800467.59</v>
      </c>
      <c r="F358" s="27" t="s">
        <v>1283</v>
      </c>
      <c r="G358" s="16">
        <f t="shared" si="7"/>
        <v>-1000000</v>
      </c>
      <c r="H358" s="16"/>
      <c r="I358" s="16"/>
      <c r="J358" s="68"/>
      <c r="K358" s="68"/>
      <c r="L358" s="68"/>
      <c r="M358" s="52">
        <f t="shared" si="8"/>
        <v>-1000000</v>
      </c>
    </row>
    <row r="359" spans="1:13">
      <c r="A359" t="s">
        <v>64</v>
      </c>
      <c r="B359" t="s">
        <v>67</v>
      </c>
      <c r="C359" s="51">
        <v>136643619197</v>
      </c>
      <c r="D359" s="1">
        <v>-1000000</v>
      </c>
      <c r="E359" s="1">
        <v>20800467.59</v>
      </c>
      <c r="F359" s="27" t="s">
        <v>1283</v>
      </c>
      <c r="G359" s="16">
        <f t="shared" si="7"/>
        <v>-1000000</v>
      </c>
      <c r="H359" s="16"/>
      <c r="I359" s="16"/>
      <c r="J359" s="68"/>
      <c r="K359" s="68"/>
      <c r="L359" s="68"/>
      <c r="M359" s="52">
        <f t="shared" si="8"/>
        <v>-1000000</v>
      </c>
    </row>
    <row r="360" spans="1:13">
      <c r="A360" t="s">
        <v>81</v>
      </c>
      <c r="B360" t="s">
        <v>11</v>
      </c>
      <c r="C360" s="51">
        <v>137649717546</v>
      </c>
      <c r="D360" s="1">
        <v>9353.2800000000007</v>
      </c>
      <c r="E360" s="1">
        <v>12951149.35</v>
      </c>
      <c r="F360" t="s">
        <v>1280</v>
      </c>
      <c r="I360" s="16"/>
      <c r="J360" s="68"/>
      <c r="K360" s="68"/>
      <c r="L360" s="68"/>
      <c r="M360" s="74">
        <f t="shared" ref="M360:M423" si="9">+D360-I360-J360-K360-L360</f>
        <v>9353.2800000000007</v>
      </c>
    </row>
    <row r="361" spans="1:13">
      <c r="A361" t="s">
        <v>81</v>
      </c>
      <c r="B361" t="s">
        <v>11</v>
      </c>
      <c r="C361" s="51">
        <v>137035785219</v>
      </c>
      <c r="D361" s="1">
        <v>25721.52</v>
      </c>
      <c r="E361" s="1">
        <v>12976870.869999999</v>
      </c>
      <c r="F361" t="s">
        <v>1280</v>
      </c>
      <c r="I361" s="16"/>
      <c r="J361" s="68"/>
      <c r="K361" s="68"/>
      <c r="L361" s="68"/>
      <c r="M361" s="74">
        <f t="shared" si="9"/>
        <v>25721.52</v>
      </c>
    </row>
    <row r="362" spans="1:13">
      <c r="A362" t="s">
        <v>81</v>
      </c>
      <c r="B362" t="s">
        <v>11</v>
      </c>
      <c r="C362" s="51">
        <v>137670538274</v>
      </c>
      <c r="D362" s="1">
        <v>3778.8</v>
      </c>
      <c r="E362" s="1">
        <v>12980649.67</v>
      </c>
      <c r="F362" t="s">
        <v>1280</v>
      </c>
      <c r="I362" s="16"/>
      <c r="J362" s="68"/>
      <c r="K362" s="68"/>
      <c r="L362" s="68"/>
      <c r="M362" s="74">
        <f t="shared" si="9"/>
        <v>3778.8</v>
      </c>
    </row>
    <row r="363" spans="1:13">
      <c r="A363" t="s">
        <v>81</v>
      </c>
      <c r="B363" t="s">
        <v>11</v>
      </c>
      <c r="C363" s="51">
        <v>137671009436</v>
      </c>
      <c r="D363" s="1">
        <v>18339.580000000002</v>
      </c>
      <c r="E363" s="1">
        <v>12998989.25</v>
      </c>
      <c r="F363" t="s">
        <v>1280</v>
      </c>
      <c r="I363" s="16"/>
      <c r="J363" s="68"/>
      <c r="K363" s="68"/>
      <c r="L363" s="68"/>
      <c r="M363" s="74">
        <f t="shared" si="9"/>
        <v>18339.580000000002</v>
      </c>
    </row>
    <row r="364" spans="1:13">
      <c r="A364" t="s">
        <v>81</v>
      </c>
      <c r="B364" t="s">
        <v>11</v>
      </c>
      <c r="C364" s="51">
        <v>137040182521</v>
      </c>
      <c r="D364" s="1">
        <v>9548.14</v>
      </c>
      <c r="E364" s="1">
        <v>13008537.390000001</v>
      </c>
      <c r="F364" t="s">
        <v>1280</v>
      </c>
      <c r="I364" s="16"/>
      <c r="J364" s="68"/>
      <c r="K364" s="68"/>
      <c r="L364" s="68"/>
      <c r="M364" s="74">
        <f t="shared" si="9"/>
        <v>9548.14</v>
      </c>
    </row>
    <row r="365" spans="1:13">
      <c r="A365" t="s">
        <v>81</v>
      </c>
      <c r="B365" t="s">
        <v>11</v>
      </c>
      <c r="C365" s="51">
        <v>137673449798</v>
      </c>
      <c r="D365" s="1">
        <v>9069.1200000000008</v>
      </c>
      <c r="E365" s="1">
        <v>13017606.51</v>
      </c>
      <c r="F365" t="s">
        <v>1280</v>
      </c>
      <c r="I365" s="16"/>
      <c r="J365" s="68"/>
      <c r="K365" s="68"/>
      <c r="L365" s="68"/>
      <c r="M365" s="74">
        <f t="shared" si="9"/>
        <v>9069.1200000000008</v>
      </c>
    </row>
    <row r="366" spans="1:13">
      <c r="A366" t="s">
        <v>81</v>
      </c>
      <c r="B366" t="s">
        <v>11</v>
      </c>
      <c r="C366" s="51">
        <v>137042830597</v>
      </c>
      <c r="D366" s="1">
        <v>5265.82</v>
      </c>
      <c r="E366" s="1">
        <v>13022872.33</v>
      </c>
      <c r="F366" t="s">
        <v>1280</v>
      </c>
      <c r="I366" s="16"/>
      <c r="J366" s="68"/>
      <c r="K366" s="68"/>
      <c r="L366" s="68"/>
      <c r="M366" s="74">
        <f t="shared" si="9"/>
        <v>5265.82</v>
      </c>
    </row>
    <row r="367" spans="1:13">
      <c r="A367" t="s">
        <v>81</v>
      </c>
      <c r="B367" t="s">
        <v>11</v>
      </c>
      <c r="C367" s="51">
        <v>137676231468</v>
      </c>
      <c r="D367" s="1">
        <v>4676.6400000000003</v>
      </c>
      <c r="E367" s="1">
        <v>13027548.970000001</v>
      </c>
      <c r="F367" t="s">
        <v>1280</v>
      </c>
      <c r="I367" s="16"/>
      <c r="J367" s="68"/>
      <c r="K367" s="68"/>
      <c r="L367" s="68"/>
      <c r="M367" s="74">
        <f t="shared" si="9"/>
        <v>4676.6400000000003</v>
      </c>
    </row>
    <row r="368" spans="1:13">
      <c r="A368" t="s">
        <v>81</v>
      </c>
      <c r="B368" t="s">
        <v>11</v>
      </c>
      <c r="C368" s="51">
        <v>137677529088</v>
      </c>
      <c r="D368" s="1">
        <v>8897.42</v>
      </c>
      <c r="E368" s="1">
        <v>13036446.390000001</v>
      </c>
      <c r="F368" t="s">
        <v>1280</v>
      </c>
      <c r="I368" s="16"/>
      <c r="J368" s="68"/>
      <c r="K368" s="68"/>
      <c r="L368" s="68"/>
      <c r="M368" s="74">
        <f t="shared" si="9"/>
        <v>8897.42</v>
      </c>
    </row>
    <row r="369" spans="1:13">
      <c r="A369" t="s">
        <v>81</v>
      </c>
      <c r="B369" t="s">
        <v>11</v>
      </c>
      <c r="C369" s="51">
        <v>137044469955</v>
      </c>
      <c r="D369" s="1">
        <v>85887.34</v>
      </c>
      <c r="E369" s="1">
        <v>13122333.73</v>
      </c>
      <c r="F369" t="s">
        <v>1280</v>
      </c>
      <c r="I369" s="16"/>
      <c r="J369" s="68"/>
      <c r="K369" s="68"/>
      <c r="L369" s="68"/>
      <c r="M369" s="74">
        <f t="shared" si="9"/>
        <v>85887.34</v>
      </c>
    </row>
    <row r="370" spans="1:13">
      <c r="A370" t="s">
        <v>81</v>
      </c>
      <c r="B370" t="s">
        <v>11</v>
      </c>
      <c r="C370" s="51">
        <v>137044959869</v>
      </c>
      <c r="D370" s="1">
        <v>62160.34</v>
      </c>
      <c r="E370" s="1">
        <v>13184494.07</v>
      </c>
      <c r="F370" t="s">
        <v>1280</v>
      </c>
      <c r="I370" s="16"/>
      <c r="J370" s="68"/>
      <c r="K370" s="68"/>
      <c r="L370" s="68"/>
      <c r="M370" s="74">
        <f t="shared" si="9"/>
        <v>62160.34</v>
      </c>
    </row>
    <row r="371" spans="1:13">
      <c r="A371" t="s">
        <v>81</v>
      </c>
      <c r="B371" t="s">
        <v>11</v>
      </c>
      <c r="C371" s="51">
        <v>137678741226</v>
      </c>
      <c r="D371" s="1">
        <v>7557.6</v>
      </c>
      <c r="E371" s="1">
        <v>13192051.67</v>
      </c>
      <c r="F371" t="s">
        <v>1280</v>
      </c>
      <c r="I371" s="16"/>
      <c r="J371" s="68"/>
      <c r="K371" s="68"/>
      <c r="L371" s="68"/>
      <c r="M371" s="74">
        <f t="shared" si="9"/>
        <v>7557.6</v>
      </c>
    </row>
    <row r="372" spans="1:13">
      <c r="A372" t="s">
        <v>81</v>
      </c>
      <c r="B372" t="s">
        <v>11</v>
      </c>
      <c r="C372" s="51">
        <v>137680175054</v>
      </c>
      <c r="D372" s="1">
        <v>4357.92</v>
      </c>
      <c r="E372" s="1">
        <v>13196409.59</v>
      </c>
      <c r="F372" t="s">
        <v>1280</v>
      </c>
      <c r="I372" s="16"/>
      <c r="J372" s="68"/>
      <c r="K372" s="68"/>
      <c r="L372" s="68"/>
      <c r="M372" s="74">
        <f t="shared" si="9"/>
        <v>4357.92</v>
      </c>
    </row>
    <row r="373" spans="1:13">
      <c r="A373" t="s">
        <v>64</v>
      </c>
      <c r="B373" t="s">
        <v>68</v>
      </c>
      <c r="C373" s="51">
        <v>137371068462</v>
      </c>
      <c r="D373" s="1">
        <v>30739.62</v>
      </c>
      <c r="E373" s="1">
        <v>9631207.2100000009</v>
      </c>
      <c r="F373" t="s">
        <v>1280</v>
      </c>
      <c r="I373" s="16"/>
      <c r="J373" s="68"/>
      <c r="K373" s="68"/>
      <c r="L373" s="68"/>
      <c r="M373" s="74">
        <f t="shared" si="9"/>
        <v>30739.62</v>
      </c>
    </row>
    <row r="374" spans="1:13">
      <c r="A374" t="s">
        <v>64</v>
      </c>
      <c r="B374" t="s">
        <v>11</v>
      </c>
      <c r="C374" s="51">
        <v>136740668549</v>
      </c>
      <c r="D374" s="1">
        <v>4092.06</v>
      </c>
      <c r="E374" s="1">
        <v>9635299.2699999996</v>
      </c>
      <c r="F374" t="s">
        <v>1280</v>
      </c>
      <c r="I374" s="16"/>
      <c r="J374" s="68"/>
      <c r="K374" s="68"/>
      <c r="L374" s="68"/>
      <c r="M374" s="74">
        <f t="shared" si="9"/>
        <v>4092.06</v>
      </c>
    </row>
    <row r="375" spans="1:13">
      <c r="A375" t="s">
        <v>64</v>
      </c>
      <c r="B375" t="s">
        <v>11</v>
      </c>
      <c r="C375" s="51">
        <v>137373870662</v>
      </c>
      <c r="D375" s="1">
        <v>29380.17</v>
      </c>
      <c r="E375" s="1">
        <v>9664679.4399999995</v>
      </c>
      <c r="F375" t="s">
        <v>1280</v>
      </c>
      <c r="I375" s="16"/>
      <c r="J375" s="68"/>
      <c r="K375" s="68"/>
      <c r="L375" s="68"/>
      <c r="M375" s="74">
        <f t="shared" si="9"/>
        <v>29380.17</v>
      </c>
    </row>
    <row r="376" spans="1:13">
      <c r="A376" t="s">
        <v>64</v>
      </c>
      <c r="B376" t="s">
        <v>11</v>
      </c>
      <c r="C376" s="51">
        <v>136743127343</v>
      </c>
      <c r="D376" s="1">
        <v>9450.7099999999991</v>
      </c>
      <c r="E376" s="1">
        <v>9674130.1500000004</v>
      </c>
      <c r="F376" t="s">
        <v>1280</v>
      </c>
      <c r="I376" s="16"/>
      <c r="J376" s="68"/>
      <c r="K376" s="68"/>
      <c r="L376" s="68"/>
      <c r="M376" s="74">
        <f t="shared" si="9"/>
        <v>9450.7099999999991</v>
      </c>
    </row>
    <row r="377" spans="1:13">
      <c r="A377" t="s">
        <v>64</v>
      </c>
      <c r="B377" t="s">
        <v>11</v>
      </c>
      <c r="C377" s="51">
        <v>136743612291</v>
      </c>
      <c r="D377" s="1">
        <v>37168.559999999998</v>
      </c>
      <c r="E377" s="1">
        <v>9711298.7100000009</v>
      </c>
      <c r="F377" t="s">
        <v>1280</v>
      </c>
      <c r="I377" s="16"/>
      <c r="J377" s="68"/>
      <c r="K377" s="68"/>
      <c r="L377" s="68"/>
      <c r="M377" s="74">
        <f t="shared" si="9"/>
        <v>37168.559999999998</v>
      </c>
    </row>
    <row r="378" spans="1:13">
      <c r="A378" t="s">
        <v>64</v>
      </c>
      <c r="B378" t="s">
        <v>69</v>
      </c>
      <c r="C378" s="51">
        <v>137375738068</v>
      </c>
      <c r="D378" s="1">
        <v>37985.199999999997</v>
      </c>
      <c r="E378" s="1">
        <v>9749283.9100000001</v>
      </c>
      <c r="F378" t="s">
        <v>1280</v>
      </c>
      <c r="I378" s="16"/>
      <c r="J378" s="68"/>
      <c r="K378" s="68"/>
      <c r="L378" s="68"/>
      <c r="M378" s="74">
        <f t="shared" si="9"/>
        <v>37985.199999999997</v>
      </c>
    </row>
    <row r="379" spans="1:13">
      <c r="A379" t="s">
        <v>64</v>
      </c>
      <c r="B379" t="s">
        <v>70</v>
      </c>
      <c r="C379" s="51">
        <v>137380209516</v>
      </c>
      <c r="D379" s="1">
        <v>208331.2</v>
      </c>
      <c r="E379" s="1">
        <v>9957615.1099999994</v>
      </c>
      <c r="F379" t="s">
        <v>1280</v>
      </c>
      <c r="I379" s="16"/>
      <c r="J379" s="68"/>
      <c r="K379" s="68"/>
      <c r="L379" s="68"/>
      <c r="M379" s="74">
        <f t="shared" si="9"/>
        <v>208331.2</v>
      </c>
    </row>
    <row r="380" spans="1:13">
      <c r="A380" t="s">
        <v>64</v>
      </c>
      <c r="B380" t="s">
        <v>11</v>
      </c>
      <c r="C380" s="51">
        <v>136750250721</v>
      </c>
      <c r="D380" s="1">
        <v>25233.4</v>
      </c>
      <c r="E380" s="1">
        <v>9982848.5099999998</v>
      </c>
      <c r="F380" t="s">
        <v>1280</v>
      </c>
      <c r="I380" s="16"/>
      <c r="J380" s="68"/>
      <c r="K380" s="68"/>
      <c r="L380" s="68"/>
      <c r="M380" s="74">
        <f t="shared" si="9"/>
        <v>25233.4</v>
      </c>
    </row>
    <row r="381" spans="1:13">
      <c r="A381" t="s">
        <v>64</v>
      </c>
      <c r="B381" t="s">
        <v>71</v>
      </c>
      <c r="C381" s="51">
        <v>137381180222</v>
      </c>
      <c r="D381" s="1">
        <v>1266.83</v>
      </c>
      <c r="E381" s="1">
        <v>9984115.3399999999</v>
      </c>
      <c r="F381" t="s">
        <v>1280</v>
      </c>
      <c r="I381" s="16"/>
      <c r="J381" s="68"/>
      <c r="K381" s="68"/>
      <c r="L381" s="68"/>
      <c r="M381" s="74">
        <f t="shared" si="9"/>
        <v>1266.83</v>
      </c>
    </row>
    <row r="382" spans="1:13">
      <c r="A382" t="s">
        <v>64</v>
      </c>
      <c r="B382" t="s">
        <v>11</v>
      </c>
      <c r="C382" s="51">
        <v>137381613934</v>
      </c>
      <c r="D382" s="1">
        <v>40334.07</v>
      </c>
      <c r="E382" s="1">
        <v>10024449.41</v>
      </c>
      <c r="F382" t="s">
        <v>1280</v>
      </c>
      <c r="I382" s="16"/>
      <c r="J382" s="68"/>
      <c r="K382" s="68"/>
      <c r="L382" s="68"/>
      <c r="M382" s="74">
        <f t="shared" si="9"/>
        <v>40334.07</v>
      </c>
    </row>
    <row r="383" spans="1:13">
      <c r="A383" t="s">
        <v>64</v>
      </c>
      <c r="B383" t="s">
        <v>11</v>
      </c>
      <c r="C383" s="51">
        <v>136751051819</v>
      </c>
      <c r="D383" s="1">
        <v>119574.83</v>
      </c>
      <c r="E383" s="1">
        <v>10144024.24</v>
      </c>
      <c r="F383" t="s">
        <v>1280</v>
      </c>
      <c r="I383" s="16"/>
      <c r="J383" s="68"/>
      <c r="K383" s="68"/>
      <c r="L383" s="68"/>
      <c r="M383" s="74">
        <f t="shared" si="9"/>
        <v>119574.83</v>
      </c>
    </row>
    <row r="384" spans="1:13">
      <c r="A384" t="s">
        <v>64</v>
      </c>
      <c r="B384" t="s">
        <v>11</v>
      </c>
      <c r="C384" s="51">
        <v>136751554233</v>
      </c>
      <c r="D384" s="1">
        <v>55535.1</v>
      </c>
      <c r="E384" s="1">
        <v>10199559.34</v>
      </c>
      <c r="F384" t="s">
        <v>1280</v>
      </c>
      <c r="I384" s="16"/>
      <c r="J384" s="68"/>
      <c r="K384" s="68"/>
      <c r="L384" s="68"/>
      <c r="M384" s="74">
        <f t="shared" si="9"/>
        <v>55535.1</v>
      </c>
    </row>
    <row r="385" spans="1:13">
      <c r="A385" t="s">
        <v>64</v>
      </c>
      <c r="B385" t="s">
        <v>11</v>
      </c>
      <c r="C385" s="51">
        <v>137382793626</v>
      </c>
      <c r="D385" s="1">
        <v>58287.99</v>
      </c>
      <c r="E385" s="1">
        <v>10257847.33</v>
      </c>
      <c r="F385" t="s">
        <v>1280</v>
      </c>
      <c r="I385" s="16"/>
      <c r="J385" s="68"/>
      <c r="K385" s="68"/>
      <c r="L385" s="68"/>
      <c r="M385" s="74">
        <f t="shared" si="9"/>
        <v>58287.99</v>
      </c>
    </row>
    <row r="386" spans="1:13">
      <c r="A386" t="s">
        <v>64</v>
      </c>
      <c r="B386" t="s">
        <v>11</v>
      </c>
      <c r="C386" s="51">
        <v>136752846325</v>
      </c>
      <c r="D386" s="1">
        <v>49970.85</v>
      </c>
      <c r="E386" s="1">
        <v>10307818.18</v>
      </c>
      <c r="F386" t="s">
        <v>1280</v>
      </c>
      <c r="I386" s="16"/>
      <c r="J386" s="68"/>
      <c r="K386" s="68"/>
      <c r="L386" s="68"/>
      <c r="M386" s="74">
        <f t="shared" si="9"/>
        <v>49970.85</v>
      </c>
    </row>
    <row r="387" spans="1:13">
      <c r="A387" t="s">
        <v>64</v>
      </c>
      <c r="B387" t="s">
        <v>11</v>
      </c>
      <c r="C387" s="51">
        <v>136754028045</v>
      </c>
      <c r="D387" s="1">
        <v>37597.17</v>
      </c>
      <c r="E387" s="1">
        <v>10345415.35</v>
      </c>
      <c r="F387" t="s">
        <v>1280</v>
      </c>
      <c r="I387" s="16"/>
      <c r="J387" s="68"/>
      <c r="K387" s="68"/>
      <c r="L387" s="68"/>
      <c r="M387" s="74">
        <f t="shared" si="9"/>
        <v>37597.17</v>
      </c>
    </row>
    <row r="388" spans="1:13">
      <c r="A388" t="s">
        <v>64</v>
      </c>
      <c r="B388" t="s">
        <v>11</v>
      </c>
      <c r="C388" s="51">
        <v>136754376295</v>
      </c>
      <c r="D388" s="1">
        <v>9069.1200000000008</v>
      </c>
      <c r="E388" s="1">
        <v>10354484.470000001</v>
      </c>
      <c r="F388" t="s">
        <v>1280</v>
      </c>
      <c r="I388" s="16"/>
      <c r="J388" s="68"/>
      <c r="K388" s="68"/>
      <c r="L388" s="68"/>
      <c r="M388" s="74">
        <f t="shared" si="9"/>
        <v>9069.1200000000008</v>
      </c>
    </row>
    <row r="389" spans="1:13">
      <c r="A389" t="s">
        <v>64</v>
      </c>
      <c r="B389" t="s">
        <v>11</v>
      </c>
      <c r="C389" s="51">
        <v>136754357781</v>
      </c>
      <c r="D389" s="1">
        <v>36049.1</v>
      </c>
      <c r="E389" s="1">
        <v>10390533.57</v>
      </c>
      <c r="F389" t="s">
        <v>1280</v>
      </c>
      <c r="I389" s="16"/>
      <c r="J389" s="68"/>
      <c r="K389" s="68"/>
      <c r="L389" s="68"/>
      <c r="M389" s="74">
        <f t="shared" si="9"/>
        <v>36049.1</v>
      </c>
    </row>
    <row r="390" spans="1:13">
      <c r="A390" t="s">
        <v>64</v>
      </c>
      <c r="B390" t="s">
        <v>11</v>
      </c>
      <c r="C390" s="51">
        <v>136756050703</v>
      </c>
      <c r="D390" s="1">
        <v>39556.58</v>
      </c>
      <c r="E390" s="1">
        <v>10430090.15</v>
      </c>
      <c r="F390" t="s">
        <v>1280</v>
      </c>
      <c r="I390" s="16"/>
      <c r="J390" s="68"/>
      <c r="K390" s="68"/>
      <c r="L390" s="68"/>
      <c r="M390" s="74">
        <f t="shared" si="9"/>
        <v>39556.58</v>
      </c>
    </row>
    <row r="391" spans="1:13">
      <c r="A391" t="s">
        <v>64</v>
      </c>
      <c r="B391" t="s">
        <v>11</v>
      </c>
      <c r="C391" s="51">
        <v>137387028658</v>
      </c>
      <c r="D391" s="1">
        <v>52027.62</v>
      </c>
      <c r="E391" s="1">
        <v>10482117.77</v>
      </c>
      <c r="F391" t="s">
        <v>1280</v>
      </c>
      <c r="I391" s="16"/>
      <c r="J391" s="68"/>
      <c r="K391" s="68"/>
      <c r="L391" s="68"/>
      <c r="M391" s="74">
        <f t="shared" si="9"/>
        <v>52027.62</v>
      </c>
    </row>
    <row r="392" spans="1:13">
      <c r="A392" t="s">
        <v>72</v>
      </c>
      <c r="B392" t="s">
        <v>73</v>
      </c>
      <c r="C392" s="51">
        <v>137387927580</v>
      </c>
      <c r="D392" s="1">
        <v>26922.5</v>
      </c>
      <c r="E392" s="1">
        <v>10509040.27</v>
      </c>
      <c r="F392" t="s">
        <v>1280</v>
      </c>
      <c r="I392" s="16"/>
      <c r="J392" s="68"/>
      <c r="K392" s="68"/>
      <c r="L392" s="68"/>
      <c r="M392" s="74">
        <f t="shared" si="9"/>
        <v>26922.5</v>
      </c>
    </row>
    <row r="393" spans="1:13">
      <c r="A393" t="s">
        <v>72</v>
      </c>
      <c r="B393" t="s">
        <v>11</v>
      </c>
      <c r="C393" s="51">
        <v>137388651946</v>
      </c>
      <c r="D393" s="1">
        <v>22257.1</v>
      </c>
      <c r="E393" s="1">
        <v>10531297.369999999</v>
      </c>
      <c r="F393" t="s">
        <v>1280</v>
      </c>
      <c r="I393" s="16"/>
      <c r="J393" s="68"/>
      <c r="K393" s="68"/>
      <c r="L393" s="68"/>
      <c r="M393" s="74">
        <f t="shared" si="9"/>
        <v>22257.1</v>
      </c>
    </row>
    <row r="394" spans="1:13">
      <c r="A394" t="s">
        <v>72</v>
      </c>
      <c r="B394" t="s">
        <v>11</v>
      </c>
      <c r="C394" s="51">
        <v>136758090307</v>
      </c>
      <c r="D394" s="1">
        <v>8184.12</v>
      </c>
      <c r="E394" s="1">
        <v>10539481.49</v>
      </c>
      <c r="F394" t="s">
        <v>1280</v>
      </c>
      <c r="I394" s="16"/>
      <c r="J394" s="68"/>
      <c r="K394" s="68"/>
      <c r="L394" s="68"/>
      <c r="M394" s="74">
        <f t="shared" si="9"/>
        <v>8184.12</v>
      </c>
    </row>
    <row r="395" spans="1:13">
      <c r="A395" t="s">
        <v>72</v>
      </c>
      <c r="B395" t="s">
        <v>11</v>
      </c>
      <c r="C395" s="51">
        <v>137389146058</v>
      </c>
      <c r="D395" s="1">
        <v>46762.5</v>
      </c>
      <c r="E395" s="1">
        <v>10586243.99</v>
      </c>
      <c r="F395" t="s">
        <v>1280</v>
      </c>
      <c r="I395" s="16"/>
      <c r="J395" s="68"/>
      <c r="K395" s="68"/>
      <c r="L395" s="68"/>
      <c r="M395" s="74">
        <f t="shared" si="9"/>
        <v>46762.5</v>
      </c>
    </row>
    <row r="396" spans="1:13">
      <c r="A396" t="s">
        <v>72</v>
      </c>
      <c r="B396" t="s">
        <v>11</v>
      </c>
      <c r="C396" s="51">
        <v>136759600983</v>
      </c>
      <c r="D396" s="1">
        <v>65083.24</v>
      </c>
      <c r="E396" s="1">
        <v>10651327.23</v>
      </c>
      <c r="F396" t="s">
        <v>1280</v>
      </c>
      <c r="I396" s="16"/>
      <c r="J396" s="68"/>
      <c r="K396" s="68"/>
      <c r="L396" s="68"/>
      <c r="M396" s="74">
        <f t="shared" si="9"/>
        <v>65083.24</v>
      </c>
    </row>
    <row r="397" spans="1:13">
      <c r="A397" t="s">
        <v>72</v>
      </c>
      <c r="B397" t="s">
        <v>74</v>
      </c>
      <c r="C397" s="51">
        <v>136759583173</v>
      </c>
      <c r="D397" s="1">
        <v>3269.86</v>
      </c>
      <c r="E397" s="1">
        <v>10654597.09</v>
      </c>
      <c r="F397" t="s">
        <v>1280</v>
      </c>
      <c r="I397" s="16"/>
      <c r="J397" s="68"/>
      <c r="K397" s="68"/>
      <c r="L397" s="68"/>
      <c r="M397" s="74">
        <f t="shared" si="9"/>
        <v>3269.86</v>
      </c>
    </row>
    <row r="398" spans="1:13">
      <c r="A398" t="s">
        <v>72</v>
      </c>
      <c r="B398" t="s">
        <v>75</v>
      </c>
      <c r="C398" s="51">
        <v>136759889445</v>
      </c>
      <c r="D398" s="1">
        <v>8027.8</v>
      </c>
      <c r="E398" s="1">
        <v>10662624.890000001</v>
      </c>
      <c r="F398" t="s">
        <v>1280</v>
      </c>
      <c r="I398" s="16"/>
      <c r="J398" s="68"/>
      <c r="K398" s="68"/>
      <c r="L398" s="68"/>
      <c r="M398" s="74">
        <f t="shared" si="9"/>
        <v>8027.8</v>
      </c>
    </row>
    <row r="399" spans="1:13">
      <c r="A399" t="s">
        <v>72</v>
      </c>
      <c r="B399" t="s">
        <v>76</v>
      </c>
      <c r="C399" s="51">
        <v>137391748382</v>
      </c>
      <c r="D399" s="1">
        <v>23494.04</v>
      </c>
      <c r="E399" s="1">
        <v>10686118.93</v>
      </c>
      <c r="F399" t="s">
        <v>1280</v>
      </c>
      <c r="I399" s="16"/>
      <c r="J399" s="68"/>
      <c r="K399" s="68"/>
      <c r="L399" s="68"/>
      <c r="M399" s="74">
        <f t="shared" si="9"/>
        <v>23494.04</v>
      </c>
    </row>
    <row r="400" spans="1:13">
      <c r="A400" t="s">
        <v>72</v>
      </c>
      <c r="B400" t="s">
        <v>11</v>
      </c>
      <c r="C400" s="51">
        <v>137392666128</v>
      </c>
      <c r="D400" s="1">
        <v>15101.65</v>
      </c>
      <c r="E400" s="1">
        <v>10701220.58</v>
      </c>
      <c r="F400" t="s">
        <v>1280</v>
      </c>
      <c r="I400" s="16"/>
      <c r="J400" s="68"/>
      <c r="K400" s="68"/>
      <c r="L400" s="68"/>
      <c r="M400" s="74">
        <f t="shared" si="9"/>
        <v>15101.65</v>
      </c>
    </row>
    <row r="401" spans="1:13">
      <c r="A401" t="s">
        <v>72</v>
      </c>
      <c r="B401" t="s">
        <v>11</v>
      </c>
      <c r="C401" s="51">
        <v>136761788097</v>
      </c>
      <c r="D401" s="1">
        <v>16059.9</v>
      </c>
      <c r="E401" s="1">
        <v>10717280.48</v>
      </c>
      <c r="F401" t="s">
        <v>1280</v>
      </c>
      <c r="I401" s="16"/>
      <c r="J401" s="68"/>
      <c r="K401" s="68"/>
      <c r="L401" s="68"/>
      <c r="M401" s="74">
        <f t="shared" si="9"/>
        <v>16059.9</v>
      </c>
    </row>
    <row r="402" spans="1:13">
      <c r="A402" t="s">
        <v>72</v>
      </c>
      <c r="B402" t="s">
        <v>11</v>
      </c>
      <c r="C402" s="51">
        <v>136762890073</v>
      </c>
      <c r="D402" s="1">
        <v>26451.599999999999</v>
      </c>
      <c r="E402" s="1">
        <v>10743732.08</v>
      </c>
      <c r="F402" t="s">
        <v>1280</v>
      </c>
      <c r="I402" s="16"/>
      <c r="J402" s="68"/>
      <c r="K402" s="68"/>
      <c r="L402" s="68"/>
      <c r="M402" s="74">
        <f t="shared" si="9"/>
        <v>26451.599999999999</v>
      </c>
    </row>
    <row r="403" spans="1:13">
      <c r="A403" t="s">
        <v>72</v>
      </c>
      <c r="B403" t="s">
        <v>11</v>
      </c>
      <c r="C403" s="51">
        <v>136763077907</v>
      </c>
      <c r="D403" s="1">
        <v>19875.72</v>
      </c>
      <c r="E403" s="1">
        <v>10763607.800000001</v>
      </c>
      <c r="F403" t="s">
        <v>1280</v>
      </c>
      <c r="I403" s="16"/>
      <c r="J403" s="68"/>
      <c r="K403" s="68"/>
      <c r="L403" s="68"/>
      <c r="M403" s="74">
        <f t="shared" si="9"/>
        <v>19875.72</v>
      </c>
    </row>
    <row r="404" spans="1:13">
      <c r="A404" t="s">
        <v>72</v>
      </c>
      <c r="B404" t="s">
        <v>77</v>
      </c>
      <c r="C404" s="51">
        <v>136763226203</v>
      </c>
      <c r="D404">
        <v>998.58</v>
      </c>
      <c r="E404" s="1">
        <v>10764606.380000001</v>
      </c>
      <c r="F404" t="s">
        <v>1280</v>
      </c>
      <c r="I404" s="16"/>
      <c r="J404" s="68"/>
      <c r="K404" s="68"/>
      <c r="L404" s="68"/>
      <c r="M404" s="74">
        <f t="shared" si="9"/>
        <v>998.58</v>
      </c>
    </row>
    <row r="405" spans="1:13">
      <c r="A405" t="s">
        <v>72</v>
      </c>
      <c r="B405" t="s">
        <v>11</v>
      </c>
      <c r="C405" s="51">
        <v>136763246569</v>
      </c>
      <c r="D405" s="1">
        <v>18414.27</v>
      </c>
      <c r="E405" s="1">
        <v>10783020.65</v>
      </c>
      <c r="F405" t="s">
        <v>1280</v>
      </c>
      <c r="I405" s="16"/>
      <c r="J405" s="68"/>
      <c r="K405" s="68"/>
      <c r="L405" s="68"/>
      <c r="M405" s="74">
        <f t="shared" si="9"/>
        <v>18414.27</v>
      </c>
    </row>
    <row r="406" spans="1:13">
      <c r="A406" t="s">
        <v>72</v>
      </c>
      <c r="B406" t="s">
        <v>11</v>
      </c>
      <c r="C406" s="51">
        <v>136763251849</v>
      </c>
      <c r="D406" s="1">
        <v>89243.93</v>
      </c>
      <c r="E406" s="1">
        <v>10872264.58</v>
      </c>
      <c r="F406" t="s">
        <v>1280</v>
      </c>
      <c r="I406" s="16"/>
      <c r="J406" s="68"/>
      <c r="K406" s="68"/>
      <c r="L406" s="68"/>
      <c r="M406" s="74">
        <f t="shared" si="9"/>
        <v>89243.93</v>
      </c>
    </row>
    <row r="407" spans="1:13">
      <c r="A407" t="s">
        <v>72</v>
      </c>
      <c r="B407" t="s">
        <v>11</v>
      </c>
      <c r="C407" s="51">
        <v>137504808854</v>
      </c>
      <c r="D407" s="1">
        <v>16368.24</v>
      </c>
      <c r="E407" s="1">
        <v>10888632.82</v>
      </c>
      <c r="F407" t="s">
        <v>1280</v>
      </c>
      <c r="I407" s="16"/>
      <c r="J407" s="68"/>
      <c r="K407" s="68"/>
      <c r="L407" s="68"/>
      <c r="M407" s="74">
        <f t="shared" si="9"/>
        <v>16368.24</v>
      </c>
    </row>
    <row r="408" spans="1:13">
      <c r="A408" t="s">
        <v>72</v>
      </c>
      <c r="B408" t="s">
        <v>11</v>
      </c>
      <c r="C408" s="51">
        <v>137505117298</v>
      </c>
      <c r="D408" s="1">
        <v>9573.7199999999993</v>
      </c>
      <c r="E408" s="1">
        <v>10898206.539999999</v>
      </c>
      <c r="F408" t="s">
        <v>1280</v>
      </c>
      <c r="I408" s="16"/>
      <c r="J408" s="68"/>
      <c r="K408" s="68"/>
      <c r="L408" s="68"/>
      <c r="M408" s="74">
        <f t="shared" si="9"/>
        <v>9573.7199999999993</v>
      </c>
    </row>
    <row r="409" spans="1:13">
      <c r="A409" t="s">
        <v>72</v>
      </c>
      <c r="B409" t="s">
        <v>11</v>
      </c>
      <c r="C409" s="51">
        <v>137509141570</v>
      </c>
      <c r="D409" s="1">
        <v>8573.84</v>
      </c>
      <c r="E409" s="1">
        <v>10906780.380000001</v>
      </c>
      <c r="F409" t="s">
        <v>1280</v>
      </c>
      <c r="I409" s="16"/>
      <c r="J409" s="68"/>
      <c r="K409" s="68"/>
      <c r="L409" s="68"/>
      <c r="M409" s="74">
        <f t="shared" si="9"/>
        <v>8573.84</v>
      </c>
    </row>
    <row r="410" spans="1:13">
      <c r="A410" t="s">
        <v>72</v>
      </c>
      <c r="B410" t="s">
        <v>11</v>
      </c>
      <c r="C410" s="51">
        <v>137514965726</v>
      </c>
      <c r="D410" s="1">
        <v>13335.48</v>
      </c>
      <c r="E410" s="1">
        <v>10920115.859999999</v>
      </c>
      <c r="F410" t="s">
        <v>1280</v>
      </c>
      <c r="I410" s="16"/>
      <c r="J410" s="68"/>
      <c r="K410" s="68"/>
      <c r="L410" s="68"/>
      <c r="M410" s="74">
        <f t="shared" si="9"/>
        <v>13335.48</v>
      </c>
    </row>
    <row r="411" spans="1:13">
      <c r="A411" t="s">
        <v>72</v>
      </c>
      <c r="B411" t="s">
        <v>11</v>
      </c>
      <c r="C411" s="51">
        <v>137516316134</v>
      </c>
      <c r="D411" s="1">
        <v>24604.09</v>
      </c>
      <c r="E411" s="1">
        <v>10944719.949999999</v>
      </c>
      <c r="F411" t="s">
        <v>1280</v>
      </c>
      <c r="I411" s="16"/>
      <c r="J411" s="68"/>
      <c r="K411" s="68"/>
      <c r="L411" s="68"/>
      <c r="M411" s="74">
        <f t="shared" si="9"/>
        <v>24604.09</v>
      </c>
    </row>
    <row r="412" spans="1:13">
      <c r="A412" t="s">
        <v>72</v>
      </c>
      <c r="B412" t="s">
        <v>11</v>
      </c>
      <c r="C412" s="51">
        <v>137517341310</v>
      </c>
      <c r="D412" s="1">
        <v>13328.12</v>
      </c>
      <c r="E412" s="1">
        <v>10958048.07</v>
      </c>
      <c r="F412" t="s">
        <v>1280</v>
      </c>
      <c r="I412" s="16"/>
      <c r="J412" s="68"/>
      <c r="K412" s="68"/>
      <c r="L412" s="68"/>
      <c r="M412" s="74">
        <f t="shared" si="9"/>
        <v>13328.12</v>
      </c>
    </row>
    <row r="413" spans="1:13">
      <c r="A413" t="s">
        <v>72</v>
      </c>
      <c r="B413" t="s">
        <v>11</v>
      </c>
      <c r="C413" s="51">
        <v>136888436805</v>
      </c>
      <c r="D413" s="1">
        <v>25285.01</v>
      </c>
      <c r="E413" s="1">
        <v>10983333.08</v>
      </c>
      <c r="F413" t="s">
        <v>1280</v>
      </c>
      <c r="I413" s="16"/>
      <c r="J413" s="68"/>
      <c r="K413" s="68"/>
      <c r="L413" s="68"/>
      <c r="M413" s="74">
        <f t="shared" si="9"/>
        <v>25285.01</v>
      </c>
    </row>
    <row r="414" spans="1:13">
      <c r="A414" t="s">
        <v>72</v>
      </c>
      <c r="B414" t="s">
        <v>11</v>
      </c>
      <c r="C414" s="51">
        <v>137521468712</v>
      </c>
      <c r="D414" s="1">
        <v>20362.87</v>
      </c>
      <c r="E414" s="1">
        <v>11003695.949999999</v>
      </c>
      <c r="F414" t="s">
        <v>1280</v>
      </c>
      <c r="I414" s="16"/>
      <c r="J414" s="68"/>
      <c r="K414" s="68"/>
      <c r="L414" s="68"/>
      <c r="M414" s="74">
        <f t="shared" si="9"/>
        <v>20362.87</v>
      </c>
    </row>
    <row r="415" spans="1:13">
      <c r="A415" t="s">
        <v>72</v>
      </c>
      <c r="B415" t="s">
        <v>78</v>
      </c>
      <c r="C415" s="51">
        <v>136888633383</v>
      </c>
      <c r="D415" s="1">
        <v>2046.11</v>
      </c>
      <c r="E415" s="1">
        <v>11005742.060000001</v>
      </c>
      <c r="F415" t="s">
        <v>1280</v>
      </c>
      <c r="I415" s="16"/>
      <c r="J415" s="68"/>
      <c r="K415" s="68"/>
      <c r="L415" s="68"/>
      <c r="M415" s="74">
        <f t="shared" si="9"/>
        <v>2046.11</v>
      </c>
    </row>
    <row r="416" spans="1:13">
      <c r="A416" t="s">
        <v>72</v>
      </c>
      <c r="B416" t="s">
        <v>11</v>
      </c>
      <c r="C416" s="51">
        <v>137523926554</v>
      </c>
      <c r="D416" s="1">
        <v>28546.99</v>
      </c>
      <c r="E416" s="1">
        <v>11034289.050000001</v>
      </c>
      <c r="F416" t="s">
        <v>1280</v>
      </c>
      <c r="I416" s="16"/>
      <c r="J416" s="68"/>
      <c r="K416" s="68"/>
      <c r="L416" s="68"/>
      <c r="M416" s="74">
        <f t="shared" si="9"/>
        <v>28546.99</v>
      </c>
    </row>
    <row r="417" spans="1:13">
      <c r="A417" t="s">
        <v>72</v>
      </c>
      <c r="B417" t="s">
        <v>11</v>
      </c>
      <c r="C417" s="51">
        <v>136890753563</v>
      </c>
      <c r="D417" s="1">
        <v>20972.34</v>
      </c>
      <c r="E417" s="1">
        <v>11055261.390000001</v>
      </c>
      <c r="F417" t="s">
        <v>1280</v>
      </c>
      <c r="I417" s="16"/>
      <c r="J417" s="68"/>
      <c r="K417" s="68"/>
      <c r="L417" s="68"/>
      <c r="M417" s="74">
        <f t="shared" si="9"/>
        <v>20972.34</v>
      </c>
    </row>
    <row r="418" spans="1:13">
      <c r="A418" t="s">
        <v>72</v>
      </c>
      <c r="B418" t="s">
        <v>11</v>
      </c>
      <c r="C418" s="51">
        <v>136893462517</v>
      </c>
      <c r="D418" s="1">
        <v>11714.28</v>
      </c>
      <c r="E418" s="1">
        <v>11066975.67</v>
      </c>
      <c r="F418" t="s">
        <v>1280</v>
      </c>
      <c r="I418" s="16"/>
      <c r="J418" s="68"/>
      <c r="K418" s="68"/>
      <c r="L418" s="68"/>
      <c r="M418" s="74">
        <f t="shared" si="9"/>
        <v>11714.28</v>
      </c>
    </row>
    <row r="419" spans="1:13">
      <c r="A419" t="s">
        <v>72</v>
      </c>
      <c r="B419" t="s">
        <v>11</v>
      </c>
      <c r="C419" s="51">
        <v>136893538091</v>
      </c>
      <c r="D419" s="1">
        <v>10425.01</v>
      </c>
      <c r="E419" s="1">
        <v>11077400.68</v>
      </c>
      <c r="F419" t="s">
        <v>1280</v>
      </c>
      <c r="I419" s="16"/>
      <c r="J419" s="68"/>
      <c r="K419" s="68"/>
      <c r="L419" s="68"/>
      <c r="M419" s="74">
        <f t="shared" si="9"/>
        <v>10425.01</v>
      </c>
    </row>
    <row r="420" spans="1:13">
      <c r="A420" t="s">
        <v>72</v>
      </c>
      <c r="B420" t="s">
        <v>11</v>
      </c>
      <c r="C420" s="51">
        <v>136894464427</v>
      </c>
      <c r="D420" s="1">
        <v>4676.6400000000003</v>
      </c>
      <c r="E420" s="1">
        <v>11082077.32</v>
      </c>
      <c r="F420" t="s">
        <v>1280</v>
      </c>
      <c r="I420" s="16"/>
      <c r="J420" s="68"/>
      <c r="K420" s="68"/>
      <c r="L420" s="68"/>
      <c r="M420" s="74">
        <f t="shared" si="9"/>
        <v>4676.6400000000003</v>
      </c>
    </row>
    <row r="421" spans="1:13">
      <c r="A421" t="s">
        <v>72</v>
      </c>
      <c r="B421" t="s">
        <v>11</v>
      </c>
      <c r="C421" s="51">
        <v>136894824195</v>
      </c>
      <c r="D421" s="1">
        <v>33418.49</v>
      </c>
      <c r="E421" s="1">
        <v>11115495.810000001</v>
      </c>
      <c r="F421" t="s">
        <v>1280</v>
      </c>
      <c r="I421" s="16"/>
      <c r="J421" s="68"/>
      <c r="K421" s="68"/>
      <c r="L421" s="68"/>
      <c r="M421" s="74">
        <f t="shared" si="9"/>
        <v>33418.49</v>
      </c>
    </row>
    <row r="422" spans="1:13">
      <c r="A422" t="s">
        <v>72</v>
      </c>
      <c r="B422" t="s">
        <v>11</v>
      </c>
      <c r="C422" s="51">
        <v>137530279132</v>
      </c>
      <c r="D422" s="1">
        <v>4092.06</v>
      </c>
      <c r="E422" s="1">
        <v>11119587.869999999</v>
      </c>
      <c r="F422" t="s">
        <v>1280</v>
      </c>
      <c r="I422" s="16"/>
      <c r="J422" s="68"/>
      <c r="K422" s="68"/>
      <c r="L422" s="68"/>
      <c r="M422" s="74">
        <f t="shared" si="9"/>
        <v>4092.06</v>
      </c>
    </row>
    <row r="423" spans="1:13">
      <c r="A423" t="s">
        <v>72</v>
      </c>
      <c r="B423" t="s">
        <v>11</v>
      </c>
      <c r="C423" s="51">
        <v>136898510177</v>
      </c>
      <c r="D423" s="1">
        <v>34292.61</v>
      </c>
      <c r="E423" s="1">
        <v>11153880.48</v>
      </c>
      <c r="F423" t="s">
        <v>1280</v>
      </c>
      <c r="I423" s="16"/>
      <c r="J423" s="68"/>
      <c r="K423" s="68"/>
      <c r="L423" s="68"/>
      <c r="M423" s="74">
        <f t="shared" si="9"/>
        <v>34292.61</v>
      </c>
    </row>
    <row r="424" spans="1:13">
      <c r="A424" t="s">
        <v>72</v>
      </c>
      <c r="B424" t="s">
        <v>11</v>
      </c>
      <c r="C424" s="51">
        <v>136898457817</v>
      </c>
      <c r="D424" s="1">
        <v>4505.28</v>
      </c>
      <c r="E424" s="1">
        <v>11158385.76</v>
      </c>
      <c r="F424" t="s">
        <v>1280</v>
      </c>
      <c r="I424" s="16"/>
      <c r="J424" s="68"/>
      <c r="K424" s="68"/>
      <c r="L424" s="68"/>
      <c r="M424" s="74">
        <f t="shared" ref="M424:M487" si="10">+D424-I424-J424-K424-L424</f>
        <v>4505.28</v>
      </c>
    </row>
    <row r="425" spans="1:13">
      <c r="A425" t="s">
        <v>72</v>
      </c>
      <c r="B425" t="s">
        <v>11</v>
      </c>
      <c r="C425" s="51">
        <v>137531931628</v>
      </c>
      <c r="D425" s="1">
        <v>7014.96</v>
      </c>
      <c r="E425" s="1">
        <v>11165400.720000001</v>
      </c>
      <c r="F425" t="s">
        <v>1280</v>
      </c>
      <c r="I425" s="16"/>
      <c r="J425" s="68"/>
      <c r="K425" s="68"/>
      <c r="L425" s="68"/>
      <c r="M425" s="74">
        <f t="shared" si="10"/>
        <v>7014.96</v>
      </c>
    </row>
    <row r="426" spans="1:13">
      <c r="A426" t="s">
        <v>72</v>
      </c>
      <c r="B426" t="s">
        <v>11</v>
      </c>
      <c r="C426" s="51">
        <v>137533326606</v>
      </c>
      <c r="D426" s="1">
        <v>16160.62</v>
      </c>
      <c r="E426" s="1">
        <v>11181561.34</v>
      </c>
      <c r="F426" t="s">
        <v>1280</v>
      </c>
      <c r="I426" s="16"/>
      <c r="J426" s="68"/>
      <c r="K426" s="68"/>
      <c r="L426" s="68"/>
      <c r="M426" s="74">
        <f t="shared" si="10"/>
        <v>16160.62</v>
      </c>
    </row>
    <row r="427" spans="1:13">
      <c r="A427" t="s">
        <v>72</v>
      </c>
      <c r="B427" t="s">
        <v>11</v>
      </c>
      <c r="C427" s="51">
        <v>136900364237</v>
      </c>
      <c r="D427" s="1">
        <v>9353.2800000000007</v>
      </c>
      <c r="E427" s="1">
        <v>11190914.619999999</v>
      </c>
      <c r="F427" t="s">
        <v>1280</v>
      </c>
      <c r="I427" s="16"/>
      <c r="J427" s="68"/>
      <c r="K427" s="68"/>
      <c r="L427" s="68"/>
      <c r="M427" s="74">
        <f t="shared" si="10"/>
        <v>9353.2800000000007</v>
      </c>
    </row>
    <row r="428" spans="1:13">
      <c r="A428" t="s">
        <v>72</v>
      </c>
      <c r="B428" t="s">
        <v>11</v>
      </c>
      <c r="C428" s="51">
        <v>137533431786</v>
      </c>
      <c r="D428" s="1">
        <v>4676.6400000000003</v>
      </c>
      <c r="E428" s="1">
        <v>11195591.26</v>
      </c>
      <c r="F428" t="s">
        <v>1280</v>
      </c>
      <c r="I428" s="16"/>
      <c r="J428" s="68"/>
      <c r="K428" s="68"/>
      <c r="L428" s="68"/>
      <c r="M428" s="74">
        <f t="shared" si="10"/>
        <v>4676.6400000000003</v>
      </c>
    </row>
    <row r="429" spans="1:13">
      <c r="A429" t="s">
        <v>72</v>
      </c>
      <c r="B429" t="s">
        <v>11</v>
      </c>
      <c r="C429" s="51">
        <v>136901010631</v>
      </c>
      <c r="D429" s="1">
        <v>10717.3</v>
      </c>
      <c r="E429" s="1">
        <v>11206308.560000001</v>
      </c>
      <c r="F429" t="s">
        <v>1280</v>
      </c>
      <c r="I429" s="16"/>
      <c r="J429" s="68"/>
      <c r="K429" s="68"/>
      <c r="L429" s="68"/>
      <c r="M429" s="74">
        <f t="shared" si="10"/>
        <v>10717.3</v>
      </c>
    </row>
    <row r="430" spans="1:13">
      <c r="A430" t="s">
        <v>72</v>
      </c>
      <c r="B430" t="s">
        <v>11</v>
      </c>
      <c r="C430" s="51">
        <v>136901033757</v>
      </c>
      <c r="D430" s="1">
        <v>4357.92</v>
      </c>
      <c r="E430" s="1">
        <v>11210666.48</v>
      </c>
      <c r="F430" t="s">
        <v>1280</v>
      </c>
      <c r="I430" s="16"/>
      <c r="J430" s="68"/>
      <c r="K430" s="68"/>
      <c r="L430" s="68"/>
      <c r="M430" s="74">
        <f t="shared" si="10"/>
        <v>4357.92</v>
      </c>
    </row>
    <row r="431" spans="1:13">
      <c r="A431" t="s">
        <v>72</v>
      </c>
      <c r="B431" t="s">
        <v>11</v>
      </c>
      <c r="C431" s="51">
        <v>136901169545</v>
      </c>
      <c r="D431" s="1">
        <v>9255.85</v>
      </c>
      <c r="E431" s="1">
        <v>11219922.33</v>
      </c>
      <c r="F431" t="s">
        <v>1280</v>
      </c>
      <c r="I431" s="16"/>
      <c r="J431" s="68"/>
      <c r="K431" s="68"/>
      <c r="L431" s="68"/>
      <c r="M431" s="74">
        <f t="shared" si="10"/>
        <v>9255.85</v>
      </c>
    </row>
    <row r="432" spans="1:13">
      <c r="A432" t="s">
        <v>72</v>
      </c>
      <c r="B432" t="s">
        <v>11</v>
      </c>
      <c r="C432" s="51">
        <v>136901524811</v>
      </c>
      <c r="D432" s="1">
        <v>13250.48</v>
      </c>
      <c r="E432" s="1">
        <v>11233172.810000001</v>
      </c>
      <c r="F432" t="s">
        <v>1280</v>
      </c>
      <c r="I432" s="16"/>
      <c r="J432" s="68"/>
      <c r="K432" s="68"/>
      <c r="L432" s="68"/>
      <c r="M432" s="74">
        <f t="shared" si="10"/>
        <v>13250.48</v>
      </c>
    </row>
    <row r="433" spans="1:13">
      <c r="A433" t="s">
        <v>72</v>
      </c>
      <c r="B433" t="s">
        <v>11</v>
      </c>
      <c r="C433" s="51">
        <v>137534515306</v>
      </c>
      <c r="D433" s="1">
        <v>4286.92</v>
      </c>
      <c r="E433" s="1">
        <v>11237459.73</v>
      </c>
      <c r="F433" t="s">
        <v>1280</v>
      </c>
      <c r="I433" s="16"/>
      <c r="J433" s="68"/>
      <c r="K433" s="68"/>
      <c r="L433" s="68"/>
      <c r="M433" s="74">
        <f t="shared" si="10"/>
        <v>4286.92</v>
      </c>
    </row>
    <row r="434" spans="1:13">
      <c r="A434" t="s">
        <v>72</v>
      </c>
      <c r="B434" t="s">
        <v>11</v>
      </c>
      <c r="C434" s="51">
        <v>136901930449</v>
      </c>
      <c r="D434" s="1">
        <v>4774.07</v>
      </c>
      <c r="E434" s="1">
        <v>11242233.800000001</v>
      </c>
      <c r="F434" t="s">
        <v>1280</v>
      </c>
      <c r="I434" s="16"/>
      <c r="J434" s="68"/>
      <c r="K434" s="68"/>
      <c r="L434" s="68"/>
      <c r="M434" s="74">
        <f t="shared" si="10"/>
        <v>4774.07</v>
      </c>
    </row>
    <row r="435" spans="1:13">
      <c r="A435" t="s">
        <v>72</v>
      </c>
      <c r="B435" t="s">
        <v>11</v>
      </c>
      <c r="C435" s="51">
        <v>136901875985</v>
      </c>
      <c r="D435" s="1">
        <v>10717.3</v>
      </c>
      <c r="E435" s="1">
        <v>11252951.1</v>
      </c>
      <c r="F435" t="s">
        <v>1280</v>
      </c>
      <c r="I435" s="16"/>
      <c r="J435" s="68"/>
      <c r="K435" s="68"/>
      <c r="L435" s="68"/>
      <c r="M435" s="74">
        <f t="shared" si="10"/>
        <v>10717.3</v>
      </c>
    </row>
    <row r="436" spans="1:13">
      <c r="A436" t="s">
        <v>72</v>
      </c>
      <c r="B436" t="s">
        <v>79</v>
      </c>
      <c r="C436" s="51">
        <v>136902088409</v>
      </c>
      <c r="D436" s="1">
        <v>1076.9000000000001</v>
      </c>
      <c r="E436" s="1">
        <v>11254028</v>
      </c>
      <c r="F436" t="s">
        <v>1280</v>
      </c>
      <c r="I436" s="16"/>
      <c r="J436" s="68"/>
      <c r="K436" s="68"/>
      <c r="L436" s="68"/>
      <c r="M436" s="74">
        <f t="shared" si="10"/>
        <v>1076.9000000000001</v>
      </c>
    </row>
    <row r="437" spans="1:13">
      <c r="A437" t="s">
        <v>72</v>
      </c>
      <c r="B437" t="s">
        <v>11</v>
      </c>
      <c r="C437" s="51">
        <v>136902227587</v>
      </c>
      <c r="D437" s="1">
        <v>8534.26</v>
      </c>
      <c r="E437" s="1">
        <v>11262562.26</v>
      </c>
      <c r="F437" t="s">
        <v>1280</v>
      </c>
      <c r="I437" s="16"/>
      <c r="J437" s="68"/>
      <c r="K437" s="68"/>
      <c r="L437" s="68"/>
      <c r="M437" s="74">
        <f t="shared" si="10"/>
        <v>8534.26</v>
      </c>
    </row>
    <row r="438" spans="1:13">
      <c r="A438" t="s">
        <v>72</v>
      </c>
      <c r="B438" t="s">
        <v>11</v>
      </c>
      <c r="C438" s="51">
        <v>137535694252</v>
      </c>
      <c r="D438" s="1">
        <v>4676.6400000000003</v>
      </c>
      <c r="E438" s="1">
        <v>11267238.9</v>
      </c>
      <c r="F438" t="s">
        <v>1280</v>
      </c>
      <c r="I438" s="16"/>
      <c r="J438" s="68"/>
      <c r="K438" s="68"/>
      <c r="L438" s="68"/>
      <c r="M438" s="74">
        <f t="shared" si="10"/>
        <v>4676.6400000000003</v>
      </c>
    </row>
    <row r="439" spans="1:13">
      <c r="A439" t="s">
        <v>72</v>
      </c>
      <c r="B439" t="s">
        <v>11</v>
      </c>
      <c r="C439" s="51">
        <v>136902790397</v>
      </c>
      <c r="D439" s="1">
        <v>4676.6400000000003</v>
      </c>
      <c r="E439" s="1">
        <v>11271915.539999999</v>
      </c>
      <c r="F439" t="s">
        <v>1280</v>
      </c>
      <c r="I439" s="16"/>
      <c r="J439" s="68"/>
      <c r="K439" s="68"/>
      <c r="L439" s="68"/>
      <c r="M439" s="74">
        <f t="shared" si="10"/>
        <v>4676.6400000000003</v>
      </c>
    </row>
    <row r="440" spans="1:13">
      <c r="A440" t="s">
        <v>72</v>
      </c>
      <c r="B440" t="s">
        <v>11</v>
      </c>
      <c r="C440" s="51">
        <v>136903070923</v>
      </c>
      <c r="D440" s="1">
        <v>4676.6400000000003</v>
      </c>
      <c r="E440" s="1">
        <v>11276592.18</v>
      </c>
      <c r="F440" t="s">
        <v>1280</v>
      </c>
      <c r="I440" s="16"/>
      <c r="J440" s="68"/>
      <c r="K440" s="68"/>
      <c r="L440" s="68"/>
      <c r="M440" s="74">
        <f t="shared" si="10"/>
        <v>4676.6400000000003</v>
      </c>
    </row>
    <row r="441" spans="1:13">
      <c r="A441" t="s">
        <v>72</v>
      </c>
      <c r="B441" t="s">
        <v>11</v>
      </c>
      <c r="C441" s="51">
        <v>137536620552</v>
      </c>
      <c r="D441" s="1">
        <v>36731.11</v>
      </c>
      <c r="E441" s="1">
        <v>11313323.289999999</v>
      </c>
      <c r="F441" t="s">
        <v>1280</v>
      </c>
      <c r="I441" s="16"/>
      <c r="J441" s="68"/>
      <c r="K441" s="68"/>
      <c r="L441" s="68"/>
      <c r="M441" s="74">
        <f t="shared" si="10"/>
        <v>36731.11</v>
      </c>
    </row>
    <row r="442" spans="1:13">
      <c r="A442" t="s">
        <v>72</v>
      </c>
      <c r="B442" t="s">
        <v>11</v>
      </c>
      <c r="C442" s="51">
        <v>137536970538</v>
      </c>
      <c r="D442" s="1">
        <v>5631.6</v>
      </c>
      <c r="E442" s="1">
        <v>11318954.890000001</v>
      </c>
      <c r="F442" t="s">
        <v>1280</v>
      </c>
      <c r="I442" s="16"/>
      <c r="J442" s="68"/>
      <c r="K442" s="68"/>
      <c r="L442" s="68"/>
      <c r="M442" s="74">
        <f t="shared" si="10"/>
        <v>5631.6</v>
      </c>
    </row>
    <row r="443" spans="1:13">
      <c r="A443" t="s">
        <v>72</v>
      </c>
      <c r="B443" t="s">
        <v>11</v>
      </c>
      <c r="C443" s="51">
        <v>136903665553</v>
      </c>
      <c r="D443" s="1">
        <v>37851.550000000003</v>
      </c>
      <c r="E443" s="1">
        <v>11356806.439999999</v>
      </c>
      <c r="F443" t="s">
        <v>1280</v>
      </c>
      <c r="I443" s="16"/>
      <c r="J443" s="68"/>
      <c r="K443" s="68"/>
      <c r="L443" s="68"/>
      <c r="M443" s="74">
        <f t="shared" si="10"/>
        <v>37851.550000000003</v>
      </c>
    </row>
    <row r="444" spans="1:13">
      <c r="A444" t="s">
        <v>72</v>
      </c>
      <c r="B444" t="s">
        <v>11</v>
      </c>
      <c r="C444" s="51">
        <v>136903852707</v>
      </c>
      <c r="D444" s="1">
        <v>67109.899999999994</v>
      </c>
      <c r="E444" s="1">
        <v>11423916.34</v>
      </c>
      <c r="F444" t="s">
        <v>1280</v>
      </c>
      <c r="I444" s="16"/>
      <c r="J444" s="68"/>
      <c r="K444" s="68"/>
      <c r="L444" s="68"/>
      <c r="M444" s="74">
        <f t="shared" si="10"/>
        <v>67109.899999999994</v>
      </c>
    </row>
    <row r="445" spans="1:13">
      <c r="A445" t="s">
        <v>72</v>
      </c>
      <c r="B445" t="s">
        <v>11</v>
      </c>
      <c r="C445" s="51">
        <v>136903944835</v>
      </c>
      <c r="D445" s="1">
        <v>50858.46</v>
      </c>
      <c r="E445" s="1">
        <v>11474774.800000001</v>
      </c>
      <c r="F445" t="s">
        <v>1280</v>
      </c>
      <c r="I445" s="16"/>
      <c r="J445" s="68"/>
      <c r="K445" s="68"/>
      <c r="L445" s="68"/>
      <c r="M445" s="74">
        <f t="shared" si="10"/>
        <v>50858.46</v>
      </c>
    </row>
    <row r="446" spans="1:13">
      <c r="A446" t="s">
        <v>72</v>
      </c>
      <c r="B446" t="s">
        <v>11</v>
      </c>
      <c r="C446" s="51">
        <v>136903887707</v>
      </c>
      <c r="D446" s="1">
        <v>4676.6400000000003</v>
      </c>
      <c r="E446" s="1">
        <v>11479451.439999999</v>
      </c>
      <c r="F446" t="s">
        <v>1280</v>
      </c>
      <c r="I446" s="16"/>
      <c r="J446" s="68"/>
      <c r="K446" s="68"/>
      <c r="L446" s="68"/>
      <c r="M446" s="74">
        <f t="shared" si="10"/>
        <v>4676.6400000000003</v>
      </c>
    </row>
    <row r="447" spans="1:13">
      <c r="A447" t="s">
        <v>72</v>
      </c>
      <c r="B447" t="s">
        <v>11</v>
      </c>
      <c r="C447" s="51">
        <v>136904114823</v>
      </c>
      <c r="D447" s="1">
        <v>4092.06</v>
      </c>
      <c r="E447" s="1">
        <v>11483543.5</v>
      </c>
      <c r="F447" t="s">
        <v>1280</v>
      </c>
      <c r="I447" s="16"/>
      <c r="J447" s="68"/>
      <c r="K447" s="68"/>
      <c r="L447" s="68"/>
      <c r="M447" s="74">
        <f t="shared" si="10"/>
        <v>4092.06</v>
      </c>
    </row>
    <row r="448" spans="1:13">
      <c r="A448" t="s">
        <v>72</v>
      </c>
      <c r="B448" t="s">
        <v>11</v>
      </c>
      <c r="C448" s="51">
        <v>136904069765</v>
      </c>
      <c r="D448" s="1">
        <v>58360.57</v>
      </c>
      <c r="E448" s="1">
        <v>11541904.07</v>
      </c>
      <c r="F448" t="s">
        <v>1280</v>
      </c>
      <c r="I448" s="16"/>
      <c r="J448" s="68"/>
      <c r="K448" s="68"/>
      <c r="L448" s="68"/>
      <c r="M448" s="74">
        <f t="shared" si="10"/>
        <v>58360.57</v>
      </c>
    </row>
    <row r="449" spans="1:13">
      <c r="A449" t="s">
        <v>72</v>
      </c>
      <c r="B449" t="s">
        <v>11</v>
      </c>
      <c r="C449" s="51">
        <v>136904745081</v>
      </c>
      <c r="D449" s="1">
        <v>4676.6400000000003</v>
      </c>
      <c r="E449" s="1">
        <v>11546580.710000001</v>
      </c>
      <c r="F449" t="s">
        <v>1280</v>
      </c>
      <c r="I449" s="16"/>
      <c r="J449" s="68"/>
      <c r="K449" s="68"/>
      <c r="L449" s="68"/>
      <c r="M449" s="74">
        <f t="shared" si="10"/>
        <v>4676.6400000000003</v>
      </c>
    </row>
    <row r="450" spans="1:13">
      <c r="A450" t="s">
        <v>72</v>
      </c>
      <c r="B450" t="s">
        <v>80</v>
      </c>
      <c r="C450" s="51">
        <v>137537835128</v>
      </c>
      <c r="D450">
        <v>234.96</v>
      </c>
      <c r="E450" s="1">
        <v>11546815.67</v>
      </c>
      <c r="F450" t="s">
        <v>1280</v>
      </c>
      <c r="I450" s="16"/>
      <c r="J450" s="68"/>
      <c r="K450" s="68"/>
      <c r="L450" s="68"/>
      <c r="M450" s="74">
        <f t="shared" si="10"/>
        <v>234.96</v>
      </c>
    </row>
    <row r="451" spans="1:13">
      <c r="A451" t="s">
        <v>72</v>
      </c>
      <c r="B451" t="s">
        <v>11</v>
      </c>
      <c r="C451" s="51">
        <v>137538383964</v>
      </c>
      <c r="D451" s="1">
        <v>72836.37</v>
      </c>
      <c r="E451" s="1">
        <v>11619652.039999999</v>
      </c>
      <c r="F451" t="s">
        <v>1280</v>
      </c>
      <c r="I451" s="16"/>
      <c r="J451" s="68"/>
      <c r="K451" s="68"/>
      <c r="L451" s="68"/>
      <c r="M451" s="74">
        <f t="shared" si="10"/>
        <v>72836.37</v>
      </c>
    </row>
    <row r="452" spans="1:13">
      <c r="A452" t="s">
        <v>72</v>
      </c>
      <c r="B452" t="s">
        <v>11</v>
      </c>
      <c r="C452" s="51">
        <v>136905808451</v>
      </c>
      <c r="D452" s="1">
        <v>8184.12</v>
      </c>
      <c r="E452" s="1">
        <v>11627836.16</v>
      </c>
      <c r="F452" t="s">
        <v>1280</v>
      </c>
      <c r="I452" s="16"/>
      <c r="J452" s="68"/>
      <c r="K452" s="68"/>
      <c r="L452" s="68"/>
      <c r="M452" s="74">
        <f t="shared" si="10"/>
        <v>8184.12</v>
      </c>
    </row>
    <row r="453" spans="1:13">
      <c r="A453" t="s">
        <v>72</v>
      </c>
      <c r="B453" t="s">
        <v>11</v>
      </c>
      <c r="C453" s="51">
        <v>136905906851</v>
      </c>
      <c r="D453" s="1">
        <v>4676.6400000000003</v>
      </c>
      <c r="E453" s="1">
        <v>11632512.800000001</v>
      </c>
      <c r="F453" t="s">
        <v>1280</v>
      </c>
      <c r="I453" s="16"/>
      <c r="J453" s="68"/>
      <c r="K453" s="68"/>
      <c r="L453" s="68"/>
      <c r="M453" s="74">
        <f t="shared" si="10"/>
        <v>4676.6400000000003</v>
      </c>
    </row>
    <row r="454" spans="1:13">
      <c r="A454" t="s">
        <v>72</v>
      </c>
      <c r="B454" t="s">
        <v>11</v>
      </c>
      <c r="C454" s="51">
        <v>137539201804</v>
      </c>
      <c r="D454" s="1">
        <v>3994.63</v>
      </c>
      <c r="E454" s="1">
        <v>11636507.43</v>
      </c>
      <c r="F454" t="s">
        <v>1280</v>
      </c>
      <c r="I454" s="16"/>
      <c r="J454" s="68"/>
      <c r="K454" s="68"/>
      <c r="L454" s="68"/>
      <c r="M454" s="74">
        <f t="shared" si="10"/>
        <v>3994.63</v>
      </c>
    </row>
    <row r="455" spans="1:13">
      <c r="A455" t="s">
        <v>72</v>
      </c>
      <c r="B455" t="s">
        <v>11</v>
      </c>
      <c r="C455" s="51">
        <v>137539449132</v>
      </c>
      <c r="D455" s="1">
        <v>41115.46</v>
      </c>
      <c r="E455" s="1">
        <v>11677622.890000001</v>
      </c>
      <c r="F455" t="s">
        <v>1280</v>
      </c>
      <c r="I455" s="16"/>
      <c r="J455" s="68"/>
      <c r="K455" s="68"/>
      <c r="L455" s="68"/>
      <c r="M455" s="74">
        <f t="shared" si="10"/>
        <v>41115.46</v>
      </c>
    </row>
    <row r="456" spans="1:13">
      <c r="A456" t="s">
        <v>72</v>
      </c>
      <c r="B456" t="s">
        <v>11</v>
      </c>
      <c r="C456" s="51">
        <v>136906571367</v>
      </c>
      <c r="D456" s="1">
        <v>15393.94</v>
      </c>
      <c r="E456" s="1">
        <v>11693016.83</v>
      </c>
      <c r="F456" t="s">
        <v>1280</v>
      </c>
      <c r="I456" s="16"/>
      <c r="J456" s="68"/>
      <c r="K456" s="68"/>
      <c r="L456" s="68"/>
      <c r="M456" s="74">
        <f t="shared" si="10"/>
        <v>15393.94</v>
      </c>
    </row>
    <row r="457" spans="1:13">
      <c r="A457" t="s">
        <v>72</v>
      </c>
      <c r="B457" t="s">
        <v>11</v>
      </c>
      <c r="C457" s="51">
        <v>136906923221</v>
      </c>
      <c r="D457" s="1">
        <v>106685.85</v>
      </c>
      <c r="E457" s="1">
        <v>11799702.68</v>
      </c>
      <c r="F457" t="s">
        <v>1280</v>
      </c>
      <c r="I457" s="16"/>
      <c r="J457" s="68"/>
      <c r="K457" s="68"/>
      <c r="L457" s="68"/>
      <c r="M457" s="74">
        <f t="shared" si="10"/>
        <v>106685.85</v>
      </c>
    </row>
    <row r="458" spans="1:13">
      <c r="A458" t="s">
        <v>81</v>
      </c>
      <c r="B458" t="s">
        <v>11</v>
      </c>
      <c r="C458" s="51">
        <v>137540105336</v>
      </c>
      <c r="D458" s="1">
        <v>4676.6400000000003</v>
      </c>
      <c r="E458" s="1">
        <v>11804379.32</v>
      </c>
      <c r="F458" t="s">
        <v>1280</v>
      </c>
      <c r="I458" s="16"/>
      <c r="J458" s="68"/>
      <c r="K458" s="68"/>
      <c r="L458" s="68"/>
      <c r="M458" s="74">
        <f t="shared" si="10"/>
        <v>4676.6400000000003</v>
      </c>
    </row>
    <row r="459" spans="1:13">
      <c r="A459" t="s">
        <v>81</v>
      </c>
      <c r="B459" t="s">
        <v>11</v>
      </c>
      <c r="C459" s="51">
        <v>136907146003</v>
      </c>
      <c r="D459" s="1">
        <v>45012.66</v>
      </c>
      <c r="E459" s="1">
        <v>11849391.98</v>
      </c>
      <c r="F459" t="s">
        <v>1280</v>
      </c>
      <c r="I459" s="16"/>
      <c r="J459" s="68"/>
      <c r="K459" s="68"/>
      <c r="L459" s="68"/>
      <c r="M459" s="74">
        <f t="shared" si="10"/>
        <v>45012.66</v>
      </c>
    </row>
    <row r="460" spans="1:13">
      <c r="A460" t="s">
        <v>81</v>
      </c>
      <c r="B460" t="s">
        <v>11</v>
      </c>
      <c r="C460" s="51">
        <v>137540388010</v>
      </c>
      <c r="D460" s="1">
        <v>9353.2800000000007</v>
      </c>
      <c r="E460" s="1">
        <v>11858745.26</v>
      </c>
      <c r="F460" t="s">
        <v>1280</v>
      </c>
      <c r="I460" s="16"/>
      <c r="J460" s="68"/>
      <c r="K460" s="68"/>
      <c r="L460" s="68"/>
      <c r="M460" s="74">
        <f t="shared" si="10"/>
        <v>9353.2800000000007</v>
      </c>
    </row>
    <row r="461" spans="1:13">
      <c r="A461" t="s">
        <v>81</v>
      </c>
      <c r="B461" t="s">
        <v>11</v>
      </c>
      <c r="C461" s="51">
        <v>137540595612</v>
      </c>
      <c r="D461" s="1">
        <v>3897.2</v>
      </c>
      <c r="E461" s="1">
        <v>11862642.460000001</v>
      </c>
      <c r="F461" t="s">
        <v>1280</v>
      </c>
      <c r="I461" s="16"/>
      <c r="J461" s="68"/>
      <c r="K461" s="68"/>
      <c r="L461" s="68"/>
      <c r="M461" s="74">
        <f t="shared" si="10"/>
        <v>3897.2</v>
      </c>
    </row>
    <row r="462" spans="1:13">
      <c r="A462" t="s">
        <v>81</v>
      </c>
      <c r="B462" t="s">
        <v>11</v>
      </c>
      <c r="C462" s="51">
        <v>137541156138</v>
      </c>
      <c r="D462" s="1">
        <v>12471.04</v>
      </c>
      <c r="E462" s="1">
        <v>11875113.5</v>
      </c>
      <c r="F462" t="s">
        <v>1280</v>
      </c>
      <c r="I462" s="16"/>
      <c r="J462" s="68"/>
      <c r="K462" s="68"/>
      <c r="L462" s="68"/>
      <c r="M462" s="74">
        <f t="shared" si="10"/>
        <v>12471.04</v>
      </c>
    </row>
    <row r="463" spans="1:13">
      <c r="A463" t="s">
        <v>81</v>
      </c>
      <c r="B463" t="s">
        <v>82</v>
      </c>
      <c r="C463" s="51">
        <v>137541122404</v>
      </c>
      <c r="D463" s="1">
        <v>1253.1199999999999</v>
      </c>
      <c r="E463" s="1">
        <v>11876366.619999999</v>
      </c>
      <c r="F463" t="s">
        <v>1280</v>
      </c>
      <c r="I463" s="16"/>
      <c r="J463" s="68"/>
      <c r="K463" s="68"/>
      <c r="L463" s="68"/>
      <c r="M463" s="74">
        <f t="shared" si="10"/>
        <v>1253.1199999999999</v>
      </c>
    </row>
    <row r="464" spans="1:13">
      <c r="A464" t="s">
        <v>81</v>
      </c>
      <c r="B464" t="s">
        <v>11</v>
      </c>
      <c r="C464" s="51">
        <v>136907946313</v>
      </c>
      <c r="D464" s="1">
        <v>27237</v>
      </c>
      <c r="E464" s="1">
        <v>11903603.619999999</v>
      </c>
      <c r="F464" t="s">
        <v>1280</v>
      </c>
      <c r="I464" s="16"/>
      <c r="J464" s="68"/>
      <c r="K464" s="68"/>
      <c r="L464" s="68"/>
      <c r="M464" s="74">
        <f t="shared" si="10"/>
        <v>27237</v>
      </c>
    </row>
    <row r="465" spans="1:13">
      <c r="A465" t="s">
        <v>81</v>
      </c>
      <c r="B465" t="s">
        <v>11</v>
      </c>
      <c r="C465" s="51">
        <v>137541218458</v>
      </c>
      <c r="D465" s="1">
        <v>4676.6400000000003</v>
      </c>
      <c r="E465" s="1">
        <v>11908280.26</v>
      </c>
      <c r="F465" t="s">
        <v>1280</v>
      </c>
      <c r="I465" s="16"/>
      <c r="J465" s="68"/>
      <c r="K465" s="68"/>
      <c r="L465" s="68"/>
      <c r="M465" s="74">
        <f t="shared" si="10"/>
        <v>4676.6400000000003</v>
      </c>
    </row>
    <row r="466" spans="1:13">
      <c r="A466" t="s">
        <v>81</v>
      </c>
      <c r="B466" t="s">
        <v>11</v>
      </c>
      <c r="C466" s="51">
        <v>137541514796</v>
      </c>
      <c r="D466" s="1">
        <v>3994.63</v>
      </c>
      <c r="E466" s="1">
        <v>11912274.890000001</v>
      </c>
      <c r="F466" t="s">
        <v>1280</v>
      </c>
      <c r="I466" s="16"/>
      <c r="J466" s="68"/>
      <c r="K466" s="68"/>
      <c r="L466" s="68"/>
      <c r="M466" s="74">
        <f t="shared" si="10"/>
        <v>3994.63</v>
      </c>
    </row>
    <row r="467" spans="1:13">
      <c r="A467" t="s">
        <v>81</v>
      </c>
      <c r="B467" t="s">
        <v>11</v>
      </c>
      <c r="C467" s="51">
        <v>137541617978</v>
      </c>
      <c r="D467" s="1">
        <v>4286.92</v>
      </c>
      <c r="E467" s="1">
        <v>11916561.810000001</v>
      </c>
      <c r="F467" t="s">
        <v>1280</v>
      </c>
      <c r="I467" s="16"/>
      <c r="J467" s="68"/>
      <c r="K467" s="68"/>
      <c r="L467" s="68"/>
      <c r="M467" s="74">
        <f t="shared" si="10"/>
        <v>4286.92</v>
      </c>
    </row>
    <row r="468" spans="1:13">
      <c r="A468" t="s">
        <v>81</v>
      </c>
      <c r="B468" t="s">
        <v>11</v>
      </c>
      <c r="C468" s="51">
        <v>137542444234</v>
      </c>
      <c r="D468" s="1">
        <v>46863.83</v>
      </c>
      <c r="E468" s="1">
        <v>11963425.640000001</v>
      </c>
      <c r="F468" t="s">
        <v>1280</v>
      </c>
      <c r="I468" s="16"/>
      <c r="J468" s="68"/>
      <c r="K468" s="68"/>
      <c r="L468" s="68"/>
      <c r="M468" s="74">
        <f t="shared" si="10"/>
        <v>46863.83</v>
      </c>
    </row>
    <row r="469" spans="1:13">
      <c r="A469" t="s">
        <v>81</v>
      </c>
      <c r="B469" t="s">
        <v>11</v>
      </c>
      <c r="C469" s="51">
        <v>137542387224</v>
      </c>
      <c r="D469" s="1">
        <v>44030.35</v>
      </c>
      <c r="E469" s="1">
        <v>12007455.99</v>
      </c>
      <c r="F469" t="s">
        <v>1280</v>
      </c>
      <c r="I469" s="16"/>
      <c r="J469" s="68"/>
      <c r="K469" s="68"/>
      <c r="L469" s="68"/>
      <c r="M469" s="74">
        <f t="shared" si="10"/>
        <v>44030.35</v>
      </c>
    </row>
    <row r="470" spans="1:13">
      <c r="A470" t="s">
        <v>81</v>
      </c>
      <c r="B470" t="s">
        <v>11</v>
      </c>
      <c r="C470" s="51">
        <v>136909607997</v>
      </c>
      <c r="D470" s="1">
        <v>4676.6400000000003</v>
      </c>
      <c r="E470" s="1">
        <v>12012132.630000001</v>
      </c>
      <c r="F470" t="s">
        <v>1280</v>
      </c>
      <c r="I470" s="16"/>
      <c r="J470" s="68"/>
      <c r="K470" s="68"/>
      <c r="L470" s="68"/>
      <c r="M470" s="74">
        <f t="shared" si="10"/>
        <v>4676.6400000000003</v>
      </c>
    </row>
    <row r="471" spans="1:13">
      <c r="A471" t="s">
        <v>81</v>
      </c>
      <c r="B471" t="s">
        <v>11</v>
      </c>
      <c r="C471" s="51">
        <v>137542736688</v>
      </c>
      <c r="D471" s="1">
        <v>8715.84</v>
      </c>
      <c r="E471" s="1">
        <v>12020848.470000001</v>
      </c>
      <c r="F471" t="s">
        <v>1280</v>
      </c>
      <c r="I471" s="16"/>
      <c r="J471" s="68"/>
      <c r="K471" s="68"/>
      <c r="L471" s="68"/>
      <c r="M471" s="74">
        <f t="shared" si="10"/>
        <v>8715.84</v>
      </c>
    </row>
    <row r="472" spans="1:13">
      <c r="A472" t="s">
        <v>81</v>
      </c>
      <c r="B472" t="s">
        <v>11</v>
      </c>
      <c r="C472" s="51">
        <v>137542727460</v>
      </c>
      <c r="D472" s="1">
        <v>17927.12</v>
      </c>
      <c r="E472" s="1">
        <v>12038775.59</v>
      </c>
      <c r="F472" t="s">
        <v>1280</v>
      </c>
      <c r="I472" s="16"/>
      <c r="J472" s="68"/>
      <c r="K472" s="68"/>
      <c r="L472" s="68"/>
      <c r="M472" s="74">
        <f t="shared" si="10"/>
        <v>17927.12</v>
      </c>
    </row>
    <row r="473" spans="1:13">
      <c r="A473" t="s">
        <v>81</v>
      </c>
      <c r="B473" t="s">
        <v>11</v>
      </c>
      <c r="C473" s="51">
        <v>136910253133</v>
      </c>
      <c r="D473" s="1">
        <v>7794.4</v>
      </c>
      <c r="E473" s="1">
        <v>12046569.99</v>
      </c>
      <c r="F473" t="s">
        <v>1280</v>
      </c>
      <c r="I473" s="16"/>
      <c r="J473" s="68"/>
      <c r="K473" s="68"/>
      <c r="L473" s="68"/>
      <c r="M473" s="74">
        <f t="shared" si="10"/>
        <v>7794.4</v>
      </c>
    </row>
    <row r="474" spans="1:13">
      <c r="A474" t="s">
        <v>81</v>
      </c>
      <c r="B474" t="s">
        <v>11</v>
      </c>
      <c r="C474" s="51">
        <v>137543547888</v>
      </c>
      <c r="D474" s="1">
        <v>39459.15</v>
      </c>
      <c r="E474" s="1">
        <v>12086029.140000001</v>
      </c>
      <c r="F474" t="s">
        <v>1280</v>
      </c>
      <c r="I474" s="16"/>
      <c r="J474" s="68"/>
      <c r="K474" s="68"/>
      <c r="L474" s="68"/>
      <c r="M474" s="74">
        <f t="shared" si="10"/>
        <v>39459.15</v>
      </c>
    </row>
    <row r="475" spans="1:13">
      <c r="A475" t="s">
        <v>81</v>
      </c>
      <c r="B475" t="s">
        <v>11</v>
      </c>
      <c r="C475" s="51">
        <v>137544322996</v>
      </c>
      <c r="D475" s="1">
        <v>80274.36</v>
      </c>
      <c r="E475" s="1">
        <v>12166303.5</v>
      </c>
      <c r="F475" t="s">
        <v>1280</v>
      </c>
      <c r="I475" s="16"/>
      <c r="J475" s="68"/>
      <c r="K475" s="68"/>
      <c r="L475" s="68"/>
      <c r="M475" s="74">
        <f t="shared" si="10"/>
        <v>80274.36</v>
      </c>
    </row>
    <row r="476" spans="1:13">
      <c r="A476" t="s">
        <v>81</v>
      </c>
      <c r="B476" t="s">
        <v>11</v>
      </c>
      <c r="C476" s="51">
        <v>137544399486</v>
      </c>
      <c r="D476" s="1">
        <v>4092.06</v>
      </c>
      <c r="E476" s="1">
        <v>12170395.560000001</v>
      </c>
      <c r="F476" t="s">
        <v>1280</v>
      </c>
      <c r="I476" s="16"/>
      <c r="J476" s="68"/>
      <c r="K476" s="68"/>
      <c r="L476" s="68"/>
      <c r="M476" s="74">
        <f t="shared" si="10"/>
        <v>4092.06</v>
      </c>
    </row>
    <row r="477" spans="1:13">
      <c r="A477" t="s">
        <v>81</v>
      </c>
      <c r="B477" t="s">
        <v>11</v>
      </c>
      <c r="C477" s="51">
        <v>136911982075</v>
      </c>
      <c r="D477" s="1">
        <v>14322.21</v>
      </c>
      <c r="E477" s="1">
        <v>12184717.77</v>
      </c>
      <c r="F477" t="s">
        <v>1280</v>
      </c>
      <c r="I477" s="16"/>
      <c r="J477" s="68"/>
      <c r="K477" s="68"/>
      <c r="L477" s="68"/>
      <c r="M477" s="74">
        <f t="shared" si="10"/>
        <v>14322.21</v>
      </c>
    </row>
    <row r="478" spans="1:13">
      <c r="A478" t="s">
        <v>81</v>
      </c>
      <c r="B478" t="s">
        <v>11</v>
      </c>
      <c r="C478" s="51">
        <v>136912149021</v>
      </c>
      <c r="D478" s="1">
        <v>103762.95</v>
      </c>
      <c r="E478" s="1">
        <v>12288480.720000001</v>
      </c>
      <c r="F478" t="s">
        <v>1280</v>
      </c>
      <c r="I478" s="16"/>
      <c r="J478" s="68"/>
      <c r="K478" s="68"/>
      <c r="L478" s="68"/>
      <c r="M478" s="74">
        <f t="shared" si="10"/>
        <v>103762.95</v>
      </c>
    </row>
    <row r="479" spans="1:13">
      <c r="A479" t="s">
        <v>81</v>
      </c>
      <c r="B479" t="s">
        <v>11</v>
      </c>
      <c r="C479" s="51">
        <v>137545150932</v>
      </c>
      <c r="D479" s="1">
        <v>4676.6400000000003</v>
      </c>
      <c r="E479" s="1">
        <v>12293157.359999999</v>
      </c>
      <c r="F479" t="s">
        <v>1280</v>
      </c>
      <c r="I479" s="16"/>
      <c r="J479" s="68"/>
      <c r="K479" s="68"/>
      <c r="L479" s="68"/>
      <c r="M479" s="74">
        <f t="shared" si="10"/>
        <v>4676.6400000000003</v>
      </c>
    </row>
    <row r="480" spans="1:13">
      <c r="A480" t="s">
        <v>81</v>
      </c>
      <c r="B480" t="s">
        <v>11</v>
      </c>
      <c r="C480" s="51">
        <v>136912380571</v>
      </c>
      <c r="D480" s="1">
        <v>19616.740000000002</v>
      </c>
      <c r="E480" s="1">
        <v>12312774.1</v>
      </c>
      <c r="F480" t="s">
        <v>1280</v>
      </c>
      <c r="I480" s="16"/>
      <c r="J480" s="68"/>
      <c r="K480" s="68"/>
      <c r="L480" s="68"/>
      <c r="M480" s="74">
        <f t="shared" si="10"/>
        <v>19616.740000000002</v>
      </c>
    </row>
    <row r="481" spans="1:13">
      <c r="A481" t="s">
        <v>81</v>
      </c>
      <c r="B481" t="s">
        <v>11</v>
      </c>
      <c r="C481" s="51">
        <v>137545478442</v>
      </c>
      <c r="D481" s="1">
        <v>11691.6</v>
      </c>
      <c r="E481" s="1">
        <v>12324465.699999999</v>
      </c>
      <c r="F481" t="s">
        <v>1280</v>
      </c>
      <c r="I481" s="16"/>
      <c r="J481" s="68"/>
      <c r="K481" s="68"/>
      <c r="L481" s="68"/>
      <c r="M481" s="74">
        <f t="shared" si="10"/>
        <v>11691.6</v>
      </c>
    </row>
    <row r="482" spans="1:13">
      <c r="A482" t="s">
        <v>81</v>
      </c>
      <c r="B482" t="s">
        <v>11</v>
      </c>
      <c r="C482" s="51">
        <v>137545257514</v>
      </c>
      <c r="D482" s="1">
        <v>20947.45</v>
      </c>
      <c r="E482" s="1">
        <v>12345413.15</v>
      </c>
      <c r="F482" t="s">
        <v>1280</v>
      </c>
      <c r="I482" s="16"/>
      <c r="J482" s="68"/>
      <c r="K482" s="68"/>
      <c r="L482" s="68"/>
      <c r="M482" s="74">
        <f t="shared" si="10"/>
        <v>20947.45</v>
      </c>
    </row>
    <row r="483" spans="1:13">
      <c r="A483" t="s">
        <v>81</v>
      </c>
      <c r="B483" t="s">
        <v>11</v>
      </c>
      <c r="C483" s="51">
        <v>136912524459</v>
      </c>
      <c r="D483" s="1">
        <v>26793.25</v>
      </c>
      <c r="E483" s="1">
        <v>12372206.4</v>
      </c>
      <c r="F483" t="s">
        <v>1280</v>
      </c>
      <c r="I483" s="16"/>
      <c r="J483" s="68"/>
      <c r="K483" s="68"/>
      <c r="L483" s="68"/>
      <c r="M483" s="74">
        <f t="shared" si="10"/>
        <v>26793.25</v>
      </c>
    </row>
    <row r="484" spans="1:13">
      <c r="A484" t="s">
        <v>81</v>
      </c>
      <c r="B484" t="s">
        <v>11</v>
      </c>
      <c r="C484" s="51">
        <v>137545399844</v>
      </c>
      <c r="D484" s="1">
        <v>42869.2</v>
      </c>
      <c r="E484" s="1">
        <v>12415075.6</v>
      </c>
      <c r="F484" t="s">
        <v>1280</v>
      </c>
      <c r="I484" s="16"/>
      <c r="J484" s="68"/>
      <c r="K484" s="68"/>
      <c r="L484" s="68"/>
      <c r="M484" s="74">
        <f t="shared" si="10"/>
        <v>42869.2</v>
      </c>
    </row>
    <row r="485" spans="1:13">
      <c r="A485" t="s">
        <v>81</v>
      </c>
      <c r="B485" t="s">
        <v>83</v>
      </c>
      <c r="C485" s="51">
        <v>137545666916</v>
      </c>
      <c r="D485" s="1">
        <v>2153.8000000000002</v>
      </c>
      <c r="E485" s="1">
        <v>12417229.4</v>
      </c>
      <c r="F485" t="s">
        <v>1280</v>
      </c>
      <c r="I485" s="16"/>
      <c r="J485" s="68"/>
      <c r="K485" s="68"/>
      <c r="L485" s="68"/>
      <c r="M485" s="74">
        <f t="shared" si="10"/>
        <v>2153.8000000000002</v>
      </c>
    </row>
    <row r="486" spans="1:13">
      <c r="A486" t="s">
        <v>81</v>
      </c>
      <c r="B486" t="s">
        <v>11</v>
      </c>
      <c r="C486" s="51">
        <v>136912525375</v>
      </c>
      <c r="D486" s="1">
        <v>22798.62</v>
      </c>
      <c r="E486" s="1">
        <v>12440028.02</v>
      </c>
      <c r="F486" t="s">
        <v>1280</v>
      </c>
      <c r="I486" s="16"/>
      <c r="J486" s="68"/>
      <c r="K486" s="68"/>
      <c r="L486" s="68"/>
      <c r="M486" s="74">
        <f t="shared" si="10"/>
        <v>22798.62</v>
      </c>
    </row>
    <row r="487" spans="1:13">
      <c r="A487" t="s">
        <v>81</v>
      </c>
      <c r="B487" t="s">
        <v>11</v>
      </c>
      <c r="C487" s="51">
        <v>136912585861</v>
      </c>
      <c r="D487" s="1">
        <v>22798.62</v>
      </c>
      <c r="E487" s="1">
        <v>12462826.640000001</v>
      </c>
      <c r="F487" t="s">
        <v>1280</v>
      </c>
      <c r="I487" s="16"/>
      <c r="J487" s="68"/>
      <c r="K487" s="68"/>
      <c r="L487" s="68"/>
      <c r="M487" s="74">
        <f t="shared" si="10"/>
        <v>22798.62</v>
      </c>
    </row>
    <row r="488" spans="1:13">
      <c r="A488" t="s">
        <v>81</v>
      </c>
      <c r="B488" t="s">
        <v>11</v>
      </c>
      <c r="C488" s="51">
        <v>136912751489</v>
      </c>
      <c r="D488" s="1">
        <v>13250.48</v>
      </c>
      <c r="E488" s="1">
        <v>12476077.119999999</v>
      </c>
      <c r="F488" t="s">
        <v>1280</v>
      </c>
      <c r="I488" s="16"/>
      <c r="J488" s="68"/>
      <c r="K488" s="68"/>
      <c r="L488" s="68"/>
      <c r="M488" s="74">
        <f t="shared" ref="M488:M551" si="11">+D488-I488-J488-K488-L488</f>
        <v>13250.48</v>
      </c>
    </row>
    <row r="489" spans="1:13">
      <c r="A489" t="s">
        <v>81</v>
      </c>
      <c r="B489" t="s">
        <v>11</v>
      </c>
      <c r="C489" s="51">
        <v>136912732043</v>
      </c>
      <c r="D489" s="1">
        <v>8184.12</v>
      </c>
      <c r="E489" s="1">
        <v>12484261.24</v>
      </c>
      <c r="F489" t="s">
        <v>1280</v>
      </c>
      <c r="I489" s="16"/>
      <c r="J489" s="68"/>
      <c r="K489" s="68"/>
      <c r="L489" s="68"/>
      <c r="M489" s="74">
        <f t="shared" si="11"/>
        <v>8184.12</v>
      </c>
    </row>
    <row r="490" spans="1:13">
      <c r="A490" t="s">
        <v>81</v>
      </c>
      <c r="B490" t="s">
        <v>11</v>
      </c>
      <c r="C490" s="51">
        <v>136912975121</v>
      </c>
      <c r="D490" s="1">
        <v>60406.6</v>
      </c>
      <c r="E490" s="1">
        <v>12544667.84</v>
      </c>
      <c r="F490" t="s">
        <v>1280</v>
      </c>
      <c r="I490" s="16"/>
      <c r="J490" s="68"/>
      <c r="K490" s="68"/>
      <c r="L490" s="68"/>
      <c r="M490" s="74">
        <f t="shared" si="11"/>
        <v>60406.6</v>
      </c>
    </row>
    <row r="491" spans="1:13">
      <c r="A491" t="s">
        <v>81</v>
      </c>
      <c r="B491" t="s">
        <v>11</v>
      </c>
      <c r="C491" s="51">
        <v>137546227878</v>
      </c>
      <c r="D491" s="1">
        <v>12568.47</v>
      </c>
      <c r="E491" s="1">
        <v>12557236.310000001</v>
      </c>
      <c r="F491" t="s">
        <v>1280</v>
      </c>
      <c r="I491" s="16"/>
      <c r="J491" s="68"/>
      <c r="K491" s="68"/>
      <c r="L491" s="68"/>
      <c r="M491" s="74">
        <f t="shared" si="11"/>
        <v>12568.47</v>
      </c>
    </row>
    <row r="492" spans="1:13">
      <c r="A492" t="s">
        <v>81</v>
      </c>
      <c r="B492" t="s">
        <v>11</v>
      </c>
      <c r="C492" s="51">
        <v>137546451270</v>
      </c>
      <c r="D492" s="1">
        <v>13153.05</v>
      </c>
      <c r="E492" s="1">
        <v>12570389.359999999</v>
      </c>
      <c r="F492" t="s">
        <v>1280</v>
      </c>
      <c r="I492" s="16"/>
      <c r="J492" s="68"/>
      <c r="K492" s="68"/>
      <c r="L492" s="68"/>
      <c r="M492" s="74">
        <f t="shared" si="11"/>
        <v>13153.05</v>
      </c>
    </row>
    <row r="493" spans="1:13">
      <c r="A493" t="s">
        <v>81</v>
      </c>
      <c r="B493" t="s">
        <v>11</v>
      </c>
      <c r="C493" s="51">
        <v>136913470977</v>
      </c>
      <c r="D493" s="1">
        <v>9010.56</v>
      </c>
      <c r="E493" s="1">
        <v>12579399.92</v>
      </c>
      <c r="F493" t="s">
        <v>1280</v>
      </c>
      <c r="I493" s="16"/>
      <c r="J493" s="68"/>
      <c r="K493" s="68"/>
      <c r="L493" s="68"/>
      <c r="M493" s="74">
        <f t="shared" si="11"/>
        <v>9010.56</v>
      </c>
    </row>
    <row r="494" spans="1:13">
      <c r="A494" t="s">
        <v>81</v>
      </c>
      <c r="B494" t="s">
        <v>11</v>
      </c>
      <c r="C494" s="51">
        <v>137546578068</v>
      </c>
      <c r="D494" s="1">
        <v>7172.41</v>
      </c>
      <c r="E494" s="1">
        <v>12586572.33</v>
      </c>
      <c r="F494" t="s">
        <v>1280</v>
      </c>
      <c r="I494" s="16"/>
      <c r="J494" s="68"/>
      <c r="K494" s="68"/>
      <c r="L494" s="68"/>
      <c r="M494" s="74">
        <f t="shared" si="11"/>
        <v>7172.41</v>
      </c>
    </row>
    <row r="495" spans="1:13">
      <c r="A495" t="s">
        <v>81</v>
      </c>
      <c r="B495" t="s">
        <v>11</v>
      </c>
      <c r="C495" s="51">
        <v>136914112129</v>
      </c>
      <c r="D495" s="1">
        <v>4676.6400000000003</v>
      </c>
      <c r="E495" s="1">
        <v>12591248.970000001</v>
      </c>
      <c r="F495" t="s">
        <v>1280</v>
      </c>
      <c r="I495" s="16"/>
      <c r="J495" s="68"/>
      <c r="K495" s="68"/>
      <c r="L495" s="68"/>
      <c r="M495" s="74">
        <f t="shared" si="11"/>
        <v>4676.6400000000003</v>
      </c>
    </row>
    <row r="496" spans="1:13">
      <c r="A496" t="s">
        <v>81</v>
      </c>
      <c r="B496" t="s">
        <v>11</v>
      </c>
      <c r="C496" s="51">
        <v>137547228792</v>
      </c>
      <c r="D496" s="1">
        <v>9010.56</v>
      </c>
      <c r="E496" s="1">
        <v>12600259.529999999</v>
      </c>
      <c r="F496" t="s">
        <v>1280</v>
      </c>
      <c r="I496" s="16"/>
      <c r="J496" s="68"/>
      <c r="K496" s="68"/>
      <c r="L496" s="68"/>
      <c r="M496" s="74">
        <f t="shared" si="11"/>
        <v>9010.56</v>
      </c>
    </row>
    <row r="497" spans="1:13">
      <c r="A497" t="s">
        <v>81</v>
      </c>
      <c r="B497" t="s">
        <v>11</v>
      </c>
      <c r="C497" s="51">
        <v>136914446137</v>
      </c>
      <c r="D497" s="1">
        <v>5650.94</v>
      </c>
      <c r="E497" s="1">
        <v>12605910.470000001</v>
      </c>
      <c r="F497" t="s">
        <v>1280</v>
      </c>
      <c r="I497" s="16"/>
      <c r="J497" s="68"/>
      <c r="K497" s="68"/>
      <c r="L497" s="68"/>
      <c r="M497" s="74">
        <f t="shared" si="11"/>
        <v>5650.94</v>
      </c>
    </row>
    <row r="498" spans="1:13">
      <c r="A498" t="s">
        <v>81</v>
      </c>
      <c r="B498" t="s">
        <v>11</v>
      </c>
      <c r="C498" s="51">
        <v>136914272051</v>
      </c>
      <c r="D498" s="1">
        <v>12373.61</v>
      </c>
      <c r="E498" s="1">
        <v>12618284.08</v>
      </c>
      <c r="F498" t="s">
        <v>1280</v>
      </c>
      <c r="I498" s="16"/>
      <c r="J498" s="68"/>
      <c r="K498" s="68"/>
      <c r="L498" s="68"/>
      <c r="M498" s="74">
        <f t="shared" si="11"/>
        <v>12373.61</v>
      </c>
    </row>
    <row r="499" spans="1:13">
      <c r="A499" t="s">
        <v>81</v>
      </c>
      <c r="B499" t="s">
        <v>11</v>
      </c>
      <c r="C499" s="51">
        <v>136914524535</v>
      </c>
      <c r="D499" s="1">
        <v>4676.6400000000003</v>
      </c>
      <c r="E499" s="1">
        <v>12622960.720000001</v>
      </c>
      <c r="F499" t="s">
        <v>1280</v>
      </c>
      <c r="I499" s="16"/>
      <c r="J499" s="68"/>
      <c r="K499" s="68"/>
      <c r="L499" s="68"/>
      <c r="M499" s="74">
        <f t="shared" si="11"/>
        <v>4676.6400000000003</v>
      </c>
    </row>
    <row r="500" spans="1:13">
      <c r="A500" t="s">
        <v>81</v>
      </c>
      <c r="B500" t="s">
        <v>11</v>
      </c>
      <c r="C500" s="51">
        <v>137547309798</v>
      </c>
      <c r="D500" s="1">
        <v>8715.84</v>
      </c>
      <c r="E500" s="1">
        <v>12631676.560000001</v>
      </c>
      <c r="F500" t="s">
        <v>1280</v>
      </c>
      <c r="I500" s="16"/>
      <c r="J500" s="68"/>
      <c r="K500" s="68"/>
      <c r="L500" s="68"/>
      <c r="M500" s="74">
        <f t="shared" si="11"/>
        <v>8715.84</v>
      </c>
    </row>
    <row r="501" spans="1:13">
      <c r="A501" t="s">
        <v>81</v>
      </c>
      <c r="B501" t="s">
        <v>11</v>
      </c>
      <c r="C501" s="51">
        <v>136914570765</v>
      </c>
      <c r="D501" s="1">
        <v>20752.59</v>
      </c>
      <c r="E501" s="1">
        <v>12652429.15</v>
      </c>
      <c r="F501" t="s">
        <v>1280</v>
      </c>
      <c r="I501" s="16"/>
      <c r="J501" s="68"/>
      <c r="K501" s="68"/>
      <c r="L501" s="68"/>
      <c r="M501" s="74">
        <f t="shared" si="11"/>
        <v>20752.59</v>
      </c>
    </row>
    <row r="502" spans="1:13">
      <c r="A502" t="s">
        <v>81</v>
      </c>
      <c r="B502" t="s">
        <v>11</v>
      </c>
      <c r="C502" s="51">
        <v>136914671357</v>
      </c>
      <c r="D502" s="1">
        <v>26890.68</v>
      </c>
      <c r="E502" s="1">
        <v>12679319.83</v>
      </c>
      <c r="F502" t="s">
        <v>1280</v>
      </c>
      <c r="I502" s="16"/>
      <c r="J502" s="68"/>
      <c r="K502" s="68"/>
      <c r="L502" s="68"/>
      <c r="M502" s="74">
        <f t="shared" si="11"/>
        <v>26890.68</v>
      </c>
    </row>
    <row r="503" spans="1:13">
      <c r="A503" t="s">
        <v>81</v>
      </c>
      <c r="B503" t="s">
        <v>11</v>
      </c>
      <c r="C503" s="51">
        <v>136915272579</v>
      </c>
      <c r="D503" s="1">
        <v>7463.13</v>
      </c>
      <c r="E503" s="1">
        <v>12686782.960000001</v>
      </c>
      <c r="F503" t="s">
        <v>1280</v>
      </c>
      <c r="I503" s="16"/>
      <c r="J503" s="68"/>
      <c r="K503" s="68"/>
      <c r="L503" s="68"/>
      <c r="M503" s="74">
        <f t="shared" si="11"/>
        <v>7463.13</v>
      </c>
    </row>
    <row r="504" spans="1:13">
      <c r="A504" t="s">
        <v>81</v>
      </c>
      <c r="B504" t="s">
        <v>11</v>
      </c>
      <c r="C504" s="51">
        <v>136915988399</v>
      </c>
      <c r="D504" s="1">
        <v>25331.8</v>
      </c>
      <c r="E504" s="1">
        <v>12712114.76</v>
      </c>
      <c r="F504" t="s">
        <v>1280</v>
      </c>
      <c r="I504" s="16"/>
      <c r="J504" s="68"/>
      <c r="K504" s="68"/>
      <c r="L504" s="68"/>
      <c r="M504" s="74">
        <f t="shared" si="11"/>
        <v>25331.8</v>
      </c>
    </row>
    <row r="505" spans="1:13">
      <c r="A505" t="s">
        <v>81</v>
      </c>
      <c r="B505" t="s">
        <v>11</v>
      </c>
      <c r="C505" s="51">
        <v>137548968332</v>
      </c>
      <c r="D505" s="1">
        <v>19616.740000000002</v>
      </c>
      <c r="E505" s="1">
        <v>12731731.5</v>
      </c>
      <c r="F505" t="s">
        <v>1280</v>
      </c>
      <c r="I505" s="16"/>
      <c r="J505" s="68"/>
      <c r="K505" s="68"/>
      <c r="L505" s="68"/>
      <c r="M505" s="74">
        <f t="shared" si="11"/>
        <v>19616.740000000002</v>
      </c>
    </row>
    <row r="506" spans="1:13">
      <c r="A506" t="s">
        <v>81</v>
      </c>
      <c r="B506" t="s">
        <v>11</v>
      </c>
      <c r="C506" s="51">
        <v>137549050936</v>
      </c>
      <c r="D506" s="1">
        <v>74241.66</v>
      </c>
      <c r="E506" s="1">
        <v>12805973.16</v>
      </c>
      <c r="F506" t="s">
        <v>1280</v>
      </c>
      <c r="I506" s="16"/>
      <c r="J506" s="68"/>
      <c r="K506" s="68"/>
      <c r="L506" s="68"/>
      <c r="M506" s="74">
        <f t="shared" si="11"/>
        <v>74241.66</v>
      </c>
    </row>
    <row r="507" spans="1:13">
      <c r="A507" t="s">
        <v>81</v>
      </c>
      <c r="B507" t="s">
        <v>11</v>
      </c>
      <c r="C507" s="51">
        <v>137549612728</v>
      </c>
      <c r="D507" s="1">
        <v>212884.55</v>
      </c>
      <c r="E507" s="1">
        <v>13018857.710000001</v>
      </c>
      <c r="F507" t="s">
        <v>1280</v>
      </c>
      <c r="I507" s="16"/>
      <c r="J507" s="68"/>
      <c r="K507" s="68"/>
      <c r="L507" s="68"/>
      <c r="M507" s="74">
        <f t="shared" si="11"/>
        <v>212884.55</v>
      </c>
    </row>
    <row r="508" spans="1:13">
      <c r="A508" t="s">
        <v>81</v>
      </c>
      <c r="B508" t="s">
        <v>11</v>
      </c>
      <c r="C508" s="51">
        <v>137549459378</v>
      </c>
      <c r="D508" s="1">
        <v>8573.84</v>
      </c>
      <c r="E508" s="1">
        <v>13027431.550000001</v>
      </c>
      <c r="F508" t="s">
        <v>1280</v>
      </c>
      <c r="I508" s="16"/>
      <c r="J508" s="68"/>
      <c r="K508" s="68"/>
      <c r="L508" s="68"/>
      <c r="M508" s="74">
        <f t="shared" si="11"/>
        <v>8573.84</v>
      </c>
    </row>
    <row r="509" spans="1:13">
      <c r="A509" t="s">
        <v>81</v>
      </c>
      <c r="B509" t="s">
        <v>11</v>
      </c>
      <c r="C509" s="51">
        <v>136916562339</v>
      </c>
      <c r="D509" s="1">
        <v>10717.3</v>
      </c>
      <c r="E509" s="1">
        <v>13038148.85</v>
      </c>
      <c r="F509" t="s">
        <v>1280</v>
      </c>
      <c r="I509" s="16"/>
      <c r="J509" s="68"/>
      <c r="K509" s="68"/>
      <c r="L509" s="68"/>
      <c r="M509" s="74">
        <f t="shared" si="11"/>
        <v>10717.3</v>
      </c>
    </row>
    <row r="510" spans="1:13">
      <c r="A510" t="s">
        <v>81</v>
      </c>
      <c r="B510" t="s">
        <v>84</v>
      </c>
      <c r="C510" s="51">
        <v>136916514577</v>
      </c>
      <c r="D510">
        <v>538.45000000000005</v>
      </c>
      <c r="E510" s="1">
        <v>13038687.300000001</v>
      </c>
      <c r="F510" t="s">
        <v>1280</v>
      </c>
      <c r="I510" s="16"/>
      <c r="J510" s="68"/>
      <c r="K510" s="68"/>
      <c r="L510" s="68"/>
      <c r="M510" s="74">
        <f t="shared" si="11"/>
        <v>538.45000000000005</v>
      </c>
    </row>
    <row r="511" spans="1:13">
      <c r="A511" t="s">
        <v>81</v>
      </c>
      <c r="B511" t="s">
        <v>11</v>
      </c>
      <c r="C511" s="51">
        <v>136916652431</v>
      </c>
      <c r="D511" s="1">
        <v>4676.6400000000003</v>
      </c>
      <c r="E511" s="1">
        <v>13043363.939999999</v>
      </c>
      <c r="F511" t="s">
        <v>1280</v>
      </c>
      <c r="I511" s="16"/>
      <c r="J511" s="68"/>
      <c r="K511" s="68"/>
      <c r="L511" s="68"/>
      <c r="M511" s="74">
        <f t="shared" si="11"/>
        <v>4676.6400000000003</v>
      </c>
    </row>
    <row r="512" spans="1:13">
      <c r="A512" t="s">
        <v>81</v>
      </c>
      <c r="B512" t="s">
        <v>11</v>
      </c>
      <c r="C512" s="51">
        <v>137549976466</v>
      </c>
      <c r="D512" s="1">
        <v>41115.46</v>
      </c>
      <c r="E512" s="1">
        <v>13084479.4</v>
      </c>
      <c r="F512" t="s">
        <v>1280</v>
      </c>
      <c r="I512" s="16"/>
      <c r="J512" s="68"/>
      <c r="K512" s="68"/>
      <c r="L512" s="68"/>
      <c r="M512" s="74">
        <f t="shared" si="11"/>
        <v>41115.46</v>
      </c>
    </row>
    <row r="513" spans="1:13">
      <c r="A513" t="s">
        <v>81</v>
      </c>
      <c r="B513" t="s">
        <v>11</v>
      </c>
      <c r="C513" s="51">
        <v>137550029106</v>
      </c>
      <c r="D513" s="1">
        <v>35572.94</v>
      </c>
      <c r="E513" s="1">
        <v>13120052.34</v>
      </c>
      <c r="F513" t="s">
        <v>1280</v>
      </c>
      <c r="I513" s="16"/>
      <c r="J513" s="68"/>
      <c r="K513" s="68"/>
      <c r="L513" s="68"/>
      <c r="M513" s="74">
        <f t="shared" si="11"/>
        <v>35572.94</v>
      </c>
    </row>
    <row r="514" spans="1:13">
      <c r="A514" t="s">
        <v>81</v>
      </c>
      <c r="B514" t="s">
        <v>11</v>
      </c>
      <c r="C514" s="51">
        <v>136916906659</v>
      </c>
      <c r="D514" s="1">
        <v>11107.02</v>
      </c>
      <c r="E514" s="1">
        <v>13131159.359999999</v>
      </c>
      <c r="F514" t="s">
        <v>1280</v>
      </c>
      <c r="I514" s="16"/>
      <c r="J514" s="68"/>
      <c r="K514" s="68"/>
      <c r="L514" s="68"/>
      <c r="M514" s="74">
        <f t="shared" si="11"/>
        <v>11107.02</v>
      </c>
    </row>
    <row r="515" spans="1:13">
      <c r="A515" t="s">
        <v>81</v>
      </c>
      <c r="B515" t="s">
        <v>85</v>
      </c>
      <c r="C515" s="51">
        <v>137549963508</v>
      </c>
      <c r="D515">
        <v>558.03</v>
      </c>
      <c r="E515" s="1">
        <v>13131717.390000001</v>
      </c>
      <c r="F515" t="s">
        <v>1280</v>
      </c>
      <c r="I515" s="16"/>
      <c r="J515" s="68"/>
      <c r="K515" s="68"/>
      <c r="L515" s="68"/>
      <c r="M515" s="74">
        <f t="shared" si="11"/>
        <v>558.03</v>
      </c>
    </row>
    <row r="516" spans="1:13">
      <c r="A516" t="s">
        <v>81</v>
      </c>
      <c r="B516" t="s">
        <v>11</v>
      </c>
      <c r="C516" s="51">
        <v>137680805420</v>
      </c>
      <c r="D516" s="1">
        <v>14322.21</v>
      </c>
      <c r="E516" s="1">
        <v>13210731.800000001</v>
      </c>
      <c r="F516" t="s">
        <v>1280</v>
      </c>
      <c r="I516" s="16"/>
      <c r="J516" s="68"/>
      <c r="K516" s="68"/>
      <c r="L516" s="68"/>
      <c r="M516" s="74">
        <f t="shared" si="11"/>
        <v>14322.21</v>
      </c>
    </row>
    <row r="517" spans="1:13">
      <c r="A517" t="s">
        <v>81</v>
      </c>
      <c r="B517" t="s">
        <v>11</v>
      </c>
      <c r="C517" s="51">
        <v>137681279634</v>
      </c>
      <c r="D517" s="1">
        <v>80769.47</v>
      </c>
      <c r="E517" s="1">
        <v>13291501.27</v>
      </c>
      <c r="F517" t="s">
        <v>1280</v>
      </c>
      <c r="I517" s="16"/>
      <c r="J517" s="68"/>
      <c r="K517" s="68"/>
      <c r="L517" s="68"/>
      <c r="M517" s="74">
        <f t="shared" si="11"/>
        <v>80769.47</v>
      </c>
    </row>
    <row r="518" spans="1:13">
      <c r="A518" t="s">
        <v>81</v>
      </c>
      <c r="B518" t="s">
        <v>11</v>
      </c>
      <c r="C518" s="51">
        <v>137048670453</v>
      </c>
      <c r="D518" s="1">
        <v>30041.46</v>
      </c>
      <c r="E518" s="1">
        <v>13321542.73</v>
      </c>
      <c r="F518" t="s">
        <v>1280</v>
      </c>
      <c r="I518" s="16"/>
      <c r="J518" s="68"/>
      <c r="K518" s="68"/>
      <c r="L518" s="68"/>
      <c r="M518" s="74">
        <f t="shared" si="11"/>
        <v>30041.46</v>
      </c>
    </row>
    <row r="519" spans="1:13">
      <c r="A519" t="s">
        <v>81</v>
      </c>
      <c r="B519" t="s">
        <v>11</v>
      </c>
      <c r="C519" s="51">
        <v>137682428878</v>
      </c>
      <c r="D519" s="1">
        <v>54171.08</v>
      </c>
      <c r="E519" s="1">
        <v>13375713.810000001</v>
      </c>
      <c r="F519" t="s">
        <v>1280</v>
      </c>
      <c r="I519" s="16"/>
      <c r="J519" s="68"/>
      <c r="K519" s="68"/>
      <c r="L519" s="68"/>
      <c r="M519" s="74">
        <f t="shared" si="11"/>
        <v>54171.08</v>
      </c>
    </row>
    <row r="520" spans="1:13">
      <c r="A520" t="s">
        <v>81</v>
      </c>
      <c r="B520" t="s">
        <v>11</v>
      </c>
      <c r="C520" s="51">
        <v>137683959550</v>
      </c>
      <c r="D520" s="1">
        <v>4448.71</v>
      </c>
      <c r="E520" s="1">
        <v>13382884.140000001</v>
      </c>
      <c r="F520" t="s">
        <v>1280</v>
      </c>
      <c r="I520" s="16"/>
      <c r="J520" s="68"/>
      <c r="K520" s="68"/>
      <c r="L520" s="68"/>
      <c r="M520" s="74">
        <f t="shared" si="11"/>
        <v>4448.71</v>
      </c>
    </row>
    <row r="521" spans="1:13">
      <c r="A521" t="s">
        <v>81</v>
      </c>
      <c r="B521" t="s">
        <v>11</v>
      </c>
      <c r="C521" s="51">
        <v>137684305360</v>
      </c>
      <c r="D521" s="1">
        <v>34685.08</v>
      </c>
      <c r="E521" s="1">
        <v>13417569.220000001</v>
      </c>
      <c r="F521" t="s">
        <v>1280</v>
      </c>
      <c r="I521" s="16"/>
      <c r="J521" s="68"/>
      <c r="K521" s="68"/>
      <c r="L521" s="68"/>
      <c r="M521" s="74">
        <f t="shared" si="11"/>
        <v>34685.08</v>
      </c>
    </row>
    <row r="522" spans="1:13">
      <c r="A522" t="s">
        <v>81</v>
      </c>
      <c r="B522" t="s">
        <v>11</v>
      </c>
      <c r="C522" s="51">
        <v>137051456749</v>
      </c>
      <c r="D522" s="1">
        <v>29663.58</v>
      </c>
      <c r="E522" s="1">
        <v>13447232.800000001</v>
      </c>
      <c r="F522" t="s">
        <v>1280</v>
      </c>
      <c r="I522" s="16"/>
      <c r="J522" s="68"/>
      <c r="K522" s="68"/>
      <c r="L522" s="68"/>
      <c r="M522" s="74">
        <f t="shared" si="11"/>
        <v>29663.58</v>
      </c>
    </row>
    <row r="523" spans="1:13">
      <c r="A523" t="s">
        <v>81</v>
      </c>
      <c r="B523" t="s">
        <v>11</v>
      </c>
      <c r="C523" s="51">
        <v>137051650943</v>
      </c>
      <c r="D523" s="1">
        <v>35709.660000000003</v>
      </c>
      <c r="E523" s="1">
        <v>13482942.460000001</v>
      </c>
      <c r="F523" t="s">
        <v>1280</v>
      </c>
      <c r="I523" s="16"/>
      <c r="J523" s="68"/>
      <c r="K523" s="68"/>
      <c r="L523" s="68"/>
      <c r="M523" s="74">
        <f t="shared" si="11"/>
        <v>35709.660000000003</v>
      </c>
    </row>
    <row r="524" spans="1:13">
      <c r="A524" t="s">
        <v>81</v>
      </c>
      <c r="B524" t="s">
        <v>11</v>
      </c>
      <c r="C524" s="51">
        <v>137685229660</v>
      </c>
      <c r="D524" s="1">
        <v>18511.7</v>
      </c>
      <c r="E524" s="1">
        <v>13501454.16</v>
      </c>
      <c r="F524" t="s">
        <v>1280</v>
      </c>
      <c r="I524" s="16"/>
      <c r="J524" s="68"/>
      <c r="K524" s="68"/>
      <c r="L524" s="68"/>
      <c r="M524" s="74">
        <f t="shared" si="11"/>
        <v>18511.7</v>
      </c>
    </row>
    <row r="525" spans="1:13">
      <c r="A525" t="s">
        <v>81</v>
      </c>
      <c r="B525" t="s">
        <v>11</v>
      </c>
      <c r="C525" s="51">
        <v>137052357047</v>
      </c>
      <c r="D525" s="1">
        <v>14029.92</v>
      </c>
      <c r="E525" s="1">
        <v>13515484.08</v>
      </c>
      <c r="F525" t="s">
        <v>1280</v>
      </c>
      <c r="I525" s="16"/>
      <c r="J525" s="68"/>
      <c r="K525" s="68"/>
      <c r="L525" s="68"/>
      <c r="M525" s="74">
        <f t="shared" si="11"/>
        <v>14029.92</v>
      </c>
    </row>
    <row r="526" spans="1:13">
      <c r="A526" t="s">
        <v>81</v>
      </c>
      <c r="B526" t="s">
        <v>11</v>
      </c>
      <c r="C526" s="51">
        <v>137685932216</v>
      </c>
      <c r="D526" s="1">
        <v>24747.22</v>
      </c>
      <c r="E526" s="1">
        <v>13540231.300000001</v>
      </c>
      <c r="F526" t="s">
        <v>1280</v>
      </c>
      <c r="I526" s="16"/>
      <c r="J526" s="68"/>
      <c r="K526" s="68"/>
      <c r="L526" s="68"/>
      <c r="M526" s="74">
        <f t="shared" si="11"/>
        <v>24747.22</v>
      </c>
    </row>
    <row r="527" spans="1:13">
      <c r="A527" t="s">
        <v>81</v>
      </c>
      <c r="B527" t="s">
        <v>11</v>
      </c>
      <c r="C527" s="51">
        <v>137052814137</v>
      </c>
      <c r="D527" s="1">
        <v>20362.87</v>
      </c>
      <c r="E527" s="1">
        <v>13560594.17</v>
      </c>
      <c r="F527" t="s">
        <v>1280</v>
      </c>
      <c r="I527" s="16"/>
      <c r="J527" s="68"/>
      <c r="K527" s="68"/>
      <c r="L527" s="68"/>
      <c r="M527" s="74">
        <f t="shared" si="11"/>
        <v>20362.87</v>
      </c>
    </row>
    <row r="528" spans="1:13">
      <c r="A528" t="s">
        <v>81</v>
      </c>
      <c r="B528" t="s">
        <v>11</v>
      </c>
      <c r="C528" s="51">
        <v>137053159275</v>
      </c>
      <c r="D528" s="1">
        <v>50566.17</v>
      </c>
      <c r="E528" s="1">
        <v>13611160.34</v>
      </c>
      <c r="F528" t="s">
        <v>1280</v>
      </c>
      <c r="I528" s="16"/>
      <c r="J528" s="68"/>
      <c r="K528" s="68"/>
      <c r="L528" s="68"/>
      <c r="M528" s="74">
        <f t="shared" si="11"/>
        <v>50566.17</v>
      </c>
    </row>
    <row r="529" spans="1:13">
      <c r="A529" t="s">
        <v>81</v>
      </c>
      <c r="B529" t="s">
        <v>11</v>
      </c>
      <c r="C529" s="51">
        <v>137053592771</v>
      </c>
      <c r="D529" s="1">
        <v>17927.12</v>
      </c>
      <c r="E529" s="1">
        <v>13634168.470000001</v>
      </c>
      <c r="F529" t="s">
        <v>1280</v>
      </c>
      <c r="I529" s="16"/>
      <c r="J529" s="68"/>
      <c r="K529" s="68"/>
      <c r="L529" s="68"/>
      <c r="M529" s="74">
        <f t="shared" si="11"/>
        <v>17927.12</v>
      </c>
    </row>
    <row r="530" spans="1:13">
      <c r="A530" t="s">
        <v>81</v>
      </c>
      <c r="B530" t="s">
        <v>11</v>
      </c>
      <c r="C530" s="51">
        <v>137053991521</v>
      </c>
      <c r="D530" s="1">
        <v>43078.32</v>
      </c>
      <c r="E530" s="1">
        <v>13677246.789999999</v>
      </c>
      <c r="F530" t="s">
        <v>1280</v>
      </c>
      <c r="I530" s="16"/>
      <c r="J530" s="68"/>
      <c r="K530" s="68"/>
      <c r="L530" s="68"/>
      <c r="M530" s="74">
        <f t="shared" si="11"/>
        <v>43078.32</v>
      </c>
    </row>
    <row r="531" spans="1:13">
      <c r="A531" t="s">
        <v>81</v>
      </c>
      <c r="B531" t="s">
        <v>11</v>
      </c>
      <c r="C531" s="51">
        <v>137054667043</v>
      </c>
      <c r="D531" s="1">
        <v>41854.19</v>
      </c>
      <c r="E531" s="1">
        <v>13719100.98</v>
      </c>
      <c r="F531" t="s">
        <v>1280</v>
      </c>
      <c r="I531" s="16"/>
      <c r="J531" s="68"/>
      <c r="K531" s="68"/>
      <c r="L531" s="68"/>
      <c r="M531" s="74">
        <f t="shared" si="11"/>
        <v>41854.19</v>
      </c>
    </row>
    <row r="532" spans="1:13">
      <c r="A532" t="s">
        <v>81</v>
      </c>
      <c r="B532" t="s">
        <v>11</v>
      </c>
      <c r="C532" s="51">
        <v>137688726850</v>
      </c>
      <c r="D532" s="1">
        <v>34103.67</v>
      </c>
      <c r="E532" s="1">
        <v>13753204.65</v>
      </c>
      <c r="F532" t="s">
        <v>1280</v>
      </c>
      <c r="I532" s="16"/>
      <c r="J532" s="68"/>
      <c r="K532" s="68"/>
      <c r="L532" s="68"/>
      <c r="M532" s="74">
        <f t="shared" si="11"/>
        <v>34103.67</v>
      </c>
    </row>
    <row r="533" spans="1:13">
      <c r="A533" t="s">
        <v>89</v>
      </c>
      <c r="B533" t="s">
        <v>11</v>
      </c>
      <c r="C533" s="51">
        <v>137688911668</v>
      </c>
      <c r="D533" s="1">
        <v>4774.07</v>
      </c>
      <c r="E533" s="1">
        <v>13757978.720000001</v>
      </c>
      <c r="F533" t="s">
        <v>1280</v>
      </c>
      <c r="I533" s="16"/>
      <c r="J533" s="68"/>
      <c r="K533" s="68"/>
      <c r="L533" s="68"/>
      <c r="M533" s="74">
        <f t="shared" si="11"/>
        <v>4774.07</v>
      </c>
    </row>
    <row r="534" spans="1:13">
      <c r="A534" t="s">
        <v>89</v>
      </c>
      <c r="B534" t="s">
        <v>11</v>
      </c>
      <c r="C534" s="51">
        <v>137055724405</v>
      </c>
      <c r="D534" s="1">
        <v>32833.910000000003</v>
      </c>
      <c r="E534" s="1">
        <v>13790812.630000001</v>
      </c>
      <c r="F534" t="s">
        <v>1280</v>
      </c>
      <c r="I534" s="16"/>
      <c r="J534" s="68"/>
      <c r="K534" s="68"/>
      <c r="L534" s="68"/>
      <c r="M534" s="74">
        <f t="shared" si="11"/>
        <v>32833.910000000003</v>
      </c>
    </row>
    <row r="535" spans="1:13">
      <c r="A535" t="s">
        <v>81</v>
      </c>
      <c r="B535" t="s">
        <v>88</v>
      </c>
      <c r="C535" s="51">
        <v>137048989753</v>
      </c>
      <c r="D535" s="1">
        <v>2721.62</v>
      </c>
      <c r="E535" s="1">
        <v>13378435.43</v>
      </c>
      <c r="F535" t="s">
        <v>1280</v>
      </c>
      <c r="I535" s="16"/>
      <c r="J535" s="68"/>
      <c r="K535" s="68"/>
      <c r="L535" s="68"/>
      <c r="M535" s="74">
        <f t="shared" si="11"/>
        <v>2721.62</v>
      </c>
    </row>
    <row r="536" spans="1:13">
      <c r="A536" t="s">
        <v>89</v>
      </c>
      <c r="B536" t="s">
        <v>11</v>
      </c>
      <c r="C536" s="51">
        <v>137689978402</v>
      </c>
      <c r="D536" s="1">
        <v>48085.23</v>
      </c>
      <c r="E536" s="1">
        <v>13838897.859999999</v>
      </c>
      <c r="F536" t="s">
        <v>1280</v>
      </c>
      <c r="I536" s="16"/>
      <c r="J536" s="68"/>
      <c r="K536" s="68"/>
      <c r="L536" s="68"/>
      <c r="M536" s="74">
        <f t="shared" si="11"/>
        <v>48085.23</v>
      </c>
    </row>
    <row r="537" spans="1:13">
      <c r="A537" t="s">
        <v>89</v>
      </c>
      <c r="B537" t="s">
        <v>11</v>
      </c>
      <c r="C537" s="51">
        <v>137056843823</v>
      </c>
      <c r="D537" s="1">
        <v>40336.019999999997</v>
      </c>
      <c r="E537" s="1">
        <v>13879233.880000001</v>
      </c>
      <c r="F537" t="s">
        <v>1280</v>
      </c>
      <c r="I537" s="16"/>
      <c r="J537" s="68"/>
      <c r="K537" s="68"/>
      <c r="L537" s="68"/>
      <c r="M537" s="74">
        <f t="shared" si="11"/>
        <v>40336.019999999997</v>
      </c>
    </row>
    <row r="538" spans="1:13">
      <c r="A538" t="s">
        <v>89</v>
      </c>
      <c r="B538" t="s">
        <v>11</v>
      </c>
      <c r="C538" s="51">
        <v>137057370005</v>
      </c>
      <c r="D538" s="1">
        <v>41417.56</v>
      </c>
      <c r="E538" s="1">
        <v>13922677.970000001</v>
      </c>
      <c r="F538" t="s">
        <v>1280</v>
      </c>
      <c r="I538" s="16"/>
      <c r="J538" s="68"/>
      <c r="K538" s="68"/>
      <c r="L538" s="68"/>
      <c r="M538" s="74">
        <f t="shared" si="11"/>
        <v>41417.56</v>
      </c>
    </row>
    <row r="539" spans="1:13">
      <c r="A539" t="s">
        <v>89</v>
      </c>
      <c r="B539" t="s">
        <v>11</v>
      </c>
      <c r="C539" s="51">
        <v>137057641201</v>
      </c>
      <c r="D539" s="1">
        <v>34879.94</v>
      </c>
      <c r="E539" s="1">
        <v>13957557.91</v>
      </c>
      <c r="F539" t="s">
        <v>1280</v>
      </c>
      <c r="I539" s="16"/>
      <c r="J539" s="68"/>
      <c r="K539" s="68"/>
      <c r="L539" s="68"/>
      <c r="M539" s="74">
        <f t="shared" si="11"/>
        <v>34879.94</v>
      </c>
    </row>
    <row r="540" spans="1:13">
      <c r="A540" t="s">
        <v>89</v>
      </c>
      <c r="B540" t="s">
        <v>11</v>
      </c>
      <c r="C540" s="51">
        <v>137057721637</v>
      </c>
      <c r="D540" s="1">
        <v>40547.519999999997</v>
      </c>
      <c r="E540" s="1">
        <v>13999857.84</v>
      </c>
      <c r="F540" t="s">
        <v>1280</v>
      </c>
      <c r="I540" s="16"/>
      <c r="J540" s="68"/>
      <c r="K540" s="68"/>
      <c r="L540" s="68"/>
      <c r="M540" s="74">
        <f t="shared" si="11"/>
        <v>40547.519999999997</v>
      </c>
    </row>
    <row r="541" spans="1:13">
      <c r="A541" t="s">
        <v>89</v>
      </c>
      <c r="B541" t="s">
        <v>11</v>
      </c>
      <c r="C541" s="51">
        <v>137057745919</v>
      </c>
      <c r="D541" s="1">
        <v>26419.89</v>
      </c>
      <c r="E541" s="1">
        <v>14026277.73</v>
      </c>
      <c r="F541" t="s">
        <v>1280</v>
      </c>
      <c r="I541" s="16"/>
      <c r="J541" s="68"/>
      <c r="K541" s="68"/>
      <c r="L541" s="68"/>
      <c r="M541" s="74">
        <f t="shared" si="11"/>
        <v>26419.89</v>
      </c>
    </row>
    <row r="542" spans="1:13">
      <c r="A542" t="s">
        <v>89</v>
      </c>
      <c r="B542" t="s">
        <v>11</v>
      </c>
      <c r="C542" s="51">
        <v>137691353480</v>
      </c>
      <c r="D542" s="1">
        <v>19486</v>
      </c>
      <c r="E542" s="1">
        <v>14045763.73</v>
      </c>
      <c r="F542" t="s">
        <v>1280</v>
      </c>
      <c r="I542" s="16"/>
      <c r="J542" s="68"/>
      <c r="K542" s="68"/>
      <c r="L542" s="68"/>
      <c r="M542" s="74">
        <f t="shared" si="11"/>
        <v>19486</v>
      </c>
    </row>
    <row r="543" spans="1:13">
      <c r="A543" t="s">
        <v>89</v>
      </c>
      <c r="B543" t="s">
        <v>11</v>
      </c>
      <c r="C543" s="51">
        <v>137057923599</v>
      </c>
      <c r="D543" s="1">
        <v>40238.589999999997</v>
      </c>
      <c r="E543" s="1">
        <v>14086002.32</v>
      </c>
      <c r="F543" t="s">
        <v>1280</v>
      </c>
      <c r="I543" s="16"/>
      <c r="J543" s="68"/>
      <c r="K543" s="68"/>
      <c r="L543" s="68"/>
      <c r="M543" s="74">
        <f t="shared" si="11"/>
        <v>40238.589999999997</v>
      </c>
    </row>
    <row r="544" spans="1:13">
      <c r="A544" t="s">
        <v>89</v>
      </c>
      <c r="B544" t="s">
        <v>11</v>
      </c>
      <c r="C544" s="51">
        <v>137058045427</v>
      </c>
      <c r="D544" s="1">
        <v>47838.13</v>
      </c>
      <c r="E544" s="1">
        <v>14133840.449999999</v>
      </c>
      <c r="F544" t="s">
        <v>1280</v>
      </c>
      <c r="I544" s="16"/>
      <c r="J544" s="68"/>
      <c r="K544" s="68"/>
      <c r="L544" s="68"/>
      <c r="M544" s="74">
        <f t="shared" si="11"/>
        <v>47838.13</v>
      </c>
    </row>
    <row r="545" spans="1:13">
      <c r="A545" t="s">
        <v>81</v>
      </c>
      <c r="B545" t="s">
        <v>18</v>
      </c>
      <c r="C545" s="51">
        <v>137053262509</v>
      </c>
      <c r="D545" s="1">
        <v>5081.01</v>
      </c>
      <c r="E545" s="1">
        <v>13616241.35</v>
      </c>
      <c r="F545" t="s">
        <v>1280</v>
      </c>
      <c r="I545" s="16"/>
      <c r="J545" s="68"/>
      <c r="K545" s="68"/>
      <c r="L545" s="68"/>
      <c r="M545" s="74">
        <f t="shared" si="11"/>
        <v>5081.01</v>
      </c>
    </row>
    <row r="546" spans="1:13">
      <c r="A546" t="s">
        <v>89</v>
      </c>
      <c r="B546" t="s">
        <v>11</v>
      </c>
      <c r="C546" s="51">
        <v>137691630590</v>
      </c>
      <c r="D546" s="1">
        <v>4505.28</v>
      </c>
      <c r="E546" s="1">
        <v>14138345.73</v>
      </c>
      <c r="F546" t="s">
        <v>1280</v>
      </c>
      <c r="I546" s="16"/>
      <c r="J546" s="68"/>
      <c r="K546" s="68"/>
      <c r="L546" s="68"/>
      <c r="M546" s="74">
        <f t="shared" si="11"/>
        <v>4505.28</v>
      </c>
    </row>
    <row r="547" spans="1:13">
      <c r="A547" t="s">
        <v>89</v>
      </c>
      <c r="B547" t="s">
        <v>11</v>
      </c>
      <c r="C547" s="51">
        <v>137691754334</v>
      </c>
      <c r="D547" s="1">
        <v>15588.8</v>
      </c>
      <c r="E547" s="1">
        <v>14153934.529999999</v>
      </c>
      <c r="F547" t="s">
        <v>1280</v>
      </c>
      <c r="I547" s="16"/>
      <c r="J547" s="68"/>
      <c r="K547" s="68"/>
      <c r="L547" s="68"/>
      <c r="M547" s="74">
        <f t="shared" si="11"/>
        <v>15588.8</v>
      </c>
    </row>
    <row r="548" spans="1:13">
      <c r="A548" t="s">
        <v>89</v>
      </c>
      <c r="B548" t="s">
        <v>11</v>
      </c>
      <c r="C548" s="51">
        <v>137058507115</v>
      </c>
      <c r="D548" s="1">
        <v>23675.49</v>
      </c>
      <c r="E548" s="1">
        <v>14177610.02</v>
      </c>
      <c r="F548" t="s">
        <v>1280</v>
      </c>
      <c r="I548" s="16"/>
      <c r="J548" s="68"/>
      <c r="K548" s="68"/>
      <c r="L548" s="68"/>
      <c r="M548" s="74">
        <f t="shared" si="11"/>
        <v>23675.49</v>
      </c>
    </row>
    <row r="549" spans="1:13">
      <c r="A549" t="s">
        <v>89</v>
      </c>
      <c r="B549" t="s">
        <v>11</v>
      </c>
      <c r="C549" s="51">
        <v>137692068996</v>
      </c>
      <c r="D549" s="1">
        <v>201644.59</v>
      </c>
      <c r="E549" s="1">
        <v>14379254.609999999</v>
      </c>
      <c r="F549" t="s">
        <v>1280</v>
      </c>
      <c r="I549" s="16"/>
      <c r="J549" s="68"/>
      <c r="K549" s="68"/>
      <c r="L549" s="68"/>
      <c r="M549" s="74">
        <f t="shared" si="11"/>
        <v>201644.59</v>
      </c>
    </row>
    <row r="550" spans="1:13">
      <c r="A550" t="s">
        <v>89</v>
      </c>
      <c r="B550" t="s">
        <v>11</v>
      </c>
      <c r="C550" s="51">
        <v>137058637227</v>
      </c>
      <c r="D550" s="1">
        <v>42674.34</v>
      </c>
      <c r="E550" s="1">
        <v>14421928.949999999</v>
      </c>
      <c r="F550" t="s">
        <v>1280</v>
      </c>
      <c r="I550" s="16"/>
      <c r="J550" s="68"/>
      <c r="K550" s="68"/>
      <c r="L550" s="68"/>
      <c r="M550" s="74">
        <f t="shared" si="11"/>
        <v>42674.34</v>
      </c>
    </row>
    <row r="551" spans="1:13">
      <c r="A551" t="s">
        <v>89</v>
      </c>
      <c r="B551" t="s">
        <v>11</v>
      </c>
      <c r="C551" s="51">
        <v>137058747509</v>
      </c>
      <c r="D551" s="1">
        <v>56513.68</v>
      </c>
      <c r="E551" s="1">
        <v>14478442.630000001</v>
      </c>
      <c r="F551" t="s">
        <v>1280</v>
      </c>
      <c r="I551" s="16"/>
      <c r="J551" s="68"/>
      <c r="K551" s="68"/>
      <c r="L551" s="68"/>
      <c r="M551" s="74">
        <f t="shared" si="11"/>
        <v>56513.68</v>
      </c>
    </row>
    <row r="552" spans="1:13">
      <c r="A552" t="s">
        <v>89</v>
      </c>
      <c r="B552" t="s">
        <v>11</v>
      </c>
      <c r="C552" s="51">
        <v>137059550407</v>
      </c>
      <c r="D552" s="1">
        <v>33320.300000000003</v>
      </c>
      <c r="E552" s="1">
        <v>14511762.93</v>
      </c>
      <c r="F552" t="s">
        <v>1280</v>
      </c>
      <c r="I552" s="16"/>
      <c r="J552" s="68"/>
      <c r="K552" s="68"/>
      <c r="L552" s="68"/>
      <c r="M552" s="74">
        <f t="shared" ref="M552:M615" si="12">+D552-I552-J552-K552-L552</f>
        <v>33320.300000000003</v>
      </c>
    </row>
    <row r="553" spans="1:13">
      <c r="A553" t="s">
        <v>89</v>
      </c>
      <c r="B553" t="s">
        <v>11</v>
      </c>
      <c r="C553" s="51">
        <v>137693029234</v>
      </c>
      <c r="D553" s="1">
        <v>21434.6</v>
      </c>
      <c r="E553" s="1">
        <v>14533197.529999999</v>
      </c>
      <c r="F553" t="s">
        <v>1280</v>
      </c>
      <c r="I553" s="16"/>
      <c r="J553" s="68"/>
      <c r="K553" s="68"/>
      <c r="L553" s="68"/>
      <c r="M553" s="74">
        <f t="shared" si="12"/>
        <v>21434.6</v>
      </c>
    </row>
    <row r="554" spans="1:13">
      <c r="A554" t="s">
        <v>89</v>
      </c>
      <c r="B554" t="s">
        <v>90</v>
      </c>
      <c r="C554" s="51">
        <v>137056849773</v>
      </c>
      <c r="D554" s="1">
        <v>2026.53</v>
      </c>
      <c r="E554" s="1">
        <v>13881260.41</v>
      </c>
      <c r="F554" t="s">
        <v>1280</v>
      </c>
      <c r="I554" s="16"/>
      <c r="J554" s="68"/>
      <c r="K554" s="68"/>
      <c r="L554" s="68"/>
      <c r="M554" s="74">
        <f t="shared" si="12"/>
        <v>2026.53</v>
      </c>
    </row>
    <row r="555" spans="1:13">
      <c r="A555" t="s">
        <v>89</v>
      </c>
      <c r="B555" t="s">
        <v>11</v>
      </c>
      <c r="C555" s="51">
        <v>137060218899</v>
      </c>
      <c r="D555" s="1">
        <v>16075.95</v>
      </c>
      <c r="E555" s="1">
        <v>14549273.48</v>
      </c>
      <c r="F555" t="s">
        <v>1280</v>
      </c>
      <c r="I555" s="16"/>
      <c r="J555" s="68"/>
      <c r="K555" s="68"/>
      <c r="L555" s="68"/>
      <c r="M555" s="74">
        <f t="shared" si="12"/>
        <v>16075.95</v>
      </c>
    </row>
    <row r="556" spans="1:13">
      <c r="A556" t="s">
        <v>89</v>
      </c>
      <c r="B556" t="s">
        <v>11</v>
      </c>
      <c r="C556" s="51">
        <v>137694142296</v>
      </c>
      <c r="D556" s="1">
        <v>79990.03</v>
      </c>
      <c r="E556" s="1">
        <v>14629263.51</v>
      </c>
      <c r="F556" t="s">
        <v>1280</v>
      </c>
      <c r="I556" s="16"/>
      <c r="J556" s="68"/>
      <c r="K556" s="68"/>
      <c r="L556" s="68"/>
      <c r="M556" s="74">
        <f t="shared" si="12"/>
        <v>79990.03</v>
      </c>
    </row>
    <row r="557" spans="1:13">
      <c r="A557" t="s">
        <v>89</v>
      </c>
      <c r="B557" t="s">
        <v>91</v>
      </c>
      <c r="C557" s="51">
        <v>137691015632</v>
      </c>
      <c r="D557" s="1">
        <v>1752.41</v>
      </c>
      <c r="E557" s="1">
        <v>13959310.32</v>
      </c>
      <c r="F557" t="s">
        <v>1280</v>
      </c>
      <c r="I557" s="16"/>
      <c r="J557" s="68"/>
      <c r="K557" s="68"/>
      <c r="L557" s="68"/>
      <c r="M557" s="74">
        <f t="shared" si="12"/>
        <v>1752.41</v>
      </c>
    </row>
    <row r="558" spans="1:13">
      <c r="A558" t="s">
        <v>89</v>
      </c>
      <c r="B558" t="s">
        <v>11</v>
      </c>
      <c r="C558" s="51">
        <v>137694288196</v>
      </c>
      <c r="D558" s="1">
        <v>4676.6400000000003</v>
      </c>
      <c r="E558" s="1">
        <v>14637958.939999999</v>
      </c>
      <c r="F558" t="s">
        <v>1280</v>
      </c>
      <c r="I558" s="16"/>
      <c r="J558" s="68"/>
      <c r="K558" s="68"/>
      <c r="L558" s="68"/>
      <c r="M558" s="74">
        <f t="shared" si="12"/>
        <v>4676.6400000000003</v>
      </c>
    </row>
    <row r="559" spans="1:13">
      <c r="A559" t="s">
        <v>89</v>
      </c>
      <c r="B559" t="s">
        <v>11</v>
      </c>
      <c r="C559" s="51">
        <v>137060803417</v>
      </c>
      <c r="D559" s="1">
        <v>160662.07</v>
      </c>
      <c r="E559" s="1">
        <v>14798621.01</v>
      </c>
      <c r="F559" t="s">
        <v>1280</v>
      </c>
      <c r="I559" s="16"/>
      <c r="J559" s="68"/>
      <c r="K559" s="68"/>
      <c r="L559" s="68"/>
      <c r="M559" s="74">
        <f t="shared" si="12"/>
        <v>160662.07</v>
      </c>
    </row>
    <row r="560" spans="1:13">
      <c r="A560" t="s">
        <v>89</v>
      </c>
      <c r="B560" t="s">
        <v>11</v>
      </c>
      <c r="C560" s="51">
        <v>137061031397</v>
      </c>
      <c r="D560" s="1">
        <v>44622.94</v>
      </c>
      <c r="E560" s="1">
        <v>14843243.949999999</v>
      </c>
      <c r="F560" t="s">
        <v>1280</v>
      </c>
      <c r="I560" s="16"/>
      <c r="J560" s="68"/>
      <c r="K560" s="68"/>
      <c r="L560" s="68"/>
      <c r="M560" s="74">
        <f t="shared" si="12"/>
        <v>44622.94</v>
      </c>
    </row>
    <row r="561" spans="1:13">
      <c r="A561" t="s">
        <v>89</v>
      </c>
      <c r="B561" t="s">
        <v>11</v>
      </c>
      <c r="C561" s="51">
        <v>137694509248</v>
      </c>
      <c r="D561" s="1">
        <v>50079.02</v>
      </c>
      <c r="E561" s="1">
        <v>14893322.970000001</v>
      </c>
      <c r="F561" t="s">
        <v>1280</v>
      </c>
      <c r="I561" s="16"/>
      <c r="J561" s="68"/>
      <c r="K561" s="68"/>
      <c r="L561" s="68"/>
      <c r="M561" s="74">
        <f t="shared" si="12"/>
        <v>50079.02</v>
      </c>
    </row>
    <row r="562" spans="1:13">
      <c r="A562" t="s">
        <v>89</v>
      </c>
      <c r="B562" t="s">
        <v>11</v>
      </c>
      <c r="C562" s="51">
        <v>137694716170</v>
      </c>
      <c r="D562" s="1">
        <v>14322.21</v>
      </c>
      <c r="E562" s="1">
        <v>14907645.18</v>
      </c>
      <c r="F562" t="s">
        <v>1280</v>
      </c>
      <c r="I562" s="16"/>
      <c r="J562" s="68"/>
      <c r="K562" s="68"/>
      <c r="L562" s="68"/>
      <c r="M562" s="74">
        <f t="shared" si="12"/>
        <v>14322.21</v>
      </c>
    </row>
    <row r="563" spans="1:13">
      <c r="A563" t="s">
        <v>89</v>
      </c>
      <c r="B563" t="s">
        <v>11</v>
      </c>
      <c r="C563" s="51">
        <v>137061792333</v>
      </c>
      <c r="D563" s="1">
        <v>58263.14</v>
      </c>
      <c r="E563" s="1">
        <v>14965908.32</v>
      </c>
      <c r="F563" t="s">
        <v>1280</v>
      </c>
      <c r="I563" s="16"/>
      <c r="J563" s="68"/>
      <c r="K563" s="68"/>
      <c r="L563" s="68"/>
      <c r="M563" s="74">
        <f t="shared" si="12"/>
        <v>58263.14</v>
      </c>
    </row>
    <row r="564" spans="1:13">
      <c r="A564" t="s">
        <v>89</v>
      </c>
      <c r="B564" t="s">
        <v>11</v>
      </c>
      <c r="C564" s="51">
        <v>137062018711</v>
      </c>
      <c r="D564" s="1">
        <v>9986.9</v>
      </c>
      <c r="E564" s="1">
        <v>14975895.220000001</v>
      </c>
      <c r="F564" t="s">
        <v>1280</v>
      </c>
      <c r="I564" s="16"/>
      <c r="J564" s="68"/>
      <c r="K564" s="68"/>
      <c r="L564" s="68"/>
      <c r="M564" s="74">
        <f t="shared" si="12"/>
        <v>9986.9</v>
      </c>
    </row>
    <row r="565" spans="1:13">
      <c r="A565" t="s">
        <v>89</v>
      </c>
      <c r="B565" t="s">
        <v>11</v>
      </c>
      <c r="C565" s="51">
        <v>137695460966</v>
      </c>
      <c r="D565" s="1">
        <v>9386.69</v>
      </c>
      <c r="E565" s="1">
        <v>14985281.91</v>
      </c>
      <c r="F565" t="s">
        <v>1280</v>
      </c>
      <c r="I565" s="16"/>
      <c r="J565" s="68"/>
      <c r="K565" s="68"/>
      <c r="L565" s="68"/>
      <c r="M565" s="74">
        <f t="shared" si="12"/>
        <v>9386.69</v>
      </c>
    </row>
    <row r="566" spans="1:13">
      <c r="A566" t="s">
        <v>89</v>
      </c>
      <c r="B566" t="s">
        <v>11</v>
      </c>
      <c r="C566" s="51">
        <v>137695742258</v>
      </c>
      <c r="D566" s="1">
        <v>4676.6400000000003</v>
      </c>
      <c r="E566" s="1">
        <v>14989958.550000001</v>
      </c>
      <c r="F566" t="s">
        <v>1280</v>
      </c>
      <c r="I566" s="16"/>
      <c r="J566" s="68"/>
      <c r="K566" s="68"/>
      <c r="L566" s="68"/>
      <c r="M566" s="74">
        <f t="shared" si="12"/>
        <v>4676.6400000000003</v>
      </c>
    </row>
    <row r="567" spans="1:13">
      <c r="A567" t="s">
        <v>89</v>
      </c>
      <c r="B567" t="s">
        <v>11</v>
      </c>
      <c r="C567" s="51">
        <v>137695785864</v>
      </c>
      <c r="D567" s="1">
        <v>4092.06</v>
      </c>
      <c r="E567" s="1">
        <v>14994050.609999999</v>
      </c>
      <c r="F567" t="s">
        <v>1280</v>
      </c>
      <c r="I567" s="16"/>
      <c r="J567" s="68"/>
      <c r="K567" s="68"/>
      <c r="L567" s="68"/>
      <c r="M567" s="74">
        <f t="shared" si="12"/>
        <v>4092.06</v>
      </c>
    </row>
    <row r="568" spans="1:13">
      <c r="A568" t="s">
        <v>89</v>
      </c>
      <c r="B568" t="s">
        <v>11</v>
      </c>
      <c r="C568" s="51">
        <v>137696623912</v>
      </c>
      <c r="D568" s="1">
        <v>9386.69</v>
      </c>
      <c r="E568" s="1">
        <v>15003437.300000001</v>
      </c>
      <c r="F568" t="s">
        <v>1280</v>
      </c>
      <c r="I568" s="16"/>
      <c r="J568" s="68"/>
      <c r="K568" s="68"/>
      <c r="L568" s="68"/>
      <c r="M568" s="74">
        <f t="shared" si="12"/>
        <v>9386.69</v>
      </c>
    </row>
    <row r="569" spans="1:13">
      <c r="A569" t="s">
        <v>89</v>
      </c>
      <c r="B569" t="s">
        <v>11</v>
      </c>
      <c r="C569" s="51">
        <v>137697056830</v>
      </c>
      <c r="D569" s="1">
        <v>9450.7099999999991</v>
      </c>
      <c r="E569" s="1">
        <v>15012888.01</v>
      </c>
      <c r="F569" t="s">
        <v>1280</v>
      </c>
      <c r="I569" s="16"/>
      <c r="J569" s="68"/>
      <c r="K569" s="68"/>
      <c r="L569" s="68"/>
      <c r="M569" s="74">
        <f t="shared" si="12"/>
        <v>9450.7099999999991</v>
      </c>
    </row>
    <row r="570" spans="1:13">
      <c r="A570" t="s">
        <v>89</v>
      </c>
      <c r="B570" t="s">
        <v>11</v>
      </c>
      <c r="C570" s="51">
        <v>137063694987</v>
      </c>
      <c r="D570" s="1">
        <v>30787.88</v>
      </c>
      <c r="E570" s="1">
        <v>15043675.890000001</v>
      </c>
      <c r="F570" t="s">
        <v>1280</v>
      </c>
      <c r="I570" s="16"/>
      <c r="J570" s="68"/>
      <c r="K570" s="68"/>
      <c r="L570" s="68"/>
      <c r="M570" s="74">
        <f t="shared" si="12"/>
        <v>30787.88</v>
      </c>
    </row>
    <row r="571" spans="1:13">
      <c r="A571" t="s">
        <v>89</v>
      </c>
      <c r="B571" t="s">
        <v>11</v>
      </c>
      <c r="C571" s="51">
        <v>137697186668</v>
      </c>
      <c r="D571" s="1">
        <v>7794.4</v>
      </c>
      <c r="E571" s="1">
        <v>15051470.289999999</v>
      </c>
      <c r="F571" t="s">
        <v>1280</v>
      </c>
      <c r="I571" s="16"/>
      <c r="J571" s="68"/>
      <c r="K571" s="68"/>
      <c r="L571" s="68"/>
      <c r="M571" s="74">
        <f t="shared" si="12"/>
        <v>7794.4</v>
      </c>
    </row>
    <row r="572" spans="1:13">
      <c r="A572" t="s">
        <v>89</v>
      </c>
      <c r="B572" t="s">
        <v>11</v>
      </c>
      <c r="C572" s="51">
        <v>137063936513</v>
      </c>
      <c r="D572" s="1">
        <v>7644.83</v>
      </c>
      <c r="E572" s="1">
        <v>15059115.119999999</v>
      </c>
      <c r="F572" t="s">
        <v>1280</v>
      </c>
      <c r="I572" s="16"/>
      <c r="J572" s="68"/>
      <c r="K572" s="68"/>
      <c r="L572" s="68"/>
      <c r="M572" s="74">
        <f t="shared" si="12"/>
        <v>7644.83</v>
      </c>
    </row>
    <row r="573" spans="1:13">
      <c r="A573" t="s">
        <v>89</v>
      </c>
      <c r="B573" t="s">
        <v>92</v>
      </c>
      <c r="C573" s="51">
        <v>137694132400</v>
      </c>
      <c r="D573" s="1">
        <v>4018.79</v>
      </c>
      <c r="E573" s="1">
        <v>14633282.300000001</v>
      </c>
      <c r="F573" t="s">
        <v>1280</v>
      </c>
      <c r="I573" s="16"/>
      <c r="J573" s="68"/>
      <c r="K573" s="68"/>
      <c r="L573" s="68"/>
      <c r="M573" s="74">
        <f t="shared" si="12"/>
        <v>4018.79</v>
      </c>
    </row>
    <row r="574" spans="1:13">
      <c r="A574" t="s">
        <v>89</v>
      </c>
      <c r="B574" t="s">
        <v>11</v>
      </c>
      <c r="C574" s="51">
        <v>137063983389</v>
      </c>
      <c r="D574" s="1">
        <v>22408.9</v>
      </c>
      <c r="E574" s="1">
        <v>15081524.02</v>
      </c>
      <c r="F574" t="s">
        <v>1280</v>
      </c>
      <c r="I574" s="16"/>
      <c r="J574" s="68"/>
      <c r="K574" s="68"/>
      <c r="L574" s="68"/>
      <c r="M574" s="74">
        <f t="shared" si="12"/>
        <v>22408.9</v>
      </c>
    </row>
    <row r="575" spans="1:13">
      <c r="A575" t="s">
        <v>89</v>
      </c>
      <c r="B575" t="s">
        <v>11</v>
      </c>
      <c r="C575" s="51">
        <v>137697604934</v>
      </c>
      <c r="D575" s="1">
        <v>9483.4599999999991</v>
      </c>
      <c r="E575" s="1">
        <v>15091007.48</v>
      </c>
      <c r="F575" t="s">
        <v>1280</v>
      </c>
      <c r="I575" s="16"/>
      <c r="J575" s="68"/>
      <c r="K575" s="68"/>
      <c r="L575" s="68"/>
      <c r="M575" s="74">
        <f t="shared" si="12"/>
        <v>9483.4599999999991</v>
      </c>
    </row>
    <row r="576" spans="1:13">
      <c r="A576" t="s">
        <v>89</v>
      </c>
      <c r="B576" t="s">
        <v>11</v>
      </c>
      <c r="C576" s="51">
        <v>137064486565</v>
      </c>
      <c r="D576" s="1">
        <v>9079</v>
      </c>
      <c r="E576" s="1">
        <v>15100086.48</v>
      </c>
      <c r="F576" t="s">
        <v>1280</v>
      </c>
      <c r="I576" s="16"/>
      <c r="J576" s="68"/>
      <c r="K576" s="68"/>
      <c r="L576" s="68"/>
      <c r="M576" s="74">
        <f t="shared" si="12"/>
        <v>9079</v>
      </c>
    </row>
    <row r="577" spans="1:13">
      <c r="A577" t="s">
        <v>89</v>
      </c>
      <c r="B577" t="s">
        <v>11</v>
      </c>
      <c r="C577" s="51">
        <v>137064461761</v>
      </c>
      <c r="D577" s="1">
        <v>18302.7</v>
      </c>
      <c r="E577" s="1">
        <v>15119857.68</v>
      </c>
      <c r="F577" t="s">
        <v>1280</v>
      </c>
      <c r="I577" s="16"/>
      <c r="J577" s="68"/>
      <c r="K577" s="68"/>
      <c r="L577" s="68"/>
      <c r="M577" s="74">
        <f t="shared" si="12"/>
        <v>18302.7</v>
      </c>
    </row>
    <row r="578" spans="1:13">
      <c r="A578" t="s">
        <v>89</v>
      </c>
      <c r="B578" t="s">
        <v>11</v>
      </c>
      <c r="C578" s="51">
        <v>137697994520</v>
      </c>
      <c r="D578" s="1">
        <v>20752.59</v>
      </c>
      <c r="E578" s="1">
        <v>15140610.27</v>
      </c>
      <c r="F578" t="s">
        <v>1280</v>
      </c>
      <c r="I578" s="16"/>
      <c r="J578" s="68"/>
      <c r="K578" s="68"/>
      <c r="L578" s="68"/>
      <c r="M578" s="74">
        <f t="shared" si="12"/>
        <v>20752.59</v>
      </c>
    </row>
    <row r="579" spans="1:13">
      <c r="A579" t="s">
        <v>89</v>
      </c>
      <c r="B579" t="s">
        <v>11</v>
      </c>
      <c r="C579" s="51">
        <v>137698157966</v>
      </c>
      <c r="D579" s="1">
        <v>11691.6</v>
      </c>
      <c r="E579" s="1">
        <v>15153344.5</v>
      </c>
      <c r="F579" t="s">
        <v>1280</v>
      </c>
      <c r="I579" s="16"/>
      <c r="J579" s="68"/>
      <c r="K579" s="68"/>
      <c r="L579" s="68"/>
      <c r="M579" s="74">
        <f t="shared" si="12"/>
        <v>11691.6</v>
      </c>
    </row>
    <row r="580" spans="1:13">
      <c r="A580" t="s">
        <v>89</v>
      </c>
      <c r="B580" t="s">
        <v>11</v>
      </c>
      <c r="C580" s="51">
        <v>137796402012</v>
      </c>
      <c r="D580" s="1">
        <v>9548.14</v>
      </c>
      <c r="E580" s="1">
        <v>15162892.640000001</v>
      </c>
      <c r="F580" t="s">
        <v>1280</v>
      </c>
      <c r="I580" s="16"/>
      <c r="J580" s="68"/>
      <c r="K580" s="68"/>
      <c r="L580" s="68"/>
      <c r="M580" s="74">
        <f t="shared" si="12"/>
        <v>9548.14</v>
      </c>
    </row>
    <row r="581" spans="1:13">
      <c r="A581" t="s">
        <v>89</v>
      </c>
      <c r="B581" t="s">
        <v>11</v>
      </c>
      <c r="C581" s="51">
        <v>137171793459</v>
      </c>
      <c r="D581" s="1">
        <v>9069.1200000000008</v>
      </c>
      <c r="E581" s="1">
        <v>15171961.76</v>
      </c>
      <c r="F581" t="s">
        <v>1280</v>
      </c>
      <c r="I581" s="16"/>
      <c r="J581" s="68"/>
      <c r="K581" s="68"/>
      <c r="L581" s="68"/>
      <c r="M581" s="74">
        <f t="shared" si="12"/>
        <v>9069.1200000000008</v>
      </c>
    </row>
    <row r="582" spans="1:13">
      <c r="A582" t="s">
        <v>89</v>
      </c>
      <c r="B582" t="s">
        <v>11</v>
      </c>
      <c r="C582" s="51">
        <v>137171897863</v>
      </c>
      <c r="D582" s="1">
        <v>9069.1200000000008</v>
      </c>
      <c r="E582" s="1">
        <v>15181030.880000001</v>
      </c>
      <c r="F582" t="s">
        <v>1280</v>
      </c>
      <c r="I582" s="16"/>
      <c r="J582" s="68"/>
      <c r="K582" s="68"/>
      <c r="L582" s="68"/>
      <c r="M582" s="74">
        <f t="shared" si="12"/>
        <v>9069.1200000000008</v>
      </c>
    </row>
    <row r="583" spans="1:13">
      <c r="A583" t="s">
        <v>89</v>
      </c>
      <c r="B583" t="s">
        <v>11</v>
      </c>
      <c r="C583" s="51">
        <v>137177682381</v>
      </c>
      <c r="D583" s="1">
        <v>32736.48</v>
      </c>
      <c r="E583" s="1">
        <v>15213767.359999999</v>
      </c>
      <c r="F583" t="s">
        <v>1280</v>
      </c>
      <c r="I583" s="16"/>
      <c r="J583" s="68"/>
      <c r="K583" s="68"/>
      <c r="L583" s="68"/>
      <c r="M583" s="74">
        <f t="shared" si="12"/>
        <v>32736.48</v>
      </c>
    </row>
    <row r="584" spans="1:13">
      <c r="A584" t="s">
        <v>89</v>
      </c>
      <c r="B584" t="s">
        <v>11</v>
      </c>
      <c r="C584" s="51">
        <v>137812067506</v>
      </c>
      <c r="D584" s="1">
        <v>38948.910000000003</v>
      </c>
      <c r="E584" s="1">
        <v>15252716.27</v>
      </c>
      <c r="F584" t="s">
        <v>1280</v>
      </c>
      <c r="I584" s="16"/>
      <c r="J584" s="68"/>
      <c r="K584" s="68"/>
      <c r="L584" s="68"/>
      <c r="M584" s="74">
        <f t="shared" si="12"/>
        <v>38948.910000000003</v>
      </c>
    </row>
    <row r="585" spans="1:13">
      <c r="A585" t="s">
        <v>89</v>
      </c>
      <c r="B585" t="s">
        <v>11</v>
      </c>
      <c r="C585" s="51">
        <v>137178342215</v>
      </c>
      <c r="D585" s="1">
        <v>4774.07</v>
      </c>
      <c r="E585" s="1">
        <v>15257490.34</v>
      </c>
      <c r="F585" t="s">
        <v>1280</v>
      </c>
      <c r="I585" s="16"/>
      <c r="J585" s="68"/>
      <c r="K585" s="68"/>
      <c r="L585" s="68"/>
      <c r="M585" s="74">
        <f t="shared" si="12"/>
        <v>4774.07</v>
      </c>
    </row>
    <row r="586" spans="1:13">
      <c r="A586" t="s">
        <v>89</v>
      </c>
      <c r="B586" t="s">
        <v>11</v>
      </c>
      <c r="C586" s="51">
        <v>137813773910</v>
      </c>
      <c r="D586" s="1">
        <v>42700.44</v>
      </c>
      <c r="E586" s="1">
        <v>15300190.779999999</v>
      </c>
      <c r="F586" t="s">
        <v>1280</v>
      </c>
      <c r="I586" s="16"/>
      <c r="J586" s="68"/>
      <c r="K586" s="68"/>
      <c r="L586" s="68"/>
      <c r="M586" s="74">
        <f t="shared" si="12"/>
        <v>42700.44</v>
      </c>
    </row>
    <row r="587" spans="1:13">
      <c r="A587" t="s">
        <v>89</v>
      </c>
      <c r="B587" t="s">
        <v>11</v>
      </c>
      <c r="C587" s="51">
        <v>137814381636</v>
      </c>
      <c r="D587" s="1">
        <v>30035.200000000001</v>
      </c>
      <c r="E587" s="1">
        <v>15330225.98</v>
      </c>
      <c r="F587" t="s">
        <v>1280</v>
      </c>
      <c r="I587" s="16"/>
      <c r="J587" s="68"/>
      <c r="K587" s="68"/>
      <c r="L587" s="68"/>
      <c r="M587" s="74">
        <f t="shared" si="12"/>
        <v>30035.200000000001</v>
      </c>
    </row>
    <row r="588" spans="1:13">
      <c r="A588" t="s">
        <v>89</v>
      </c>
      <c r="B588" t="s">
        <v>11</v>
      </c>
      <c r="C588" s="51">
        <v>137815445676</v>
      </c>
      <c r="D588" s="1">
        <v>4448.71</v>
      </c>
      <c r="E588" s="1">
        <v>15334674.689999999</v>
      </c>
      <c r="F588" t="s">
        <v>1280</v>
      </c>
      <c r="I588" s="16"/>
      <c r="J588" s="68"/>
      <c r="K588" s="68"/>
      <c r="L588" s="68"/>
      <c r="M588" s="74">
        <f t="shared" si="12"/>
        <v>4448.71</v>
      </c>
    </row>
    <row r="589" spans="1:13">
      <c r="A589" t="s">
        <v>89</v>
      </c>
      <c r="B589" t="s">
        <v>11</v>
      </c>
      <c r="C589" s="51">
        <v>137815561874</v>
      </c>
      <c r="D589" s="1">
        <v>54481.51</v>
      </c>
      <c r="E589" s="1">
        <v>15389156.199999999</v>
      </c>
      <c r="F589" t="s">
        <v>1280</v>
      </c>
      <c r="I589" s="16"/>
      <c r="J589" s="68"/>
      <c r="K589" s="68"/>
      <c r="L589" s="68"/>
      <c r="M589" s="74">
        <f t="shared" si="12"/>
        <v>54481.51</v>
      </c>
    </row>
    <row r="590" spans="1:13">
      <c r="A590" t="s">
        <v>89</v>
      </c>
      <c r="B590" t="s">
        <v>11</v>
      </c>
      <c r="C590" s="51">
        <v>137815657922</v>
      </c>
      <c r="D590" s="1">
        <v>4092.06</v>
      </c>
      <c r="E590" s="1">
        <v>15398760.029999999</v>
      </c>
      <c r="F590" t="s">
        <v>1280</v>
      </c>
      <c r="I590" s="16"/>
      <c r="J590" s="68"/>
      <c r="K590" s="68"/>
      <c r="L590" s="68"/>
      <c r="M590" s="74">
        <f t="shared" si="12"/>
        <v>4092.06</v>
      </c>
    </row>
    <row r="591" spans="1:13">
      <c r="A591" t="s">
        <v>89</v>
      </c>
      <c r="B591" t="s">
        <v>11</v>
      </c>
      <c r="C591" s="51">
        <v>137816314558</v>
      </c>
      <c r="D591" s="1">
        <v>28152.06</v>
      </c>
      <c r="E591" s="1">
        <v>15426912.09</v>
      </c>
      <c r="F591" t="s">
        <v>1280</v>
      </c>
      <c r="I591" s="16"/>
      <c r="J591" s="68"/>
      <c r="K591" s="68"/>
      <c r="L591" s="68"/>
      <c r="M591" s="74">
        <f t="shared" si="12"/>
        <v>28152.06</v>
      </c>
    </row>
    <row r="592" spans="1:13">
      <c r="A592" t="s">
        <v>89</v>
      </c>
      <c r="B592" t="s">
        <v>93</v>
      </c>
      <c r="C592" s="51">
        <v>137064470797</v>
      </c>
      <c r="D592" s="1">
        <v>1468.5</v>
      </c>
      <c r="E592" s="1">
        <v>15101554.98</v>
      </c>
      <c r="F592" t="s">
        <v>1280</v>
      </c>
      <c r="I592" s="16"/>
      <c r="J592" s="68"/>
      <c r="K592" s="68"/>
      <c r="L592" s="68"/>
      <c r="M592" s="74">
        <f t="shared" si="12"/>
        <v>1468.5</v>
      </c>
    </row>
    <row r="593" spans="1:13">
      <c r="A593" t="s">
        <v>89</v>
      </c>
      <c r="B593" t="s">
        <v>11</v>
      </c>
      <c r="C593" s="51">
        <v>137817891008</v>
      </c>
      <c r="D593" s="1">
        <v>17612.14</v>
      </c>
      <c r="E593" s="1">
        <v>15446306.01</v>
      </c>
      <c r="F593" t="s">
        <v>1280</v>
      </c>
      <c r="I593" s="16"/>
      <c r="J593" s="68"/>
      <c r="K593" s="68"/>
      <c r="L593" s="68"/>
      <c r="M593" s="74">
        <f t="shared" si="12"/>
        <v>17612.14</v>
      </c>
    </row>
    <row r="594" spans="1:13">
      <c r="A594" t="s">
        <v>89</v>
      </c>
      <c r="B594" t="s">
        <v>11</v>
      </c>
      <c r="C594" s="51">
        <v>137818539048</v>
      </c>
      <c r="D594" s="1">
        <v>42322.559999999998</v>
      </c>
      <c r="E594" s="1">
        <v>15488628.57</v>
      </c>
      <c r="F594" t="s">
        <v>1280</v>
      </c>
      <c r="I594" s="16"/>
      <c r="J594" s="68"/>
      <c r="K594" s="68"/>
      <c r="L594" s="68"/>
      <c r="M594" s="74">
        <f t="shared" si="12"/>
        <v>42322.559999999998</v>
      </c>
    </row>
    <row r="595" spans="1:13">
      <c r="A595" t="s">
        <v>89</v>
      </c>
      <c r="B595" t="s">
        <v>94</v>
      </c>
      <c r="C595" s="51">
        <v>137697947034</v>
      </c>
      <c r="D595" s="1">
        <v>1042.6300000000001</v>
      </c>
      <c r="E595" s="1">
        <v>15141652.9</v>
      </c>
      <c r="F595" t="s">
        <v>1280</v>
      </c>
      <c r="I595" s="16"/>
      <c r="J595" s="68"/>
      <c r="K595" s="68"/>
      <c r="L595" s="68"/>
      <c r="M595" s="74">
        <f t="shared" si="12"/>
        <v>1042.6300000000001</v>
      </c>
    </row>
    <row r="596" spans="1:13">
      <c r="A596" t="s">
        <v>89</v>
      </c>
      <c r="B596" t="s">
        <v>11</v>
      </c>
      <c r="C596" s="51">
        <v>137184969243</v>
      </c>
      <c r="D596" s="1">
        <v>45897.54</v>
      </c>
      <c r="E596" s="1">
        <v>15534526.109999999</v>
      </c>
      <c r="F596" t="s">
        <v>1280</v>
      </c>
      <c r="I596" s="16"/>
      <c r="J596" s="68"/>
      <c r="K596" s="68"/>
      <c r="L596" s="68"/>
      <c r="M596" s="74">
        <f t="shared" si="12"/>
        <v>45897.54</v>
      </c>
    </row>
    <row r="597" spans="1:13">
      <c r="A597" t="s">
        <v>89</v>
      </c>
      <c r="B597" t="s">
        <v>11</v>
      </c>
      <c r="C597" s="51">
        <v>137819965468</v>
      </c>
      <c r="D597" s="1">
        <v>8573.84</v>
      </c>
      <c r="E597" s="1">
        <v>15543099.949999999</v>
      </c>
      <c r="F597" t="s">
        <v>1280</v>
      </c>
      <c r="I597" s="16"/>
      <c r="J597" s="68"/>
      <c r="K597" s="68"/>
      <c r="L597" s="68"/>
      <c r="M597" s="74">
        <f t="shared" si="12"/>
        <v>8573.84</v>
      </c>
    </row>
    <row r="598" spans="1:13">
      <c r="A598" t="s">
        <v>89</v>
      </c>
      <c r="B598" t="s">
        <v>11</v>
      </c>
      <c r="C598" s="51">
        <v>137821059358</v>
      </c>
      <c r="D598" s="1">
        <v>22432.54</v>
      </c>
      <c r="E598" s="1">
        <v>15565532.49</v>
      </c>
      <c r="F598" t="s">
        <v>1280</v>
      </c>
      <c r="I598" s="16"/>
      <c r="J598" s="68"/>
      <c r="K598" s="68"/>
      <c r="L598" s="68"/>
      <c r="M598" s="74">
        <f t="shared" si="12"/>
        <v>22432.54</v>
      </c>
    </row>
    <row r="599" spans="1:13">
      <c r="A599" t="s">
        <v>89</v>
      </c>
      <c r="B599" t="s">
        <v>11</v>
      </c>
      <c r="C599" s="51">
        <v>137187141275</v>
      </c>
      <c r="D599" s="1">
        <v>16532.25</v>
      </c>
      <c r="E599" s="1">
        <v>15582064.74</v>
      </c>
      <c r="F599" t="s">
        <v>1280</v>
      </c>
      <c r="I599" s="16"/>
      <c r="J599" s="68"/>
      <c r="K599" s="68"/>
      <c r="L599" s="68"/>
      <c r="M599" s="74">
        <f t="shared" si="12"/>
        <v>16532.25</v>
      </c>
    </row>
    <row r="600" spans="1:13">
      <c r="A600" t="s">
        <v>89</v>
      </c>
      <c r="B600" t="s">
        <v>11</v>
      </c>
      <c r="C600" s="51">
        <v>137187223345</v>
      </c>
      <c r="D600" s="1">
        <v>45629.01</v>
      </c>
      <c r="E600" s="1">
        <v>15627693.75</v>
      </c>
      <c r="F600" t="s">
        <v>1280</v>
      </c>
      <c r="I600" s="16"/>
      <c r="J600" s="68"/>
      <c r="K600" s="68"/>
      <c r="L600" s="68"/>
      <c r="M600" s="74">
        <f t="shared" si="12"/>
        <v>45629.01</v>
      </c>
    </row>
    <row r="601" spans="1:13">
      <c r="A601" t="s">
        <v>89</v>
      </c>
      <c r="B601" t="s">
        <v>11</v>
      </c>
      <c r="C601" s="51">
        <v>137187632023</v>
      </c>
      <c r="D601" s="1">
        <v>9548.14</v>
      </c>
      <c r="E601" s="1">
        <v>15637241.890000001</v>
      </c>
      <c r="F601" t="s">
        <v>1280</v>
      </c>
      <c r="I601" s="16"/>
      <c r="J601" s="68"/>
      <c r="K601" s="68"/>
      <c r="L601" s="68"/>
      <c r="M601" s="74">
        <f t="shared" si="12"/>
        <v>9548.14</v>
      </c>
    </row>
    <row r="602" spans="1:13">
      <c r="A602" t="s">
        <v>89</v>
      </c>
      <c r="B602" t="s">
        <v>11</v>
      </c>
      <c r="C602" s="51">
        <v>137188255017</v>
      </c>
      <c r="D602" s="1">
        <v>30495.59</v>
      </c>
      <c r="E602" s="1">
        <v>15667737.48</v>
      </c>
      <c r="F602" t="s">
        <v>1280</v>
      </c>
      <c r="I602" s="16"/>
      <c r="J602" s="68"/>
      <c r="K602" s="68"/>
      <c r="L602" s="68"/>
      <c r="M602" s="74">
        <f t="shared" si="12"/>
        <v>30495.59</v>
      </c>
    </row>
    <row r="603" spans="1:13">
      <c r="A603" t="s">
        <v>97</v>
      </c>
      <c r="B603" t="s">
        <v>11</v>
      </c>
      <c r="C603" s="51">
        <v>137188599895</v>
      </c>
      <c r="D603" s="1">
        <v>82127.5</v>
      </c>
      <c r="E603" s="1">
        <v>15749864.98</v>
      </c>
      <c r="F603" t="s">
        <v>1280</v>
      </c>
      <c r="I603" s="16"/>
      <c r="J603" s="68"/>
      <c r="K603" s="68"/>
      <c r="L603" s="68"/>
      <c r="M603" s="74">
        <f t="shared" si="12"/>
        <v>82127.5</v>
      </c>
    </row>
    <row r="604" spans="1:13">
      <c r="A604" t="s">
        <v>97</v>
      </c>
      <c r="B604" t="s">
        <v>11</v>
      </c>
      <c r="C604" s="51">
        <v>137188753725</v>
      </c>
      <c r="D604" s="1">
        <v>34103.67</v>
      </c>
      <c r="E604" s="1">
        <v>15783968.65</v>
      </c>
      <c r="F604" t="s">
        <v>1280</v>
      </c>
      <c r="I604" s="16"/>
      <c r="J604" s="68"/>
      <c r="K604" s="68"/>
      <c r="L604" s="68"/>
      <c r="M604" s="74">
        <f t="shared" si="12"/>
        <v>34103.67</v>
      </c>
    </row>
    <row r="605" spans="1:13">
      <c r="A605" t="s">
        <v>97</v>
      </c>
      <c r="B605" t="s">
        <v>11</v>
      </c>
      <c r="C605" s="51">
        <v>137188881167</v>
      </c>
      <c r="D605" s="1">
        <v>8715.84</v>
      </c>
      <c r="E605" s="1">
        <v>15792684.49</v>
      </c>
      <c r="F605" t="s">
        <v>1280</v>
      </c>
      <c r="I605" s="16"/>
      <c r="J605" s="68"/>
      <c r="K605" s="68"/>
      <c r="L605" s="68"/>
      <c r="M605" s="74">
        <f t="shared" si="12"/>
        <v>8715.84</v>
      </c>
    </row>
    <row r="606" spans="1:13">
      <c r="A606" t="s">
        <v>97</v>
      </c>
      <c r="B606" t="s">
        <v>11</v>
      </c>
      <c r="C606" s="51">
        <v>137823102664</v>
      </c>
      <c r="D606" s="1">
        <v>19744.23</v>
      </c>
      <c r="E606" s="1">
        <v>15812428.720000001</v>
      </c>
      <c r="F606" t="s">
        <v>1280</v>
      </c>
      <c r="I606" s="16"/>
      <c r="J606" s="68"/>
      <c r="K606" s="68"/>
      <c r="L606" s="68"/>
      <c r="M606" s="74">
        <f t="shared" si="12"/>
        <v>19744.23</v>
      </c>
    </row>
    <row r="607" spans="1:13">
      <c r="A607" t="s">
        <v>89</v>
      </c>
      <c r="B607" t="s">
        <v>95</v>
      </c>
      <c r="C607" s="51">
        <v>137181617531</v>
      </c>
      <c r="D607" s="1">
        <v>5511.77</v>
      </c>
      <c r="E607" s="1">
        <v>15394667.970000001</v>
      </c>
      <c r="F607" t="s">
        <v>1280</v>
      </c>
      <c r="I607" s="16"/>
      <c r="J607" s="68"/>
      <c r="K607" s="68"/>
      <c r="L607" s="68"/>
      <c r="M607" s="74">
        <f t="shared" si="12"/>
        <v>5511.77</v>
      </c>
    </row>
    <row r="608" spans="1:13">
      <c r="A608" t="s">
        <v>97</v>
      </c>
      <c r="B608" t="s">
        <v>11</v>
      </c>
      <c r="C608" s="51">
        <v>137823153712</v>
      </c>
      <c r="D608" s="1">
        <v>4092.06</v>
      </c>
      <c r="E608" s="1">
        <v>15816520.779999999</v>
      </c>
      <c r="F608" t="s">
        <v>1280</v>
      </c>
      <c r="I608" s="16"/>
      <c r="J608" s="68"/>
      <c r="K608" s="68"/>
      <c r="L608" s="68"/>
      <c r="M608" s="74">
        <f t="shared" si="12"/>
        <v>4092.06</v>
      </c>
    </row>
    <row r="609" spans="1:13">
      <c r="A609" t="s">
        <v>97</v>
      </c>
      <c r="B609" t="s">
        <v>11</v>
      </c>
      <c r="C609" s="51">
        <v>137825138680</v>
      </c>
      <c r="D609" s="1">
        <v>32497.68</v>
      </c>
      <c r="E609" s="1">
        <v>15849018.460000001</v>
      </c>
      <c r="F609" t="s">
        <v>1280</v>
      </c>
      <c r="I609" s="16"/>
      <c r="J609" s="68"/>
      <c r="K609" s="68"/>
      <c r="L609" s="68"/>
      <c r="M609" s="74">
        <f t="shared" si="12"/>
        <v>32497.68</v>
      </c>
    </row>
    <row r="610" spans="1:13">
      <c r="A610" t="s">
        <v>89</v>
      </c>
      <c r="B610" t="s">
        <v>96</v>
      </c>
      <c r="C610" s="51">
        <v>137183950129</v>
      </c>
      <c r="D610" s="1">
        <v>1781.78</v>
      </c>
      <c r="E610" s="1">
        <v>15428693.869999999</v>
      </c>
      <c r="F610" t="s">
        <v>1280</v>
      </c>
      <c r="I610" s="16"/>
      <c r="J610" s="68"/>
      <c r="K610" s="68"/>
      <c r="L610" s="68"/>
      <c r="M610" s="74">
        <f t="shared" si="12"/>
        <v>1781.78</v>
      </c>
    </row>
    <row r="611" spans="1:13">
      <c r="A611" t="s">
        <v>97</v>
      </c>
      <c r="B611" t="s">
        <v>11</v>
      </c>
      <c r="C611" s="51">
        <v>137825644378</v>
      </c>
      <c r="D611" s="1">
        <v>31957.040000000001</v>
      </c>
      <c r="E611" s="1">
        <v>15880975.5</v>
      </c>
      <c r="F611" t="s">
        <v>1280</v>
      </c>
      <c r="I611" s="16"/>
      <c r="J611" s="68"/>
      <c r="K611" s="68"/>
      <c r="L611" s="68"/>
      <c r="M611" s="74">
        <f t="shared" si="12"/>
        <v>31957.040000000001</v>
      </c>
    </row>
    <row r="612" spans="1:13">
      <c r="A612" t="s">
        <v>97</v>
      </c>
      <c r="B612" t="s">
        <v>11</v>
      </c>
      <c r="C612" s="51">
        <v>137192517701</v>
      </c>
      <c r="D612" s="1">
        <v>9450.7099999999991</v>
      </c>
      <c r="E612" s="1">
        <v>15890426.210000001</v>
      </c>
      <c r="F612" t="s">
        <v>1280</v>
      </c>
      <c r="I612" s="16"/>
      <c r="J612" s="68"/>
      <c r="K612" s="68"/>
      <c r="L612" s="68"/>
      <c r="M612" s="74">
        <f t="shared" si="12"/>
        <v>9450.7099999999991</v>
      </c>
    </row>
    <row r="613" spans="1:13">
      <c r="A613" t="s">
        <v>97</v>
      </c>
      <c r="B613" t="s">
        <v>11</v>
      </c>
      <c r="C613" s="51">
        <v>137193138653</v>
      </c>
      <c r="D613" s="1">
        <v>32100.12</v>
      </c>
      <c r="E613" s="1">
        <v>15922526.33</v>
      </c>
      <c r="F613" t="s">
        <v>1280</v>
      </c>
      <c r="I613" s="16"/>
      <c r="J613" s="68"/>
      <c r="K613" s="68"/>
      <c r="L613" s="68"/>
      <c r="M613" s="74">
        <f t="shared" si="12"/>
        <v>32100.12</v>
      </c>
    </row>
    <row r="614" spans="1:13">
      <c r="A614" t="s">
        <v>97</v>
      </c>
      <c r="B614" t="s">
        <v>11</v>
      </c>
      <c r="C614" s="51">
        <v>137193254909</v>
      </c>
      <c r="D614" s="1">
        <v>85211.94</v>
      </c>
      <c r="E614" s="1">
        <v>16007738.27</v>
      </c>
      <c r="F614" t="s">
        <v>1280</v>
      </c>
      <c r="I614" s="16"/>
      <c r="J614" s="68"/>
      <c r="K614" s="68"/>
      <c r="L614" s="68"/>
      <c r="M614" s="74">
        <f t="shared" si="12"/>
        <v>85211.94</v>
      </c>
    </row>
    <row r="615" spans="1:13">
      <c r="A615" t="s">
        <v>97</v>
      </c>
      <c r="B615" t="s">
        <v>11</v>
      </c>
      <c r="C615" s="51">
        <v>137827259984</v>
      </c>
      <c r="D615" s="1">
        <v>15493.08</v>
      </c>
      <c r="E615" s="1">
        <v>16023231.35</v>
      </c>
      <c r="F615" t="s">
        <v>1280</v>
      </c>
      <c r="I615" s="16"/>
      <c r="J615" s="68"/>
      <c r="K615" s="68"/>
      <c r="L615" s="68"/>
      <c r="M615" s="74">
        <f t="shared" si="12"/>
        <v>15493.08</v>
      </c>
    </row>
    <row r="616" spans="1:13">
      <c r="A616" t="s">
        <v>97</v>
      </c>
      <c r="B616" t="s">
        <v>11</v>
      </c>
      <c r="C616" s="51">
        <v>137193951755</v>
      </c>
      <c r="D616" s="1">
        <v>35172.230000000003</v>
      </c>
      <c r="E616" s="1">
        <v>16058403.58</v>
      </c>
      <c r="F616" t="s">
        <v>1280</v>
      </c>
      <c r="I616" s="16"/>
      <c r="J616" s="68"/>
      <c r="K616" s="68"/>
      <c r="L616" s="68"/>
      <c r="M616" s="74">
        <f t="shared" ref="M616:M679" si="13">+D616-I616-J616-K616-L616</f>
        <v>35172.230000000003</v>
      </c>
    </row>
    <row r="617" spans="1:13">
      <c r="A617" t="s">
        <v>97</v>
      </c>
      <c r="B617" t="s">
        <v>11</v>
      </c>
      <c r="C617" s="51">
        <v>137828147806</v>
      </c>
      <c r="D617" s="1">
        <v>52514.77</v>
      </c>
      <c r="E617" s="1">
        <v>16110918.35</v>
      </c>
      <c r="F617" t="s">
        <v>1280</v>
      </c>
      <c r="I617" s="16"/>
      <c r="J617" s="68"/>
      <c r="K617" s="68"/>
      <c r="L617" s="68"/>
      <c r="M617" s="74">
        <f t="shared" si="13"/>
        <v>52514.77</v>
      </c>
    </row>
    <row r="618" spans="1:13">
      <c r="A618" t="s">
        <v>97</v>
      </c>
      <c r="B618" t="s">
        <v>11</v>
      </c>
      <c r="C618" s="51">
        <v>137194238351</v>
      </c>
      <c r="D618" s="1">
        <v>52125.05</v>
      </c>
      <c r="E618" s="1">
        <v>16168320.210000001</v>
      </c>
      <c r="F618" t="s">
        <v>1280</v>
      </c>
      <c r="I618" s="16"/>
      <c r="J618" s="68"/>
      <c r="K618" s="68"/>
      <c r="L618" s="68"/>
      <c r="M618" s="74">
        <f t="shared" si="13"/>
        <v>52125.05</v>
      </c>
    </row>
    <row r="619" spans="1:13">
      <c r="A619" t="s">
        <v>97</v>
      </c>
      <c r="B619" t="s">
        <v>11</v>
      </c>
      <c r="C619" s="51">
        <v>137828514220</v>
      </c>
      <c r="D619" s="1">
        <v>18219.41</v>
      </c>
      <c r="E619" s="1">
        <v>16189158.439999999</v>
      </c>
      <c r="F619" t="s">
        <v>1280</v>
      </c>
      <c r="I619" s="16"/>
      <c r="J619" s="68"/>
      <c r="K619" s="68"/>
      <c r="L619" s="68"/>
      <c r="M619" s="74">
        <f t="shared" si="13"/>
        <v>18219.41</v>
      </c>
    </row>
    <row r="620" spans="1:13">
      <c r="A620" t="s">
        <v>97</v>
      </c>
      <c r="B620" t="s">
        <v>11</v>
      </c>
      <c r="C620" s="51">
        <v>137828669992</v>
      </c>
      <c r="D620" s="1">
        <v>29514.85</v>
      </c>
      <c r="E620" s="1">
        <v>16218673.289999999</v>
      </c>
      <c r="F620" t="s">
        <v>1280</v>
      </c>
      <c r="I620" s="16"/>
      <c r="J620" s="68"/>
      <c r="K620" s="68"/>
      <c r="L620" s="68"/>
      <c r="M620" s="74">
        <f t="shared" si="13"/>
        <v>29514.85</v>
      </c>
    </row>
    <row r="621" spans="1:13">
      <c r="A621" t="s">
        <v>97</v>
      </c>
      <c r="B621" t="s">
        <v>11</v>
      </c>
      <c r="C621" s="51">
        <v>137194977689</v>
      </c>
      <c r="D621" s="1">
        <v>14517.07</v>
      </c>
      <c r="E621" s="1">
        <v>16234683.33</v>
      </c>
      <c r="F621" t="s">
        <v>1280</v>
      </c>
      <c r="I621" s="16"/>
      <c r="J621" s="68"/>
      <c r="K621" s="68"/>
      <c r="L621" s="68"/>
      <c r="M621" s="74">
        <f t="shared" si="13"/>
        <v>14517.07</v>
      </c>
    </row>
    <row r="622" spans="1:13">
      <c r="A622" t="s">
        <v>97</v>
      </c>
      <c r="B622" t="s">
        <v>11</v>
      </c>
      <c r="C622" s="51">
        <v>137195240283</v>
      </c>
      <c r="D622" s="1">
        <v>5358.65</v>
      </c>
      <c r="E622" s="1">
        <v>16240041.98</v>
      </c>
      <c r="F622" t="s">
        <v>1280</v>
      </c>
      <c r="I622" s="16"/>
      <c r="J622" s="68"/>
      <c r="K622" s="68"/>
      <c r="L622" s="68"/>
      <c r="M622" s="74">
        <f t="shared" si="13"/>
        <v>5358.65</v>
      </c>
    </row>
    <row r="623" spans="1:13">
      <c r="A623" t="s">
        <v>97</v>
      </c>
      <c r="B623" t="s">
        <v>11</v>
      </c>
      <c r="C623" s="51">
        <v>137195238631</v>
      </c>
      <c r="D623" s="1">
        <v>33613.35</v>
      </c>
      <c r="E623" s="1">
        <v>16273924.550000001</v>
      </c>
      <c r="F623" t="s">
        <v>1280</v>
      </c>
      <c r="I623" s="16"/>
      <c r="J623" s="68"/>
      <c r="K623" s="68"/>
      <c r="L623" s="68"/>
      <c r="M623" s="74">
        <f t="shared" si="13"/>
        <v>33613.35</v>
      </c>
    </row>
    <row r="624" spans="1:13">
      <c r="A624" t="s">
        <v>97</v>
      </c>
      <c r="B624" t="s">
        <v>11</v>
      </c>
      <c r="C624" s="51">
        <v>137195257543</v>
      </c>
      <c r="D624" s="1">
        <v>103350.36</v>
      </c>
      <c r="E624" s="1">
        <v>16377274.91</v>
      </c>
      <c r="F624" t="s">
        <v>1280</v>
      </c>
      <c r="I624" s="16"/>
      <c r="J624" s="68"/>
      <c r="K624" s="68"/>
      <c r="L624" s="68"/>
      <c r="M624" s="74">
        <f t="shared" si="13"/>
        <v>103350.36</v>
      </c>
    </row>
    <row r="625" spans="1:13">
      <c r="A625" t="s">
        <v>97</v>
      </c>
      <c r="B625" t="s">
        <v>11</v>
      </c>
      <c r="C625" s="51">
        <v>137829359830</v>
      </c>
      <c r="D625" s="1">
        <v>13055.62</v>
      </c>
      <c r="E625" s="1">
        <v>16390330.529999999</v>
      </c>
      <c r="F625" t="s">
        <v>1280</v>
      </c>
      <c r="I625" s="16"/>
      <c r="J625" s="68"/>
      <c r="K625" s="68"/>
      <c r="L625" s="68"/>
      <c r="M625" s="74">
        <f t="shared" si="13"/>
        <v>13055.62</v>
      </c>
    </row>
    <row r="626" spans="1:13">
      <c r="A626" t="s">
        <v>97</v>
      </c>
      <c r="B626" t="s">
        <v>11</v>
      </c>
      <c r="C626" s="51">
        <v>137829503666</v>
      </c>
      <c r="D626" s="1">
        <v>20655.16</v>
      </c>
      <c r="E626" s="1">
        <v>16410985.689999999</v>
      </c>
      <c r="F626" t="s">
        <v>1280</v>
      </c>
      <c r="I626" s="16"/>
      <c r="J626" s="68"/>
      <c r="K626" s="68"/>
      <c r="L626" s="68"/>
      <c r="M626" s="74">
        <f t="shared" si="13"/>
        <v>20655.16</v>
      </c>
    </row>
    <row r="627" spans="1:13">
      <c r="A627" t="s">
        <v>97</v>
      </c>
      <c r="B627" t="s">
        <v>11</v>
      </c>
      <c r="C627" s="51">
        <v>137195473277</v>
      </c>
      <c r="D627" s="1">
        <v>21726.89</v>
      </c>
      <c r="E627" s="1">
        <v>16433750.32</v>
      </c>
      <c r="F627" t="s">
        <v>1280</v>
      </c>
      <c r="I627" s="16"/>
      <c r="J627" s="68"/>
      <c r="K627" s="68"/>
      <c r="L627" s="68"/>
      <c r="M627" s="74">
        <f t="shared" si="13"/>
        <v>21726.89</v>
      </c>
    </row>
    <row r="628" spans="1:13">
      <c r="A628" t="s">
        <v>97</v>
      </c>
      <c r="B628" t="s">
        <v>11</v>
      </c>
      <c r="C628" s="51">
        <v>137829747920</v>
      </c>
      <c r="D628" s="1">
        <v>10327.58</v>
      </c>
      <c r="E628" s="1">
        <v>16444077.9</v>
      </c>
      <c r="F628" t="s">
        <v>1280</v>
      </c>
      <c r="I628" s="16"/>
      <c r="J628" s="68"/>
      <c r="K628" s="68"/>
      <c r="L628" s="68"/>
      <c r="M628" s="74">
        <f t="shared" si="13"/>
        <v>10327.58</v>
      </c>
    </row>
    <row r="629" spans="1:13">
      <c r="A629" t="s">
        <v>97</v>
      </c>
      <c r="B629" t="s">
        <v>11</v>
      </c>
      <c r="C629" s="51">
        <v>137196458579</v>
      </c>
      <c r="D629" s="1">
        <v>49933.32</v>
      </c>
      <c r="E629" s="1">
        <v>16494011.220000001</v>
      </c>
      <c r="F629" t="s">
        <v>1280</v>
      </c>
      <c r="I629" s="16"/>
      <c r="J629" s="68"/>
      <c r="K629" s="68"/>
      <c r="L629" s="68"/>
      <c r="M629" s="74">
        <f t="shared" si="13"/>
        <v>49933.32</v>
      </c>
    </row>
    <row r="630" spans="1:13">
      <c r="A630" t="s">
        <v>97</v>
      </c>
      <c r="B630" t="s">
        <v>11</v>
      </c>
      <c r="C630" s="51">
        <v>137830863958</v>
      </c>
      <c r="D630" s="1">
        <v>163487.54</v>
      </c>
      <c r="E630" s="1">
        <v>16657498.76</v>
      </c>
      <c r="F630" t="s">
        <v>1280</v>
      </c>
      <c r="I630" s="16"/>
      <c r="J630" s="68"/>
      <c r="K630" s="68"/>
      <c r="L630" s="68"/>
      <c r="M630" s="74">
        <f t="shared" si="13"/>
        <v>163487.54</v>
      </c>
    </row>
    <row r="631" spans="1:13">
      <c r="A631" t="s">
        <v>97</v>
      </c>
      <c r="B631" t="s">
        <v>11</v>
      </c>
      <c r="C631" s="51">
        <v>137831029106</v>
      </c>
      <c r="D631" s="1">
        <v>8671.27</v>
      </c>
      <c r="E631" s="1">
        <v>16666170.029999999</v>
      </c>
      <c r="F631" t="s">
        <v>1280</v>
      </c>
      <c r="I631" s="16"/>
      <c r="J631" s="68"/>
      <c r="K631" s="68"/>
      <c r="L631" s="68"/>
      <c r="M631" s="74">
        <f t="shared" si="13"/>
        <v>8671.27</v>
      </c>
    </row>
    <row r="632" spans="1:13">
      <c r="A632" t="s">
        <v>97</v>
      </c>
      <c r="B632" t="s">
        <v>11</v>
      </c>
      <c r="C632" s="51">
        <v>137197267481</v>
      </c>
      <c r="D632" s="1">
        <v>14805.81</v>
      </c>
      <c r="E632" s="1">
        <v>16680975.84</v>
      </c>
      <c r="F632" t="s">
        <v>1280</v>
      </c>
      <c r="I632" s="16"/>
      <c r="J632" s="68"/>
      <c r="K632" s="68"/>
      <c r="L632" s="68"/>
      <c r="M632" s="74">
        <f t="shared" si="13"/>
        <v>14805.81</v>
      </c>
    </row>
    <row r="633" spans="1:13">
      <c r="A633" t="s">
        <v>97</v>
      </c>
      <c r="B633" t="s">
        <v>98</v>
      </c>
      <c r="C633" s="51">
        <v>137194166731</v>
      </c>
      <c r="D633" s="1">
        <v>5276.81</v>
      </c>
      <c r="E633" s="1">
        <v>16116195.16</v>
      </c>
      <c r="F633" t="s">
        <v>1280</v>
      </c>
      <c r="I633" s="16"/>
      <c r="J633" s="68"/>
      <c r="K633" s="68"/>
      <c r="L633" s="68"/>
      <c r="M633" s="74">
        <f t="shared" si="13"/>
        <v>5276.81</v>
      </c>
    </row>
    <row r="634" spans="1:13">
      <c r="A634" t="s">
        <v>97</v>
      </c>
      <c r="B634" t="s">
        <v>11</v>
      </c>
      <c r="C634" s="51">
        <v>137831398946</v>
      </c>
      <c r="D634" s="1">
        <v>21434.6</v>
      </c>
      <c r="E634" s="1">
        <v>16702410.439999999</v>
      </c>
      <c r="F634" t="s">
        <v>1280</v>
      </c>
      <c r="I634" s="16"/>
      <c r="J634" s="68"/>
      <c r="K634" s="68"/>
      <c r="L634" s="68"/>
      <c r="M634" s="74">
        <f t="shared" si="13"/>
        <v>21434.6</v>
      </c>
    </row>
    <row r="635" spans="1:13">
      <c r="A635" t="s">
        <v>97</v>
      </c>
      <c r="B635" t="s">
        <v>99</v>
      </c>
      <c r="C635" s="51">
        <v>137194236351</v>
      </c>
      <c r="D635" s="1">
        <v>2618.8200000000002</v>
      </c>
      <c r="E635" s="1">
        <v>16170939.029999999</v>
      </c>
      <c r="F635" t="s">
        <v>1280</v>
      </c>
      <c r="I635" s="16"/>
      <c r="J635" s="68"/>
      <c r="K635" s="68"/>
      <c r="L635" s="68"/>
      <c r="M635" s="74">
        <f t="shared" si="13"/>
        <v>2618.8200000000002</v>
      </c>
    </row>
    <row r="636" spans="1:13">
      <c r="A636" t="s">
        <v>97</v>
      </c>
      <c r="B636" t="s">
        <v>11</v>
      </c>
      <c r="C636" s="51">
        <v>137831433098</v>
      </c>
      <c r="D636" s="1">
        <v>14322.21</v>
      </c>
      <c r="E636" s="1">
        <v>16716732.65</v>
      </c>
      <c r="F636" t="s">
        <v>1280</v>
      </c>
      <c r="I636" s="16"/>
      <c r="J636" s="68"/>
      <c r="K636" s="68"/>
      <c r="L636" s="68"/>
      <c r="M636" s="74">
        <f t="shared" si="13"/>
        <v>14322.21</v>
      </c>
    </row>
    <row r="637" spans="1:13">
      <c r="A637" t="s">
        <v>97</v>
      </c>
      <c r="B637" t="s">
        <v>11</v>
      </c>
      <c r="C637" s="51">
        <v>137272856787</v>
      </c>
      <c r="D637" s="1">
        <v>25331.8</v>
      </c>
      <c r="E637" s="1">
        <v>16742064.449999999</v>
      </c>
      <c r="F637" t="s">
        <v>1280</v>
      </c>
      <c r="I637" s="16"/>
      <c r="J637" s="68"/>
      <c r="K637" s="68"/>
      <c r="L637" s="68"/>
      <c r="M637" s="74">
        <f t="shared" si="13"/>
        <v>25331.8</v>
      </c>
    </row>
    <row r="638" spans="1:13">
      <c r="A638" t="s">
        <v>97</v>
      </c>
      <c r="B638" t="s">
        <v>100</v>
      </c>
      <c r="C638" s="51">
        <v>137828683812</v>
      </c>
      <c r="D638" s="1">
        <v>1492.97</v>
      </c>
      <c r="E638" s="1">
        <v>16220166.26</v>
      </c>
      <c r="F638" t="s">
        <v>1280</v>
      </c>
      <c r="I638" s="16"/>
      <c r="J638" s="68"/>
      <c r="K638" s="68"/>
      <c r="L638" s="68"/>
      <c r="M638" s="74">
        <f t="shared" si="13"/>
        <v>1492.97</v>
      </c>
    </row>
    <row r="639" spans="1:13">
      <c r="A639" t="s">
        <v>97</v>
      </c>
      <c r="B639" t="s">
        <v>11</v>
      </c>
      <c r="C639" s="51">
        <v>137274462155</v>
      </c>
      <c r="D639" s="1">
        <v>55831.77</v>
      </c>
      <c r="E639" s="1">
        <v>16797896.219999999</v>
      </c>
      <c r="F639" t="s">
        <v>1280</v>
      </c>
      <c r="I639" s="16"/>
      <c r="J639" s="68"/>
      <c r="K639" s="68"/>
      <c r="L639" s="68"/>
      <c r="M639" s="74">
        <f t="shared" si="13"/>
        <v>55831.77</v>
      </c>
    </row>
    <row r="640" spans="1:13">
      <c r="A640" t="s">
        <v>97</v>
      </c>
      <c r="B640" t="s">
        <v>11</v>
      </c>
      <c r="C640" s="51">
        <v>137915080182</v>
      </c>
      <c r="D640" s="1">
        <v>29758.05</v>
      </c>
      <c r="E640" s="1">
        <v>16827654.27</v>
      </c>
      <c r="F640" t="s">
        <v>1280</v>
      </c>
      <c r="I640" s="16"/>
      <c r="J640" s="68"/>
      <c r="K640" s="68"/>
      <c r="L640" s="68"/>
      <c r="M640" s="74">
        <f t="shared" si="13"/>
        <v>29758.05</v>
      </c>
    </row>
    <row r="641" spans="1:13">
      <c r="A641" t="s">
        <v>97</v>
      </c>
      <c r="B641" t="s">
        <v>101</v>
      </c>
      <c r="C641" s="51">
        <v>137829278598</v>
      </c>
      <c r="D641">
        <v>269.22000000000003</v>
      </c>
      <c r="E641" s="1">
        <v>16240311.199999999</v>
      </c>
      <c r="F641" t="s">
        <v>1280</v>
      </c>
      <c r="I641" s="16"/>
      <c r="J641" s="68"/>
      <c r="K641" s="68"/>
      <c r="L641" s="68"/>
      <c r="M641" s="74">
        <f t="shared" si="13"/>
        <v>269.22000000000003</v>
      </c>
    </row>
    <row r="642" spans="1:13">
      <c r="A642" t="s">
        <v>97</v>
      </c>
      <c r="B642" t="s">
        <v>11</v>
      </c>
      <c r="C642" s="51">
        <v>137917455156</v>
      </c>
      <c r="D642" s="1">
        <v>18138.240000000002</v>
      </c>
      <c r="E642" s="1">
        <v>16845792.510000002</v>
      </c>
      <c r="F642" t="s">
        <v>1280</v>
      </c>
      <c r="I642" s="16"/>
      <c r="J642" s="68"/>
      <c r="K642" s="68"/>
      <c r="L642" s="68"/>
      <c r="M642" s="74">
        <f t="shared" si="13"/>
        <v>18138.240000000002</v>
      </c>
    </row>
    <row r="643" spans="1:13">
      <c r="A643" t="s">
        <v>97</v>
      </c>
      <c r="B643" t="s">
        <v>11</v>
      </c>
      <c r="C643" s="51">
        <v>137918261544</v>
      </c>
      <c r="D643" s="1">
        <v>47740.7</v>
      </c>
      <c r="E643" s="1">
        <v>16893533.210000001</v>
      </c>
      <c r="F643" t="s">
        <v>1280</v>
      </c>
      <c r="I643" s="16"/>
      <c r="J643" s="68"/>
      <c r="K643" s="68"/>
      <c r="L643" s="68"/>
      <c r="M643" s="74">
        <f t="shared" si="13"/>
        <v>47740.7</v>
      </c>
    </row>
    <row r="644" spans="1:13">
      <c r="A644" t="s">
        <v>97</v>
      </c>
      <c r="B644" t="s">
        <v>11</v>
      </c>
      <c r="C644" s="51">
        <v>137284390157</v>
      </c>
      <c r="D644" s="1">
        <v>16757.96</v>
      </c>
      <c r="E644" s="1">
        <v>16915088.27</v>
      </c>
      <c r="F644" t="s">
        <v>1280</v>
      </c>
      <c r="I644" s="16"/>
      <c r="J644" s="68"/>
      <c r="K644" s="68"/>
      <c r="L644" s="68"/>
      <c r="M644" s="74">
        <f t="shared" si="13"/>
        <v>16757.96</v>
      </c>
    </row>
    <row r="645" spans="1:13">
      <c r="A645" t="s">
        <v>97</v>
      </c>
      <c r="B645" t="s">
        <v>11</v>
      </c>
      <c r="C645" s="51">
        <v>137919655398</v>
      </c>
      <c r="D645" s="1">
        <v>4599.1400000000003</v>
      </c>
      <c r="E645" s="1">
        <v>16919687.41</v>
      </c>
      <c r="F645" t="s">
        <v>1280</v>
      </c>
      <c r="I645" s="16"/>
      <c r="J645" s="68"/>
      <c r="K645" s="68"/>
      <c r="L645" s="68"/>
      <c r="M645" s="74">
        <f t="shared" si="13"/>
        <v>4599.1400000000003</v>
      </c>
    </row>
    <row r="646" spans="1:13">
      <c r="A646" t="s">
        <v>97</v>
      </c>
      <c r="B646" t="s">
        <v>102</v>
      </c>
      <c r="C646" s="51">
        <v>137829499784</v>
      </c>
      <c r="D646" s="1">
        <v>1037.74</v>
      </c>
      <c r="E646" s="1">
        <v>16412023.43</v>
      </c>
      <c r="F646" t="s">
        <v>1280</v>
      </c>
      <c r="I646" s="16"/>
      <c r="J646" s="68"/>
      <c r="K646" s="68"/>
      <c r="L646" s="68"/>
      <c r="M646" s="74">
        <f t="shared" si="13"/>
        <v>1037.74</v>
      </c>
    </row>
    <row r="647" spans="1:13">
      <c r="A647" t="s">
        <v>97</v>
      </c>
      <c r="B647" t="s">
        <v>11</v>
      </c>
      <c r="C647" s="51">
        <v>137919990346</v>
      </c>
      <c r="D647" s="1">
        <v>4448.71</v>
      </c>
      <c r="E647" s="1">
        <v>16924136.120000001</v>
      </c>
      <c r="F647" t="s">
        <v>1280</v>
      </c>
      <c r="I647" s="16"/>
      <c r="J647" s="68"/>
      <c r="K647" s="68"/>
      <c r="L647" s="68"/>
      <c r="M647" s="74">
        <f t="shared" si="13"/>
        <v>4448.71</v>
      </c>
    </row>
    <row r="648" spans="1:13">
      <c r="A648" t="s">
        <v>97</v>
      </c>
      <c r="B648" t="s">
        <v>11</v>
      </c>
      <c r="C648" s="51">
        <v>137920602650</v>
      </c>
      <c r="D648" s="1">
        <v>73781.070000000007</v>
      </c>
      <c r="E648" s="1">
        <v>16997917.190000001</v>
      </c>
      <c r="F648" t="s">
        <v>1280</v>
      </c>
      <c r="I648" s="16"/>
      <c r="J648" s="68"/>
      <c r="K648" s="68"/>
      <c r="L648" s="68"/>
      <c r="M648" s="74">
        <f t="shared" si="13"/>
        <v>73781.070000000007</v>
      </c>
    </row>
    <row r="649" spans="1:13">
      <c r="A649" t="s">
        <v>97</v>
      </c>
      <c r="B649" t="s">
        <v>11</v>
      </c>
      <c r="C649" s="51">
        <v>137920760336</v>
      </c>
      <c r="D649" s="1">
        <v>38484.85</v>
      </c>
      <c r="E649" s="1">
        <v>17036402.039999999</v>
      </c>
      <c r="F649" t="s">
        <v>1280</v>
      </c>
      <c r="I649" s="16"/>
      <c r="J649" s="68"/>
      <c r="K649" s="68"/>
      <c r="L649" s="68"/>
      <c r="M649" s="74">
        <f t="shared" si="13"/>
        <v>38484.85</v>
      </c>
    </row>
    <row r="650" spans="1:13">
      <c r="A650" t="s">
        <v>97</v>
      </c>
      <c r="B650" t="s">
        <v>11</v>
      </c>
      <c r="C650" s="51">
        <v>137286737407</v>
      </c>
      <c r="D650" s="1">
        <v>96163.41</v>
      </c>
      <c r="E650" s="1">
        <v>17134498.969999999</v>
      </c>
      <c r="F650" t="s">
        <v>1280</v>
      </c>
      <c r="I650" s="16"/>
      <c r="J650" s="68"/>
      <c r="K650" s="68"/>
      <c r="L650" s="68"/>
      <c r="M650" s="74">
        <f t="shared" si="13"/>
        <v>96163.41</v>
      </c>
    </row>
    <row r="651" spans="1:13">
      <c r="A651" t="s">
        <v>97</v>
      </c>
      <c r="B651" t="s">
        <v>11</v>
      </c>
      <c r="C651" s="51">
        <v>137287058345</v>
      </c>
      <c r="D651" s="1">
        <v>71513.62</v>
      </c>
      <c r="E651" s="1">
        <v>17206012.59</v>
      </c>
      <c r="F651" t="s">
        <v>1280</v>
      </c>
      <c r="I651" s="16"/>
      <c r="J651" s="68"/>
      <c r="K651" s="68"/>
      <c r="L651" s="68"/>
      <c r="M651" s="74">
        <f t="shared" si="13"/>
        <v>71513.62</v>
      </c>
    </row>
    <row r="652" spans="1:13">
      <c r="A652" t="s">
        <v>97</v>
      </c>
      <c r="B652" t="s">
        <v>11</v>
      </c>
      <c r="C652" s="51">
        <v>137287882597</v>
      </c>
      <c r="D652" s="1">
        <v>106003.84</v>
      </c>
      <c r="E652" s="1">
        <v>17312016.43</v>
      </c>
      <c r="F652" t="s">
        <v>1280</v>
      </c>
      <c r="I652" s="16"/>
      <c r="J652" s="68"/>
      <c r="K652" s="68"/>
      <c r="L652" s="68"/>
      <c r="M652" s="74">
        <f t="shared" si="13"/>
        <v>106003.84</v>
      </c>
    </row>
    <row r="653" spans="1:13">
      <c r="A653" t="s">
        <v>97</v>
      </c>
      <c r="B653" t="s">
        <v>11</v>
      </c>
      <c r="C653" s="51">
        <v>137287763759</v>
      </c>
      <c r="D653" s="1">
        <v>64914.85</v>
      </c>
      <c r="E653" s="1">
        <v>17376931.280000001</v>
      </c>
      <c r="F653" t="s">
        <v>1280</v>
      </c>
      <c r="I653" s="16"/>
      <c r="J653" s="68"/>
      <c r="K653" s="68"/>
      <c r="L653" s="68"/>
      <c r="M653" s="74">
        <f t="shared" si="13"/>
        <v>64914.85</v>
      </c>
    </row>
    <row r="654" spans="1:13">
      <c r="A654" t="s">
        <v>97</v>
      </c>
      <c r="B654" t="s">
        <v>11</v>
      </c>
      <c r="C654" s="51">
        <v>137288757543</v>
      </c>
      <c r="D654" s="1">
        <v>4599.1400000000003</v>
      </c>
      <c r="E654" s="1">
        <v>17381530.420000002</v>
      </c>
      <c r="F654" t="s">
        <v>1280</v>
      </c>
      <c r="I654" s="16"/>
      <c r="J654" s="68"/>
      <c r="K654" s="68"/>
      <c r="L654" s="68"/>
      <c r="M654" s="74">
        <f t="shared" si="13"/>
        <v>4599.1400000000003</v>
      </c>
    </row>
    <row r="655" spans="1:13">
      <c r="A655" t="s">
        <v>97</v>
      </c>
      <c r="B655" t="s">
        <v>11</v>
      </c>
      <c r="C655" s="51">
        <v>137924517588</v>
      </c>
      <c r="D655" s="1">
        <v>37043</v>
      </c>
      <c r="E655" s="1">
        <v>17418573.420000002</v>
      </c>
      <c r="F655" t="s">
        <v>1280</v>
      </c>
      <c r="I655" s="16"/>
      <c r="J655" s="68"/>
      <c r="K655" s="68"/>
      <c r="L655" s="68"/>
      <c r="M655" s="74">
        <f t="shared" si="13"/>
        <v>37043</v>
      </c>
    </row>
    <row r="656" spans="1:13">
      <c r="A656" t="s">
        <v>97</v>
      </c>
      <c r="B656" t="s">
        <v>11</v>
      </c>
      <c r="C656" s="51">
        <v>137290068965</v>
      </c>
      <c r="D656" s="1">
        <v>9158.42</v>
      </c>
      <c r="E656" s="1">
        <v>17427731.84</v>
      </c>
      <c r="F656" t="s">
        <v>1280</v>
      </c>
      <c r="I656" s="16"/>
      <c r="J656" s="68"/>
      <c r="K656" s="68"/>
      <c r="L656" s="68"/>
      <c r="M656" s="74">
        <f t="shared" si="13"/>
        <v>9158.42</v>
      </c>
    </row>
    <row r="657" spans="1:13">
      <c r="A657" t="s">
        <v>97</v>
      </c>
      <c r="B657" t="s">
        <v>11</v>
      </c>
      <c r="C657" s="51">
        <v>137926143226</v>
      </c>
      <c r="D657" s="1">
        <v>4357.92</v>
      </c>
      <c r="E657" s="1">
        <v>17432089.760000002</v>
      </c>
      <c r="F657" t="s">
        <v>1280</v>
      </c>
      <c r="I657" s="16"/>
      <c r="J657" s="68"/>
      <c r="K657" s="68"/>
      <c r="L657" s="68"/>
      <c r="M657" s="74">
        <f t="shared" si="13"/>
        <v>4357.92</v>
      </c>
    </row>
    <row r="658" spans="1:13">
      <c r="A658" t="s">
        <v>97</v>
      </c>
      <c r="B658" t="s">
        <v>11</v>
      </c>
      <c r="C658" s="51">
        <v>137926389112</v>
      </c>
      <c r="D658" s="1">
        <v>29190.46</v>
      </c>
      <c r="E658" s="1">
        <v>17461515.18</v>
      </c>
      <c r="F658" t="s">
        <v>1280</v>
      </c>
      <c r="I658" s="16"/>
      <c r="J658" s="68"/>
      <c r="K658" s="68"/>
      <c r="L658" s="68"/>
      <c r="M658" s="74">
        <f t="shared" si="13"/>
        <v>29190.46</v>
      </c>
    </row>
    <row r="659" spans="1:13">
      <c r="A659" t="s">
        <v>97</v>
      </c>
      <c r="B659" t="s">
        <v>11</v>
      </c>
      <c r="C659" s="51">
        <v>137291943369</v>
      </c>
      <c r="D659" s="1">
        <v>14029.92</v>
      </c>
      <c r="E659" s="1">
        <v>17475545.100000001</v>
      </c>
      <c r="F659" t="s">
        <v>1280</v>
      </c>
      <c r="I659" s="16"/>
      <c r="J659" s="68"/>
      <c r="K659" s="68"/>
      <c r="L659" s="68"/>
      <c r="M659" s="74">
        <f t="shared" si="13"/>
        <v>14029.92</v>
      </c>
    </row>
    <row r="660" spans="1:13">
      <c r="A660" t="s">
        <v>97</v>
      </c>
      <c r="B660" t="s">
        <v>103</v>
      </c>
      <c r="C660" s="51">
        <v>137283589283</v>
      </c>
      <c r="D660" s="1">
        <v>4797.1000000000004</v>
      </c>
      <c r="E660" s="1">
        <v>16898330.309999999</v>
      </c>
      <c r="F660" t="s">
        <v>1280</v>
      </c>
      <c r="I660" s="16"/>
      <c r="J660" s="68"/>
      <c r="K660" s="68"/>
      <c r="L660" s="68"/>
      <c r="M660" s="74">
        <f t="shared" si="13"/>
        <v>4797.1000000000004</v>
      </c>
    </row>
    <row r="661" spans="1:13">
      <c r="A661" t="s">
        <v>97</v>
      </c>
      <c r="B661" t="s">
        <v>11</v>
      </c>
      <c r="C661" s="51">
        <v>137292138799</v>
      </c>
      <c r="D661" s="1">
        <v>4774.07</v>
      </c>
      <c r="E661" s="1">
        <v>17480319.170000002</v>
      </c>
      <c r="F661" t="s">
        <v>1280</v>
      </c>
      <c r="I661" s="16"/>
      <c r="J661" s="68"/>
      <c r="K661" s="68"/>
      <c r="L661" s="68"/>
      <c r="M661" s="74">
        <f t="shared" si="13"/>
        <v>4774.07</v>
      </c>
    </row>
    <row r="662" spans="1:13">
      <c r="A662" t="s">
        <v>97</v>
      </c>
      <c r="B662" t="s">
        <v>11</v>
      </c>
      <c r="C662" s="51">
        <v>137926932048</v>
      </c>
      <c r="D662" s="1">
        <v>15588.8</v>
      </c>
      <c r="E662" s="1">
        <v>17495907.969999999</v>
      </c>
      <c r="F662" t="s">
        <v>1280</v>
      </c>
      <c r="I662" s="16"/>
      <c r="J662" s="68"/>
      <c r="K662" s="68"/>
      <c r="L662" s="68"/>
      <c r="M662" s="74">
        <f t="shared" si="13"/>
        <v>15588.8</v>
      </c>
    </row>
    <row r="663" spans="1:13">
      <c r="A663" t="s">
        <v>105</v>
      </c>
      <c r="B663" t="s">
        <v>11</v>
      </c>
      <c r="C663" s="51">
        <v>137927636060</v>
      </c>
      <c r="D663" s="1">
        <v>44135.79</v>
      </c>
      <c r="E663" s="1">
        <v>17540043.760000002</v>
      </c>
      <c r="F663" t="s">
        <v>1280</v>
      </c>
      <c r="I663" s="16"/>
      <c r="J663" s="68"/>
      <c r="K663" s="68"/>
      <c r="L663" s="68"/>
      <c r="M663" s="74">
        <f t="shared" si="13"/>
        <v>44135.79</v>
      </c>
    </row>
    <row r="664" spans="1:13">
      <c r="A664" t="s">
        <v>105</v>
      </c>
      <c r="B664" t="s">
        <v>11</v>
      </c>
      <c r="C664" s="51">
        <v>137293936969</v>
      </c>
      <c r="D664" s="1">
        <v>11691.6</v>
      </c>
      <c r="E664" s="1">
        <v>17551735.359999999</v>
      </c>
      <c r="F664" t="s">
        <v>1280</v>
      </c>
      <c r="I664" s="16"/>
      <c r="J664" s="68"/>
      <c r="K664" s="68"/>
      <c r="L664" s="68"/>
      <c r="M664" s="74">
        <f t="shared" si="13"/>
        <v>11691.6</v>
      </c>
    </row>
    <row r="665" spans="1:13">
      <c r="A665" t="s">
        <v>105</v>
      </c>
      <c r="B665" t="s">
        <v>11</v>
      </c>
      <c r="C665" s="51">
        <v>137928893544</v>
      </c>
      <c r="D665" s="1">
        <v>34879.94</v>
      </c>
      <c r="E665" s="1">
        <v>17586615.300000001</v>
      </c>
      <c r="F665" t="s">
        <v>1280</v>
      </c>
      <c r="I665" s="16"/>
      <c r="J665" s="68"/>
      <c r="K665" s="68"/>
      <c r="L665" s="68"/>
      <c r="M665" s="74">
        <f t="shared" si="13"/>
        <v>34879.94</v>
      </c>
    </row>
    <row r="666" spans="1:13">
      <c r="A666" t="s">
        <v>97</v>
      </c>
      <c r="B666" t="s">
        <v>104</v>
      </c>
      <c r="C666" s="51">
        <v>137920633474</v>
      </c>
      <c r="D666" s="1">
        <v>1933.52</v>
      </c>
      <c r="E666" s="1">
        <v>17038335.559999999</v>
      </c>
      <c r="F666" t="s">
        <v>1280</v>
      </c>
      <c r="I666" s="16"/>
      <c r="J666" s="68"/>
      <c r="K666" s="68"/>
      <c r="L666" s="68"/>
      <c r="M666" s="74">
        <f t="shared" si="13"/>
        <v>1933.52</v>
      </c>
    </row>
    <row r="667" spans="1:13">
      <c r="A667" t="s">
        <v>105</v>
      </c>
      <c r="B667" t="s">
        <v>11</v>
      </c>
      <c r="C667" s="51">
        <v>137929233114</v>
      </c>
      <c r="D667" s="1">
        <v>9353.2800000000007</v>
      </c>
      <c r="E667" s="1">
        <v>17595968.579999998</v>
      </c>
      <c r="F667" t="s">
        <v>1280</v>
      </c>
      <c r="I667" s="16"/>
      <c r="J667" s="68"/>
      <c r="K667" s="68"/>
      <c r="L667" s="68"/>
      <c r="M667" s="74">
        <f t="shared" si="13"/>
        <v>9353.2800000000007</v>
      </c>
    </row>
    <row r="668" spans="1:13">
      <c r="A668" t="s">
        <v>105</v>
      </c>
      <c r="B668" t="s">
        <v>11</v>
      </c>
      <c r="C668" s="51">
        <v>137295139849</v>
      </c>
      <c r="D668" s="1">
        <v>9548.14</v>
      </c>
      <c r="E668" s="1">
        <v>17605516.719999999</v>
      </c>
      <c r="F668" t="s">
        <v>1280</v>
      </c>
      <c r="I668" s="16"/>
      <c r="J668" s="68"/>
      <c r="K668" s="68"/>
      <c r="L668" s="68"/>
      <c r="M668" s="74">
        <f t="shared" si="13"/>
        <v>9548.14</v>
      </c>
    </row>
    <row r="669" spans="1:13">
      <c r="A669" t="s">
        <v>105</v>
      </c>
      <c r="B669" t="s">
        <v>11</v>
      </c>
      <c r="C669" s="51">
        <v>137930498598</v>
      </c>
      <c r="D669" s="1">
        <v>27085.54</v>
      </c>
      <c r="E669" s="1">
        <v>17632602.260000002</v>
      </c>
      <c r="F669" t="s">
        <v>1280</v>
      </c>
      <c r="I669" s="16"/>
      <c r="J669" s="68"/>
      <c r="K669" s="68"/>
      <c r="L669" s="68"/>
      <c r="M669" s="74">
        <f t="shared" si="13"/>
        <v>27085.54</v>
      </c>
    </row>
    <row r="670" spans="1:13">
      <c r="A670" t="s">
        <v>105</v>
      </c>
      <c r="B670" t="s">
        <v>11</v>
      </c>
      <c r="C670" s="51">
        <v>137931462000</v>
      </c>
      <c r="D670" s="1">
        <v>18121.98</v>
      </c>
      <c r="E670" s="1">
        <v>17650724.239999998</v>
      </c>
      <c r="F670" t="s">
        <v>1280</v>
      </c>
      <c r="I670" s="16"/>
      <c r="J670" s="68"/>
      <c r="K670" s="68"/>
      <c r="L670" s="68"/>
      <c r="M670" s="74">
        <f t="shared" si="13"/>
        <v>18121.98</v>
      </c>
    </row>
    <row r="671" spans="1:13">
      <c r="A671" t="s">
        <v>106</v>
      </c>
      <c r="B671" t="s">
        <v>11</v>
      </c>
      <c r="C671" s="51">
        <v>137718027151</v>
      </c>
      <c r="D671" s="1">
        <v>26890.68</v>
      </c>
      <c r="E671" s="1">
        <v>13600610.279999999</v>
      </c>
      <c r="F671" t="s">
        <v>1280</v>
      </c>
      <c r="I671" s="16"/>
      <c r="J671" s="68"/>
      <c r="K671" s="68"/>
      <c r="L671" s="68"/>
      <c r="M671" s="74">
        <f t="shared" si="13"/>
        <v>26890.68</v>
      </c>
    </row>
    <row r="672" spans="1:13">
      <c r="A672" t="s">
        <v>106</v>
      </c>
      <c r="B672" t="s">
        <v>11</v>
      </c>
      <c r="C672" s="51">
        <v>138364372438</v>
      </c>
      <c r="D672" s="1">
        <v>23675.49</v>
      </c>
      <c r="E672" s="1">
        <v>13624285.77</v>
      </c>
      <c r="F672" t="s">
        <v>1280</v>
      </c>
      <c r="I672" s="16"/>
      <c r="J672" s="68"/>
      <c r="K672" s="68"/>
      <c r="L672" s="68"/>
      <c r="M672" s="74">
        <f t="shared" si="13"/>
        <v>23675.49</v>
      </c>
    </row>
    <row r="673" spans="1:13">
      <c r="A673" t="s">
        <v>106</v>
      </c>
      <c r="B673" t="s">
        <v>11</v>
      </c>
      <c r="C673" s="51">
        <v>137726653777</v>
      </c>
      <c r="D673" s="1">
        <v>9255.85</v>
      </c>
      <c r="E673" s="1">
        <v>13633541.619999999</v>
      </c>
      <c r="F673" t="s">
        <v>1280</v>
      </c>
      <c r="I673" s="16"/>
      <c r="J673" s="68"/>
      <c r="K673" s="68"/>
      <c r="L673" s="68"/>
      <c r="M673" s="74">
        <f t="shared" si="13"/>
        <v>9255.85</v>
      </c>
    </row>
    <row r="674" spans="1:13">
      <c r="A674" t="s">
        <v>106</v>
      </c>
      <c r="B674" t="s">
        <v>11</v>
      </c>
      <c r="C674" s="51">
        <v>137727368801</v>
      </c>
      <c r="D674" s="1">
        <v>4774.07</v>
      </c>
      <c r="E674" s="1">
        <v>13638315.689999999</v>
      </c>
      <c r="F674" t="s">
        <v>1280</v>
      </c>
      <c r="I674" s="16"/>
      <c r="J674" s="68"/>
      <c r="K674" s="68"/>
      <c r="L674" s="68"/>
      <c r="M674" s="74">
        <f t="shared" si="13"/>
        <v>4774.07</v>
      </c>
    </row>
    <row r="675" spans="1:13">
      <c r="A675" t="s">
        <v>97</v>
      </c>
      <c r="B675" t="s">
        <v>16</v>
      </c>
      <c r="C675" s="51">
        <v>137926260696</v>
      </c>
      <c r="D675">
        <v>234.96</v>
      </c>
      <c r="E675" s="1">
        <v>17432324.719999999</v>
      </c>
      <c r="F675" t="s">
        <v>1280</v>
      </c>
      <c r="I675" s="16"/>
      <c r="J675" s="68"/>
      <c r="K675" s="68"/>
      <c r="L675" s="68"/>
      <c r="M675" s="74">
        <f t="shared" si="13"/>
        <v>234.96</v>
      </c>
    </row>
    <row r="676" spans="1:13">
      <c r="A676" t="s">
        <v>106</v>
      </c>
      <c r="B676" t="s">
        <v>11</v>
      </c>
      <c r="C676" s="51">
        <v>138366452506</v>
      </c>
      <c r="D676" s="1">
        <v>12568.47</v>
      </c>
      <c r="E676" s="1">
        <v>13650884.16</v>
      </c>
      <c r="F676" t="s">
        <v>1280</v>
      </c>
      <c r="I676" s="16"/>
      <c r="J676" s="68"/>
      <c r="K676" s="68"/>
      <c r="L676" s="68"/>
      <c r="M676" s="74">
        <f t="shared" si="13"/>
        <v>12568.47</v>
      </c>
    </row>
    <row r="677" spans="1:13">
      <c r="A677" t="s">
        <v>106</v>
      </c>
      <c r="B677" t="s">
        <v>11</v>
      </c>
      <c r="C677" s="51">
        <v>137729187113</v>
      </c>
      <c r="D677" s="1">
        <v>13887.09</v>
      </c>
      <c r="E677" s="1">
        <v>13664771.25</v>
      </c>
      <c r="F677" t="s">
        <v>1280</v>
      </c>
      <c r="I677" s="16"/>
      <c r="J677" s="68"/>
      <c r="K677" s="68"/>
      <c r="L677" s="68"/>
      <c r="M677" s="74">
        <f t="shared" si="13"/>
        <v>13887.09</v>
      </c>
    </row>
    <row r="678" spans="1:13">
      <c r="A678" t="s">
        <v>106</v>
      </c>
      <c r="B678" t="s">
        <v>11</v>
      </c>
      <c r="C678" s="51">
        <v>137732048829</v>
      </c>
      <c r="D678" s="1">
        <v>45248.3</v>
      </c>
      <c r="E678" s="1">
        <v>13710019.550000001</v>
      </c>
      <c r="F678" t="s">
        <v>1280</v>
      </c>
      <c r="I678" s="16"/>
      <c r="J678" s="68"/>
      <c r="K678" s="68"/>
      <c r="L678" s="68"/>
      <c r="M678" s="74">
        <f t="shared" si="13"/>
        <v>45248.3</v>
      </c>
    </row>
    <row r="679" spans="1:13">
      <c r="A679" t="s">
        <v>106</v>
      </c>
      <c r="B679" t="s">
        <v>11</v>
      </c>
      <c r="C679" s="51">
        <v>138370582356</v>
      </c>
      <c r="D679" s="1">
        <v>8128.68</v>
      </c>
      <c r="E679" s="1">
        <v>13718148.23</v>
      </c>
      <c r="F679" t="s">
        <v>1280</v>
      </c>
      <c r="I679" s="16"/>
      <c r="J679" s="68"/>
      <c r="K679" s="68"/>
      <c r="L679" s="68"/>
      <c r="M679" s="74">
        <f t="shared" si="13"/>
        <v>8128.68</v>
      </c>
    </row>
    <row r="680" spans="1:13">
      <c r="A680" t="s">
        <v>106</v>
      </c>
      <c r="B680" t="s">
        <v>11</v>
      </c>
      <c r="C680" s="51">
        <v>137732395913</v>
      </c>
      <c r="D680" s="1">
        <v>4357.92</v>
      </c>
      <c r="E680" s="1">
        <v>13722506.15</v>
      </c>
      <c r="F680" t="s">
        <v>1280</v>
      </c>
      <c r="I680" s="16"/>
      <c r="J680" s="68"/>
      <c r="K680" s="68"/>
      <c r="L680" s="68"/>
      <c r="M680" s="74">
        <f t="shared" ref="M680:M743" si="14">+D680-I680-J680-K680-L680</f>
        <v>4357.92</v>
      </c>
    </row>
    <row r="681" spans="1:13">
      <c r="A681" t="s">
        <v>106</v>
      </c>
      <c r="B681" t="s">
        <v>11</v>
      </c>
      <c r="C681" s="51">
        <v>138370811186</v>
      </c>
      <c r="D681" s="1">
        <v>23381.25</v>
      </c>
      <c r="E681" s="1">
        <v>13745887.4</v>
      </c>
      <c r="F681" t="s">
        <v>1280</v>
      </c>
      <c r="I681" s="16"/>
      <c r="J681" s="68"/>
      <c r="K681" s="68"/>
      <c r="L681" s="68"/>
      <c r="M681" s="74">
        <f t="shared" si="14"/>
        <v>23381.25</v>
      </c>
    </row>
    <row r="682" spans="1:13">
      <c r="A682" t="s">
        <v>106</v>
      </c>
      <c r="B682" t="s">
        <v>11</v>
      </c>
      <c r="C682" s="51">
        <v>137733585351</v>
      </c>
      <c r="D682" s="1">
        <v>46762.5</v>
      </c>
      <c r="E682" s="1">
        <v>13792649.9</v>
      </c>
      <c r="F682" t="s">
        <v>1280</v>
      </c>
      <c r="I682" s="16"/>
      <c r="J682" s="68"/>
      <c r="K682" s="68"/>
      <c r="L682" s="68"/>
      <c r="M682" s="74">
        <f t="shared" si="14"/>
        <v>46762.5</v>
      </c>
    </row>
    <row r="683" spans="1:13">
      <c r="A683" t="s">
        <v>106</v>
      </c>
      <c r="B683" t="s">
        <v>11</v>
      </c>
      <c r="C683" s="51">
        <v>137735636327</v>
      </c>
      <c r="D683" s="1">
        <v>23381.25</v>
      </c>
      <c r="E683" s="1">
        <v>13818379.77</v>
      </c>
      <c r="F683" t="s">
        <v>1280</v>
      </c>
      <c r="I683" s="16"/>
      <c r="J683" s="68"/>
      <c r="K683" s="68"/>
      <c r="L683" s="68"/>
      <c r="M683" s="74">
        <f t="shared" si="14"/>
        <v>23381.25</v>
      </c>
    </row>
    <row r="684" spans="1:13">
      <c r="A684" t="s">
        <v>106</v>
      </c>
      <c r="B684" t="s">
        <v>11</v>
      </c>
      <c r="C684" s="51">
        <v>137735718137</v>
      </c>
      <c r="D684" s="1">
        <v>62826.68</v>
      </c>
      <c r="E684" s="1">
        <v>13881206.449999999</v>
      </c>
      <c r="F684" t="s">
        <v>1280</v>
      </c>
      <c r="I684" s="16"/>
      <c r="J684" s="68"/>
      <c r="K684" s="68"/>
      <c r="L684" s="68"/>
      <c r="M684" s="74">
        <f t="shared" si="14"/>
        <v>62826.68</v>
      </c>
    </row>
    <row r="685" spans="1:13">
      <c r="A685" t="s">
        <v>106</v>
      </c>
      <c r="B685" t="s">
        <v>11</v>
      </c>
      <c r="C685" s="51">
        <v>138375001336</v>
      </c>
      <c r="D685" s="1">
        <v>7626.36</v>
      </c>
      <c r="E685" s="1">
        <v>13888832.810000001</v>
      </c>
      <c r="F685" t="s">
        <v>1280</v>
      </c>
      <c r="I685" s="16"/>
      <c r="J685" s="68"/>
      <c r="K685" s="68"/>
      <c r="L685" s="68"/>
      <c r="M685" s="74">
        <f t="shared" si="14"/>
        <v>7626.36</v>
      </c>
    </row>
    <row r="686" spans="1:13">
      <c r="A686" t="s">
        <v>106</v>
      </c>
      <c r="B686" t="s">
        <v>11</v>
      </c>
      <c r="C686" s="51">
        <v>137736891041</v>
      </c>
      <c r="D686" s="1">
        <v>8476.41</v>
      </c>
      <c r="E686" s="1">
        <v>13897309.220000001</v>
      </c>
      <c r="F686" t="s">
        <v>1280</v>
      </c>
      <c r="I686" s="16"/>
      <c r="J686" s="68"/>
      <c r="K686" s="68"/>
      <c r="L686" s="68"/>
      <c r="M686" s="74">
        <f t="shared" si="14"/>
        <v>8476.41</v>
      </c>
    </row>
    <row r="687" spans="1:13">
      <c r="A687" t="s">
        <v>106</v>
      </c>
      <c r="B687" t="s">
        <v>11</v>
      </c>
      <c r="C687" s="51">
        <v>137737033763</v>
      </c>
      <c r="D687" s="1">
        <v>37119.86</v>
      </c>
      <c r="E687" s="1">
        <v>13934429.08</v>
      </c>
      <c r="F687" t="s">
        <v>1280</v>
      </c>
      <c r="I687" s="16"/>
      <c r="J687" s="68"/>
      <c r="K687" s="68"/>
      <c r="L687" s="68"/>
      <c r="M687" s="74">
        <f t="shared" si="14"/>
        <v>37119.86</v>
      </c>
    </row>
    <row r="688" spans="1:13">
      <c r="A688" t="s">
        <v>106</v>
      </c>
      <c r="B688" t="s">
        <v>11</v>
      </c>
      <c r="C688" s="51">
        <v>138375441034</v>
      </c>
      <c r="D688" s="1">
        <v>20752.59</v>
      </c>
      <c r="E688" s="1">
        <v>13955181.67</v>
      </c>
      <c r="F688" t="s">
        <v>1280</v>
      </c>
      <c r="I688" s="16"/>
      <c r="J688" s="68"/>
      <c r="K688" s="68"/>
      <c r="L688" s="68"/>
      <c r="M688" s="74">
        <f t="shared" si="14"/>
        <v>20752.59</v>
      </c>
    </row>
    <row r="689" spans="1:13">
      <c r="A689" t="s">
        <v>106</v>
      </c>
      <c r="B689" t="s">
        <v>11</v>
      </c>
      <c r="C689" s="51">
        <v>138376025552</v>
      </c>
      <c r="D689" s="1">
        <v>24967.25</v>
      </c>
      <c r="E689" s="1">
        <v>13980148.92</v>
      </c>
      <c r="F689" t="s">
        <v>1280</v>
      </c>
      <c r="I689" s="16"/>
      <c r="J689" s="68"/>
      <c r="K689" s="68"/>
      <c r="L689" s="68"/>
      <c r="M689" s="74">
        <f t="shared" si="14"/>
        <v>24967.25</v>
      </c>
    </row>
    <row r="690" spans="1:13">
      <c r="A690" t="s">
        <v>106</v>
      </c>
      <c r="B690" t="s">
        <v>11</v>
      </c>
      <c r="C690" s="51">
        <v>137738555625</v>
      </c>
      <c r="D690" s="1">
        <v>4629.03</v>
      </c>
      <c r="E690" s="1">
        <v>13984777.949999999</v>
      </c>
      <c r="F690" t="s">
        <v>1280</v>
      </c>
      <c r="I690" s="16"/>
      <c r="J690" s="68"/>
      <c r="K690" s="68"/>
      <c r="L690" s="68"/>
      <c r="M690" s="74">
        <f t="shared" si="14"/>
        <v>4629.03</v>
      </c>
    </row>
    <row r="691" spans="1:13">
      <c r="A691" t="s">
        <v>106</v>
      </c>
      <c r="B691" t="s">
        <v>11</v>
      </c>
      <c r="C691" s="51">
        <v>138377865080</v>
      </c>
      <c r="D691" s="1">
        <v>65278.1</v>
      </c>
      <c r="E691" s="1">
        <v>14050056.050000001</v>
      </c>
      <c r="F691" t="s">
        <v>1280</v>
      </c>
      <c r="I691" s="16"/>
      <c r="J691" s="68"/>
      <c r="K691" s="68"/>
      <c r="L691" s="68"/>
      <c r="M691" s="74">
        <f t="shared" si="14"/>
        <v>65278.1</v>
      </c>
    </row>
    <row r="692" spans="1:13">
      <c r="A692" t="s">
        <v>106</v>
      </c>
      <c r="B692" t="s">
        <v>11</v>
      </c>
      <c r="C692" s="51">
        <v>137739858471</v>
      </c>
      <c r="D692" s="1">
        <v>60309.17</v>
      </c>
      <c r="E692" s="1">
        <v>14110365.220000001</v>
      </c>
      <c r="F692" t="s">
        <v>1280</v>
      </c>
      <c r="I692" s="16"/>
      <c r="J692" s="68"/>
      <c r="K692" s="68"/>
      <c r="L692" s="68"/>
      <c r="M692" s="74">
        <f t="shared" si="14"/>
        <v>60309.17</v>
      </c>
    </row>
    <row r="693" spans="1:13">
      <c r="A693" t="s">
        <v>106</v>
      </c>
      <c r="B693" t="s">
        <v>11</v>
      </c>
      <c r="C693" s="51">
        <v>138378205560</v>
      </c>
      <c r="D693" s="1">
        <v>4676.6400000000003</v>
      </c>
      <c r="E693" s="1">
        <v>14121101.869999999</v>
      </c>
      <c r="F693" t="s">
        <v>1280</v>
      </c>
      <c r="I693" s="16"/>
      <c r="J693" s="68"/>
      <c r="K693" s="68"/>
      <c r="L693" s="68"/>
      <c r="M693" s="74">
        <f t="shared" si="14"/>
        <v>4676.6400000000003</v>
      </c>
    </row>
    <row r="694" spans="1:13">
      <c r="A694" t="s">
        <v>106</v>
      </c>
      <c r="B694" t="s">
        <v>11</v>
      </c>
      <c r="C694" s="51">
        <v>138378705392</v>
      </c>
      <c r="D694" s="1">
        <v>45597.24</v>
      </c>
      <c r="E694" s="1">
        <v>14166699.109999999</v>
      </c>
      <c r="F694" t="s">
        <v>1280</v>
      </c>
      <c r="I694" s="16"/>
      <c r="J694" s="68"/>
      <c r="K694" s="68"/>
      <c r="L694" s="68"/>
      <c r="M694" s="74">
        <f t="shared" si="14"/>
        <v>45597.24</v>
      </c>
    </row>
    <row r="695" spans="1:13">
      <c r="A695" t="s">
        <v>106</v>
      </c>
      <c r="B695" t="s">
        <v>11</v>
      </c>
      <c r="C695" s="51">
        <v>138379731852</v>
      </c>
      <c r="D695" s="1">
        <v>38449.29</v>
      </c>
      <c r="E695" s="1">
        <v>14205148.4</v>
      </c>
      <c r="F695" t="s">
        <v>1280</v>
      </c>
      <c r="I695" s="16"/>
      <c r="J695" s="68"/>
      <c r="K695" s="68"/>
      <c r="L695" s="68"/>
      <c r="M695" s="74">
        <f t="shared" si="14"/>
        <v>38449.29</v>
      </c>
    </row>
    <row r="696" spans="1:13">
      <c r="A696" t="s">
        <v>106</v>
      </c>
      <c r="B696" t="s">
        <v>11</v>
      </c>
      <c r="C696" s="51">
        <v>138380103176</v>
      </c>
      <c r="D696" s="1">
        <v>49884.160000000003</v>
      </c>
      <c r="E696" s="1">
        <v>14255032.560000001</v>
      </c>
      <c r="F696" t="s">
        <v>1280</v>
      </c>
      <c r="I696" s="16"/>
      <c r="J696" s="68"/>
      <c r="K696" s="68"/>
      <c r="L696" s="68"/>
      <c r="M696" s="74">
        <f t="shared" si="14"/>
        <v>49884.160000000003</v>
      </c>
    </row>
    <row r="697" spans="1:13">
      <c r="A697" t="s">
        <v>112</v>
      </c>
      <c r="B697" t="s">
        <v>11</v>
      </c>
      <c r="C697" s="51">
        <v>138380825924</v>
      </c>
      <c r="D697" s="1">
        <v>44328.7</v>
      </c>
      <c r="E697" s="1">
        <v>14299361.26</v>
      </c>
      <c r="F697" t="s">
        <v>1280</v>
      </c>
      <c r="I697" s="16"/>
      <c r="J697" s="68"/>
      <c r="K697" s="68"/>
      <c r="L697" s="68"/>
      <c r="M697" s="74">
        <f t="shared" si="14"/>
        <v>44328.7</v>
      </c>
    </row>
    <row r="698" spans="1:13">
      <c r="A698" t="s">
        <v>112</v>
      </c>
      <c r="B698" t="s">
        <v>11</v>
      </c>
      <c r="C698" s="51">
        <v>138381183046</v>
      </c>
      <c r="D698" s="1">
        <v>4774.07</v>
      </c>
      <c r="E698" s="1">
        <v>14304135.33</v>
      </c>
      <c r="F698" t="s">
        <v>1280</v>
      </c>
      <c r="I698" s="16"/>
      <c r="J698" s="68"/>
      <c r="K698" s="68"/>
      <c r="L698" s="68"/>
      <c r="M698" s="74">
        <f t="shared" si="14"/>
        <v>4774.07</v>
      </c>
    </row>
    <row r="699" spans="1:13">
      <c r="A699" t="s">
        <v>112</v>
      </c>
      <c r="B699" t="s">
        <v>11</v>
      </c>
      <c r="C699" s="51">
        <v>138382866740</v>
      </c>
      <c r="D699" s="1">
        <v>32831.96</v>
      </c>
      <c r="E699" s="1">
        <v>14336967.289999999</v>
      </c>
      <c r="F699" t="s">
        <v>1280</v>
      </c>
      <c r="I699" s="16"/>
      <c r="J699" s="68"/>
      <c r="K699" s="68"/>
      <c r="L699" s="68"/>
      <c r="M699" s="74">
        <f t="shared" si="14"/>
        <v>32831.96</v>
      </c>
    </row>
    <row r="700" spans="1:13">
      <c r="A700" t="s">
        <v>112</v>
      </c>
      <c r="B700" t="s">
        <v>11</v>
      </c>
      <c r="C700" s="51">
        <v>138386617202</v>
      </c>
      <c r="D700" s="1">
        <v>3870.8</v>
      </c>
      <c r="E700" s="1">
        <v>14340838.09</v>
      </c>
      <c r="F700" t="s">
        <v>1280</v>
      </c>
      <c r="I700" s="16"/>
      <c r="J700" s="68"/>
      <c r="K700" s="68"/>
      <c r="L700" s="68"/>
      <c r="M700" s="74">
        <f t="shared" si="14"/>
        <v>3870.8</v>
      </c>
    </row>
    <row r="701" spans="1:13">
      <c r="A701" t="s">
        <v>112</v>
      </c>
      <c r="B701" t="s">
        <v>11</v>
      </c>
      <c r="C701" s="51">
        <v>137748725081</v>
      </c>
      <c r="D701" s="1">
        <v>18316.84</v>
      </c>
      <c r="E701" s="1">
        <v>14359154.93</v>
      </c>
      <c r="F701" t="s">
        <v>1280</v>
      </c>
      <c r="I701" s="16"/>
      <c r="J701" s="68"/>
      <c r="K701" s="68"/>
      <c r="L701" s="68"/>
      <c r="M701" s="74">
        <f t="shared" si="14"/>
        <v>18316.84</v>
      </c>
    </row>
    <row r="702" spans="1:13">
      <c r="A702" t="s">
        <v>112</v>
      </c>
      <c r="B702" t="s">
        <v>11</v>
      </c>
      <c r="C702" s="51">
        <v>137748780603</v>
      </c>
      <c r="D702" s="1">
        <v>19146.509999999998</v>
      </c>
      <c r="E702" s="1">
        <v>14378301.439999999</v>
      </c>
      <c r="F702" t="s">
        <v>1280</v>
      </c>
      <c r="I702" s="16"/>
      <c r="J702" s="68"/>
      <c r="K702" s="68"/>
      <c r="L702" s="68"/>
      <c r="M702" s="74">
        <f t="shared" si="14"/>
        <v>19146.509999999998</v>
      </c>
    </row>
    <row r="703" spans="1:13">
      <c r="A703" t="s">
        <v>112</v>
      </c>
      <c r="B703" t="s">
        <v>11</v>
      </c>
      <c r="C703" s="51">
        <v>138386893506</v>
      </c>
      <c r="D703" s="1">
        <v>18579.84</v>
      </c>
      <c r="E703" s="1">
        <v>14396881.279999999</v>
      </c>
      <c r="F703" t="s">
        <v>1280</v>
      </c>
      <c r="I703" s="16"/>
      <c r="J703" s="68"/>
      <c r="K703" s="68"/>
      <c r="L703" s="68"/>
      <c r="M703" s="74">
        <f t="shared" si="14"/>
        <v>18579.84</v>
      </c>
    </row>
    <row r="704" spans="1:13">
      <c r="A704" t="s">
        <v>106</v>
      </c>
      <c r="B704" t="s">
        <v>110</v>
      </c>
      <c r="C704" s="51">
        <v>138371875180</v>
      </c>
      <c r="D704" s="1">
        <v>2348.62</v>
      </c>
      <c r="E704" s="1">
        <v>13794998.52</v>
      </c>
      <c r="F704" t="s">
        <v>1280</v>
      </c>
      <c r="I704" s="16"/>
      <c r="J704" s="68"/>
      <c r="K704" s="68"/>
      <c r="L704" s="68"/>
      <c r="M704" s="74">
        <f t="shared" si="14"/>
        <v>2348.62</v>
      </c>
    </row>
    <row r="705" spans="1:13">
      <c r="A705" t="s">
        <v>112</v>
      </c>
      <c r="B705" t="s">
        <v>11</v>
      </c>
      <c r="C705" s="51">
        <v>137748840969</v>
      </c>
      <c r="D705" s="1">
        <v>16614.57</v>
      </c>
      <c r="E705" s="1">
        <v>14413495.85</v>
      </c>
      <c r="F705" t="s">
        <v>1280</v>
      </c>
      <c r="I705" s="16"/>
      <c r="J705" s="68"/>
      <c r="K705" s="68"/>
      <c r="L705" s="68"/>
      <c r="M705" s="74">
        <f t="shared" si="14"/>
        <v>16614.57</v>
      </c>
    </row>
    <row r="706" spans="1:13">
      <c r="A706" t="s">
        <v>112</v>
      </c>
      <c r="B706" t="s">
        <v>11</v>
      </c>
      <c r="C706" s="51">
        <v>138387393028</v>
      </c>
      <c r="D706" s="1">
        <v>33126.199999999997</v>
      </c>
      <c r="E706" s="1">
        <v>14446622.050000001</v>
      </c>
      <c r="F706" t="s">
        <v>1280</v>
      </c>
      <c r="I706" s="16"/>
      <c r="J706" s="68"/>
      <c r="K706" s="68"/>
      <c r="L706" s="68"/>
      <c r="M706" s="74">
        <f t="shared" si="14"/>
        <v>33126.199999999997</v>
      </c>
    </row>
    <row r="707" spans="1:13">
      <c r="A707" t="s">
        <v>112</v>
      </c>
      <c r="B707" t="s">
        <v>11</v>
      </c>
      <c r="C707" s="51">
        <v>137862760785</v>
      </c>
      <c r="D707" s="1">
        <v>12178.75</v>
      </c>
      <c r="E707" s="1">
        <v>14458800.800000001</v>
      </c>
      <c r="F707" t="s">
        <v>1280</v>
      </c>
      <c r="I707" s="16"/>
      <c r="J707" s="68"/>
      <c r="K707" s="68"/>
      <c r="L707" s="68"/>
      <c r="M707" s="74">
        <f t="shared" si="14"/>
        <v>12178.75</v>
      </c>
    </row>
    <row r="708" spans="1:13">
      <c r="A708" t="s">
        <v>112</v>
      </c>
      <c r="B708" t="s">
        <v>11</v>
      </c>
      <c r="C708" s="51">
        <v>137866056777</v>
      </c>
      <c r="D708" s="1">
        <v>14419.64</v>
      </c>
      <c r="E708" s="1">
        <v>14473220.439999999</v>
      </c>
      <c r="F708" t="s">
        <v>1280</v>
      </c>
      <c r="I708" s="16"/>
      <c r="J708" s="68"/>
      <c r="K708" s="68"/>
      <c r="L708" s="68"/>
      <c r="M708" s="74">
        <f t="shared" si="14"/>
        <v>14419.64</v>
      </c>
    </row>
    <row r="709" spans="1:13">
      <c r="A709" t="s">
        <v>112</v>
      </c>
      <c r="B709" t="s">
        <v>11</v>
      </c>
      <c r="C709" s="51">
        <v>138506489490</v>
      </c>
      <c r="D709" s="1">
        <v>4871.5</v>
      </c>
      <c r="E709" s="1">
        <v>14478091.939999999</v>
      </c>
      <c r="F709" t="s">
        <v>1280</v>
      </c>
      <c r="I709" s="16"/>
      <c r="J709" s="68"/>
      <c r="K709" s="68"/>
      <c r="L709" s="68"/>
      <c r="M709" s="74">
        <f t="shared" si="14"/>
        <v>4871.5</v>
      </c>
    </row>
    <row r="710" spans="1:13">
      <c r="A710" t="s">
        <v>112</v>
      </c>
      <c r="B710" t="s">
        <v>11</v>
      </c>
      <c r="C710" s="51">
        <v>138507536394</v>
      </c>
      <c r="D710" s="1">
        <v>9743</v>
      </c>
      <c r="E710" s="1">
        <v>14487834.939999999</v>
      </c>
      <c r="F710" t="s">
        <v>1280</v>
      </c>
      <c r="I710" s="16"/>
      <c r="J710" s="68"/>
      <c r="K710" s="68"/>
      <c r="L710" s="68"/>
      <c r="M710" s="74">
        <f t="shared" si="14"/>
        <v>9743</v>
      </c>
    </row>
    <row r="711" spans="1:13">
      <c r="A711" t="s">
        <v>112</v>
      </c>
      <c r="B711" t="s">
        <v>11</v>
      </c>
      <c r="C711" s="51">
        <v>137875762085</v>
      </c>
      <c r="D711" s="1">
        <v>9743</v>
      </c>
      <c r="E711" s="1">
        <v>14498556.939999999</v>
      </c>
      <c r="F711" t="s">
        <v>1280</v>
      </c>
      <c r="I711" s="16"/>
      <c r="J711" s="68"/>
      <c r="K711" s="68"/>
      <c r="L711" s="68"/>
      <c r="M711" s="74">
        <f t="shared" si="14"/>
        <v>9743</v>
      </c>
    </row>
    <row r="712" spans="1:13">
      <c r="A712" t="s">
        <v>112</v>
      </c>
      <c r="B712" t="s">
        <v>11</v>
      </c>
      <c r="C712" s="51">
        <v>138515609406</v>
      </c>
      <c r="D712" s="1">
        <v>20405.52</v>
      </c>
      <c r="E712" s="1">
        <v>14518962.460000001</v>
      </c>
      <c r="F712" t="s">
        <v>1280</v>
      </c>
      <c r="I712" s="16"/>
      <c r="J712" s="68"/>
      <c r="K712" s="68"/>
      <c r="L712" s="68"/>
      <c r="M712" s="74">
        <f t="shared" si="14"/>
        <v>20405.52</v>
      </c>
    </row>
    <row r="713" spans="1:13">
      <c r="A713" t="s">
        <v>112</v>
      </c>
      <c r="B713" t="s">
        <v>11</v>
      </c>
      <c r="C713" s="51">
        <v>137878494033</v>
      </c>
      <c r="D713" s="1">
        <v>5358.65</v>
      </c>
      <c r="E713" s="1">
        <v>14524321.109999999</v>
      </c>
      <c r="F713" t="s">
        <v>1280</v>
      </c>
      <c r="I713" s="16"/>
      <c r="J713" s="68"/>
      <c r="K713" s="68"/>
      <c r="L713" s="68"/>
      <c r="M713" s="74">
        <f t="shared" si="14"/>
        <v>5358.65</v>
      </c>
    </row>
    <row r="714" spans="1:13">
      <c r="A714" t="s">
        <v>112</v>
      </c>
      <c r="B714" t="s">
        <v>11</v>
      </c>
      <c r="C714" s="51">
        <v>137879551043</v>
      </c>
      <c r="D714" s="1">
        <v>4539.5</v>
      </c>
      <c r="E714" s="1">
        <v>14528860.609999999</v>
      </c>
      <c r="F714" t="s">
        <v>1280</v>
      </c>
      <c r="I714" s="16"/>
      <c r="J714" s="68"/>
      <c r="K714" s="68"/>
      <c r="L714" s="68"/>
      <c r="M714" s="74">
        <f t="shared" si="14"/>
        <v>4539.5</v>
      </c>
    </row>
    <row r="715" spans="1:13">
      <c r="A715" t="s">
        <v>106</v>
      </c>
      <c r="B715" t="s">
        <v>111</v>
      </c>
      <c r="C715" s="51">
        <v>137739797245</v>
      </c>
      <c r="D715" s="1">
        <v>6060.01</v>
      </c>
      <c r="E715" s="1">
        <v>14116425.23</v>
      </c>
      <c r="F715" t="s">
        <v>1280</v>
      </c>
      <c r="I715" s="16"/>
      <c r="J715" s="68"/>
      <c r="K715" s="68"/>
      <c r="L715" s="68"/>
      <c r="M715" s="74">
        <f t="shared" si="14"/>
        <v>6060.01</v>
      </c>
    </row>
    <row r="716" spans="1:13">
      <c r="A716" t="s">
        <v>112</v>
      </c>
      <c r="B716" t="s">
        <v>11</v>
      </c>
      <c r="C716" s="51">
        <v>137881102495</v>
      </c>
      <c r="D716" s="1">
        <v>4774.07</v>
      </c>
      <c r="E716" s="1">
        <v>14533634.68</v>
      </c>
      <c r="F716" t="s">
        <v>1280</v>
      </c>
      <c r="I716" s="16"/>
      <c r="J716" s="68"/>
      <c r="K716" s="68"/>
      <c r="L716" s="68"/>
      <c r="M716" s="74">
        <f t="shared" si="14"/>
        <v>4774.07</v>
      </c>
    </row>
    <row r="717" spans="1:13">
      <c r="A717" t="s">
        <v>112</v>
      </c>
      <c r="B717" t="s">
        <v>11</v>
      </c>
      <c r="C717" s="51">
        <v>137881181395</v>
      </c>
      <c r="D717" s="1">
        <v>25317.96</v>
      </c>
      <c r="E717" s="1">
        <v>14558952.640000001</v>
      </c>
      <c r="F717" t="s">
        <v>1280</v>
      </c>
      <c r="I717" s="16"/>
      <c r="J717" s="68"/>
      <c r="K717" s="68"/>
      <c r="L717" s="68"/>
      <c r="M717" s="74">
        <f t="shared" si="14"/>
        <v>25317.96</v>
      </c>
    </row>
    <row r="718" spans="1:13">
      <c r="A718" t="s">
        <v>112</v>
      </c>
      <c r="B718" t="s">
        <v>11</v>
      </c>
      <c r="C718" s="51">
        <v>137881574967</v>
      </c>
      <c r="D718" s="1">
        <v>4871.5</v>
      </c>
      <c r="E718" s="1">
        <v>14563824.140000001</v>
      </c>
      <c r="F718" t="s">
        <v>1280</v>
      </c>
      <c r="I718" s="16"/>
      <c r="J718" s="68"/>
      <c r="K718" s="68"/>
      <c r="L718" s="68"/>
      <c r="M718" s="74">
        <f t="shared" si="14"/>
        <v>4871.5</v>
      </c>
    </row>
    <row r="719" spans="1:13">
      <c r="A719" t="s">
        <v>112</v>
      </c>
      <c r="B719" t="s">
        <v>11</v>
      </c>
      <c r="C719" s="51">
        <v>137881925783</v>
      </c>
      <c r="D719" s="1">
        <v>4448.71</v>
      </c>
      <c r="E719" s="1">
        <v>14568272.85</v>
      </c>
      <c r="F719" t="s">
        <v>1280</v>
      </c>
      <c r="I719" s="16"/>
      <c r="J719" s="68"/>
      <c r="K719" s="68"/>
      <c r="L719" s="68"/>
      <c r="M719" s="74">
        <f t="shared" si="14"/>
        <v>4448.71</v>
      </c>
    </row>
    <row r="720" spans="1:13">
      <c r="A720" t="s">
        <v>112</v>
      </c>
      <c r="B720" t="s">
        <v>11</v>
      </c>
      <c r="C720" s="51">
        <v>137882122931</v>
      </c>
      <c r="D720" s="1">
        <v>4629.03</v>
      </c>
      <c r="E720" s="1">
        <v>14572901.880000001</v>
      </c>
      <c r="F720" t="s">
        <v>1280</v>
      </c>
      <c r="I720" s="16"/>
      <c r="J720" s="68"/>
      <c r="K720" s="68"/>
      <c r="L720" s="68"/>
      <c r="M720" s="74">
        <f t="shared" si="14"/>
        <v>4629.03</v>
      </c>
    </row>
    <row r="721" spans="1:13">
      <c r="A721" t="s">
        <v>112</v>
      </c>
      <c r="B721" t="s">
        <v>11</v>
      </c>
      <c r="C721" s="51">
        <v>138521571152</v>
      </c>
      <c r="D721" s="1">
        <v>7557.6</v>
      </c>
      <c r="E721" s="1">
        <v>14580459.48</v>
      </c>
      <c r="F721" t="s">
        <v>1280</v>
      </c>
      <c r="I721" s="16"/>
      <c r="J721" s="68"/>
      <c r="K721" s="68"/>
      <c r="L721" s="68"/>
      <c r="M721" s="74">
        <f t="shared" si="14"/>
        <v>7557.6</v>
      </c>
    </row>
    <row r="722" spans="1:13">
      <c r="A722" t="s">
        <v>112</v>
      </c>
      <c r="B722" t="s">
        <v>11</v>
      </c>
      <c r="C722" s="51">
        <v>137883296031</v>
      </c>
      <c r="D722" s="1">
        <v>14711.93</v>
      </c>
      <c r="E722" s="1">
        <v>14595171.41</v>
      </c>
      <c r="F722" t="s">
        <v>1280</v>
      </c>
      <c r="I722" s="16"/>
      <c r="J722" s="68"/>
      <c r="K722" s="68"/>
      <c r="L722" s="68"/>
      <c r="M722" s="74">
        <f t="shared" si="14"/>
        <v>14711.93</v>
      </c>
    </row>
    <row r="723" spans="1:13">
      <c r="A723" t="s">
        <v>112</v>
      </c>
      <c r="B723" t="s">
        <v>11</v>
      </c>
      <c r="C723" s="51">
        <v>138522879906</v>
      </c>
      <c r="D723" s="1">
        <v>7307.25</v>
      </c>
      <c r="E723" s="1">
        <v>14602478.66</v>
      </c>
      <c r="F723" t="s">
        <v>1280</v>
      </c>
      <c r="I723" s="16"/>
      <c r="J723" s="68"/>
      <c r="K723" s="68"/>
      <c r="L723" s="68"/>
      <c r="M723" s="74">
        <f t="shared" si="14"/>
        <v>7307.25</v>
      </c>
    </row>
    <row r="724" spans="1:13">
      <c r="A724" t="s">
        <v>112</v>
      </c>
      <c r="B724" t="s">
        <v>11</v>
      </c>
      <c r="C724" s="51">
        <v>138523156838</v>
      </c>
      <c r="D724" s="1">
        <v>21337.17</v>
      </c>
      <c r="E724" s="1">
        <v>14624182.949999999</v>
      </c>
      <c r="F724" t="s">
        <v>1280</v>
      </c>
      <c r="I724" s="16"/>
      <c r="J724" s="68"/>
      <c r="K724" s="68"/>
      <c r="L724" s="68"/>
      <c r="M724" s="74">
        <f t="shared" si="14"/>
        <v>21337.17</v>
      </c>
    </row>
    <row r="725" spans="1:13">
      <c r="A725" t="s">
        <v>112</v>
      </c>
      <c r="B725" t="s">
        <v>11</v>
      </c>
      <c r="C725" s="51">
        <v>138523183892</v>
      </c>
      <c r="D725" s="1">
        <v>4774.07</v>
      </c>
      <c r="E725" s="1">
        <v>14630029.02</v>
      </c>
      <c r="F725" t="s">
        <v>1280</v>
      </c>
      <c r="I725" s="16"/>
      <c r="J725" s="68"/>
      <c r="K725" s="68"/>
      <c r="L725" s="68"/>
      <c r="M725" s="74">
        <f t="shared" si="14"/>
        <v>4774.07</v>
      </c>
    </row>
    <row r="726" spans="1:13">
      <c r="A726" t="s">
        <v>112</v>
      </c>
      <c r="B726" t="s">
        <v>11</v>
      </c>
      <c r="C726" s="51">
        <v>138523355880</v>
      </c>
      <c r="D726" s="1">
        <v>4774.07</v>
      </c>
      <c r="E726" s="1">
        <v>14634803.09</v>
      </c>
      <c r="F726" t="s">
        <v>1280</v>
      </c>
      <c r="I726" s="16"/>
      <c r="J726" s="68"/>
      <c r="K726" s="68"/>
      <c r="L726" s="68"/>
      <c r="M726" s="74">
        <f t="shared" si="14"/>
        <v>4774.07</v>
      </c>
    </row>
    <row r="727" spans="1:13">
      <c r="A727" t="s">
        <v>112</v>
      </c>
      <c r="B727" t="s">
        <v>11</v>
      </c>
      <c r="C727" s="51">
        <v>138523750984</v>
      </c>
      <c r="D727" s="1">
        <v>10717.3</v>
      </c>
      <c r="E727" s="1">
        <v>14645520.390000001</v>
      </c>
      <c r="F727" t="s">
        <v>1280</v>
      </c>
      <c r="I727" s="16"/>
      <c r="J727" s="68"/>
      <c r="K727" s="68"/>
      <c r="L727" s="68"/>
      <c r="M727" s="74">
        <f t="shared" si="14"/>
        <v>10717.3</v>
      </c>
    </row>
    <row r="728" spans="1:13">
      <c r="A728" t="s">
        <v>112</v>
      </c>
      <c r="B728" t="s">
        <v>11</v>
      </c>
      <c r="C728" s="51">
        <v>138523835674</v>
      </c>
      <c r="D728" s="1">
        <v>2435.75</v>
      </c>
      <c r="E728" s="1">
        <v>14647956.140000001</v>
      </c>
      <c r="F728" t="s">
        <v>1280</v>
      </c>
      <c r="I728" s="16"/>
      <c r="J728" s="68"/>
      <c r="K728" s="68"/>
      <c r="L728" s="68"/>
      <c r="M728" s="74">
        <f t="shared" si="14"/>
        <v>2435.75</v>
      </c>
    </row>
    <row r="729" spans="1:13">
      <c r="A729" t="s">
        <v>112</v>
      </c>
      <c r="B729" t="s">
        <v>11</v>
      </c>
      <c r="C729" s="51">
        <v>137885651617</v>
      </c>
      <c r="D729" s="1">
        <v>4774.07</v>
      </c>
      <c r="E729" s="1">
        <v>14652730.210000001</v>
      </c>
      <c r="F729" t="s">
        <v>1280</v>
      </c>
      <c r="I729" s="16"/>
      <c r="J729" s="68"/>
      <c r="K729" s="68"/>
      <c r="L729" s="68"/>
      <c r="M729" s="74">
        <f t="shared" si="14"/>
        <v>4774.07</v>
      </c>
    </row>
    <row r="730" spans="1:13">
      <c r="A730" t="s">
        <v>112</v>
      </c>
      <c r="B730" t="s">
        <v>11</v>
      </c>
      <c r="C730" s="51">
        <v>138525332522</v>
      </c>
      <c r="D730" s="1">
        <v>4676.6400000000003</v>
      </c>
      <c r="E730" s="1">
        <v>14657406.85</v>
      </c>
      <c r="F730" t="s">
        <v>1280</v>
      </c>
      <c r="I730" s="16"/>
      <c r="J730" s="68"/>
      <c r="K730" s="68"/>
      <c r="L730" s="68"/>
      <c r="M730" s="74">
        <f t="shared" si="14"/>
        <v>4676.6400000000003</v>
      </c>
    </row>
    <row r="731" spans="1:13">
      <c r="A731" t="s">
        <v>112</v>
      </c>
      <c r="B731" t="s">
        <v>11</v>
      </c>
      <c r="C731" s="51">
        <v>138525274966</v>
      </c>
      <c r="D731" s="1">
        <v>9353.2800000000007</v>
      </c>
      <c r="E731" s="1">
        <v>14666760.130000001</v>
      </c>
      <c r="F731" t="s">
        <v>1280</v>
      </c>
      <c r="I731" s="16"/>
      <c r="J731" s="68"/>
      <c r="K731" s="68"/>
      <c r="L731" s="68"/>
      <c r="M731" s="74">
        <f t="shared" si="14"/>
        <v>9353.2800000000007</v>
      </c>
    </row>
    <row r="732" spans="1:13">
      <c r="A732" t="s">
        <v>112</v>
      </c>
      <c r="B732" t="s">
        <v>11</v>
      </c>
      <c r="C732" s="51">
        <v>137886337273</v>
      </c>
      <c r="D732" s="1">
        <v>4539.5</v>
      </c>
      <c r="E732" s="1">
        <v>14671299.630000001</v>
      </c>
      <c r="F732" t="s">
        <v>1280</v>
      </c>
      <c r="I732" s="16"/>
      <c r="J732" s="68"/>
      <c r="K732" s="68"/>
      <c r="L732" s="68"/>
      <c r="M732" s="74">
        <f t="shared" si="14"/>
        <v>4539.5</v>
      </c>
    </row>
    <row r="733" spans="1:13">
      <c r="A733" t="s">
        <v>112</v>
      </c>
      <c r="B733" t="s">
        <v>113</v>
      </c>
      <c r="C733" s="51">
        <v>138507542274</v>
      </c>
      <c r="D733">
        <v>979</v>
      </c>
      <c r="E733" s="1">
        <v>14488813.939999999</v>
      </c>
      <c r="F733" t="s">
        <v>1280</v>
      </c>
      <c r="I733" s="16"/>
      <c r="J733" s="68"/>
      <c r="K733" s="68"/>
      <c r="L733" s="68"/>
      <c r="M733" s="74">
        <f t="shared" si="14"/>
        <v>979</v>
      </c>
    </row>
    <row r="734" spans="1:13">
      <c r="A734" t="s">
        <v>112</v>
      </c>
      <c r="B734" t="s">
        <v>11</v>
      </c>
      <c r="C734" s="51">
        <v>138527208218</v>
      </c>
      <c r="D734" s="1">
        <v>4871.5</v>
      </c>
      <c r="E734" s="1">
        <v>14676171.130000001</v>
      </c>
      <c r="F734" t="s">
        <v>1280</v>
      </c>
      <c r="I734" s="16"/>
      <c r="J734" s="68"/>
      <c r="K734" s="68"/>
      <c r="L734" s="68"/>
      <c r="M734" s="74">
        <f t="shared" si="14"/>
        <v>4871.5</v>
      </c>
    </row>
    <row r="735" spans="1:13">
      <c r="A735" t="s">
        <v>112</v>
      </c>
      <c r="B735" t="s">
        <v>11</v>
      </c>
      <c r="C735" s="51">
        <v>137888300955</v>
      </c>
      <c r="D735" s="1">
        <v>4774.07</v>
      </c>
      <c r="E735" s="1">
        <v>14680945.199999999</v>
      </c>
      <c r="F735" t="s">
        <v>1280</v>
      </c>
      <c r="I735" s="16"/>
      <c r="J735" s="68"/>
      <c r="K735" s="68"/>
      <c r="L735" s="68"/>
      <c r="M735" s="74">
        <f t="shared" si="14"/>
        <v>4774.07</v>
      </c>
    </row>
    <row r="736" spans="1:13">
      <c r="A736" t="s">
        <v>112</v>
      </c>
      <c r="B736" t="s">
        <v>11</v>
      </c>
      <c r="C736" s="51">
        <v>137888265807</v>
      </c>
      <c r="D736" s="1">
        <v>9743</v>
      </c>
      <c r="E736" s="1">
        <v>14690688.199999999</v>
      </c>
      <c r="F736" t="s">
        <v>1280</v>
      </c>
      <c r="I736" s="16"/>
      <c r="J736" s="68"/>
      <c r="K736" s="68"/>
      <c r="L736" s="68"/>
      <c r="M736" s="74">
        <f t="shared" si="14"/>
        <v>9743</v>
      </c>
    </row>
    <row r="737" spans="1:13">
      <c r="A737" t="s">
        <v>112</v>
      </c>
      <c r="B737" t="s">
        <v>11</v>
      </c>
      <c r="C737" s="51">
        <v>137888580429</v>
      </c>
      <c r="D737" s="1">
        <v>40547.519999999997</v>
      </c>
      <c r="E737" s="1">
        <v>14731235.720000001</v>
      </c>
      <c r="F737" t="s">
        <v>1280</v>
      </c>
      <c r="I737" s="16"/>
      <c r="J737" s="68"/>
      <c r="K737" s="68"/>
      <c r="L737" s="68"/>
      <c r="M737" s="74">
        <f t="shared" si="14"/>
        <v>40547.519999999997</v>
      </c>
    </row>
    <row r="738" spans="1:13">
      <c r="A738" t="s">
        <v>112</v>
      </c>
      <c r="B738" t="s">
        <v>11</v>
      </c>
      <c r="C738" s="51">
        <v>138527881428</v>
      </c>
      <c r="D738" s="1">
        <v>9743</v>
      </c>
      <c r="E738" s="1">
        <v>14740978.720000001</v>
      </c>
      <c r="F738" t="s">
        <v>1280</v>
      </c>
      <c r="I738" s="16"/>
      <c r="J738" s="68"/>
      <c r="K738" s="68"/>
      <c r="L738" s="68"/>
      <c r="M738" s="74">
        <f t="shared" si="14"/>
        <v>9743</v>
      </c>
    </row>
    <row r="739" spans="1:13">
      <c r="A739" t="s">
        <v>112</v>
      </c>
      <c r="B739" t="s">
        <v>11</v>
      </c>
      <c r="C739" s="51">
        <v>138527945930</v>
      </c>
      <c r="D739" s="1">
        <v>4676.6400000000003</v>
      </c>
      <c r="E739" s="1">
        <v>14745655.359999999</v>
      </c>
      <c r="F739" t="s">
        <v>1280</v>
      </c>
      <c r="I739" s="16"/>
      <c r="J739" s="68"/>
      <c r="K739" s="68"/>
      <c r="L739" s="68"/>
      <c r="M739" s="74">
        <f t="shared" si="14"/>
        <v>4676.6400000000003</v>
      </c>
    </row>
    <row r="740" spans="1:13">
      <c r="A740" t="s">
        <v>112</v>
      </c>
      <c r="B740" t="s">
        <v>11</v>
      </c>
      <c r="C740" s="51">
        <v>137888937331</v>
      </c>
      <c r="D740" s="1">
        <v>45597.24</v>
      </c>
      <c r="E740" s="1">
        <v>14791252.6</v>
      </c>
      <c r="F740" t="s">
        <v>1280</v>
      </c>
      <c r="I740" s="16"/>
      <c r="J740" s="68"/>
      <c r="K740" s="68"/>
      <c r="L740" s="68"/>
      <c r="M740" s="74">
        <f t="shared" si="14"/>
        <v>45597.24</v>
      </c>
    </row>
    <row r="741" spans="1:13">
      <c r="A741" t="s">
        <v>112</v>
      </c>
      <c r="B741" t="s">
        <v>11</v>
      </c>
      <c r="C741" s="51">
        <v>138528055052</v>
      </c>
      <c r="D741" s="1">
        <v>2338.3200000000002</v>
      </c>
      <c r="E741" s="1">
        <v>14793590.92</v>
      </c>
      <c r="F741" t="s">
        <v>1280</v>
      </c>
      <c r="I741" s="16"/>
      <c r="J741" s="68"/>
      <c r="K741" s="68"/>
      <c r="L741" s="68"/>
      <c r="M741" s="74">
        <f t="shared" si="14"/>
        <v>2338.3200000000002</v>
      </c>
    </row>
    <row r="742" spans="1:13">
      <c r="A742" t="s">
        <v>112</v>
      </c>
      <c r="B742" t="s">
        <v>11</v>
      </c>
      <c r="C742" s="51">
        <v>138528129514</v>
      </c>
      <c r="D742" s="1">
        <v>4871.5</v>
      </c>
      <c r="E742" s="1">
        <v>14798462.42</v>
      </c>
      <c r="F742" t="s">
        <v>1280</v>
      </c>
      <c r="I742" s="16"/>
      <c r="J742" s="68"/>
      <c r="K742" s="68"/>
      <c r="L742" s="68"/>
      <c r="M742" s="74">
        <f t="shared" si="14"/>
        <v>4871.5</v>
      </c>
    </row>
    <row r="743" spans="1:13">
      <c r="A743" t="s">
        <v>112</v>
      </c>
      <c r="B743" t="s">
        <v>11</v>
      </c>
      <c r="C743" s="51">
        <v>138528213452</v>
      </c>
      <c r="D743" s="1">
        <v>4676.6400000000003</v>
      </c>
      <c r="E743" s="1">
        <v>14803139.060000001</v>
      </c>
      <c r="F743" t="s">
        <v>1280</v>
      </c>
      <c r="I743" s="16"/>
      <c r="J743" s="68"/>
      <c r="K743" s="68"/>
      <c r="L743" s="68"/>
      <c r="M743" s="74">
        <f t="shared" si="14"/>
        <v>4676.6400000000003</v>
      </c>
    </row>
    <row r="744" spans="1:13">
      <c r="A744" t="s">
        <v>112</v>
      </c>
      <c r="B744" t="s">
        <v>11</v>
      </c>
      <c r="C744" s="51">
        <v>138528194054</v>
      </c>
      <c r="D744" s="1">
        <v>4871.5</v>
      </c>
      <c r="E744" s="1">
        <v>14808010.560000001</v>
      </c>
      <c r="F744" t="s">
        <v>1280</v>
      </c>
      <c r="I744" s="16"/>
      <c r="J744" s="68"/>
      <c r="K744" s="68"/>
      <c r="L744" s="68"/>
      <c r="M744" s="74">
        <f t="shared" ref="M744:M807" si="15">+D744-I744-J744-K744-L744</f>
        <v>4871.5</v>
      </c>
    </row>
    <row r="745" spans="1:13">
      <c r="A745" t="s">
        <v>112</v>
      </c>
      <c r="B745" t="s">
        <v>11</v>
      </c>
      <c r="C745" s="51">
        <v>137889297597</v>
      </c>
      <c r="D745" s="1">
        <v>4774.07</v>
      </c>
      <c r="E745" s="1">
        <v>14812784.630000001</v>
      </c>
      <c r="F745" t="s">
        <v>1280</v>
      </c>
      <c r="I745" s="16"/>
      <c r="J745" s="68"/>
      <c r="K745" s="68"/>
      <c r="L745" s="68"/>
      <c r="M745" s="74">
        <f t="shared" si="15"/>
        <v>4774.07</v>
      </c>
    </row>
    <row r="746" spans="1:13">
      <c r="A746" t="s">
        <v>112</v>
      </c>
      <c r="B746" t="s">
        <v>16</v>
      </c>
      <c r="C746" s="51">
        <v>137883804495</v>
      </c>
      <c r="D746">
        <v>367.12</v>
      </c>
      <c r="E746" s="1">
        <v>14602845.779999999</v>
      </c>
      <c r="F746" t="s">
        <v>1280</v>
      </c>
      <c r="I746" s="16"/>
      <c r="J746" s="68"/>
      <c r="K746" s="68"/>
      <c r="L746" s="68"/>
      <c r="M746" s="74">
        <f t="shared" si="15"/>
        <v>367.12</v>
      </c>
    </row>
    <row r="747" spans="1:13">
      <c r="A747" t="s">
        <v>112</v>
      </c>
      <c r="B747" t="s">
        <v>11</v>
      </c>
      <c r="C747" s="51">
        <v>138528391464</v>
      </c>
      <c r="D747" s="1">
        <v>5358.65</v>
      </c>
      <c r="E747" s="1">
        <v>14818143.279999999</v>
      </c>
      <c r="F747" t="s">
        <v>1280</v>
      </c>
      <c r="I747" s="16"/>
      <c r="J747" s="68"/>
      <c r="K747" s="68"/>
      <c r="L747" s="68"/>
      <c r="M747" s="74">
        <f t="shared" si="15"/>
        <v>5358.65</v>
      </c>
    </row>
    <row r="748" spans="1:13">
      <c r="A748" t="s">
        <v>112</v>
      </c>
      <c r="B748" t="s">
        <v>114</v>
      </c>
      <c r="C748" s="51">
        <v>137883883605</v>
      </c>
      <c r="D748" s="1">
        <v>1072</v>
      </c>
      <c r="E748" s="1">
        <v>14625254.949999999</v>
      </c>
      <c r="F748" t="s">
        <v>1280</v>
      </c>
      <c r="I748" s="16"/>
      <c r="J748" s="68"/>
      <c r="K748" s="68"/>
      <c r="L748" s="68"/>
      <c r="M748" s="74">
        <f t="shared" si="15"/>
        <v>1072</v>
      </c>
    </row>
    <row r="749" spans="1:13">
      <c r="A749" t="s">
        <v>112</v>
      </c>
      <c r="B749" t="s">
        <v>11</v>
      </c>
      <c r="C749" s="51">
        <v>137889879715</v>
      </c>
      <c r="D749" s="1">
        <v>9548.14</v>
      </c>
      <c r="E749" s="1">
        <v>14827691.42</v>
      </c>
      <c r="F749" t="s">
        <v>1280</v>
      </c>
      <c r="I749" s="16"/>
      <c r="J749" s="68"/>
      <c r="K749" s="68"/>
      <c r="L749" s="68"/>
      <c r="M749" s="74">
        <f t="shared" si="15"/>
        <v>9548.14</v>
      </c>
    </row>
    <row r="750" spans="1:13">
      <c r="A750" t="s">
        <v>112</v>
      </c>
      <c r="B750" t="s">
        <v>11</v>
      </c>
      <c r="C750" s="51">
        <v>138529185350</v>
      </c>
      <c r="D750" s="1">
        <v>14614.5</v>
      </c>
      <c r="E750" s="1">
        <v>14842305.92</v>
      </c>
      <c r="F750" t="s">
        <v>1280</v>
      </c>
      <c r="I750" s="16"/>
      <c r="J750" s="68"/>
      <c r="K750" s="68"/>
      <c r="L750" s="68"/>
      <c r="M750" s="74">
        <f t="shared" si="15"/>
        <v>14614.5</v>
      </c>
    </row>
    <row r="751" spans="1:13">
      <c r="A751" t="s">
        <v>112</v>
      </c>
      <c r="B751" t="s">
        <v>11</v>
      </c>
      <c r="C751" s="51">
        <v>137890291451</v>
      </c>
      <c r="D751" s="1">
        <v>44915.23</v>
      </c>
      <c r="E751" s="1">
        <v>14887221.15</v>
      </c>
      <c r="F751" t="s">
        <v>1280</v>
      </c>
      <c r="I751" s="16"/>
      <c r="J751" s="68"/>
      <c r="K751" s="68"/>
      <c r="L751" s="68"/>
      <c r="M751" s="74">
        <f t="shared" si="15"/>
        <v>44915.23</v>
      </c>
    </row>
    <row r="752" spans="1:13">
      <c r="A752" t="s">
        <v>112</v>
      </c>
      <c r="B752" t="s">
        <v>11</v>
      </c>
      <c r="C752" s="51">
        <v>137890414465</v>
      </c>
      <c r="D752" s="1">
        <v>10717.3</v>
      </c>
      <c r="E752" s="1">
        <v>14897938.449999999</v>
      </c>
      <c r="F752" t="s">
        <v>1280</v>
      </c>
      <c r="I752" s="16"/>
      <c r="J752" s="68"/>
      <c r="K752" s="68"/>
      <c r="L752" s="68"/>
      <c r="M752" s="74">
        <f t="shared" si="15"/>
        <v>10717.3</v>
      </c>
    </row>
    <row r="753" spans="1:13">
      <c r="A753" t="s">
        <v>112</v>
      </c>
      <c r="B753" t="s">
        <v>11</v>
      </c>
      <c r="C753" s="51">
        <v>138529603148</v>
      </c>
      <c r="D753" s="1">
        <v>21633.63</v>
      </c>
      <c r="E753" s="1">
        <v>14919572.08</v>
      </c>
      <c r="F753" t="s">
        <v>1280</v>
      </c>
      <c r="I753" s="16"/>
      <c r="J753" s="68"/>
      <c r="K753" s="68"/>
      <c r="L753" s="68"/>
      <c r="M753" s="74">
        <f t="shared" si="15"/>
        <v>21633.63</v>
      </c>
    </row>
    <row r="754" spans="1:13">
      <c r="A754" t="s">
        <v>112</v>
      </c>
      <c r="B754" t="s">
        <v>11</v>
      </c>
      <c r="C754" s="51">
        <v>137890542783</v>
      </c>
      <c r="D754" s="1">
        <v>4871.5</v>
      </c>
      <c r="E754" s="1">
        <v>14924443.58</v>
      </c>
      <c r="F754" t="s">
        <v>1280</v>
      </c>
      <c r="I754" s="16"/>
      <c r="J754" s="68"/>
      <c r="K754" s="68"/>
      <c r="L754" s="68"/>
      <c r="M754" s="74">
        <f t="shared" si="15"/>
        <v>4871.5</v>
      </c>
    </row>
    <row r="755" spans="1:13">
      <c r="A755" t="s">
        <v>112</v>
      </c>
      <c r="B755" t="s">
        <v>11</v>
      </c>
      <c r="C755" s="51">
        <v>138529709640</v>
      </c>
      <c r="D755" s="1">
        <v>4505.28</v>
      </c>
      <c r="E755" s="1">
        <v>14928948.859999999</v>
      </c>
      <c r="F755" t="s">
        <v>1280</v>
      </c>
      <c r="I755" s="16"/>
      <c r="J755" s="68"/>
      <c r="K755" s="68"/>
      <c r="L755" s="68"/>
      <c r="M755" s="74">
        <f t="shared" si="15"/>
        <v>4505.28</v>
      </c>
    </row>
    <row r="756" spans="1:13">
      <c r="A756" t="s">
        <v>112</v>
      </c>
      <c r="B756" t="s">
        <v>11</v>
      </c>
      <c r="C756" s="51">
        <v>138529964152</v>
      </c>
      <c r="D756" s="1">
        <v>9743</v>
      </c>
      <c r="E756" s="1">
        <v>14938691.859999999</v>
      </c>
      <c r="F756" t="s">
        <v>1280</v>
      </c>
      <c r="I756" s="16"/>
      <c r="J756" s="68"/>
      <c r="K756" s="68"/>
      <c r="L756" s="68"/>
      <c r="M756" s="74">
        <f t="shared" si="15"/>
        <v>9743</v>
      </c>
    </row>
    <row r="757" spans="1:13">
      <c r="A757" t="s">
        <v>112</v>
      </c>
      <c r="B757" t="s">
        <v>11</v>
      </c>
      <c r="C757" s="51">
        <v>138530250704</v>
      </c>
      <c r="D757" s="1">
        <v>54414.720000000001</v>
      </c>
      <c r="E757" s="1">
        <v>14993106.58</v>
      </c>
      <c r="F757" t="s">
        <v>1280</v>
      </c>
      <c r="I757" s="16"/>
      <c r="J757" s="68"/>
      <c r="K757" s="68"/>
      <c r="L757" s="68"/>
      <c r="M757" s="74">
        <f t="shared" si="15"/>
        <v>54414.720000000001</v>
      </c>
    </row>
    <row r="758" spans="1:13">
      <c r="A758" t="s">
        <v>112</v>
      </c>
      <c r="B758" t="s">
        <v>11</v>
      </c>
      <c r="C758" s="51">
        <v>137891309225</v>
      </c>
      <c r="D758" s="1">
        <v>35659.379999999997</v>
      </c>
      <c r="E758" s="1">
        <v>15028765.960000001</v>
      </c>
      <c r="F758" t="s">
        <v>1280</v>
      </c>
      <c r="I758" s="16"/>
      <c r="J758" s="68"/>
      <c r="K758" s="68"/>
      <c r="L758" s="68"/>
      <c r="M758" s="74">
        <f t="shared" si="15"/>
        <v>35659.379999999997</v>
      </c>
    </row>
    <row r="759" spans="1:13">
      <c r="A759" t="s">
        <v>112</v>
      </c>
      <c r="B759" t="s">
        <v>11</v>
      </c>
      <c r="C759" s="51">
        <v>137891544975</v>
      </c>
      <c r="D759" s="1">
        <v>4676.6400000000003</v>
      </c>
      <c r="E759" s="1">
        <v>15033442.6</v>
      </c>
      <c r="F759" t="s">
        <v>1280</v>
      </c>
      <c r="I759" s="16"/>
      <c r="J759" s="68"/>
      <c r="K759" s="68"/>
      <c r="L759" s="68"/>
      <c r="M759" s="74">
        <f t="shared" si="15"/>
        <v>4676.6400000000003</v>
      </c>
    </row>
    <row r="760" spans="1:13">
      <c r="A760" t="s">
        <v>112</v>
      </c>
      <c r="B760" t="s">
        <v>11</v>
      </c>
      <c r="C760" s="51">
        <v>138530623524</v>
      </c>
      <c r="D760" s="1">
        <v>2435.75</v>
      </c>
      <c r="E760" s="1">
        <v>15035878.35</v>
      </c>
      <c r="F760" t="s">
        <v>1280</v>
      </c>
      <c r="I760" s="16"/>
      <c r="J760" s="68"/>
      <c r="K760" s="68"/>
      <c r="L760" s="68"/>
      <c r="M760" s="74">
        <f t="shared" si="15"/>
        <v>2435.75</v>
      </c>
    </row>
    <row r="761" spans="1:13">
      <c r="A761" t="s">
        <v>112</v>
      </c>
      <c r="B761" t="s">
        <v>11</v>
      </c>
      <c r="C761" s="51">
        <v>137891888729</v>
      </c>
      <c r="D761" s="1">
        <v>10717.3</v>
      </c>
      <c r="E761" s="1">
        <v>15046595.65</v>
      </c>
      <c r="F761" t="s">
        <v>1280</v>
      </c>
      <c r="I761" s="16"/>
      <c r="J761" s="68"/>
      <c r="K761" s="68"/>
      <c r="L761" s="68"/>
      <c r="M761" s="74">
        <f t="shared" si="15"/>
        <v>10717.3</v>
      </c>
    </row>
    <row r="762" spans="1:13">
      <c r="A762" t="s">
        <v>112</v>
      </c>
      <c r="B762" t="s">
        <v>11</v>
      </c>
      <c r="C762" s="51">
        <v>137891966741</v>
      </c>
      <c r="D762" s="1">
        <v>4838.5</v>
      </c>
      <c r="E762" s="1">
        <v>15051434.15</v>
      </c>
      <c r="F762" t="s">
        <v>1280</v>
      </c>
      <c r="I762" s="16"/>
      <c r="J762" s="68"/>
      <c r="K762" s="68"/>
      <c r="L762" s="68"/>
      <c r="M762" s="74">
        <f t="shared" si="15"/>
        <v>4838.5</v>
      </c>
    </row>
    <row r="763" spans="1:13">
      <c r="A763" t="s">
        <v>112</v>
      </c>
      <c r="B763" t="s">
        <v>11</v>
      </c>
      <c r="C763" s="51">
        <v>137891994961</v>
      </c>
      <c r="D763" s="1">
        <v>14614.5</v>
      </c>
      <c r="E763" s="1">
        <v>15066048.65</v>
      </c>
      <c r="F763" t="s">
        <v>1280</v>
      </c>
      <c r="I763" s="16"/>
      <c r="J763" s="68"/>
      <c r="K763" s="68"/>
      <c r="L763" s="68"/>
      <c r="M763" s="74">
        <f t="shared" si="15"/>
        <v>14614.5</v>
      </c>
    </row>
    <row r="764" spans="1:13">
      <c r="A764" t="s">
        <v>112</v>
      </c>
      <c r="B764" t="s">
        <v>11</v>
      </c>
      <c r="C764" s="51">
        <v>138531133564</v>
      </c>
      <c r="D764" s="1">
        <v>17732.259999999998</v>
      </c>
      <c r="E764" s="1">
        <v>15083780.91</v>
      </c>
      <c r="F764" t="s">
        <v>1280</v>
      </c>
      <c r="I764" s="16"/>
      <c r="J764" s="68"/>
      <c r="K764" s="68"/>
      <c r="L764" s="68"/>
      <c r="M764" s="74">
        <f t="shared" si="15"/>
        <v>17732.259999999998</v>
      </c>
    </row>
    <row r="765" spans="1:13">
      <c r="A765" t="s">
        <v>112</v>
      </c>
      <c r="B765" t="s">
        <v>11</v>
      </c>
      <c r="C765" s="51">
        <v>138531264710</v>
      </c>
      <c r="D765" s="1">
        <v>13153.05</v>
      </c>
      <c r="E765" s="1">
        <v>15097824.85</v>
      </c>
      <c r="F765" t="s">
        <v>1280</v>
      </c>
      <c r="I765" s="16"/>
      <c r="J765" s="68"/>
      <c r="K765" s="68"/>
      <c r="L765" s="68"/>
      <c r="M765" s="74">
        <f t="shared" si="15"/>
        <v>13153.05</v>
      </c>
    </row>
    <row r="766" spans="1:13">
      <c r="A766" t="s">
        <v>112</v>
      </c>
      <c r="B766" t="s">
        <v>11</v>
      </c>
      <c r="C766" s="51">
        <v>138531301154</v>
      </c>
      <c r="D766" s="1">
        <v>32151.9</v>
      </c>
      <c r="E766" s="1">
        <v>15129976.75</v>
      </c>
      <c r="F766" t="s">
        <v>1280</v>
      </c>
      <c r="I766" s="16"/>
      <c r="J766" s="68"/>
      <c r="K766" s="68"/>
      <c r="L766" s="68"/>
      <c r="M766" s="74">
        <f t="shared" si="15"/>
        <v>32151.9</v>
      </c>
    </row>
    <row r="767" spans="1:13">
      <c r="A767" t="s">
        <v>112</v>
      </c>
      <c r="B767" t="s">
        <v>11</v>
      </c>
      <c r="C767" s="51">
        <v>138531468148</v>
      </c>
      <c r="D767" s="1">
        <v>10035.290000000001</v>
      </c>
      <c r="E767" s="1">
        <v>15140012.039999999</v>
      </c>
      <c r="F767" t="s">
        <v>1280</v>
      </c>
      <c r="I767" s="16"/>
      <c r="J767" s="68"/>
      <c r="K767" s="68"/>
      <c r="L767" s="68"/>
      <c r="M767" s="74">
        <f t="shared" si="15"/>
        <v>10035.290000000001</v>
      </c>
    </row>
    <row r="768" spans="1:13">
      <c r="A768" t="s">
        <v>112</v>
      </c>
      <c r="B768" t="s">
        <v>11</v>
      </c>
      <c r="C768" s="51">
        <v>138531411036</v>
      </c>
      <c r="D768" s="1">
        <v>35026.080000000002</v>
      </c>
      <c r="E768" s="1">
        <v>15175038.119999999</v>
      </c>
      <c r="F768" t="s">
        <v>1280</v>
      </c>
      <c r="I768" s="16"/>
      <c r="J768" s="68"/>
      <c r="K768" s="68"/>
      <c r="L768" s="68"/>
      <c r="M768" s="74">
        <f t="shared" si="15"/>
        <v>35026.080000000002</v>
      </c>
    </row>
    <row r="769" spans="1:13">
      <c r="A769" t="s">
        <v>112</v>
      </c>
      <c r="B769" t="s">
        <v>11</v>
      </c>
      <c r="C769" s="51">
        <v>137892466823</v>
      </c>
      <c r="D769" s="1">
        <v>20168.009999999998</v>
      </c>
      <c r="E769" s="1">
        <v>15195206.130000001</v>
      </c>
      <c r="F769" t="s">
        <v>1280</v>
      </c>
      <c r="I769" s="16"/>
      <c r="J769" s="68"/>
      <c r="K769" s="68"/>
      <c r="L769" s="68"/>
      <c r="M769" s="74">
        <f t="shared" si="15"/>
        <v>20168.009999999998</v>
      </c>
    </row>
    <row r="770" spans="1:13">
      <c r="A770" t="s">
        <v>112</v>
      </c>
      <c r="B770" t="s">
        <v>11</v>
      </c>
      <c r="C770" s="51">
        <v>137892552965</v>
      </c>
      <c r="D770" s="1">
        <v>5358.65</v>
      </c>
      <c r="E770" s="1">
        <v>15200564.779999999</v>
      </c>
      <c r="F770" t="s">
        <v>1280</v>
      </c>
      <c r="I770" s="16"/>
      <c r="J770" s="68"/>
      <c r="K770" s="68"/>
      <c r="L770" s="68"/>
      <c r="M770" s="74">
        <f t="shared" si="15"/>
        <v>5358.65</v>
      </c>
    </row>
    <row r="771" spans="1:13">
      <c r="A771" t="s">
        <v>112</v>
      </c>
      <c r="B771" t="s">
        <v>11</v>
      </c>
      <c r="C771" s="51">
        <v>138532020272</v>
      </c>
      <c r="D771" s="1">
        <v>7414.94</v>
      </c>
      <c r="E771" s="1">
        <v>15207979.720000001</v>
      </c>
      <c r="F771" t="s">
        <v>1280</v>
      </c>
      <c r="I771" s="16"/>
      <c r="J771" s="68"/>
      <c r="K771" s="68"/>
      <c r="L771" s="68"/>
      <c r="M771" s="74">
        <f t="shared" si="15"/>
        <v>7414.94</v>
      </c>
    </row>
    <row r="772" spans="1:13">
      <c r="A772" t="s">
        <v>112</v>
      </c>
      <c r="B772" t="s">
        <v>11</v>
      </c>
      <c r="C772" s="51">
        <v>137892926953</v>
      </c>
      <c r="D772" s="1">
        <v>14614.5</v>
      </c>
      <c r="E772" s="1">
        <v>15222594.220000001</v>
      </c>
      <c r="F772" t="s">
        <v>1280</v>
      </c>
      <c r="I772" s="16"/>
      <c r="J772" s="68"/>
      <c r="K772" s="68"/>
      <c r="L772" s="68"/>
      <c r="M772" s="74">
        <f t="shared" si="15"/>
        <v>14614.5</v>
      </c>
    </row>
    <row r="773" spans="1:13">
      <c r="A773" t="s">
        <v>112</v>
      </c>
      <c r="B773" t="s">
        <v>11</v>
      </c>
      <c r="C773" s="51">
        <v>137892927031</v>
      </c>
      <c r="D773" s="1">
        <v>4871.5</v>
      </c>
      <c r="E773" s="1">
        <v>15227465.720000001</v>
      </c>
      <c r="F773" t="s">
        <v>1280</v>
      </c>
      <c r="I773" s="16"/>
      <c r="J773" s="68"/>
      <c r="K773" s="68"/>
      <c r="L773" s="68"/>
      <c r="M773" s="74">
        <f t="shared" si="15"/>
        <v>4871.5</v>
      </c>
    </row>
    <row r="774" spans="1:13">
      <c r="A774" t="s">
        <v>112</v>
      </c>
      <c r="B774" t="s">
        <v>11</v>
      </c>
      <c r="C774" s="51">
        <v>138532396696</v>
      </c>
      <c r="D774" s="1">
        <v>4871.5</v>
      </c>
      <c r="E774" s="1">
        <v>15232337.220000001</v>
      </c>
      <c r="F774" t="s">
        <v>1280</v>
      </c>
      <c r="I774" s="16"/>
      <c r="J774" s="68"/>
      <c r="K774" s="68"/>
      <c r="L774" s="68"/>
      <c r="M774" s="74">
        <f t="shared" si="15"/>
        <v>4871.5</v>
      </c>
    </row>
    <row r="775" spans="1:13">
      <c r="A775" t="s">
        <v>112</v>
      </c>
      <c r="B775" t="s">
        <v>11</v>
      </c>
      <c r="C775" s="51">
        <v>137893308257</v>
      </c>
      <c r="D775" s="1">
        <v>4774.07</v>
      </c>
      <c r="E775" s="1">
        <v>15237111.289999999</v>
      </c>
      <c r="F775" t="s">
        <v>1280</v>
      </c>
      <c r="I775" s="16"/>
      <c r="J775" s="68"/>
      <c r="K775" s="68"/>
      <c r="L775" s="68"/>
      <c r="M775" s="74">
        <f t="shared" si="15"/>
        <v>4774.07</v>
      </c>
    </row>
    <row r="776" spans="1:13">
      <c r="A776" t="s">
        <v>112</v>
      </c>
      <c r="B776" t="s">
        <v>11</v>
      </c>
      <c r="C776" s="51">
        <v>138532436086</v>
      </c>
      <c r="D776" s="1">
        <v>19082.939999999999</v>
      </c>
      <c r="E776" s="1">
        <v>15256194.23</v>
      </c>
      <c r="F776" t="s">
        <v>1280</v>
      </c>
      <c r="I776" s="16"/>
      <c r="J776" s="68"/>
      <c r="K776" s="68"/>
      <c r="L776" s="68"/>
      <c r="M776" s="74">
        <f t="shared" si="15"/>
        <v>19082.939999999999</v>
      </c>
    </row>
    <row r="777" spans="1:13">
      <c r="A777" t="s">
        <v>112</v>
      </c>
      <c r="B777" t="s">
        <v>11</v>
      </c>
      <c r="C777" s="51">
        <v>137893744373</v>
      </c>
      <c r="D777" s="1">
        <v>7014.96</v>
      </c>
      <c r="E777" s="1">
        <v>15263209.189999999</v>
      </c>
      <c r="F777" t="s">
        <v>1280</v>
      </c>
      <c r="I777" s="16"/>
      <c r="J777" s="68"/>
      <c r="K777" s="68"/>
      <c r="L777" s="68"/>
      <c r="M777" s="74">
        <f t="shared" si="15"/>
        <v>7014.96</v>
      </c>
    </row>
    <row r="778" spans="1:13">
      <c r="A778" t="s">
        <v>112</v>
      </c>
      <c r="B778" t="s">
        <v>11</v>
      </c>
      <c r="C778" s="51">
        <v>138533100352</v>
      </c>
      <c r="D778" s="1">
        <v>9743</v>
      </c>
      <c r="E778" s="1">
        <v>15272952.189999999</v>
      </c>
      <c r="F778" t="s">
        <v>1280</v>
      </c>
      <c r="I778" s="16"/>
      <c r="J778" s="68"/>
      <c r="K778" s="68"/>
      <c r="L778" s="68"/>
      <c r="M778" s="74">
        <f t="shared" si="15"/>
        <v>9743</v>
      </c>
    </row>
    <row r="779" spans="1:13">
      <c r="A779" t="s">
        <v>112</v>
      </c>
      <c r="B779" t="s">
        <v>11</v>
      </c>
      <c r="C779" s="51">
        <v>137893863741</v>
      </c>
      <c r="D779" s="1">
        <v>30398.16</v>
      </c>
      <c r="E779" s="1">
        <v>15303350.35</v>
      </c>
      <c r="F779" t="s">
        <v>1280</v>
      </c>
      <c r="I779" s="16"/>
      <c r="J779" s="68"/>
      <c r="K779" s="68"/>
      <c r="L779" s="68"/>
      <c r="M779" s="74">
        <f t="shared" si="15"/>
        <v>30398.16</v>
      </c>
    </row>
    <row r="780" spans="1:13">
      <c r="A780" t="s">
        <v>112</v>
      </c>
      <c r="B780" t="s">
        <v>11</v>
      </c>
      <c r="C780" s="51">
        <v>137893950695</v>
      </c>
      <c r="D780" s="1">
        <v>9743</v>
      </c>
      <c r="E780" s="1">
        <v>15313093.35</v>
      </c>
      <c r="F780" t="s">
        <v>1280</v>
      </c>
      <c r="I780" s="16"/>
      <c r="J780" s="68"/>
      <c r="K780" s="68"/>
      <c r="L780" s="68"/>
      <c r="M780" s="74">
        <f t="shared" si="15"/>
        <v>9743</v>
      </c>
    </row>
    <row r="781" spans="1:13">
      <c r="A781" t="s">
        <v>112</v>
      </c>
      <c r="B781" t="s">
        <v>11</v>
      </c>
      <c r="C781" s="51">
        <v>137894038283</v>
      </c>
      <c r="D781" s="1">
        <v>4676.6400000000003</v>
      </c>
      <c r="E781" s="1">
        <v>15317769.99</v>
      </c>
      <c r="F781" t="s">
        <v>1280</v>
      </c>
      <c r="I781" s="16"/>
      <c r="J781" s="68"/>
      <c r="K781" s="68"/>
      <c r="L781" s="68"/>
      <c r="M781" s="74">
        <f t="shared" si="15"/>
        <v>4676.6400000000003</v>
      </c>
    </row>
    <row r="782" spans="1:13">
      <c r="A782" t="s">
        <v>112</v>
      </c>
      <c r="B782" t="s">
        <v>11</v>
      </c>
      <c r="C782" s="51">
        <v>137893963885</v>
      </c>
      <c r="D782" s="1">
        <v>4871.5</v>
      </c>
      <c r="E782" s="1">
        <v>15322641.49</v>
      </c>
      <c r="F782" t="s">
        <v>1280</v>
      </c>
      <c r="I782" s="16"/>
      <c r="J782" s="68"/>
      <c r="K782" s="68"/>
      <c r="L782" s="68"/>
      <c r="M782" s="74">
        <f t="shared" si="15"/>
        <v>4871.5</v>
      </c>
    </row>
    <row r="783" spans="1:13">
      <c r="A783" t="s">
        <v>112</v>
      </c>
      <c r="B783" t="s">
        <v>11</v>
      </c>
      <c r="C783" s="51">
        <v>138533430762</v>
      </c>
      <c r="D783" s="1">
        <v>51540.47</v>
      </c>
      <c r="E783" s="1">
        <v>15374181.960000001</v>
      </c>
      <c r="F783" t="s">
        <v>1280</v>
      </c>
      <c r="I783" s="16"/>
      <c r="J783" s="68"/>
      <c r="K783" s="68"/>
      <c r="L783" s="68"/>
      <c r="M783" s="74">
        <f t="shared" si="15"/>
        <v>51540.47</v>
      </c>
    </row>
    <row r="784" spans="1:13">
      <c r="A784" t="s">
        <v>112</v>
      </c>
      <c r="B784" t="s">
        <v>11</v>
      </c>
      <c r="C784" s="51">
        <v>138533495288</v>
      </c>
      <c r="D784" s="1">
        <v>4676.6400000000003</v>
      </c>
      <c r="E784" s="1">
        <v>15378858.6</v>
      </c>
      <c r="F784" t="s">
        <v>1280</v>
      </c>
      <c r="I784" s="16"/>
      <c r="J784" s="68"/>
      <c r="K784" s="68"/>
      <c r="L784" s="68"/>
      <c r="M784" s="74">
        <f t="shared" si="15"/>
        <v>4676.6400000000003</v>
      </c>
    </row>
    <row r="785" spans="1:13">
      <c r="A785" t="s">
        <v>112</v>
      </c>
      <c r="B785" t="s">
        <v>11</v>
      </c>
      <c r="C785" s="51">
        <v>137894380257</v>
      </c>
      <c r="D785" s="1">
        <v>4676.6400000000003</v>
      </c>
      <c r="E785" s="1">
        <v>15383535.24</v>
      </c>
      <c r="F785" t="s">
        <v>1280</v>
      </c>
      <c r="I785" s="16"/>
      <c r="J785" s="68"/>
      <c r="K785" s="68"/>
      <c r="L785" s="68"/>
      <c r="M785" s="74">
        <f t="shared" si="15"/>
        <v>4676.6400000000003</v>
      </c>
    </row>
    <row r="786" spans="1:13">
      <c r="A786" t="s">
        <v>112</v>
      </c>
      <c r="B786" t="s">
        <v>115</v>
      </c>
      <c r="C786" s="51">
        <v>138531210626</v>
      </c>
      <c r="D786">
        <v>890.89</v>
      </c>
      <c r="E786" s="1">
        <v>15084671.800000001</v>
      </c>
      <c r="F786" t="s">
        <v>1280</v>
      </c>
      <c r="I786" s="16"/>
      <c r="J786" s="68"/>
      <c r="K786" s="68"/>
      <c r="L786" s="68"/>
      <c r="M786" s="74">
        <f t="shared" si="15"/>
        <v>890.89</v>
      </c>
    </row>
    <row r="787" spans="1:13">
      <c r="A787" t="s">
        <v>112</v>
      </c>
      <c r="B787" t="s">
        <v>11</v>
      </c>
      <c r="C787" s="51">
        <v>137894534529</v>
      </c>
      <c r="D787" s="1">
        <v>127349.32</v>
      </c>
      <c r="E787" s="1">
        <v>15510884.560000001</v>
      </c>
      <c r="F787" t="s">
        <v>1280</v>
      </c>
      <c r="I787" s="16"/>
      <c r="J787" s="68"/>
      <c r="K787" s="68"/>
      <c r="L787" s="68"/>
      <c r="M787" s="74">
        <f t="shared" si="15"/>
        <v>127349.32</v>
      </c>
    </row>
    <row r="788" spans="1:13">
      <c r="A788" t="s">
        <v>112</v>
      </c>
      <c r="B788" t="s">
        <v>11</v>
      </c>
      <c r="C788" s="51">
        <v>137894549499</v>
      </c>
      <c r="D788" s="1">
        <v>4871.5</v>
      </c>
      <c r="E788" s="1">
        <v>15515756.060000001</v>
      </c>
      <c r="F788" t="s">
        <v>1280</v>
      </c>
      <c r="I788" s="16"/>
      <c r="J788" s="68"/>
      <c r="K788" s="68"/>
      <c r="L788" s="68"/>
      <c r="M788" s="74">
        <f t="shared" si="15"/>
        <v>4871.5</v>
      </c>
    </row>
    <row r="789" spans="1:13">
      <c r="A789" t="s">
        <v>112</v>
      </c>
      <c r="B789" t="s">
        <v>11</v>
      </c>
      <c r="C789" s="51">
        <v>137894672723</v>
      </c>
      <c r="D789" s="1">
        <v>14614.5</v>
      </c>
      <c r="E789" s="1">
        <v>15530615.310000001</v>
      </c>
      <c r="F789" t="s">
        <v>1280</v>
      </c>
      <c r="I789" s="16"/>
      <c r="J789" s="68"/>
      <c r="K789" s="68"/>
      <c r="L789" s="68"/>
      <c r="M789" s="74">
        <f t="shared" si="15"/>
        <v>14614.5</v>
      </c>
    </row>
    <row r="790" spans="1:13">
      <c r="A790" t="s">
        <v>112</v>
      </c>
      <c r="B790" t="s">
        <v>11</v>
      </c>
      <c r="C790" s="51">
        <v>137894766465</v>
      </c>
      <c r="D790" s="1">
        <v>50955.89</v>
      </c>
      <c r="E790" s="1">
        <v>15581571.199999999</v>
      </c>
      <c r="F790" t="s">
        <v>1280</v>
      </c>
      <c r="I790" s="16"/>
      <c r="J790" s="68"/>
      <c r="K790" s="68"/>
      <c r="L790" s="68"/>
      <c r="M790" s="74">
        <f t="shared" si="15"/>
        <v>50955.89</v>
      </c>
    </row>
    <row r="791" spans="1:13">
      <c r="A791" t="s">
        <v>112</v>
      </c>
      <c r="B791" t="s">
        <v>11</v>
      </c>
      <c r="C791" s="51">
        <v>138533953280</v>
      </c>
      <c r="D791" s="1">
        <v>24357.5</v>
      </c>
      <c r="E791" s="1">
        <v>15605928.699999999</v>
      </c>
      <c r="F791" t="s">
        <v>1280</v>
      </c>
      <c r="I791" s="16"/>
      <c r="J791" s="68"/>
      <c r="K791" s="68"/>
      <c r="L791" s="68"/>
      <c r="M791" s="74">
        <f t="shared" si="15"/>
        <v>24357.5</v>
      </c>
    </row>
    <row r="792" spans="1:13">
      <c r="A792" t="s">
        <v>112</v>
      </c>
      <c r="B792" t="s">
        <v>11</v>
      </c>
      <c r="C792" s="51">
        <v>137894899763</v>
      </c>
      <c r="D792" s="1">
        <v>4871.5</v>
      </c>
      <c r="E792" s="1">
        <v>15610800.199999999</v>
      </c>
      <c r="F792" t="s">
        <v>1280</v>
      </c>
      <c r="I792" s="16"/>
      <c r="J792" s="68"/>
      <c r="K792" s="68"/>
      <c r="L792" s="68"/>
      <c r="M792" s="74">
        <f t="shared" si="15"/>
        <v>4871.5</v>
      </c>
    </row>
    <row r="793" spans="1:13">
      <c r="A793" t="s">
        <v>112</v>
      </c>
      <c r="B793" t="s">
        <v>11</v>
      </c>
      <c r="C793" s="51">
        <v>138534165884</v>
      </c>
      <c r="D793" s="1">
        <v>4676.6400000000003</v>
      </c>
      <c r="E793" s="1">
        <v>15615476.84</v>
      </c>
      <c r="F793" t="s">
        <v>1280</v>
      </c>
      <c r="I793" s="16"/>
      <c r="J793" s="68"/>
      <c r="K793" s="68"/>
      <c r="L793" s="68"/>
      <c r="M793" s="74">
        <f t="shared" si="15"/>
        <v>4676.6400000000003</v>
      </c>
    </row>
    <row r="794" spans="1:13">
      <c r="A794" t="s">
        <v>112</v>
      </c>
      <c r="B794" t="s">
        <v>11</v>
      </c>
      <c r="C794" s="51">
        <v>138534343360</v>
      </c>
      <c r="D794" s="1">
        <v>4676.6400000000003</v>
      </c>
      <c r="E794" s="1">
        <v>15620153.48</v>
      </c>
      <c r="F794" t="s">
        <v>1280</v>
      </c>
      <c r="I794" s="16"/>
      <c r="J794" s="68"/>
      <c r="K794" s="68"/>
      <c r="L794" s="68"/>
      <c r="M794" s="74">
        <f t="shared" si="15"/>
        <v>4676.6400000000003</v>
      </c>
    </row>
    <row r="795" spans="1:13">
      <c r="A795" t="s">
        <v>112</v>
      </c>
      <c r="B795" t="s">
        <v>11</v>
      </c>
      <c r="C795" s="51">
        <v>138534337942</v>
      </c>
      <c r="D795" s="1">
        <v>7307.25</v>
      </c>
      <c r="E795" s="1">
        <v>15627460.73</v>
      </c>
      <c r="F795" t="s">
        <v>1280</v>
      </c>
      <c r="I795" s="16"/>
      <c r="J795" s="68"/>
      <c r="K795" s="68"/>
      <c r="L795" s="68"/>
      <c r="M795" s="74">
        <f t="shared" si="15"/>
        <v>7307.25</v>
      </c>
    </row>
    <row r="796" spans="1:13">
      <c r="A796" t="s">
        <v>112</v>
      </c>
      <c r="B796" t="s">
        <v>11</v>
      </c>
      <c r="C796" s="51">
        <v>137895364073</v>
      </c>
      <c r="D796" s="1">
        <v>4534.5600000000004</v>
      </c>
      <c r="E796" s="1">
        <v>15631995.289999999</v>
      </c>
      <c r="F796" t="s">
        <v>1280</v>
      </c>
      <c r="I796" s="16"/>
      <c r="J796" s="68"/>
      <c r="K796" s="68"/>
      <c r="L796" s="68"/>
      <c r="M796" s="74">
        <f t="shared" si="15"/>
        <v>4534.5600000000004</v>
      </c>
    </row>
    <row r="797" spans="1:13">
      <c r="A797" t="s">
        <v>112</v>
      </c>
      <c r="B797" t="s">
        <v>11</v>
      </c>
      <c r="C797" s="51">
        <v>138534631434</v>
      </c>
      <c r="D797" s="1">
        <v>7307.25</v>
      </c>
      <c r="E797" s="1">
        <v>15639302.539999999</v>
      </c>
      <c r="F797" t="s">
        <v>1280</v>
      </c>
      <c r="I797" s="16"/>
      <c r="J797" s="68"/>
      <c r="K797" s="68"/>
      <c r="L797" s="68"/>
      <c r="M797" s="74">
        <f t="shared" si="15"/>
        <v>7307.25</v>
      </c>
    </row>
    <row r="798" spans="1:13">
      <c r="A798" t="s">
        <v>112</v>
      </c>
      <c r="B798" t="s">
        <v>11</v>
      </c>
      <c r="C798" s="51">
        <v>138534793054</v>
      </c>
      <c r="D798" s="1">
        <v>10717.3</v>
      </c>
      <c r="E798" s="1">
        <v>15650019.84</v>
      </c>
      <c r="F798" t="s">
        <v>1280</v>
      </c>
      <c r="I798" s="16"/>
      <c r="J798" s="68"/>
      <c r="K798" s="68"/>
      <c r="L798" s="68"/>
      <c r="M798" s="74">
        <f t="shared" si="15"/>
        <v>10717.3</v>
      </c>
    </row>
    <row r="799" spans="1:13">
      <c r="A799" t="s">
        <v>112</v>
      </c>
      <c r="B799" t="s">
        <v>11</v>
      </c>
      <c r="C799" s="51">
        <v>137895836485</v>
      </c>
      <c r="D799" s="1">
        <v>4871.5</v>
      </c>
      <c r="E799" s="1">
        <v>15654891.34</v>
      </c>
      <c r="F799" t="s">
        <v>1280</v>
      </c>
      <c r="I799" s="16"/>
      <c r="J799" s="68"/>
      <c r="K799" s="68"/>
      <c r="L799" s="68"/>
      <c r="M799" s="74">
        <f t="shared" si="15"/>
        <v>4871.5</v>
      </c>
    </row>
    <row r="800" spans="1:13">
      <c r="A800" t="s">
        <v>112</v>
      </c>
      <c r="B800" t="s">
        <v>11</v>
      </c>
      <c r="C800" s="51">
        <v>138534996160</v>
      </c>
      <c r="D800" s="1">
        <v>4871.5</v>
      </c>
      <c r="E800" s="1">
        <v>15659762.84</v>
      </c>
      <c r="F800" t="s">
        <v>1280</v>
      </c>
      <c r="I800" s="16"/>
      <c r="J800" s="68"/>
      <c r="K800" s="68"/>
      <c r="L800" s="68"/>
      <c r="M800" s="74">
        <f t="shared" si="15"/>
        <v>4871.5</v>
      </c>
    </row>
    <row r="801" spans="1:13">
      <c r="A801" t="s">
        <v>112</v>
      </c>
      <c r="B801" t="s">
        <v>11</v>
      </c>
      <c r="C801" s="51">
        <v>138534978934</v>
      </c>
      <c r="D801" s="1">
        <v>4838.5</v>
      </c>
      <c r="E801" s="1">
        <v>15664601.34</v>
      </c>
      <c r="F801" t="s">
        <v>1280</v>
      </c>
      <c r="I801" s="16"/>
      <c r="J801" s="68"/>
      <c r="K801" s="68"/>
      <c r="L801" s="68"/>
      <c r="M801" s="74">
        <f t="shared" si="15"/>
        <v>4838.5</v>
      </c>
    </row>
    <row r="802" spans="1:13">
      <c r="A802" t="s">
        <v>112</v>
      </c>
      <c r="B802" t="s">
        <v>11</v>
      </c>
      <c r="C802" s="51">
        <v>137895887285</v>
      </c>
      <c r="D802" s="1">
        <v>9743</v>
      </c>
      <c r="E802" s="1">
        <v>15674344.34</v>
      </c>
      <c r="F802" t="s">
        <v>1280</v>
      </c>
      <c r="I802" s="16"/>
      <c r="J802" s="68"/>
      <c r="K802" s="68"/>
      <c r="L802" s="68"/>
      <c r="M802" s="74">
        <f t="shared" si="15"/>
        <v>9743</v>
      </c>
    </row>
    <row r="803" spans="1:13">
      <c r="A803" t="s">
        <v>112</v>
      </c>
      <c r="B803" t="s">
        <v>11</v>
      </c>
      <c r="C803" s="51">
        <v>138535116146</v>
      </c>
      <c r="D803" s="1">
        <v>4871.5</v>
      </c>
      <c r="E803" s="1">
        <v>15679215.84</v>
      </c>
      <c r="F803" t="s">
        <v>1280</v>
      </c>
      <c r="I803" s="16"/>
      <c r="J803" s="68"/>
      <c r="K803" s="68"/>
      <c r="L803" s="68"/>
      <c r="M803" s="74">
        <f t="shared" si="15"/>
        <v>4871.5</v>
      </c>
    </row>
    <row r="804" spans="1:13">
      <c r="A804" t="s">
        <v>112</v>
      </c>
      <c r="B804" t="s">
        <v>11</v>
      </c>
      <c r="C804" s="51">
        <v>138535053938</v>
      </c>
      <c r="D804" s="1">
        <v>4676.6400000000003</v>
      </c>
      <c r="E804" s="1">
        <v>15684137.23</v>
      </c>
      <c r="F804" t="s">
        <v>1280</v>
      </c>
      <c r="I804" s="16"/>
      <c r="J804" s="68"/>
      <c r="K804" s="68"/>
      <c r="L804" s="68"/>
      <c r="M804" s="74">
        <f t="shared" si="15"/>
        <v>4676.6400000000003</v>
      </c>
    </row>
    <row r="805" spans="1:13">
      <c r="A805" t="s">
        <v>112</v>
      </c>
      <c r="B805" t="s">
        <v>11</v>
      </c>
      <c r="C805" s="51">
        <v>138535089536</v>
      </c>
      <c r="D805" s="1">
        <v>15491.37</v>
      </c>
      <c r="E805" s="1">
        <v>15699628.6</v>
      </c>
      <c r="F805" t="s">
        <v>1280</v>
      </c>
      <c r="I805" s="16"/>
      <c r="J805" s="68"/>
      <c r="K805" s="68"/>
      <c r="L805" s="68"/>
      <c r="M805" s="74">
        <f t="shared" si="15"/>
        <v>15491.37</v>
      </c>
    </row>
    <row r="806" spans="1:13">
      <c r="A806" t="s">
        <v>112</v>
      </c>
      <c r="B806" t="s">
        <v>11</v>
      </c>
      <c r="C806" s="51">
        <v>137896094497</v>
      </c>
      <c r="D806" s="1">
        <v>9743</v>
      </c>
      <c r="E806" s="1">
        <v>15709371.6</v>
      </c>
      <c r="F806" t="s">
        <v>1280</v>
      </c>
      <c r="I806" s="16"/>
      <c r="J806" s="68"/>
      <c r="K806" s="68"/>
      <c r="L806" s="68"/>
      <c r="M806" s="74">
        <f t="shared" si="15"/>
        <v>9743</v>
      </c>
    </row>
    <row r="807" spans="1:13">
      <c r="A807" t="s">
        <v>118</v>
      </c>
      <c r="B807" t="s">
        <v>11</v>
      </c>
      <c r="C807" s="51">
        <v>137896413189</v>
      </c>
      <c r="D807" s="1">
        <v>9353.2800000000007</v>
      </c>
      <c r="E807" s="1">
        <v>15718724.880000001</v>
      </c>
      <c r="F807" t="s">
        <v>1280</v>
      </c>
      <c r="I807" s="16"/>
      <c r="J807" s="68"/>
      <c r="K807" s="68"/>
      <c r="L807" s="68"/>
      <c r="M807" s="74">
        <f t="shared" si="15"/>
        <v>9353.2800000000007</v>
      </c>
    </row>
    <row r="808" spans="1:13">
      <c r="A808" t="s">
        <v>118</v>
      </c>
      <c r="B808" t="s">
        <v>11</v>
      </c>
      <c r="C808" s="51">
        <v>138535507900</v>
      </c>
      <c r="D808" s="1">
        <v>4871.5</v>
      </c>
      <c r="E808" s="1">
        <v>15723596.380000001</v>
      </c>
      <c r="F808" t="s">
        <v>1280</v>
      </c>
      <c r="I808" s="16"/>
      <c r="J808" s="68"/>
      <c r="K808" s="68"/>
      <c r="L808" s="68"/>
      <c r="M808" s="74">
        <f t="shared" ref="M808:M871" si="16">+D808-I808-J808-K808-L808</f>
        <v>4871.5</v>
      </c>
    </row>
    <row r="809" spans="1:13">
      <c r="A809" t="s">
        <v>118</v>
      </c>
      <c r="B809" t="s">
        <v>11</v>
      </c>
      <c r="C809" s="51">
        <v>137896500919</v>
      </c>
      <c r="D809" s="1">
        <v>4871.5</v>
      </c>
      <c r="E809" s="1">
        <v>15728467.880000001</v>
      </c>
      <c r="F809" t="s">
        <v>1280</v>
      </c>
      <c r="I809" s="16"/>
      <c r="J809" s="68"/>
      <c r="K809" s="68"/>
      <c r="L809" s="68"/>
      <c r="M809" s="74">
        <f t="shared" si="16"/>
        <v>4871.5</v>
      </c>
    </row>
    <row r="810" spans="1:13">
      <c r="A810" t="s">
        <v>112</v>
      </c>
      <c r="B810" t="s">
        <v>116</v>
      </c>
      <c r="C810" s="51">
        <v>138533691820</v>
      </c>
      <c r="D810">
        <v>244.75</v>
      </c>
      <c r="E810" s="1">
        <v>15516000.810000001</v>
      </c>
      <c r="F810" t="s">
        <v>1280</v>
      </c>
      <c r="I810" s="16"/>
      <c r="J810" s="68"/>
      <c r="K810" s="68"/>
      <c r="L810" s="68"/>
      <c r="M810" s="74">
        <f t="shared" si="16"/>
        <v>244.75</v>
      </c>
    </row>
    <row r="811" spans="1:13">
      <c r="A811" t="s">
        <v>118</v>
      </c>
      <c r="B811" t="s">
        <v>11</v>
      </c>
      <c r="C811" s="51">
        <v>138535706824</v>
      </c>
      <c r="D811" s="1">
        <v>4838.5</v>
      </c>
      <c r="E811" s="1">
        <v>15733306.380000001</v>
      </c>
      <c r="F811" t="s">
        <v>1280</v>
      </c>
      <c r="I811" s="16"/>
      <c r="J811" s="68"/>
      <c r="K811" s="68"/>
      <c r="L811" s="68"/>
      <c r="M811" s="74">
        <f t="shared" si="16"/>
        <v>4838.5</v>
      </c>
    </row>
    <row r="812" spans="1:13">
      <c r="A812" t="s">
        <v>118</v>
      </c>
      <c r="B812" t="s">
        <v>11</v>
      </c>
      <c r="C812" s="51">
        <v>137896651907</v>
      </c>
      <c r="D812" s="1">
        <v>12178.75</v>
      </c>
      <c r="E812" s="1">
        <v>15745485.130000001</v>
      </c>
      <c r="F812" t="s">
        <v>1280</v>
      </c>
      <c r="I812" s="16"/>
      <c r="J812" s="68"/>
      <c r="K812" s="68"/>
      <c r="L812" s="68"/>
      <c r="M812" s="74">
        <f t="shared" si="16"/>
        <v>12178.75</v>
      </c>
    </row>
    <row r="813" spans="1:13">
      <c r="A813" t="s">
        <v>118</v>
      </c>
      <c r="B813" t="s">
        <v>11</v>
      </c>
      <c r="C813" s="51">
        <v>138535920782</v>
      </c>
      <c r="D813" s="1">
        <v>14614.5</v>
      </c>
      <c r="E813" s="1">
        <v>15760099.630000001</v>
      </c>
      <c r="F813" t="s">
        <v>1280</v>
      </c>
      <c r="I813" s="16"/>
      <c r="J813" s="68"/>
      <c r="K813" s="68"/>
      <c r="L813" s="68"/>
      <c r="M813" s="74">
        <f t="shared" si="16"/>
        <v>14614.5</v>
      </c>
    </row>
    <row r="814" spans="1:13">
      <c r="A814" t="s">
        <v>118</v>
      </c>
      <c r="B814" t="s">
        <v>11</v>
      </c>
      <c r="C814" s="51">
        <v>137896807477</v>
      </c>
      <c r="D814" s="1">
        <v>8367.36</v>
      </c>
      <c r="E814" s="1">
        <v>15768466.99</v>
      </c>
      <c r="F814" t="s">
        <v>1280</v>
      </c>
      <c r="I814" s="16"/>
      <c r="J814" s="68"/>
      <c r="K814" s="68"/>
      <c r="L814" s="68"/>
      <c r="M814" s="74">
        <f t="shared" si="16"/>
        <v>8367.36</v>
      </c>
    </row>
    <row r="815" spans="1:13">
      <c r="A815" t="s">
        <v>118</v>
      </c>
      <c r="B815" t="s">
        <v>11</v>
      </c>
      <c r="C815" s="51">
        <v>137896837169</v>
      </c>
      <c r="D815" s="1">
        <v>4871.5</v>
      </c>
      <c r="E815" s="1">
        <v>15773338.49</v>
      </c>
      <c r="F815" t="s">
        <v>1280</v>
      </c>
      <c r="I815" s="16"/>
      <c r="J815" s="68"/>
      <c r="K815" s="68"/>
      <c r="L815" s="68"/>
      <c r="M815" s="74">
        <f t="shared" si="16"/>
        <v>4871.5</v>
      </c>
    </row>
    <row r="816" spans="1:13">
      <c r="A816" t="s">
        <v>118</v>
      </c>
      <c r="B816" t="s">
        <v>11</v>
      </c>
      <c r="C816" s="51">
        <v>137896861447</v>
      </c>
      <c r="D816" s="1">
        <v>4774.07</v>
      </c>
      <c r="E816" s="1">
        <v>15778112.560000001</v>
      </c>
      <c r="F816" t="s">
        <v>1280</v>
      </c>
      <c r="I816" s="16"/>
      <c r="J816" s="68"/>
      <c r="K816" s="68"/>
      <c r="L816" s="68"/>
      <c r="M816" s="74">
        <f t="shared" si="16"/>
        <v>4774.07</v>
      </c>
    </row>
    <row r="817" spans="1:13">
      <c r="A817" t="s">
        <v>118</v>
      </c>
      <c r="B817" t="s">
        <v>11</v>
      </c>
      <c r="C817" s="51">
        <v>137896976563</v>
      </c>
      <c r="D817" s="1">
        <v>4676.6400000000003</v>
      </c>
      <c r="E817" s="1">
        <v>15782789.199999999</v>
      </c>
      <c r="F817" t="s">
        <v>1280</v>
      </c>
      <c r="I817" s="16"/>
      <c r="J817" s="68"/>
      <c r="K817" s="68"/>
      <c r="L817" s="68"/>
      <c r="M817" s="74">
        <f t="shared" si="16"/>
        <v>4676.6400000000003</v>
      </c>
    </row>
    <row r="818" spans="1:13">
      <c r="A818" t="s">
        <v>118</v>
      </c>
      <c r="B818" t="s">
        <v>11</v>
      </c>
      <c r="C818" s="51">
        <v>137896955087</v>
      </c>
      <c r="D818" s="1">
        <v>42869.2</v>
      </c>
      <c r="E818" s="1">
        <v>15825658.4</v>
      </c>
      <c r="F818" t="s">
        <v>1280</v>
      </c>
      <c r="I818" s="16"/>
      <c r="J818" s="68"/>
      <c r="K818" s="68"/>
      <c r="L818" s="68"/>
      <c r="M818" s="74">
        <f t="shared" si="16"/>
        <v>42869.2</v>
      </c>
    </row>
    <row r="819" spans="1:13">
      <c r="A819" t="s">
        <v>118</v>
      </c>
      <c r="B819" t="s">
        <v>11</v>
      </c>
      <c r="C819" s="51">
        <v>138536070026</v>
      </c>
      <c r="D819" s="1">
        <v>28450.38</v>
      </c>
      <c r="E819" s="1">
        <v>15854108.779999999</v>
      </c>
      <c r="F819" t="s">
        <v>1280</v>
      </c>
      <c r="I819" s="16"/>
      <c r="J819" s="68"/>
      <c r="K819" s="68"/>
      <c r="L819" s="68"/>
      <c r="M819" s="74">
        <f t="shared" si="16"/>
        <v>28450.38</v>
      </c>
    </row>
    <row r="820" spans="1:13">
      <c r="A820" t="s">
        <v>118</v>
      </c>
      <c r="B820" t="s">
        <v>11</v>
      </c>
      <c r="C820" s="51">
        <v>137897183137</v>
      </c>
      <c r="D820" s="1">
        <v>68207.34</v>
      </c>
      <c r="E820" s="1">
        <v>15922316.119999999</v>
      </c>
      <c r="F820" t="s">
        <v>1280</v>
      </c>
      <c r="I820" s="16"/>
      <c r="J820" s="68"/>
      <c r="K820" s="68"/>
      <c r="L820" s="68"/>
      <c r="M820" s="74">
        <f t="shared" si="16"/>
        <v>68207.34</v>
      </c>
    </row>
    <row r="821" spans="1:13">
      <c r="A821" t="s">
        <v>118</v>
      </c>
      <c r="B821" t="s">
        <v>11</v>
      </c>
      <c r="C821" s="51">
        <v>138536451722</v>
      </c>
      <c r="D821" s="1">
        <v>4871.5</v>
      </c>
      <c r="E821" s="1">
        <v>15927187.619999999</v>
      </c>
      <c r="F821" t="s">
        <v>1280</v>
      </c>
      <c r="I821" s="16"/>
      <c r="J821" s="68"/>
      <c r="K821" s="68"/>
      <c r="L821" s="68"/>
      <c r="M821" s="74">
        <f t="shared" si="16"/>
        <v>4871.5</v>
      </c>
    </row>
    <row r="822" spans="1:13">
      <c r="A822" t="s">
        <v>118</v>
      </c>
      <c r="B822" t="s">
        <v>11</v>
      </c>
      <c r="C822" s="51">
        <v>138536523088</v>
      </c>
      <c r="D822" s="1">
        <v>76872.27</v>
      </c>
      <c r="E822" s="1">
        <v>16004059.890000001</v>
      </c>
      <c r="F822" t="s">
        <v>1280</v>
      </c>
      <c r="I822" s="16"/>
      <c r="J822" s="68"/>
      <c r="K822" s="68"/>
      <c r="L822" s="68"/>
      <c r="M822" s="74">
        <f t="shared" si="16"/>
        <v>76872.27</v>
      </c>
    </row>
    <row r="823" spans="1:13">
      <c r="A823" t="s">
        <v>118</v>
      </c>
      <c r="B823" t="s">
        <v>11</v>
      </c>
      <c r="C823" s="51">
        <v>138536523820</v>
      </c>
      <c r="D823" s="1">
        <v>75800.539999999994</v>
      </c>
      <c r="E823" s="1">
        <v>16083722.58</v>
      </c>
      <c r="F823" t="s">
        <v>1280</v>
      </c>
      <c r="I823" s="16"/>
      <c r="J823" s="68"/>
      <c r="K823" s="68"/>
      <c r="L823" s="68"/>
      <c r="M823" s="74">
        <f t="shared" si="16"/>
        <v>75800.539999999994</v>
      </c>
    </row>
    <row r="824" spans="1:13">
      <c r="A824" t="s">
        <v>118</v>
      </c>
      <c r="B824" t="s">
        <v>11</v>
      </c>
      <c r="C824" s="51">
        <v>137897499495</v>
      </c>
      <c r="D824" s="1">
        <v>4676.6400000000003</v>
      </c>
      <c r="E824" s="1">
        <v>16088399.220000001</v>
      </c>
      <c r="F824" t="s">
        <v>1280</v>
      </c>
      <c r="I824" s="16"/>
      <c r="J824" s="68"/>
      <c r="K824" s="68"/>
      <c r="L824" s="68"/>
      <c r="M824" s="74">
        <f t="shared" si="16"/>
        <v>4676.6400000000003</v>
      </c>
    </row>
    <row r="825" spans="1:13">
      <c r="A825" t="s">
        <v>118</v>
      </c>
      <c r="B825" t="s">
        <v>11</v>
      </c>
      <c r="C825" s="51">
        <v>138536694508</v>
      </c>
      <c r="D825" s="1">
        <v>9079</v>
      </c>
      <c r="E825" s="1">
        <v>16097478.220000001</v>
      </c>
      <c r="F825" t="s">
        <v>1280</v>
      </c>
      <c r="I825" s="16"/>
      <c r="J825" s="68"/>
      <c r="K825" s="68"/>
      <c r="L825" s="68"/>
      <c r="M825" s="74">
        <f t="shared" si="16"/>
        <v>9079</v>
      </c>
    </row>
    <row r="826" spans="1:13">
      <c r="A826" t="s">
        <v>112</v>
      </c>
      <c r="B826" t="s">
        <v>117</v>
      </c>
      <c r="C826" s="51">
        <v>138534987942</v>
      </c>
      <c r="D826">
        <v>244.75</v>
      </c>
      <c r="E826" s="1">
        <v>15679460.59</v>
      </c>
      <c r="F826" t="s">
        <v>1280</v>
      </c>
      <c r="I826" s="16"/>
      <c r="J826" s="68"/>
      <c r="K826" s="68"/>
      <c r="L826" s="68"/>
      <c r="M826" s="74">
        <f t="shared" si="16"/>
        <v>244.75</v>
      </c>
    </row>
    <row r="827" spans="1:13">
      <c r="A827" t="s">
        <v>118</v>
      </c>
      <c r="B827" t="s">
        <v>11</v>
      </c>
      <c r="C827" s="51">
        <v>138536621798</v>
      </c>
      <c r="D827" s="1">
        <v>4871.5</v>
      </c>
      <c r="E827" s="1">
        <v>16103328.720000001</v>
      </c>
      <c r="F827" t="s">
        <v>1280</v>
      </c>
      <c r="I827" s="16"/>
      <c r="J827" s="68"/>
      <c r="K827" s="68"/>
      <c r="L827" s="68"/>
      <c r="M827" s="74">
        <f t="shared" si="16"/>
        <v>4871.5</v>
      </c>
    </row>
    <row r="828" spans="1:13">
      <c r="A828" t="s">
        <v>118</v>
      </c>
      <c r="B828" t="s">
        <v>11</v>
      </c>
      <c r="C828" s="51">
        <v>138536804822</v>
      </c>
      <c r="D828" s="1">
        <v>4741.7299999999996</v>
      </c>
      <c r="E828" s="1">
        <v>16108070.449999999</v>
      </c>
      <c r="F828" t="s">
        <v>1280</v>
      </c>
      <c r="I828" s="16"/>
      <c r="J828" s="68"/>
      <c r="K828" s="68"/>
      <c r="L828" s="68"/>
      <c r="M828" s="74">
        <f t="shared" si="16"/>
        <v>4741.7299999999996</v>
      </c>
    </row>
    <row r="829" spans="1:13">
      <c r="A829" t="s">
        <v>118</v>
      </c>
      <c r="B829" t="s">
        <v>11</v>
      </c>
      <c r="C829" s="51">
        <v>137897818889</v>
      </c>
      <c r="D829" s="1">
        <v>7209.82</v>
      </c>
      <c r="E829" s="1">
        <v>16115280.27</v>
      </c>
      <c r="F829" t="s">
        <v>1280</v>
      </c>
      <c r="I829" s="16"/>
      <c r="J829" s="68"/>
      <c r="K829" s="68"/>
      <c r="L829" s="68"/>
      <c r="M829" s="74">
        <f t="shared" si="16"/>
        <v>7209.82</v>
      </c>
    </row>
    <row r="830" spans="1:13">
      <c r="A830" t="s">
        <v>118</v>
      </c>
      <c r="B830" t="s">
        <v>11</v>
      </c>
      <c r="C830" s="51">
        <v>137897873121</v>
      </c>
      <c r="D830" s="1">
        <v>4871.5</v>
      </c>
      <c r="E830" s="1">
        <v>16120151.77</v>
      </c>
      <c r="F830" t="s">
        <v>1280</v>
      </c>
      <c r="I830" s="16"/>
      <c r="J830" s="68"/>
      <c r="K830" s="68"/>
      <c r="L830" s="68"/>
      <c r="M830" s="74">
        <f t="shared" si="16"/>
        <v>4871.5</v>
      </c>
    </row>
    <row r="831" spans="1:13">
      <c r="A831" t="s">
        <v>118</v>
      </c>
      <c r="B831" t="s">
        <v>11</v>
      </c>
      <c r="C831" s="51">
        <v>138536945536</v>
      </c>
      <c r="D831" s="1">
        <v>4676.6400000000003</v>
      </c>
      <c r="E831" s="1">
        <v>16124828.41</v>
      </c>
      <c r="F831" t="s">
        <v>1280</v>
      </c>
      <c r="I831" s="16"/>
      <c r="J831" s="68"/>
      <c r="K831" s="68"/>
      <c r="L831" s="68"/>
      <c r="M831" s="74">
        <f t="shared" si="16"/>
        <v>4676.6400000000003</v>
      </c>
    </row>
    <row r="832" spans="1:13">
      <c r="A832" t="s">
        <v>118</v>
      </c>
      <c r="B832" t="s">
        <v>11</v>
      </c>
      <c r="C832" s="51">
        <v>138537038742</v>
      </c>
      <c r="D832" s="1">
        <v>4774.07</v>
      </c>
      <c r="E832" s="1">
        <v>16129602.48</v>
      </c>
      <c r="F832" t="s">
        <v>1280</v>
      </c>
      <c r="I832" s="16"/>
      <c r="J832" s="68"/>
      <c r="K832" s="68"/>
      <c r="L832" s="68"/>
      <c r="M832" s="74">
        <f t="shared" si="16"/>
        <v>4774.07</v>
      </c>
    </row>
    <row r="833" spans="1:13">
      <c r="A833" t="s">
        <v>118</v>
      </c>
      <c r="B833" t="s">
        <v>11</v>
      </c>
      <c r="C833" s="51">
        <v>137897957069</v>
      </c>
      <c r="D833" s="1">
        <v>4676.6400000000003</v>
      </c>
      <c r="E833" s="1">
        <v>16134279.119999999</v>
      </c>
      <c r="F833" t="s">
        <v>1280</v>
      </c>
      <c r="I833" s="16"/>
      <c r="J833" s="68"/>
      <c r="K833" s="68"/>
      <c r="L833" s="68"/>
      <c r="M833" s="74">
        <f t="shared" si="16"/>
        <v>4676.6400000000003</v>
      </c>
    </row>
    <row r="834" spans="1:13">
      <c r="A834" t="s">
        <v>118</v>
      </c>
      <c r="B834" t="s">
        <v>11</v>
      </c>
      <c r="C834" s="51">
        <v>137898000905</v>
      </c>
      <c r="D834" s="1">
        <v>4676.6400000000003</v>
      </c>
      <c r="E834" s="1">
        <v>16138955.76</v>
      </c>
      <c r="F834" t="s">
        <v>1280</v>
      </c>
      <c r="I834" s="16"/>
      <c r="J834" s="68"/>
      <c r="K834" s="68"/>
      <c r="L834" s="68"/>
      <c r="M834" s="74">
        <f t="shared" si="16"/>
        <v>4676.6400000000003</v>
      </c>
    </row>
    <row r="835" spans="1:13">
      <c r="A835" t="s">
        <v>118</v>
      </c>
      <c r="B835" t="s">
        <v>11</v>
      </c>
      <c r="C835" s="51">
        <v>137898074457</v>
      </c>
      <c r="D835" s="1">
        <v>4676.6400000000003</v>
      </c>
      <c r="E835" s="1">
        <v>16143632.4</v>
      </c>
      <c r="F835" t="s">
        <v>1280</v>
      </c>
      <c r="I835" s="16"/>
      <c r="J835" s="68"/>
      <c r="K835" s="68"/>
      <c r="L835" s="68"/>
      <c r="M835" s="74">
        <f t="shared" si="16"/>
        <v>4676.6400000000003</v>
      </c>
    </row>
    <row r="836" spans="1:13">
      <c r="A836" t="s">
        <v>118</v>
      </c>
      <c r="B836" t="s">
        <v>11</v>
      </c>
      <c r="C836" s="51">
        <v>138537226196</v>
      </c>
      <c r="D836" s="1">
        <v>4838.5</v>
      </c>
      <c r="E836" s="1">
        <v>16148470.9</v>
      </c>
      <c r="F836" t="s">
        <v>1280</v>
      </c>
      <c r="I836" s="16"/>
      <c r="J836" s="68"/>
      <c r="K836" s="68"/>
      <c r="L836" s="68"/>
      <c r="M836" s="74">
        <f t="shared" si="16"/>
        <v>4838.5</v>
      </c>
    </row>
    <row r="837" spans="1:13">
      <c r="A837" t="s">
        <v>118</v>
      </c>
      <c r="B837" t="s">
        <v>11</v>
      </c>
      <c r="C837" s="51">
        <v>138537157486</v>
      </c>
      <c r="D837" s="1">
        <v>4676.6400000000003</v>
      </c>
      <c r="E837" s="1">
        <v>16153147.539999999</v>
      </c>
      <c r="F837" t="s">
        <v>1280</v>
      </c>
      <c r="I837" s="16"/>
      <c r="J837" s="68"/>
      <c r="K837" s="68"/>
      <c r="L837" s="68"/>
      <c r="M837" s="74">
        <f t="shared" si="16"/>
        <v>4676.6400000000003</v>
      </c>
    </row>
    <row r="838" spans="1:13">
      <c r="A838" t="s">
        <v>118</v>
      </c>
      <c r="B838" t="s">
        <v>11</v>
      </c>
      <c r="C838" s="51">
        <v>137898095891</v>
      </c>
      <c r="D838" s="1">
        <v>7307.25</v>
      </c>
      <c r="E838" s="1">
        <v>16160454.789999999</v>
      </c>
      <c r="F838" t="s">
        <v>1280</v>
      </c>
      <c r="I838" s="16"/>
      <c r="J838" s="68"/>
      <c r="K838" s="68"/>
      <c r="L838" s="68"/>
      <c r="M838" s="74">
        <f t="shared" si="16"/>
        <v>7307.25</v>
      </c>
    </row>
    <row r="839" spans="1:13">
      <c r="A839" t="s">
        <v>118</v>
      </c>
      <c r="B839" t="s">
        <v>11</v>
      </c>
      <c r="C839" s="51">
        <v>137898141923</v>
      </c>
      <c r="D839" s="1">
        <v>4676.6400000000003</v>
      </c>
      <c r="E839" s="1">
        <v>16165131.43</v>
      </c>
      <c r="F839" t="s">
        <v>1280</v>
      </c>
      <c r="I839" s="16"/>
      <c r="J839" s="68"/>
      <c r="K839" s="68"/>
      <c r="L839" s="68"/>
      <c r="M839" s="74">
        <f t="shared" si="16"/>
        <v>4676.6400000000003</v>
      </c>
    </row>
    <row r="840" spans="1:13">
      <c r="A840" t="s">
        <v>118</v>
      </c>
      <c r="B840" t="s">
        <v>11</v>
      </c>
      <c r="C840" s="51">
        <v>138537259896</v>
      </c>
      <c r="D840" s="1">
        <v>2338.3200000000002</v>
      </c>
      <c r="E840" s="1">
        <v>16167469.75</v>
      </c>
      <c r="F840" t="s">
        <v>1280</v>
      </c>
      <c r="I840" s="16"/>
      <c r="J840" s="68"/>
      <c r="K840" s="68"/>
      <c r="L840" s="68"/>
      <c r="M840" s="74">
        <f t="shared" si="16"/>
        <v>2338.3200000000002</v>
      </c>
    </row>
    <row r="841" spans="1:13">
      <c r="A841" t="s">
        <v>118</v>
      </c>
      <c r="B841" t="s">
        <v>11</v>
      </c>
      <c r="C841" s="51">
        <v>138537415846</v>
      </c>
      <c r="D841" s="1">
        <v>4774.07</v>
      </c>
      <c r="E841" s="1">
        <v>16172243.82</v>
      </c>
      <c r="F841" t="s">
        <v>1280</v>
      </c>
      <c r="I841" s="16"/>
      <c r="J841" s="68"/>
      <c r="K841" s="68"/>
      <c r="L841" s="68"/>
      <c r="M841" s="74">
        <f t="shared" si="16"/>
        <v>4774.07</v>
      </c>
    </row>
    <row r="842" spans="1:13">
      <c r="A842" t="s">
        <v>118</v>
      </c>
      <c r="B842" t="s">
        <v>11</v>
      </c>
      <c r="C842" s="51">
        <v>137898434267</v>
      </c>
      <c r="D842" s="1">
        <v>4871.5</v>
      </c>
      <c r="E842" s="1">
        <v>16177115.32</v>
      </c>
      <c r="F842" t="s">
        <v>1280</v>
      </c>
      <c r="I842" s="16"/>
      <c r="J842" s="68"/>
      <c r="K842" s="68"/>
      <c r="L842" s="68"/>
      <c r="M842" s="74">
        <f t="shared" si="16"/>
        <v>4871.5</v>
      </c>
    </row>
    <row r="843" spans="1:13">
      <c r="A843" t="s">
        <v>118</v>
      </c>
      <c r="B843" t="s">
        <v>11</v>
      </c>
      <c r="C843" s="51">
        <v>137898470195</v>
      </c>
      <c r="D843" s="1">
        <v>9743</v>
      </c>
      <c r="E843" s="1">
        <v>16186858.32</v>
      </c>
      <c r="F843" t="s">
        <v>1280</v>
      </c>
      <c r="I843" s="16"/>
      <c r="J843" s="68"/>
      <c r="K843" s="68"/>
      <c r="L843" s="68"/>
      <c r="M843" s="74">
        <f t="shared" si="16"/>
        <v>9743</v>
      </c>
    </row>
    <row r="844" spans="1:13">
      <c r="A844" t="s">
        <v>118</v>
      </c>
      <c r="B844" t="s">
        <v>11</v>
      </c>
      <c r="C844" s="51">
        <v>138537549358</v>
      </c>
      <c r="D844" s="1">
        <v>4871.5</v>
      </c>
      <c r="E844" s="1">
        <v>16191729.82</v>
      </c>
      <c r="F844" t="s">
        <v>1280</v>
      </c>
      <c r="I844" s="16"/>
      <c r="J844" s="68"/>
      <c r="K844" s="68"/>
      <c r="L844" s="68"/>
      <c r="M844" s="74">
        <f t="shared" si="16"/>
        <v>4871.5</v>
      </c>
    </row>
    <row r="845" spans="1:13">
      <c r="A845" t="s">
        <v>118</v>
      </c>
      <c r="B845" t="s">
        <v>119</v>
      </c>
      <c r="C845" s="51">
        <v>138536531052</v>
      </c>
      <c r="D845" s="1">
        <v>3862.15</v>
      </c>
      <c r="E845" s="1">
        <v>16007922.039999999</v>
      </c>
      <c r="F845" t="s">
        <v>1280</v>
      </c>
      <c r="I845" s="16"/>
      <c r="J845" s="68"/>
      <c r="K845" s="68"/>
      <c r="L845" s="68"/>
      <c r="M845" s="74">
        <f t="shared" si="16"/>
        <v>3862.15</v>
      </c>
    </row>
    <row r="846" spans="1:13">
      <c r="A846" t="s">
        <v>118</v>
      </c>
      <c r="B846" t="s">
        <v>11</v>
      </c>
      <c r="C846" s="51">
        <v>137898593083</v>
      </c>
      <c r="D846" s="1">
        <v>7172.41</v>
      </c>
      <c r="E846" s="1">
        <v>16199146.98</v>
      </c>
      <c r="F846" t="s">
        <v>1280</v>
      </c>
      <c r="I846" s="16"/>
      <c r="J846" s="68"/>
      <c r="K846" s="68"/>
      <c r="L846" s="68"/>
      <c r="M846" s="74">
        <f t="shared" si="16"/>
        <v>7172.41</v>
      </c>
    </row>
    <row r="847" spans="1:13">
      <c r="A847" t="s">
        <v>118</v>
      </c>
      <c r="B847" t="s">
        <v>11</v>
      </c>
      <c r="C847" s="51">
        <v>138537858578</v>
      </c>
      <c r="D847" s="1">
        <v>4871.5</v>
      </c>
      <c r="E847" s="1">
        <v>16204018.48</v>
      </c>
      <c r="F847" t="s">
        <v>1280</v>
      </c>
      <c r="I847" s="16"/>
      <c r="J847" s="68"/>
      <c r="K847" s="68"/>
      <c r="L847" s="68"/>
      <c r="M847" s="74">
        <f t="shared" si="16"/>
        <v>4871.5</v>
      </c>
    </row>
    <row r="848" spans="1:13">
      <c r="A848" t="s">
        <v>118</v>
      </c>
      <c r="B848" t="s">
        <v>11</v>
      </c>
      <c r="C848" s="51">
        <v>138537959300</v>
      </c>
      <c r="D848" s="1">
        <v>14614.5</v>
      </c>
      <c r="E848" s="1">
        <v>16218632.98</v>
      </c>
      <c r="F848" t="s">
        <v>1280</v>
      </c>
      <c r="I848" s="16"/>
      <c r="J848" s="68"/>
      <c r="K848" s="68"/>
      <c r="L848" s="68"/>
      <c r="M848" s="74">
        <f t="shared" si="16"/>
        <v>14614.5</v>
      </c>
    </row>
    <row r="849" spans="1:13">
      <c r="A849" t="s">
        <v>118</v>
      </c>
      <c r="B849" t="s">
        <v>120</v>
      </c>
      <c r="C849" s="51">
        <v>138536663026</v>
      </c>
      <c r="D849">
        <v>979</v>
      </c>
      <c r="E849" s="1">
        <v>16098457.220000001</v>
      </c>
      <c r="F849" t="s">
        <v>1280</v>
      </c>
      <c r="I849" s="16"/>
      <c r="J849" s="68"/>
      <c r="K849" s="68"/>
      <c r="L849" s="68"/>
      <c r="M849" s="74">
        <f t="shared" si="16"/>
        <v>979</v>
      </c>
    </row>
    <row r="850" spans="1:13">
      <c r="A850" t="s">
        <v>118</v>
      </c>
      <c r="B850" t="s">
        <v>11</v>
      </c>
      <c r="C850" s="51">
        <v>138538192316</v>
      </c>
      <c r="D850" s="1">
        <v>26208.67</v>
      </c>
      <c r="E850" s="1">
        <v>16244841.65</v>
      </c>
      <c r="F850" t="s">
        <v>1280</v>
      </c>
      <c r="I850" s="16"/>
      <c r="J850" s="68"/>
      <c r="K850" s="68"/>
      <c r="L850" s="68"/>
      <c r="M850" s="74">
        <f t="shared" si="16"/>
        <v>26208.67</v>
      </c>
    </row>
    <row r="851" spans="1:13">
      <c r="A851" t="s">
        <v>118</v>
      </c>
      <c r="B851" t="s">
        <v>11</v>
      </c>
      <c r="C851" s="51">
        <v>138538294534</v>
      </c>
      <c r="D851" s="1">
        <v>9743</v>
      </c>
      <c r="E851" s="1">
        <v>16254584.65</v>
      </c>
      <c r="F851" t="s">
        <v>1280</v>
      </c>
      <c r="I851" s="16"/>
      <c r="J851" s="68"/>
      <c r="K851" s="68"/>
      <c r="L851" s="68"/>
      <c r="M851" s="74">
        <f t="shared" si="16"/>
        <v>9743</v>
      </c>
    </row>
    <row r="852" spans="1:13">
      <c r="A852" t="s">
        <v>118</v>
      </c>
      <c r="B852" t="s">
        <v>11</v>
      </c>
      <c r="C852" s="51">
        <v>137899248237</v>
      </c>
      <c r="D852" s="1">
        <v>4871.5</v>
      </c>
      <c r="E852" s="1">
        <v>16259456.15</v>
      </c>
      <c r="F852" t="s">
        <v>1280</v>
      </c>
      <c r="I852" s="16"/>
      <c r="J852" s="68"/>
      <c r="K852" s="68"/>
      <c r="L852" s="68"/>
      <c r="M852" s="74">
        <f t="shared" si="16"/>
        <v>4871.5</v>
      </c>
    </row>
    <row r="853" spans="1:13">
      <c r="A853" t="s">
        <v>118</v>
      </c>
      <c r="B853" t="s">
        <v>11</v>
      </c>
      <c r="C853" s="51">
        <v>138538371730</v>
      </c>
      <c r="D853" s="1">
        <v>9743</v>
      </c>
      <c r="E853" s="1">
        <v>16269199.15</v>
      </c>
      <c r="F853" t="s">
        <v>1280</v>
      </c>
      <c r="I853" s="16"/>
      <c r="J853" s="68"/>
      <c r="K853" s="68"/>
      <c r="L853" s="68"/>
      <c r="M853" s="74">
        <f t="shared" si="16"/>
        <v>9743</v>
      </c>
    </row>
    <row r="854" spans="1:13">
      <c r="A854" t="s">
        <v>118</v>
      </c>
      <c r="B854" t="s">
        <v>11</v>
      </c>
      <c r="C854" s="51">
        <v>138538409638</v>
      </c>
      <c r="D854" s="1">
        <v>71513.789999999994</v>
      </c>
      <c r="E854" s="1">
        <v>16340712.939999999</v>
      </c>
      <c r="F854" t="s">
        <v>1280</v>
      </c>
      <c r="I854" s="16"/>
      <c r="J854" s="68"/>
      <c r="K854" s="68"/>
      <c r="L854" s="68"/>
      <c r="M854" s="74">
        <f t="shared" si="16"/>
        <v>71513.789999999994</v>
      </c>
    </row>
    <row r="855" spans="1:13">
      <c r="A855" t="s">
        <v>118</v>
      </c>
      <c r="B855" t="s">
        <v>11</v>
      </c>
      <c r="C855" s="51">
        <v>138538526420</v>
      </c>
      <c r="D855" s="1">
        <v>4871.5</v>
      </c>
      <c r="E855" s="1">
        <v>16345584.439999999</v>
      </c>
      <c r="F855" t="s">
        <v>1280</v>
      </c>
      <c r="I855" s="16"/>
      <c r="J855" s="68"/>
      <c r="K855" s="68"/>
      <c r="L855" s="68"/>
      <c r="M855" s="74">
        <f t="shared" si="16"/>
        <v>4871.5</v>
      </c>
    </row>
    <row r="856" spans="1:13">
      <c r="A856" t="s">
        <v>118</v>
      </c>
      <c r="B856" t="s">
        <v>11</v>
      </c>
      <c r="C856" s="51">
        <v>137899463333</v>
      </c>
      <c r="D856" s="1">
        <v>5358.65</v>
      </c>
      <c r="E856" s="1">
        <v>16350943.09</v>
      </c>
      <c r="F856" t="s">
        <v>1280</v>
      </c>
      <c r="I856" s="16"/>
      <c r="J856" s="68"/>
      <c r="K856" s="68"/>
      <c r="L856" s="68"/>
      <c r="M856" s="74">
        <f t="shared" si="16"/>
        <v>5358.65</v>
      </c>
    </row>
    <row r="857" spans="1:13">
      <c r="A857" t="s">
        <v>118</v>
      </c>
      <c r="B857" t="s">
        <v>11</v>
      </c>
      <c r="C857" s="51">
        <v>138538764448</v>
      </c>
      <c r="D857" s="1">
        <v>21142.31</v>
      </c>
      <c r="E857" s="1">
        <v>16372085.4</v>
      </c>
      <c r="F857" t="s">
        <v>1280</v>
      </c>
      <c r="I857" s="16"/>
      <c r="J857" s="68"/>
      <c r="K857" s="68"/>
      <c r="L857" s="68"/>
      <c r="M857" s="74">
        <f t="shared" si="16"/>
        <v>21142.31</v>
      </c>
    </row>
    <row r="858" spans="1:13">
      <c r="A858" t="s">
        <v>118</v>
      </c>
      <c r="B858" t="s">
        <v>11</v>
      </c>
      <c r="C858" s="51">
        <v>138538774982</v>
      </c>
      <c r="D858" s="1">
        <v>9743</v>
      </c>
      <c r="E858" s="1">
        <v>16381828.4</v>
      </c>
      <c r="F858" t="s">
        <v>1280</v>
      </c>
      <c r="I858" s="16"/>
      <c r="J858" s="68"/>
      <c r="K858" s="68"/>
      <c r="L858" s="68"/>
      <c r="M858" s="74">
        <f t="shared" si="16"/>
        <v>9743</v>
      </c>
    </row>
    <row r="859" spans="1:13">
      <c r="A859" t="s">
        <v>118</v>
      </c>
      <c r="B859" t="s">
        <v>11</v>
      </c>
      <c r="C859" s="51">
        <v>137899567743</v>
      </c>
      <c r="D859" s="1">
        <v>46961.26</v>
      </c>
      <c r="E859" s="1">
        <v>16428789.66</v>
      </c>
      <c r="F859" t="s">
        <v>1280</v>
      </c>
      <c r="I859" s="16"/>
      <c r="J859" s="68"/>
      <c r="K859" s="68"/>
      <c r="L859" s="68"/>
      <c r="M859" s="74">
        <f t="shared" si="16"/>
        <v>46961.26</v>
      </c>
    </row>
    <row r="860" spans="1:13">
      <c r="A860" t="s">
        <v>118</v>
      </c>
      <c r="B860" t="s">
        <v>11</v>
      </c>
      <c r="C860" s="51">
        <v>138538968416</v>
      </c>
      <c r="D860" s="1">
        <v>5358.65</v>
      </c>
      <c r="E860" s="1">
        <v>16434148.310000001</v>
      </c>
      <c r="F860" t="s">
        <v>1280</v>
      </c>
      <c r="I860" s="16"/>
      <c r="J860" s="68"/>
      <c r="K860" s="68"/>
      <c r="L860" s="68"/>
      <c r="M860" s="74">
        <f t="shared" si="16"/>
        <v>5358.65</v>
      </c>
    </row>
    <row r="861" spans="1:13">
      <c r="A861" t="s">
        <v>118</v>
      </c>
      <c r="B861" t="s">
        <v>11</v>
      </c>
      <c r="C861" s="51">
        <v>138538877614</v>
      </c>
      <c r="D861" s="1">
        <v>9450.7099999999991</v>
      </c>
      <c r="E861" s="1">
        <v>16443599.02</v>
      </c>
      <c r="F861" t="s">
        <v>1280</v>
      </c>
      <c r="I861" s="16"/>
      <c r="J861" s="68"/>
      <c r="K861" s="68"/>
      <c r="L861" s="68"/>
      <c r="M861" s="74">
        <f t="shared" si="16"/>
        <v>9450.7099999999991</v>
      </c>
    </row>
    <row r="862" spans="1:13">
      <c r="A862" t="s">
        <v>118</v>
      </c>
      <c r="B862" t="s">
        <v>11</v>
      </c>
      <c r="C862" s="51">
        <v>137900124225</v>
      </c>
      <c r="D862" s="1">
        <v>4676.6400000000003</v>
      </c>
      <c r="E862" s="1">
        <v>16448275.66</v>
      </c>
      <c r="F862" t="s">
        <v>1280</v>
      </c>
      <c r="I862" s="16"/>
      <c r="J862" s="68"/>
      <c r="K862" s="68"/>
      <c r="L862" s="68"/>
      <c r="M862" s="74">
        <f t="shared" si="16"/>
        <v>4676.6400000000003</v>
      </c>
    </row>
    <row r="863" spans="1:13">
      <c r="A863" t="s">
        <v>118</v>
      </c>
      <c r="B863" t="s">
        <v>11</v>
      </c>
      <c r="C863" s="51">
        <v>137899983959</v>
      </c>
      <c r="D863" s="1">
        <v>65960.11</v>
      </c>
      <c r="E863" s="1">
        <v>16514235.77</v>
      </c>
      <c r="F863" t="s">
        <v>1280</v>
      </c>
      <c r="I863" s="16"/>
      <c r="J863" s="68"/>
      <c r="K863" s="68"/>
      <c r="L863" s="68"/>
      <c r="M863" s="74">
        <f t="shared" si="16"/>
        <v>65960.11</v>
      </c>
    </row>
    <row r="864" spans="1:13">
      <c r="A864" t="s">
        <v>118</v>
      </c>
      <c r="B864" t="s">
        <v>11</v>
      </c>
      <c r="C864" s="51">
        <v>137900051953</v>
      </c>
      <c r="D864" s="1">
        <v>4871.5</v>
      </c>
      <c r="E864" s="1">
        <v>16519107.27</v>
      </c>
      <c r="F864" t="s">
        <v>1280</v>
      </c>
      <c r="I864" s="16"/>
      <c r="J864" s="68"/>
      <c r="K864" s="68"/>
      <c r="L864" s="68"/>
      <c r="M864" s="74">
        <f t="shared" si="16"/>
        <v>4871.5</v>
      </c>
    </row>
    <row r="865" spans="1:13">
      <c r="A865" t="s">
        <v>118</v>
      </c>
      <c r="B865" t="s">
        <v>11</v>
      </c>
      <c r="C865" s="51">
        <v>138539450730</v>
      </c>
      <c r="D865" s="1">
        <v>10717.3</v>
      </c>
      <c r="E865" s="1">
        <v>16529824.57</v>
      </c>
      <c r="F865" t="s">
        <v>1280</v>
      </c>
      <c r="I865" s="16"/>
      <c r="J865" s="68"/>
      <c r="K865" s="68"/>
      <c r="L865" s="68"/>
      <c r="M865" s="74">
        <f t="shared" si="16"/>
        <v>10717.3</v>
      </c>
    </row>
    <row r="866" spans="1:13">
      <c r="A866" t="s">
        <v>118</v>
      </c>
      <c r="B866" t="s">
        <v>11</v>
      </c>
      <c r="C866" s="51">
        <v>137900357205</v>
      </c>
      <c r="D866" s="1">
        <v>9353.2800000000007</v>
      </c>
      <c r="E866" s="1">
        <v>16539177.85</v>
      </c>
      <c r="F866" t="s">
        <v>1280</v>
      </c>
      <c r="I866" s="16"/>
      <c r="J866" s="68"/>
      <c r="K866" s="68"/>
      <c r="L866" s="68"/>
      <c r="M866" s="74">
        <f t="shared" si="16"/>
        <v>9353.2800000000007</v>
      </c>
    </row>
    <row r="867" spans="1:13">
      <c r="A867" t="s">
        <v>118</v>
      </c>
      <c r="B867" t="s">
        <v>11</v>
      </c>
      <c r="C867" s="51">
        <v>137900480563</v>
      </c>
      <c r="D867" s="1">
        <v>2338.3200000000002</v>
      </c>
      <c r="E867" s="1">
        <v>16541516.17</v>
      </c>
      <c r="F867" t="s">
        <v>1280</v>
      </c>
      <c r="I867" s="16"/>
      <c r="J867" s="68"/>
      <c r="K867" s="68"/>
      <c r="L867" s="68"/>
      <c r="M867" s="74">
        <f t="shared" si="16"/>
        <v>2338.3200000000002</v>
      </c>
    </row>
    <row r="868" spans="1:13">
      <c r="A868" t="s">
        <v>118</v>
      </c>
      <c r="B868" t="s">
        <v>117</v>
      </c>
      <c r="C868" s="51">
        <v>137898435063</v>
      </c>
      <c r="D868">
        <v>244.75</v>
      </c>
      <c r="E868" s="1">
        <v>16191974.57</v>
      </c>
      <c r="F868" t="s">
        <v>1280</v>
      </c>
      <c r="I868" s="16"/>
      <c r="J868" s="68"/>
      <c r="K868" s="68"/>
      <c r="L868" s="68"/>
      <c r="M868" s="74">
        <f t="shared" si="16"/>
        <v>244.75</v>
      </c>
    </row>
    <row r="869" spans="1:13">
      <c r="A869" t="s">
        <v>118</v>
      </c>
      <c r="B869" t="s">
        <v>11</v>
      </c>
      <c r="C869" s="51">
        <v>138539540062</v>
      </c>
      <c r="D869" s="1">
        <v>4774.07</v>
      </c>
      <c r="E869" s="1">
        <v>16546290.24</v>
      </c>
      <c r="F869" t="s">
        <v>1280</v>
      </c>
      <c r="I869" s="16"/>
      <c r="J869" s="68"/>
      <c r="K869" s="68"/>
      <c r="L869" s="68"/>
      <c r="M869" s="74">
        <f t="shared" si="16"/>
        <v>4774.07</v>
      </c>
    </row>
    <row r="870" spans="1:13">
      <c r="A870" t="s">
        <v>118</v>
      </c>
      <c r="B870" t="s">
        <v>11</v>
      </c>
      <c r="C870" s="51">
        <v>138539639336</v>
      </c>
      <c r="D870" s="1">
        <v>86907.56</v>
      </c>
      <c r="E870" s="1">
        <v>16633197.800000001</v>
      </c>
      <c r="F870" t="s">
        <v>1280</v>
      </c>
      <c r="I870" s="16"/>
      <c r="J870" s="68"/>
      <c r="K870" s="68"/>
      <c r="L870" s="68"/>
      <c r="M870" s="74">
        <f t="shared" si="16"/>
        <v>86907.56</v>
      </c>
    </row>
    <row r="871" spans="1:13">
      <c r="A871" t="s">
        <v>118</v>
      </c>
      <c r="B871" t="s">
        <v>11</v>
      </c>
      <c r="C871" s="51">
        <v>137900568985</v>
      </c>
      <c r="D871" s="1">
        <v>14517.07</v>
      </c>
      <c r="E871" s="1">
        <v>16647714.869999999</v>
      </c>
      <c r="F871" t="s">
        <v>1280</v>
      </c>
      <c r="I871" s="16"/>
      <c r="J871" s="68"/>
      <c r="K871" s="68"/>
      <c r="L871" s="68"/>
      <c r="M871" s="74">
        <f t="shared" si="16"/>
        <v>14517.07</v>
      </c>
    </row>
    <row r="872" spans="1:13">
      <c r="A872" t="s">
        <v>118</v>
      </c>
      <c r="B872" t="s">
        <v>11</v>
      </c>
      <c r="C872" s="51">
        <v>138539685694</v>
      </c>
      <c r="D872" s="1">
        <v>4774.07</v>
      </c>
      <c r="E872" s="1">
        <v>16652488.939999999</v>
      </c>
      <c r="F872" t="s">
        <v>1280</v>
      </c>
      <c r="I872" s="16"/>
      <c r="J872" s="68"/>
      <c r="K872" s="68"/>
      <c r="L872" s="68"/>
      <c r="M872" s="74">
        <f t="shared" ref="M872:M935" si="17">+D872-I872-J872-K872-L872</f>
        <v>4774.07</v>
      </c>
    </row>
    <row r="873" spans="1:13">
      <c r="A873" t="s">
        <v>118</v>
      </c>
      <c r="B873" t="s">
        <v>11</v>
      </c>
      <c r="C873" s="51">
        <v>137900583251</v>
      </c>
      <c r="D873" s="1">
        <v>4871.5</v>
      </c>
      <c r="E873" s="1">
        <v>16657360.439999999</v>
      </c>
      <c r="F873" t="s">
        <v>1280</v>
      </c>
      <c r="I873" s="16"/>
      <c r="J873" s="68"/>
      <c r="K873" s="68"/>
      <c r="L873" s="68"/>
      <c r="M873" s="74">
        <f t="shared" si="17"/>
        <v>4871.5</v>
      </c>
    </row>
    <row r="874" spans="1:13">
      <c r="A874" t="s">
        <v>118</v>
      </c>
      <c r="B874" t="s">
        <v>11</v>
      </c>
      <c r="C874" s="51">
        <v>137900724285</v>
      </c>
      <c r="D874" s="1">
        <v>4774.07</v>
      </c>
      <c r="E874" s="1">
        <v>16662134.51</v>
      </c>
      <c r="F874" t="s">
        <v>1280</v>
      </c>
      <c r="I874" s="16"/>
      <c r="J874" s="68"/>
      <c r="K874" s="68"/>
      <c r="L874" s="68"/>
      <c r="M874" s="74">
        <f t="shared" si="17"/>
        <v>4774.07</v>
      </c>
    </row>
    <row r="875" spans="1:13">
      <c r="A875" t="s">
        <v>118</v>
      </c>
      <c r="B875" t="s">
        <v>11</v>
      </c>
      <c r="C875" s="51">
        <v>137900842553</v>
      </c>
      <c r="D875" s="1">
        <v>11594.17</v>
      </c>
      <c r="E875" s="1">
        <v>16673728.68</v>
      </c>
      <c r="F875" t="s">
        <v>1280</v>
      </c>
      <c r="I875" s="16"/>
      <c r="J875" s="68"/>
      <c r="K875" s="68"/>
      <c r="L875" s="68"/>
      <c r="M875" s="74">
        <f t="shared" si="17"/>
        <v>11594.17</v>
      </c>
    </row>
    <row r="876" spans="1:13">
      <c r="A876" t="s">
        <v>118</v>
      </c>
      <c r="B876" t="s">
        <v>11</v>
      </c>
      <c r="C876" s="51">
        <v>138539991186</v>
      </c>
      <c r="D876" s="1">
        <v>4644.96</v>
      </c>
      <c r="E876" s="1">
        <v>16678956.140000001</v>
      </c>
      <c r="F876" t="s">
        <v>1280</v>
      </c>
      <c r="I876" s="16"/>
      <c r="J876" s="68"/>
      <c r="K876" s="68"/>
      <c r="L876" s="68"/>
      <c r="M876" s="74">
        <f t="shared" si="17"/>
        <v>4644.96</v>
      </c>
    </row>
    <row r="877" spans="1:13">
      <c r="A877" t="s">
        <v>118</v>
      </c>
      <c r="B877" t="s">
        <v>11</v>
      </c>
      <c r="C877" s="51">
        <v>138540017574</v>
      </c>
      <c r="D877" s="1">
        <v>15491.37</v>
      </c>
      <c r="E877" s="1">
        <v>16694447.51</v>
      </c>
      <c r="F877" t="s">
        <v>1280</v>
      </c>
      <c r="I877" s="16"/>
      <c r="J877" s="68"/>
      <c r="K877" s="68"/>
      <c r="L877" s="68"/>
      <c r="M877" s="74">
        <f t="shared" si="17"/>
        <v>15491.37</v>
      </c>
    </row>
    <row r="878" spans="1:13">
      <c r="A878" t="s">
        <v>118</v>
      </c>
      <c r="B878" t="s">
        <v>11</v>
      </c>
      <c r="C878" s="51">
        <v>137901100913</v>
      </c>
      <c r="D878" s="1">
        <v>4676.6400000000003</v>
      </c>
      <c r="E878" s="1">
        <v>16699124.15</v>
      </c>
      <c r="F878" t="s">
        <v>1280</v>
      </c>
      <c r="I878" s="16"/>
      <c r="J878" s="68"/>
      <c r="K878" s="68"/>
      <c r="L878" s="68"/>
      <c r="M878" s="74">
        <f t="shared" si="17"/>
        <v>4676.6400000000003</v>
      </c>
    </row>
    <row r="879" spans="1:13">
      <c r="A879" t="s">
        <v>118</v>
      </c>
      <c r="B879" t="s">
        <v>11</v>
      </c>
      <c r="C879" s="51">
        <v>138540272932</v>
      </c>
      <c r="D879" s="1">
        <v>9743</v>
      </c>
      <c r="E879" s="1">
        <v>16708867.15</v>
      </c>
      <c r="F879" t="s">
        <v>1280</v>
      </c>
      <c r="I879" s="16"/>
      <c r="J879" s="68"/>
      <c r="K879" s="68"/>
      <c r="L879" s="68"/>
      <c r="M879" s="74">
        <f t="shared" si="17"/>
        <v>9743</v>
      </c>
    </row>
    <row r="880" spans="1:13">
      <c r="A880" t="s">
        <v>118</v>
      </c>
      <c r="B880" t="s">
        <v>11</v>
      </c>
      <c r="C880" s="51">
        <v>138540271020</v>
      </c>
      <c r="D880" s="1">
        <v>19193.71</v>
      </c>
      <c r="E880" s="1">
        <v>16728060.859999999</v>
      </c>
      <c r="F880" t="s">
        <v>1280</v>
      </c>
      <c r="I880" s="16"/>
      <c r="J880" s="68"/>
      <c r="K880" s="68"/>
      <c r="L880" s="68"/>
      <c r="M880" s="74">
        <f t="shared" si="17"/>
        <v>19193.71</v>
      </c>
    </row>
    <row r="881" spans="1:13">
      <c r="A881" t="s">
        <v>118</v>
      </c>
      <c r="B881" t="s">
        <v>11</v>
      </c>
      <c r="C881" s="51">
        <v>138540355548</v>
      </c>
      <c r="D881" s="1">
        <v>4871.5</v>
      </c>
      <c r="E881" s="1">
        <v>16732932.359999999</v>
      </c>
      <c r="F881" t="s">
        <v>1280</v>
      </c>
      <c r="I881" s="16"/>
      <c r="J881" s="68"/>
      <c r="K881" s="68"/>
      <c r="L881" s="68"/>
      <c r="M881" s="74">
        <f t="shared" si="17"/>
        <v>4871.5</v>
      </c>
    </row>
    <row r="882" spans="1:13">
      <c r="A882" t="s">
        <v>118</v>
      </c>
      <c r="B882" t="s">
        <v>11</v>
      </c>
      <c r="C882" s="51">
        <v>138540490748</v>
      </c>
      <c r="D882" s="1">
        <v>2346.5</v>
      </c>
      <c r="E882" s="1">
        <v>16735278.859999999</v>
      </c>
      <c r="F882" t="s">
        <v>1280</v>
      </c>
      <c r="I882" s="16"/>
      <c r="J882" s="68"/>
      <c r="K882" s="68"/>
      <c r="L882" s="68"/>
      <c r="M882" s="74">
        <f t="shared" si="17"/>
        <v>2346.5</v>
      </c>
    </row>
    <row r="883" spans="1:13">
      <c r="A883" t="s">
        <v>118</v>
      </c>
      <c r="B883" t="s">
        <v>11</v>
      </c>
      <c r="C883" s="51">
        <v>138540518482</v>
      </c>
      <c r="D883" s="1">
        <v>9548.14</v>
      </c>
      <c r="E883" s="1">
        <v>16744827</v>
      </c>
      <c r="F883" t="s">
        <v>1280</v>
      </c>
      <c r="I883" s="16"/>
      <c r="J883" s="68"/>
      <c r="K883" s="68"/>
      <c r="L883" s="68"/>
      <c r="M883" s="74">
        <f t="shared" si="17"/>
        <v>9548.14</v>
      </c>
    </row>
    <row r="884" spans="1:13">
      <c r="A884" t="s">
        <v>118</v>
      </c>
      <c r="B884" t="s">
        <v>11</v>
      </c>
      <c r="C884" s="51">
        <v>138540544612</v>
      </c>
      <c r="D884" s="1">
        <v>19486</v>
      </c>
      <c r="E884" s="1">
        <v>16764313</v>
      </c>
      <c r="F884" t="s">
        <v>1280</v>
      </c>
      <c r="I884" s="16"/>
      <c r="J884" s="68"/>
      <c r="K884" s="68"/>
      <c r="L884" s="68"/>
      <c r="M884" s="74">
        <f t="shared" si="17"/>
        <v>19486</v>
      </c>
    </row>
    <row r="885" spans="1:13">
      <c r="A885" t="s">
        <v>118</v>
      </c>
      <c r="B885" t="s">
        <v>11</v>
      </c>
      <c r="C885" s="51">
        <v>138540460020</v>
      </c>
      <c r="D885" s="1">
        <v>4871.5</v>
      </c>
      <c r="E885" s="1">
        <v>16769184.5</v>
      </c>
      <c r="F885" t="s">
        <v>1280</v>
      </c>
      <c r="I885" s="16"/>
      <c r="J885" s="68"/>
      <c r="K885" s="68"/>
      <c r="L885" s="68"/>
      <c r="M885" s="74">
        <f t="shared" si="17"/>
        <v>4871.5</v>
      </c>
    </row>
    <row r="886" spans="1:13">
      <c r="A886" t="s">
        <v>118</v>
      </c>
      <c r="B886" t="s">
        <v>11</v>
      </c>
      <c r="C886" s="51">
        <v>137901496673</v>
      </c>
      <c r="D886" s="1">
        <v>23967.78</v>
      </c>
      <c r="E886" s="1">
        <v>16793152.280000001</v>
      </c>
      <c r="F886" t="s">
        <v>1280</v>
      </c>
      <c r="I886" s="16"/>
      <c r="J886" s="68"/>
      <c r="K886" s="68"/>
      <c r="L886" s="68"/>
      <c r="M886" s="74">
        <f t="shared" si="17"/>
        <v>23967.78</v>
      </c>
    </row>
    <row r="887" spans="1:13">
      <c r="A887" t="s">
        <v>118</v>
      </c>
      <c r="B887" t="s">
        <v>11</v>
      </c>
      <c r="C887" s="51">
        <v>138540533782</v>
      </c>
      <c r="D887" s="1">
        <v>4676.6400000000003</v>
      </c>
      <c r="E887" s="1">
        <v>16797828.920000002</v>
      </c>
      <c r="F887" t="s">
        <v>1280</v>
      </c>
      <c r="I887" s="16"/>
      <c r="J887" s="68"/>
      <c r="K887" s="68"/>
      <c r="L887" s="68"/>
      <c r="M887" s="74">
        <f t="shared" si="17"/>
        <v>4676.6400000000003</v>
      </c>
    </row>
    <row r="888" spans="1:13">
      <c r="A888" t="s">
        <v>118</v>
      </c>
      <c r="B888" t="s">
        <v>11</v>
      </c>
      <c r="C888" s="51">
        <v>138540748380</v>
      </c>
      <c r="D888" s="1">
        <v>4774.07</v>
      </c>
      <c r="E888" s="1">
        <v>16802602.989999998</v>
      </c>
      <c r="F888" t="s">
        <v>1280</v>
      </c>
      <c r="I888" s="16"/>
      <c r="J888" s="68"/>
      <c r="K888" s="68"/>
      <c r="L888" s="68"/>
      <c r="M888" s="74">
        <f t="shared" si="17"/>
        <v>4774.07</v>
      </c>
    </row>
    <row r="889" spans="1:13">
      <c r="A889" t="s">
        <v>118</v>
      </c>
      <c r="B889" t="s">
        <v>11</v>
      </c>
      <c r="C889" s="51">
        <v>137901634467</v>
      </c>
      <c r="D889" s="1">
        <v>12568.47</v>
      </c>
      <c r="E889" s="1">
        <v>16815171.460000001</v>
      </c>
      <c r="F889" t="s">
        <v>1280</v>
      </c>
      <c r="I889" s="16"/>
      <c r="J889" s="68"/>
      <c r="K889" s="68"/>
      <c r="L889" s="68"/>
      <c r="M889" s="74">
        <f t="shared" si="17"/>
        <v>12568.47</v>
      </c>
    </row>
    <row r="890" spans="1:13">
      <c r="A890" t="s">
        <v>118</v>
      </c>
      <c r="B890" t="s">
        <v>11</v>
      </c>
      <c r="C890" s="51">
        <v>137901732771</v>
      </c>
      <c r="D890" s="1">
        <v>4871.5</v>
      </c>
      <c r="E890" s="1">
        <v>16820042.960000001</v>
      </c>
      <c r="F890" t="s">
        <v>1280</v>
      </c>
      <c r="I890" s="16"/>
      <c r="J890" s="68"/>
      <c r="K890" s="68"/>
      <c r="L890" s="68"/>
      <c r="M890" s="74">
        <f t="shared" si="17"/>
        <v>4871.5</v>
      </c>
    </row>
    <row r="891" spans="1:13">
      <c r="A891" t="s">
        <v>118</v>
      </c>
      <c r="B891" t="s">
        <v>11</v>
      </c>
      <c r="C891" s="51">
        <v>137901777597</v>
      </c>
      <c r="D891" s="1">
        <v>15393.94</v>
      </c>
      <c r="E891" s="1">
        <v>16835681.649999999</v>
      </c>
      <c r="F891" t="s">
        <v>1280</v>
      </c>
      <c r="I891" s="16"/>
      <c r="J891" s="68"/>
      <c r="K891" s="68"/>
      <c r="L891" s="68"/>
      <c r="M891" s="74">
        <f t="shared" si="17"/>
        <v>15393.94</v>
      </c>
    </row>
    <row r="892" spans="1:13">
      <c r="A892" t="s">
        <v>118</v>
      </c>
      <c r="B892" t="s">
        <v>11</v>
      </c>
      <c r="C892" s="51">
        <v>138541087572</v>
      </c>
      <c r="D892" s="1">
        <v>12665.9</v>
      </c>
      <c r="E892" s="1">
        <v>16848347.550000001</v>
      </c>
      <c r="F892" t="s">
        <v>1280</v>
      </c>
      <c r="I892" s="16"/>
      <c r="J892" s="68"/>
      <c r="K892" s="68"/>
      <c r="L892" s="68"/>
      <c r="M892" s="74">
        <f t="shared" si="17"/>
        <v>12665.9</v>
      </c>
    </row>
    <row r="893" spans="1:13">
      <c r="A893" t="s">
        <v>118</v>
      </c>
      <c r="B893" t="s">
        <v>11</v>
      </c>
      <c r="C893" s="51">
        <v>138541267178</v>
      </c>
      <c r="D893" s="1">
        <v>4676.6400000000003</v>
      </c>
      <c r="E893" s="1">
        <v>16853024.190000001</v>
      </c>
      <c r="F893" t="s">
        <v>1280</v>
      </c>
      <c r="I893" s="16"/>
      <c r="J893" s="68"/>
      <c r="K893" s="68"/>
      <c r="L893" s="68"/>
      <c r="M893" s="74">
        <f t="shared" si="17"/>
        <v>4676.6400000000003</v>
      </c>
    </row>
    <row r="894" spans="1:13">
      <c r="A894" t="s">
        <v>118</v>
      </c>
      <c r="B894" t="s">
        <v>11</v>
      </c>
      <c r="C894" s="51">
        <v>138541611002</v>
      </c>
      <c r="D894" s="1">
        <v>9198.2800000000007</v>
      </c>
      <c r="E894" s="1">
        <v>16862222.469999999</v>
      </c>
      <c r="F894" t="s">
        <v>1280</v>
      </c>
      <c r="I894" s="16"/>
      <c r="J894" s="68"/>
      <c r="K894" s="68"/>
      <c r="L894" s="68"/>
      <c r="M894" s="74">
        <f t="shared" si="17"/>
        <v>9198.2800000000007</v>
      </c>
    </row>
    <row r="895" spans="1:13">
      <c r="A895" t="s">
        <v>118</v>
      </c>
      <c r="B895" t="s">
        <v>11</v>
      </c>
      <c r="C895" s="51">
        <v>137902485901</v>
      </c>
      <c r="D895" s="1">
        <v>9743</v>
      </c>
      <c r="E895" s="1">
        <v>16871965.469999999</v>
      </c>
      <c r="F895" t="s">
        <v>1280</v>
      </c>
      <c r="I895" s="16"/>
      <c r="J895" s="68"/>
      <c r="K895" s="68"/>
      <c r="L895" s="68"/>
      <c r="M895" s="74">
        <f t="shared" si="17"/>
        <v>9743</v>
      </c>
    </row>
    <row r="896" spans="1:13">
      <c r="A896" t="s">
        <v>118</v>
      </c>
      <c r="B896" t="s">
        <v>11</v>
      </c>
      <c r="C896" s="51">
        <v>137902691017</v>
      </c>
      <c r="D896" s="1">
        <v>10035.290000000001</v>
      </c>
      <c r="E896" s="1">
        <v>16882000.760000002</v>
      </c>
      <c r="F896" t="s">
        <v>1280</v>
      </c>
      <c r="I896" s="16"/>
      <c r="J896" s="68"/>
      <c r="K896" s="68"/>
      <c r="L896" s="68"/>
      <c r="M896" s="74">
        <f t="shared" si="17"/>
        <v>10035.290000000001</v>
      </c>
    </row>
    <row r="897" spans="1:13">
      <c r="A897" t="s">
        <v>118</v>
      </c>
      <c r="B897" t="s">
        <v>74</v>
      </c>
      <c r="C897" s="51">
        <v>138540024370</v>
      </c>
      <c r="D897">
        <v>582.5</v>
      </c>
      <c r="E897" s="1">
        <v>16674311.18</v>
      </c>
      <c r="F897" t="s">
        <v>1280</v>
      </c>
      <c r="I897" s="16"/>
      <c r="J897" s="68"/>
      <c r="K897" s="68"/>
      <c r="L897" s="68"/>
      <c r="M897" s="74">
        <f t="shared" si="17"/>
        <v>582.5</v>
      </c>
    </row>
    <row r="898" spans="1:13">
      <c r="A898" t="s">
        <v>118</v>
      </c>
      <c r="B898" t="s">
        <v>11</v>
      </c>
      <c r="C898" s="51">
        <v>137902854741</v>
      </c>
      <c r="D898" s="1">
        <v>12178.75</v>
      </c>
      <c r="E898" s="1">
        <v>16894179.510000002</v>
      </c>
      <c r="F898" t="s">
        <v>1280</v>
      </c>
      <c r="I898" s="16"/>
      <c r="J898" s="68"/>
      <c r="K898" s="68"/>
      <c r="L898" s="68"/>
      <c r="M898" s="74">
        <f t="shared" si="17"/>
        <v>12178.75</v>
      </c>
    </row>
    <row r="899" spans="1:13">
      <c r="A899" t="s">
        <v>118</v>
      </c>
      <c r="B899" t="s">
        <v>11</v>
      </c>
      <c r="C899" s="51">
        <v>138542085322</v>
      </c>
      <c r="D899" s="1">
        <v>14614.5</v>
      </c>
      <c r="E899" s="1">
        <v>16908794.010000002</v>
      </c>
      <c r="F899" t="s">
        <v>1280</v>
      </c>
      <c r="I899" s="16"/>
      <c r="J899" s="68"/>
      <c r="K899" s="68"/>
      <c r="L899" s="68"/>
      <c r="M899" s="74">
        <f t="shared" si="17"/>
        <v>14614.5</v>
      </c>
    </row>
    <row r="900" spans="1:13">
      <c r="A900" t="s">
        <v>118</v>
      </c>
      <c r="B900" t="s">
        <v>11</v>
      </c>
      <c r="C900" s="51">
        <v>137903168103</v>
      </c>
      <c r="D900" s="1">
        <v>4505.28</v>
      </c>
      <c r="E900" s="1">
        <v>16913299.289999999</v>
      </c>
      <c r="F900" t="s">
        <v>1280</v>
      </c>
      <c r="I900" s="16"/>
      <c r="J900" s="68"/>
      <c r="K900" s="68"/>
      <c r="L900" s="68"/>
      <c r="M900" s="74">
        <f t="shared" si="17"/>
        <v>4505.28</v>
      </c>
    </row>
    <row r="901" spans="1:13">
      <c r="A901" t="s">
        <v>118</v>
      </c>
      <c r="B901" t="s">
        <v>11</v>
      </c>
      <c r="C901" s="51">
        <v>138542183900</v>
      </c>
      <c r="D901" s="1">
        <v>9353.2800000000007</v>
      </c>
      <c r="E901" s="1">
        <v>16922652.57</v>
      </c>
      <c r="F901" t="s">
        <v>1280</v>
      </c>
      <c r="I901" s="16"/>
      <c r="J901" s="68"/>
      <c r="K901" s="68"/>
      <c r="L901" s="68"/>
      <c r="M901" s="74">
        <f t="shared" si="17"/>
        <v>9353.2800000000007</v>
      </c>
    </row>
    <row r="902" spans="1:13">
      <c r="A902" t="s">
        <v>118</v>
      </c>
      <c r="B902" t="s">
        <v>11</v>
      </c>
      <c r="C902" s="51">
        <v>137903253005</v>
      </c>
      <c r="D902" s="1">
        <v>9743</v>
      </c>
      <c r="E902" s="1">
        <v>16932395.57</v>
      </c>
      <c r="F902" t="s">
        <v>1280</v>
      </c>
      <c r="I902" s="16"/>
      <c r="J902" s="68"/>
      <c r="K902" s="68"/>
      <c r="L902" s="68"/>
      <c r="M902" s="74">
        <f t="shared" si="17"/>
        <v>9743</v>
      </c>
    </row>
    <row r="903" spans="1:13">
      <c r="A903" t="s">
        <v>118</v>
      </c>
      <c r="B903" t="s">
        <v>11</v>
      </c>
      <c r="C903" s="51">
        <v>137903325729</v>
      </c>
      <c r="D903" s="1">
        <v>50468.74</v>
      </c>
      <c r="E903" s="1">
        <v>16982864.309999999</v>
      </c>
      <c r="F903" t="s">
        <v>1280</v>
      </c>
      <c r="I903" s="16"/>
      <c r="J903" s="68"/>
      <c r="K903" s="68"/>
      <c r="L903" s="68"/>
      <c r="M903" s="74">
        <f t="shared" si="17"/>
        <v>50468.74</v>
      </c>
    </row>
    <row r="904" spans="1:13">
      <c r="A904" t="s">
        <v>118</v>
      </c>
      <c r="B904" t="s">
        <v>11</v>
      </c>
      <c r="C904" s="51">
        <v>138542590960</v>
      </c>
      <c r="D904" s="1">
        <v>43832.62</v>
      </c>
      <c r="E904" s="1">
        <v>17029232.539999999</v>
      </c>
      <c r="F904" t="s">
        <v>1280</v>
      </c>
      <c r="I904" s="16"/>
      <c r="J904" s="68"/>
      <c r="K904" s="68"/>
      <c r="L904" s="68"/>
      <c r="M904" s="74">
        <f t="shared" si="17"/>
        <v>43832.62</v>
      </c>
    </row>
    <row r="905" spans="1:13">
      <c r="A905" t="s">
        <v>118</v>
      </c>
      <c r="B905" t="s">
        <v>11</v>
      </c>
      <c r="C905" s="51">
        <v>138542676996</v>
      </c>
      <c r="D905" s="1">
        <v>10717.3</v>
      </c>
      <c r="E905" s="1">
        <v>17039949.84</v>
      </c>
      <c r="F905" t="s">
        <v>1280</v>
      </c>
      <c r="I905" s="16"/>
      <c r="J905" s="68"/>
      <c r="K905" s="68"/>
      <c r="L905" s="68"/>
      <c r="M905" s="74">
        <f t="shared" si="17"/>
        <v>10717.3</v>
      </c>
    </row>
    <row r="906" spans="1:13">
      <c r="A906" t="s">
        <v>118</v>
      </c>
      <c r="B906" t="s">
        <v>11</v>
      </c>
      <c r="C906" s="51">
        <v>137903782181</v>
      </c>
      <c r="D906" s="1">
        <v>9548.14</v>
      </c>
      <c r="E906" s="1">
        <v>17049497.98</v>
      </c>
      <c r="F906" t="s">
        <v>1280</v>
      </c>
      <c r="I906" s="16"/>
      <c r="J906" s="68"/>
      <c r="K906" s="68"/>
      <c r="L906" s="68"/>
      <c r="M906" s="74">
        <f t="shared" si="17"/>
        <v>9548.14</v>
      </c>
    </row>
    <row r="907" spans="1:13">
      <c r="A907" t="s">
        <v>118</v>
      </c>
      <c r="B907" t="s">
        <v>11</v>
      </c>
      <c r="C907" s="51">
        <v>137903699165</v>
      </c>
      <c r="D907" s="1">
        <v>4871.5</v>
      </c>
      <c r="E907" s="1">
        <v>17054369.48</v>
      </c>
      <c r="F907" t="s">
        <v>1280</v>
      </c>
      <c r="I907" s="16"/>
      <c r="J907" s="68"/>
      <c r="K907" s="68"/>
      <c r="L907" s="68"/>
      <c r="M907" s="74">
        <f t="shared" si="17"/>
        <v>4871.5</v>
      </c>
    </row>
    <row r="908" spans="1:13">
      <c r="A908" t="s">
        <v>118</v>
      </c>
      <c r="B908" t="s">
        <v>11</v>
      </c>
      <c r="C908" s="51">
        <v>137903674013</v>
      </c>
      <c r="D908" s="1">
        <v>4871.5</v>
      </c>
      <c r="E908" s="1">
        <v>17059240.98</v>
      </c>
      <c r="F908" t="s">
        <v>1280</v>
      </c>
      <c r="I908" s="16"/>
      <c r="J908" s="68"/>
      <c r="K908" s="68"/>
      <c r="L908" s="68"/>
      <c r="M908" s="74">
        <f t="shared" si="17"/>
        <v>4871.5</v>
      </c>
    </row>
    <row r="909" spans="1:13">
      <c r="A909" t="s">
        <v>118</v>
      </c>
      <c r="B909" t="s">
        <v>11</v>
      </c>
      <c r="C909" s="51">
        <v>137903890489</v>
      </c>
      <c r="D909" s="1">
        <v>10717.3</v>
      </c>
      <c r="E909" s="1">
        <v>17069958.280000001</v>
      </c>
      <c r="F909" t="s">
        <v>1280</v>
      </c>
      <c r="I909" s="16"/>
      <c r="J909" s="68"/>
      <c r="K909" s="68"/>
      <c r="L909" s="68"/>
      <c r="M909" s="74">
        <f t="shared" si="17"/>
        <v>10717.3</v>
      </c>
    </row>
    <row r="910" spans="1:13">
      <c r="A910" t="s">
        <v>118</v>
      </c>
      <c r="B910" t="s">
        <v>11</v>
      </c>
      <c r="C910" s="51">
        <v>138543115054</v>
      </c>
      <c r="D910" s="1">
        <v>4676.6400000000003</v>
      </c>
      <c r="E910" s="1">
        <v>17074634.920000002</v>
      </c>
      <c r="F910" t="s">
        <v>1280</v>
      </c>
      <c r="I910" s="16"/>
      <c r="J910" s="68"/>
      <c r="K910" s="68"/>
      <c r="L910" s="68"/>
      <c r="M910" s="74">
        <f t="shared" si="17"/>
        <v>4676.6400000000003</v>
      </c>
    </row>
    <row r="911" spans="1:13">
      <c r="A911" t="s">
        <v>118</v>
      </c>
      <c r="B911" t="s">
        <v>11</v>
      </c>
      <c r="C911" s="51">
        <v>138543218206</v>
      </c>
      <c r="D911" s="1">
        <v>14614.5</v>
      </c>
      <c r="E911" s="1">
        <v>17089249.420000002</v>
      </c>
      <c r="F911" t="s">
        <v>1280</v>
      </c>
      <c r="I911" s="16"/>
      <c r="J911" s="68"/>
      <c r="K911" s="68"/>
      <c r="L911" s="68"/>
      <c r="M911" s="74">
        <f t="shared" si="17"/>
        <v>14614.5</v>
      </c>
    </row>
    <row r="912" spans="1:13">
      <c r="A912" t="s">
        <v>118</v>
      </c>
      <c r="B912" t="s">
        <v>11</v>
      </c>
      <c r="C912" s="51">
        <v>138543129840</v>
      </c>
      <c r="D912" s="1">
        <v>10717.3</v>
      </c>
      <c r="E912" s="1">
        <v>17099966.719999999</v>
      </c>
      <c r="F912" t="s">
        <v>1280</v>
      </c>
      <c r="I912" s="16"/>
      <c r="J912" s="68"/>
      <c r="K912" s="68"/>
      <c r="L912" s="68"/>
      <c r="M912" s="74">
        <f t="shared" si="17"/>
        <v>10717.3</v>
      </c>
    </row>
    <row r="913" spans="1:13">
      <c r="A913" t="s">
        <v>118</v>
      </c>
      <c r="B913" t="s">
        <v>121</v>
      </c>
      <c r="C913" s="51">
        <v>138540813558</v>
      </c>
      <c r="D913">
        <v>244.75</v>
      </c>
      <c r="E913" s="1">
        <v>16820287.710000001</v>
      </c>
      <c r="F913" t="s">
        <v>1280</v>
      </c>
      <c r="I913" s="16"/>
      <c r="J913" s="68"/>
      <c r="K913" s="68"/>
      <c r="L913" s="68"/>
      <c r="M913" s="74">
        <f t="shared" si="17"/>
        <v>244.75</v>
      </c>
    </row>
    <row r="914" spans="1:13">
      <c r="A914" t="s">
        <v>118</v>
      </c>
      <c r="B914" t="s">
        <v>11</v>
      </c>
      <c r="C914" s="51">
        <v>137904241645</v>
      </c>
      <c r="D914" s="1">
        <v>4871.5</v>
      </c>
      <c r="E914" s="1">
        <v>17104838.219999999</v>
      </c>
      <c r="F914" t="s">
        <v>1280</v>
      </c>
      <c r="I914" s="16"/>
      <c r="J914" s="68"/>
      <c r="K914" s="68"/>
      <c r="L914" s="68"/>
      <c r="M914" s="74">
        <f t="shared" si="17"/>
        <v>4871.5</v>
      </c>
    </row>
    <row r="915" spans="1:13">
      <c r="A915" t="s">
        <v>118</v>
      </c>
      <c r="B915" t="s">
        <v>11</v>
      </c>
      <c r="C915" s="51">
        <v>138543548466</v>
      </c>
      <c r="D915" s="1">
        <v>2338.3200000000002</v>
      </c>
      <c r="E915" s="1">
        <v>17107176.539999999</v>
      </c>
      <c r="F915" t="s">
        <v>1280</v>
      </c>
      <c r="I915" s="16"/>
      <c r="J915" s="68"/>
      <c r="K915" s="68"/>
      <c r="L915" s="68"/>
      <c r="M915" s="74">
        <f t="shared" si="17"/>
        <v>2338.3200000000002</v>
      </c>
    </row>
    <row r="916" spans="1:13">
      <c r="A916" t="s">
        <v>118</v>
      </c>
      <c r="B916" t="s">
        <v>11</v>
      </c>
      <c r="C916" s="51">
        <v>138543772980</v>
      </c>
      <c r="D916" s="1">
        <v>4871.5</v>
      </c>
      <c r="E916" s="1">
        <v>17112048.039999999</v>
      </c>
      <c r="F916" t="s">
        <v>1280</v>
      </c>
      <c r="I916" s="16"/>
      <c r="J916" s="68"/>
      <c r="K916" s="68"/>
      <c r="L916" s="68"/>
      <c r="M916" s="74">
        <f t="shared" si="17"/>
        <v>4871.5</v>
      </c>
    </row>
    <row r="917" spans="1:13">
      <c r="A917" t="s">
        <v>118</v>
      </c>
      <c r="B917" t="s">
        <v>11</v>
      </c>
      <c r="C917" s="51">
        <v>137904711931</v>
      </c>
      <c r="D917" s="1">
        <v>4871.5</v>
      </c>
      <c r="E917" s="1">
        <v>17116919.539999999</v>
      </c>
      <c r="F917" t="s">
        <v>1280</v>
      </c>
      <c r="I917" s="16"/>
      <c r="J917" s="68"/>
      <c r="K917" s="68"/>
      <c r="L917" s="68"/>
      <c r="M917" s="74">
        <f t="shared" si="17"/>
        <v>4871.5</v>
      </c>
    </row>
    <row r="918" spans="1:13">
      <c r="A918" t="s">
        <v>118</v>
      </c>
      <c r="B918" t="s">
        <v>11</v>
      </c>
      <c r="C918" s="51">
        <v>137904878419</v>
      </c>
      <c r="D918" s="1">
        <v>4871.5</v>
      </c>
      <c r="E918" s="1">
        <v>17121791.039999999</v>
      </c>
      <c r="F918" t="s">
        <v>1280</v>
      </c>
      <c r="I918" s="16"/>
      <c r="J918" s="68"/>
      <c r="K918" s="68"/>
      <c r="L918" s="68"/>
      <c r="M918" s="74">
        <f t="shared" si="17"/>
        <v>4871.5</v>
      </c>
    </row>
    <row r="919" spans="1:13">
      <c r="A919" t="s">
        <v>118</v>
      </c>
      <c r="B919" t="s">
        <v>11</v>
      </c>
      <c r="C919" s="51">
        <v>137904833777</v>
      </c>
      <c r="D919" s="1">
        <v>9743</v>
      </c>
      <c r="E919" s="1">
        <v>17131534.039999999</v>
      </c>
      <c r="F919" t="s">
        <v>1280</v>
      </c>
      <c r="I919" s="16"/>
      <c r="J919" s="68"/>
      <c r="K919" s="68"/>
      <c r="L919" s="68"/>
      <c r="M919" s="74">
        <f t="shared" si="17"/>
        <v>9743</v>
      </c>
    </row>
    <row r="920" spans="1:13">
      <c r="A920" t="s">
        <v>118</v>
      </c>
      <c r="B920" t="s">
        <v>11</v>
      </c>
      <c r="C920" s="51">
        <v>138544060956</v>
      </c>
      <c r="D920" s="1">
        <v>4871.5</v>
      </c>
      <c r="E920" s="1">
        <v>17136405.539999999</v>
      </c>
      <c r="F920" t="s">
        <v>1280</v>
      </c>
      <c r="I920" s="16"/>
      <c r="J920" s="68"/>
      <c r="K920" s="68"/>
      <c r="L920" s="68"/>
      <c r="M920" s="74">
        <f t="shared" si="17"/>
        <v>4871.5</v>
      </c>
    </row>
    <row r="921" spans="1:13">
      <c r="A921" t="s">
        <v>118</v>
      </c>
      <c r="B921" t="s">
        <v>11</v>
      </c>
      <c r="C921" s="51">
        <v>138544134616</v>
      </c>
      <c r="D921" s="1">
        <v>75764.94</v>
      </c>
      <c r="E921" s="1">
        <v>17212415.23</v>
      </c>
      <c r="F921" t="s">
        <v>1280</v>
      </c>
      <c r="I921" s="16"/>
      <c r="J921" s="68"/>
      <c r="K921" s="68"/>
      <c r="L921" s="68"/>
      <c r="M921" s="74">
        <f t="shared" si="17"/>
        <v>75764.94</v>
      </c>
    </row>
    <row r="922" spans="1:13">
      <c r="A922" t="s">
        <v>118</v>
      </c>
      <c r="B922" t="s">
        <v>11</v>
      </c>
      <c r="C922" s="51">
        <v>138544075084</v>
      </c>
      <c r="D922" s="1">
        <v>4871.5</v>
      </c>
      <c r="E922" s="1">
        <v>17217286.73</v>
      </c>
      <c r="F922" t="s">
        <v>1280</v>
      </c>
      <c r="I922" s="16"/>
      <c r="J922" s="68"/>
      <c r="K922" s="68"/>
      <c r="L922" s="68"/>
      <c r="M922" s="74">
        <f t="shared" si="17"/>
        <v>4871.5</v>
      </c>
    </row>
    <row r="923" spans="1:13">
      <c r="A923" t="s">
        <v>118</v>
      </c>
      <c r="B923" t="s">
        <v>11</v>
      </c>
      <c r="C923" s="51">
        <v>137905264613</v>
      </c>
      <c r="D923" s="1">
        <v>41094.449999999997</v>
      </c>
      <c r="E923" s="1">
        <v>17258381.18</v>
      </c>
      <c r="F923" t="s">
        <v>1280</v>
      </c>
      <c r="I923" s="16"/>
      <c r="J923" s="68"/>
      <c r="K923" s="68"/>
      <c r="L923" s="68"/>
      <c r="M923" s="74">
        <f t="shared" si="17"/>
        <v>41094.449999999997</v>
      </c>
    </row>
    <row r="924" spans="1:13">
      <c r="A924" t="s">
        <v>118</v>
      </c>
      <c r="B924" t="s">
        <v>11</v>
      </c>
      <c r="C924" s="51">
        <v>138544276084</v>
      </c>
      <c r="D924" s="1">
        <v>4871.5</v>
      </c>
      <c r="E924" s="1">
        <v>17263252.68</v>
      </c>
      <c r="F924" t="s">
        <v>1280</v>
      </c>
      <c r="I924" s="16"/>
      <c r="J924" s="68"/>
      <c r="K924" s="68"/>
      <c r="L924" s="68"/>
      <c r="M924" s="74">
        <f t="shared" si="17"/>
        <v>4871.5</v>
      </c>
    </row>
    <row r="925" spans="1:13">
      <c r="A925" t="s">
        <v>118</v>
      </c>
      <c r="B925" t="s">
        <v>11</v>
      </c>
      <c r="C925" s="51">
        <v>138544457004</v>
      </c>
      <c r="D925" s="1">
        <v>5358.65</v>
      </c>
      <c r="E925" s="1">
        <v>17268611.329999998</v>
      </c>
      <c r="F925" t="s">
        <v>1280</v>
      </c>
      <c r="I925" s="16"/>
      <c r="J925" s="68"/>
      <c r="K925" s="68"/>
      <c r="L925" s="68"/>
      <c r="M925" s="74">
        <f t="shared" si="17"/>
        <v>5358.65</v>
      </c>
    </row>
    <row r="926" spans="1:13">
      <c r="A926" t="s">
        <v>118</v>
      </c>
      <c r="B926" t="s">
        <v>122</v>
      </c>
      <c r="C926" s="51">
        <v>137903470371</v>
      </c>
      <c r="D926" s="1">
        <v>2535.61</v>
      </c>
      <c r="E926" s="1">
        <v>16985399.920000002</v>
      </c>
      <c r="F926" t="s">
        <v>1280</v>
      </c>
      <c r="I926" s="16"/>
      <c r="J926" s="68"/>
      <c r="K926" s="68"/>
      <c r="L926" s="68"/>
      <c r="M926" s="74">
        <f t="shared" si="17"/>
        <v>2535.61</v>
      </c>
    </row>
    <row r="927" spans="1:13">
      <c r="A927" t="s">
        <v>118</v>
      </c>
      <c r="B927" t="s">
        <v>11</v>
      </c>
      <c r="C927" s="51">
        <v>137905494935</v>
      </c>
      <c r="D927" s="1">
        <v>10717.3</v>
      </c>
      <c r="E927" s="1">
        <v>17279328.629999999</v>
      </c>
      <c r="F927" t="s">
        <v>1280</v>
      </c>
      <c r="I927" s="16"/>
      <c r="J927" s="68"/>
      <c r="K927" s="68"/>
      <c r="L927" s="68"/>
      <c r="M927" s="74">
        <f t="shared" si="17"/>
        <v>10717.3</v>
      </c>
    </row>
    <row r="928" spans="1:13">
      <c r="A928" t="s">
        <v>118</v>
      </c>
      <c r="B928" t="s">
        <v>11</v>
      </c>
      <c r="C928" s="51">
        <v>138544549666</v>
      </c>
      <c r="D928" s="1">
        <v>4871.5</v>
      </c>
      <c r="E928" s="1">
        <v>17284200.129999999</v>
      </c>
      <c r="F928" t="s">
        <v>1280</v>
      </c>
      <c r="I928" s="16"/>
      <c r="J928" s="68"/>
      <c r="K928" s="68"/>
      <c r="L928" s="68"/>
      <c r="M928" s="74">
        <f t="shared" si="17"/>
        <v>4871.5</v>
      </c>
    </row>
    <row r="929" spans="1:13">
      <c r="A929" t="s">
        <v>118</v>
      </c>
      <c r="B929" t="s">
        <v>11</v>
      </c>
      <c r="C929" s="51">
        <v>138544583838</v>
      </c>
      <c r="D929" s="1">
        <v>4286.92</v>
      </c>
      <c r="E929" s="1">
        <v>17288487.050000001</v>
      </c>
      <c r="F929" t="s">
        <v>1280</v>
      </c>
      <c r="I929" s="16"/>
      <c r="J929" s="68"/>
      <c r="K929" s="68"/>
      <c r="L929" s="68"/>
      <c r="M929" s="74">
        <f t="shared" si="17"/>
        <v>4286.92</v>
      </c>
    </row>
    <row r="930" spans="1:13">
      <c r="A930" t="s">
        <v>118</v>
      </c>
      <c r="B930" t="s">
        <v>11</v>
      </c>
      <c r="C930" s="51">
        <v>138544846336</v>
      </c>
      <c r="D930" s="1">
        <v>4774.07</v>
      </c>
      <c r="E930" s="1">
        <v>17293261.120000001</v>
      </c>
      <c r="F930" t="s">
        <v>1280</v>
      </c>
      <c r="I930" s="16"/>
      <c r="J930" s="68"/>
      <c r="K930" s="68"/>
      <c r="L930" s="68"/>
      <c r="M930" s="74">
        <f t="shared" si="17"/>
        <v>4774.07</v>
      </c>
    </row>
    <row r="931" spans="1:13">
      <c r="A931" t="s">
        <v>118</v>
      </c>
      <c r="B931" t="s">
        <v>11</v>
      </c>
      <c r="C931" s="51">
        <v>137905815953</v>
      </c>
      <c r="D931" s="1">
        <v>7794.4</v>
      </c>
      <c r="E931" s="1">
        <v>17301055.52</v>
      </c>
      <c r="F931" t="s">
        <v>1280</v>
      </c>
      <c r="I931" s="16"/>
      <c r="J931" s="68"/>
      <c r="K931" s="68"/>
      <c r="L931" s="68"/>
      <c r="M931" s="74">
        <f t="shared" si="17"/>
        <v>7794.4</v>
      </c>
    </row>
    <row r="932" spans="1:13">
      <c r="A932" t="s">
        <v>118</v>
      </c>
      <c r="B932" t="s">
        <v>11</v>
      </c>
      <c r="C932" s="51">
        <v>138545094492</v>
      </c>
      <c r="D932" s="1">
        <v>4871.5</v>
      </c>
      <c r="E932" s="1">
        <v>17305927.02</v>
      </c>
      <c r="F932" t="s">
        <v>1280</v>
      </c>
      <c r="I932" s="16"/>
      <c r="J932" s="68"/>
      <c r="K932" s="68"/>
      <c r="L932" s="68"/>
      <c r="M932" s="74">
        <f t="shared" si="17"/>
        <v>4871.5</v>
      </c>
    </row>
    <row r="933" spans="1:13">
      <c r="A933" t="s">
        <v>118</v>
      </c>
      <c r="B933" t="s">
        <v>11</v>
      </c>
      <c r="C933" s="51">
        <v>137906026971</v>
      </c>
      <c r="D933" s="1">
        <v>12471.04</v>
      </c>
      <c r="E933" s="1">
        <v>17318398.059999999</v>
      </c>
      <c r="F933" t="s">
        <v>1280</v>
      </c>
      <c r="I933" s="16"/>
      <c r="J933" s="68"/>
      <c r="K933" s="68"/>
      <c r="L933" s="68"/>
      <c r="M933" s="74">
        <f t="shared" si="17"/>
        <v>12471.04</v>
      </c>
    </row>
    <row r="934" spans="1:13">
      <c r="A934" t="s">
        <v>118</v>
      </c>
      <c r="B934" t="s">
        <v>11</v>
      </c>
      <c r="C934" s="51">
        <v>138545509656</v>
      </c>
      <c r="D934" s="1">
        <v>17050.25</v>
      </c>
      <c r="E934" s="1">
        <v>17335448.309999999</v>
      </c>
      <c r="F934" t="s">
        <v>1280</v>
      </c>
      <c r="I934" s="16"/>
      <c r="J934" s="68"/>
      <c r="K934" s="68"/>
      <c r="L934" s="68"/>
      <c r="M934" s="74">
        <f t="shared" si="17"/>
        <v>17050.25</v>
      </c>
    </row>
    <row r="935" spans="1:13">
      <c r="A935" t="s">
        <v>118</v>
      </c>
      <c r="B935" t="s">
        <v>11</v>
      </c>
      <c r="C935" s="51">
        <v>138545532014</v>
      </c>
      <c r="D935" s="1">
        <v>13153.05</v>
      </c>
      <c r="E935" s="1">
        <v>17348601.359999999</v>
      </c>
      <c r="F935" t="s">
        <v>1280</v>
      </c>
      <c r="I935" s="16"/>
      <c r="J935" s="68"/>
      <c r="K935" s="68"/>
      <c r="L935" s="68"/>
      <c r="M935" s="74">
        <f t="shared" si="17"/>
        <v>13153.05</v>
      </c>
    </row>
    <row r="936" spans="1:13">
      <c r="A936" t="s">
        <v>118</v>
      </c>
      <c r="B936" t="s">
        <v>11</v>
      </c>
      <c r="C936" s="51">
        <v>137906505763</v>
      </c>
      <c r="D936" s="1">
        <v>9548.14</v>
      </c>
      <c r="E936" s="1">
        <v>17358810.32</v>
      </c>
      <c r="F936" t="s">
        <v>1280</v>
      </c>
      <c r="I936" s="16"/>
      <c r="J936" s="68"/>
      <c r="K936" s="68"/>
      <c r="L936" s="68"/>
      <c r="M936" s="74">
        <f t="shared" ref="M936:M999" si="18">+D936-I936-J936-K936-L936</f>
        <v>9548.14</v>
      </c>
    </row>
    <row r="937" spans="1:13">
      <c r="A937" t="s">
        <v>118</v>
      </c>
      <c r="B937" t="s">
        <v>11</v>
      </c>
      <c r="C937" s="51">
        <v>137906502057</v>
      </c>
      <c r="D937" s="1">
        <v>10230.15</v>
      </c>
      <c r="E937" s="1">
        <v>17369040.469999999</v>
      </c>
      <c r="F937" t="s">
        <v>1280</v>
      </c>
      <c r="I937" s="16"/>
      <c r="J937" s="68"/>
      <c r="K937" s="68"/>
      <c r="L937" s="68"/>
      <c r="M937" s="74">
        <f t="shared" si="18"/>
        <v>10230.15</v>
      </c>
    </row>
    <row r="938" spans="1:13">
      <c r="A938" t="s">
        <v>118</v>
      </c>
      <c r="B938" t="s">
        <v>11</v>
      </c>
      <c r="C938" s="51">
        <v>138034620679</v>
      </c>
      <c r="D938" s="1">
        <v>18138.240000000002</v>
      </c>
      <c r="E938" s="1">
        <v>10467624.539999999</v>
      </c>
      <c r="F938" t="s">
        <v>1280</v>
      </c>
      <c r="I938" s="16"/>
      <c r="J938" s="68"/>
      <c r="K938" s="68"/>
      <c r="L938" s="68"/>
      <c r="M938" s="74">
        <f t="shared" si="18"/>
        <v>18138.240000000002</v>
      </c>
    </row>
    <row r="939" spans="1:13">
      <c r="A939" t="s">
        <v>118</v>
      </c>
      <c r="B939" t="s">
        <v>11</v>
      </c>
      <c r="C939" s="51">
        <v>138674677786</v>
      </c>
      <c r="D939" s="1">
        <v>18138.240000000002</v>
      </c>
      <c r="E939" s="1">
        <v>10467624.539999999</v>
      </c>
      <c r="F939" t="s">
        <v>1280</v>
      </c>
      <c r="I939" s="16"/>
      <c r="J939" s="68"/>
      <c r="K939" s="68"/>
      <c r="L939" s="68"/>
      <c r="M939" s="74">
        <f t="shared" si="18"/>
        <v>18138.240000000002</v>
      </c>
    </row>
    <row r="940" spans="1:13">
      <c r="A940" t="s">
        <v>118</v>
      </c>
      <c r="B940" t="s">
        <v>11</v>
      </c>
      <c r="C940" s="51">
        <v>138034929089</v>
      </c>
      <c r="D940">
        <v>94.47</v>
      </c>
      <c r="E940" s="1">
        <v>10467719.01</v>
      </c>
      <c r="F940" t="s">
        <v>1280</v>
      </c>
      <c r="I940" s="16"/>
      <c r="J940" s="68"/>
      <c r="K940" s="68"/>
      <c r="L940" s="68"/>
      <c r="M940" s="74">
        <f t="shared" si="18"/>
        <v>94.47</v>
      </c>
    </row>
    <row r="941" spans="1:13">
      <c r="A941" t="s">
        <v>118</v>
      </c>
      <c r="B941" t="s">
        <v>11</v>
      </c>
      <c r="C941" s="51">
        <v>138039811091</v>
      </c>
      <c r="D941" s="1">
        <v>4534.5600000000004</v>
      </c>
      <c r="E941" s="1">
        <v>10472159.1</v>
      </c>
      <c r="F941" t="s">
        <v>1280</v>
      </c>
      <c r="I941" s="16"/>
      <c r="J941" s="68"/>
      <c r="K941" s="68"/>
      <c r="L941" s="68"/>
      <c r="M941" s="74">
        <f t="shared" si="18"/>
        <v>4534.5600000000004</v>
      </c>
    </row>
    <row r="942" spans="1:13">
      <c r="A942" t="s">
        <v>118</v>
      </c>
      <c r="B942" t="s">
        <v>11</v>
      </c>
      <c r="C942" s="51">
        <v>138041526863</v>
      </c>
      <c r="D942" s="1">
        <v>16160.59</v>
      </c>
      <c r="E942" s="1">
        <v>10488319.689999999</v>
      </c>
      <c r="F942" t="s">
        <v>1280</v>
      </c>
      <c r="I942" s="16"/>
      <c r="J942" s="68"/>
      <c r="K942" s="68"/>
      <c r="L942" s="68"/>
      <c r="M942" s="74">
        <f t="shared" si="18"/>
        <v>16160.59</v>
      </c>
    </row>
    <row r="943" spans="1:13">
      <c r="A943" t="s">
        <v>118</v>
      </c>
      <c r="B943" t="s">
        <v>121</v>
      </c>
      <c r="C943" s="51">
        <v>137904879445</v>
      </c>
      <c r="D943">
        <v>244.75</v>
      </c>
      <c r="E943" s="1">
        <v>17136650.289999999</v>
      </c>
      <c r="F943" t="s">
        <v>1280</v>
      </c>
      <c r="I943" s="16"/>
      <c r="J943" s="68"/>
      <c r="K943" s="68"/>
      <c r="L943" s="68"/>
      <c r="M943" s="74">
        <f t="shared" si="18"/>
        <v>244.75</v>
      </c>
    </row>
    <row r="944" spans="1:13">
      <c r="A944" t="s">
        <v>118</v>
      </c>
      <c r="B944" t="s">
        <v>11</v>
      </c>
      <c r="C944" s="51">
        <v>138043978781</v>
      </c>
      <c r="D944" s="1">
        <v>5358.65</v>
      </c>
      <c r="E944" s="1">
        <v>10493678.34</v>
      </c>
      <c r="F944" t="s">
        <v>1280</v>
      </c>
      <c r="I944" s="16"/>
      <c r="J944" s="68"/>
      <c r="K944" s="68"/>
      <c r="L944" s="68"/>
      <c r="M944" s="74">
        <f t="shared" si="18"/>
        <v>5358.65</v>
      </c>
    </row>
    <row r="945" spans="1:13">
      <c r="A945" t="s">
        <v>118</v>
      </c>
      <c r="B945" t="s">
        <v>11</v>
      </c>
      <c r="C945" s="51">
        <v>138685012854</v>
      </c>
      <c r="D945" s="1">
        <v>14614.5</v>
      </c>
      <c r="E945" s="1">
        <v>10508292.84</v>
      </c>
      <c r="F945" t="s">
        <v>1280</v>
      </c>
      <c r="I945" s="16"/>
      <c r="J945" s="68"/>
      <c r="K945" s="68"/>
      <c r="L945" s="68"/>
      <c r="M945" s="74">
        <f t="shared" si="18"/>
        <v>14614.5</v>
      </c>
    </row>
    <row r="946" spans="1:13">
      <c r="A946" t="s">
        <v>118</v>
      </c>
      <c r="B946" t="s">
        <v>11</v>
      </c>
      <c r="C946" s="51">
        <v>138685196796</v>
      </c>
      <c r="D946" s="1">
        <v>9079</v>
      </c>
      <c r="E946" s="1">
        <v>10517371.84</v>
      </c>
      <c r="F946" t="s">
        <v>1280</v>
      </c>
      <c r="I946" s="16"/>
      <c r="J946" s="68"/>
      <c r="K946" s="68"/>
      <c r="L946" s="68"/>
      <c r="M946" s="74">
        <f t="shared" si="18"/>
        <v>9079</v>
      </c>
    </row>
    <row r="947" spans="1:13">
      <c r="A947" t="s">
        <v>118</v>
      </c>
      <c r="B947" t="s">
        <v>11</v>
      </c>
      <c r="C947" s="51">
        <v>138045999405</v>
      </c>
      <c r="D947" s="1">
        <v>103152.14</v>
      </c>
      <c r="E947" s="1">
        <v>10620523.98</v>
      </c>
      <c r="F947" t="s">
        <v>1280</v>
      </c>
      <c r="I947" s="16"/>
      <c r="J947" s="68"/>
      <c r="K947" s="68"/>
      <c r="L947" s="68"/>
      <c r="M947" s="74">
        <f t="shared" si="18"/>
        <v>103152.14</v>
      </c>
    </row>
    <row r="948" spans="1:13">
      <c r="A948" t="s">
        <v>118</v>
      </c>
      <c r="B948" t="s">
        <v>11</v>
      </c>
      <c r="C948" s="51">
        <v>138687056118</v>
      </c>
      <c r="D948" s="1">
        <v>10717.3</v>
      </c>
      <c r="E948" s="1">
        <v>10631241.279999999</v>
      </c>
      <c r="F948" t="s">
        <v>1280</v>
      </c>
      <c r="I948" s="16"/>
      <c r="J948" s="68"/>
      <c r="K948" s="68"/>
      <c r="L948" s="68"/>
      <c r="M948" s="74">
        <f t="shared" si="18"/>
        <v>10717.3</v>
      </c>
    </row>
    <row r="949" spans="1:13">
      <c r="A949" t="s">
        <v>118</v>
      </c>
      <c r="B949" t="s">
        <v>11</v>
      </c>
      <c r="C949" s="51">
        <v>138047673181</v>
      </c>
      <c r="D949" s="1">
        <v>30230.400000000001</v>
      </c>
      <c r="E949" s="1">
        <v>10661471.68</v>
      </c>
      <c r="F949" t="s">
        <v>1280</v>
      </c>
      <c r="I949" s="16"/>
      <c r="J949" s="68"/>
      <c r="K949" s="68"/>
      <c r="L949" s="68"/>
      <c r="M949" s="74">
        <f t="shared" si="18"/>
        <v>30230.400000000001</v>
      </c>
    </row>
    <row r="950" spans="1:13">
      <c r="A950" t="s">
        <v>118</v>
      </c>
      <c r="B950" t="s">
        <v>11</v>
      </c>
      <c r="C950" s="51">
        <v>138049357257</v>
      </c>
      <c r="D950" s="1">
        <v>10230.15</v>
      </c>
      <c r="E950" s="1">
        <v>10671701.83</v>
      </c>
      <c r="F950" t="s">
        <v>1280</v>
      </c>
      <c r="I950" s="16"/>
      <c r="J950" s="68"/>
      <c r="K950" s="68"/>
      <c r="L950" s="68"/>
      <c r="M950" s="74">
        <f t="shared" si="18"/>
        <v>10230.15</v>
      </c>
    </row>
    <row r="951" spans="1:13">
      <c r="A951" t="s">
        <v>118</v>
      </c>
      <c r="B951" t="s">
        <v>11</v>
      </c>
      <c r="C951" s="51">
        <v>138691649412</v>
      </c>
      <c r="D951" s="1">
        <v>14614.5</v>
      </c>
      <c r="E951" s="1">
        <v>10686316.33</v>
      </c>
      <c r="F951" t="s">
        <v>1280</v>
      </c>
      <c r="I951" s="16"/>
      <c r="J951" s="68"/>
      <c r="K951" s="68"/>
      <c r="L951" s="68"/>
      <c r="M951" s="74">
        <f t="shared" si="18"/>
        <v>14614.5</v>
      </c>
    </row>
    <row r="952" spans="1:13">
      <c r="A952" t="s">
        <v>118</v>
      </c>
      <c r="B952" t="s">
        <v>11</v>
      </c>
      <c r="C952" s="51">
        <v>138052305423</v>
      </c>
      <c r="D952" s="1">
        <v>11808.75</v>
      </c>
      <c r="E952" s="1">
        <v>10698125.08</v>
      </c>
      <c r="F952" t="s">
        <v>1280</v>
      </c>
      <c r="I952" s="16"/>
      <c r="J952" s="68"/>
      <c r="K952" s="68"/>
      <c r="L952" s="68"/>
      <c r="M952" s="74">
        <f t="shared" si="18"/>
        <v>11808.75</v>
      </c>
    </row>
    <row r="953" spans="1:13">
      <c r="A953" t="s">
        <v>118</v>
      </c>
      <c r="B953" t="s">
        <v>11</v>
      </c>
      <c r="C953" s="51">
        <v>138052500883</v>
      </c>
      <c r="D953" s="1">
        <v>4693</v>
      </c>
      <c r="E953" s="1">
        <v>10702818.08</v>
      </c>
      <c r="F953" t="s">
        <v>1280</v>
      </c>
      <c r="I953" s="16"/>
      <c r="J953" s="68"/>
      <c r="K953" s="68"/>
      <c r="L953" s="68"/>
      <c r="M953" s="74">
        <f t="shared" si="18"/>
        <v>4693</v>
      </c>
    </row>
    <row r="954" spans="1:13">
      <c r="A954" t="s">
        <v>118</v>
      </c>
      <c r="B954" t="s">
        <v>11</v>
      </c>
      <c r="C954" s="51">
        <v>138692382652</v>
      </c>
      <c r="D954" s="1">
        <v>9532.9500000000007</v>
      </c>
      <c r="E954" s="1">
        <v>10712351.029999999</v>
      </c>
      <c r="F954" t="s">
        <v>1280</v>
      </c>
      <c r="I954" s="16"/>
      <c r="J954" s="68"/>
      <c r="K954" s="68"/>
      <c r="L954" s="68"/>
      <c r="M954" s="74">
        <f t="shared" si="18"/>
        <v>9532.9500000000007</v>
      </c>
    </row>
    <row r="955" spans="1:13">
      <c r="A955" t="s">
        <v>118</v>
      </c>
      <c r="B955" t="s">
        <v>11</v>
      </c>
      <c r="C955" s="51">
        <v>138053465951</v>
      </c>
      <c r="D955" s="1">
        <v>10230.15</v>
      </c>
      <c r="E955" s="1">
        <v>10722581.18</v>
      </c>
      <c r="F955" t="s">
        <v>1280</v>
      </c>
      <c r="I955" s="16"/>
      <c r="J955" s="68"/>
      <c r="K955" s="68"/>
      <c r="L955" s="68"/>
      <c r="M955" s="74">
        <f t="shared" si="18"/>
        <v>10230.15</v>
      </c>
    </row>
    <row r="956" spans="1:13">
      <c r="A956" t="s">
        <v>118</v>
      </c>
      <c r="B956" t="s">
        <v>11</v>
      </c>
      <c r="C956" s="51">
        <v>138053974887</v>
      </c>
      <c r="D956" s="1">
        <v>39556.58</v>
      </c>
      <c r="E956" s="1">
        <v>10762137.76</v>
      </c>
      <c r="F956" t="s">
        <v>1280</v>
      </c>
      <c r="I956" s="16"/>
      <c r="J956" s="68"/>
      <c r="K956" s="68"/>
      <c r="L956" s="68"/>
      <c r="M956" s="74">
        <f t="shared" si="18"/>
        <v>39556.58</v>
      </c>
    </row>
    <row r="957" spans="1:13">
      <c r="A957" t="s">
        <v>118</v>
      </c>
      <c r="B957" t="s">
        <v>11</v>
      </c>
      <c r="C957" s="51">
        <v>138055103481</v>
      </c>
      <c r="D957" s="1">
        <v>56493.06</v>
      </c>
      <c r="E957" s="1">
        <v>10822605.560000001</v>
      </c>
      <c r="F957" t="s">
        <v>1280</v>
      </c>
      <c r="I957" s="16"/>
      <c r="J957" s="68"/>
      <c r="K957" s="68"/>
      <c r="L957" s="68"/>
      <c r="M957" s="74">
        <f t="shared" si="18"/>
        <v>56493.06</v>
      </c>
    </row>
    <row r="958" spans="1:13">
      <c r="A958" t="s">
        <v>118</v>
      </c>
      <c r="B958" t="s">
        <v>123</v>
      </c>
      <c r="C958" s="51">
        <v>138545543956</v>
      </c>
      <c r="D958">
        <v>660.82</v>
      </c>
      <c r="E958" s="1">
        <v>17349262.18</v>
      </c>
      <c r="F958" t="s">
        <v>1280</v>
      </c>
      <c r="I958" s="16"/>
      <c r="J958" s="68"/>
      <c r="K958" s="68"/>
      <c r="L958" s="68"/>
      <c r="M958" s="74">
        <f t="shared" si="18"/>
        <v>660.82</v>
      </c>
    </row>
    <row r="959" spans="1:13">
      <c r="A959" t="s">
        <v>118</v>
      </c>
      <c r="B959" t="s">
        <v>11</v>
      </c>
      <c r="C959" s="51">
        <v>138055864673</v>
      </c>
      <c r="D959" s="1">
        <v>167211.9</v>
      </c>
      <c r="E959" s="1">
        <v>10989817.460000001</v>
      </c>
      <c r="F959" t="s">
        <v>1280</v>
      </c>
      <c r="I959" s="16"/>
      <c r="J959" s="68"/>
      <c r="K959" s="68"/>
      <c r="L959" s="68"/>
      <c r="M959" s="74">
        <f t="shared" si="18"/>
        <v>167211.9</v>
      </c>
    </row>
    <row r="960" spans="1:13">
      <c r="A960" t="s">
        <v>118</v>
      </c>
      <c r="B960" t="s">
        <v>11</v>
      </c>
      <c r="C960" s="51">
        <v>138695928646</v>
      </c>
      <c r="D960" s="1">
        <v>32025.33</v>
      </c>
      <c r="E960" s="1">
        <v>11021842.789999999</v>
      </c>
      <c r="F960" t="s">
        <v>1280</v>
      </c>
      <c r="I960" s="16"/>
      <c r="J960" s="68"/>
      <c r="K960" s="68"/>
      <c r="L960" s="68"/>
      <c r="M960" s="74">
        <f t="shared" si="18"/>
        <v>32025.33</v>
      </c>
    </row>
    <row r="961" spans="1:13">
      <c r="A961" t="s">
        <v>118</v>
      </c>
      <c r="B961" t="s">
        <v>11</v>
      </c>
      <c r="C961" s="51">
        <v>138696344716</v>
      </c>
      <c r="D961" s="1">
        <v>47846.33</v>
      </c>
      <c r="E961" s="1">
        <v>11069689.119999999</v>
      </c>
      <c r="F961" t="s">
        <v>1280</v>
      </c>
      <c r="I961" s="16"/>
      <c r="J961" s="68"/>
      <c r="K961" s="68"/>
      <c r="L961" s="68"/>
      <c r="M961" s="74">
        <f t="shared" si="18"/>
        <v>47846.33</v>
      </c>
    </row>
    <row r="962" spans="1:13">
      <c r="A962" t="s">
        <v>118</v>
      </c>
      <c r="B962" t="s">
        <v>11</v>
      </c>
      <c r="C962" s="51">
        <v>138056660625</v>
      </c>
      <c r="D962" s="1">
        <v>28813.35</v>
      </c>
      <c r="E962" s="1">
        <v>11098502.470000001</v>
      </c>
      <c r="F962" t="s">
        <v>1280</v>
      </c>
      <c r="I962" s="16"/>
      <c r="J962" s="68"/>
      <c r="K962" s="68"/>
      <c r="L962" s="68"/>
      <c r="M962" s="74">
        <f t="shared" si="18"/>
        <v>28813.35</v>
      </c>
    </row>
    <row r="963" spans="1:13">
      <c r="A963" t="s">
        <v>118</v>
      </c>
      <c r="B963" t="s">
        <v>11</v>
      </c>
      <c r="C963" s="51">
        <v>138697904534</v>
      </c>
      <c r="D963" s="1">
        <v>58165.71</v>
      </c>
      <c r="E963" s="1">
        <v>11156668.18</v>
      </c>
      <c r="F963" t="s">
        <v>1280</v>
      </c>
      <c r="I963" s="16"/>
      <c r="J963" s="68"/>
      <c r="K963" s="68"/>
      <c r="L963" s="68"/>
      <c r="M963" s="74">
        <f t="shared" si="18"/>
        <v>58165.71</v>
      </c>
    </row>
    <row r="964" spans="1:13">
      <c r="A964" t="s">
        <v>118</v>
      </c>
      <c r="B964" t="s">
        <v>11</v>
      </c>
      <c r="C964" s="51">
        <v>138058107457</v>
      </c>
      <c r="D964" s="1">
        <v>50273.88</v>
      </c>
      <c r="E964" s="1">
        <v>11209864.369999999</v>
      </c>
      <c r="F964" t="s">
        <v>1280</v>
      </c>
      <c r="I964" s="16"/>
      <c r="J964" s="68"/>
      <c r="K964" s="68"/>
      <c r="L964" s="68"/>
      <c r="M964" s="74">
        <f t="shared" si="18"/>
        <v>50273.88</v>
      </c>
    </row>
    <row r="965" spans="1:13">
      <c r="A965" t="s">
        <v>118</v>
      </c>
      <c r="B965" t="s">
        <v>11</v>
      </c>
      <c r="C965" s="51">
        <v>138699426344</v>
      </c>
      <c r="D965" s="1">
        <v>30690.45</v>
      </c>
      <c r="E965" s="1">
        <v>11240554.82</v>
      </c>
      <c r="F965" t="s">
        <v>1280</v>
      </c>
      <c r="I965" s="16"/>
      <c r="J965" s="68"/>
      <c r="K965" s="68"/>
      <c r="L965" s="68"/>
      <c r="M965" s="74">
        <f t="shared" si="18"/>
        <v>30690.45</v>
      </c>
    </row>
    <row r="966" spans="1:13">
      <c r="A966" t="s">
        <v>118</v>
      </c>
      <c r="B966" t="s">
        <v>11</v>
      </c>
      <c r="C966" s="51">
        <v>138060170477</v>
      </c>
      <c r="D966" s="1">
        <v>28546.99</v>
      </c>
      <c r="E966" s="1">
        <v>11269101.810000001</v>
      </c>
      <c r="F966" t="s">
        <v>1280</v>
      </c>
      <c r="I966" s="16"/>
      <c r="J966" s="68"/>
      <c r="K966" s="68"/>
      <c r="L966" s="68"/>
      <c r="M966" s="74">
        <f t="shared" si="18"/>
        <v>28546.99</v>
      </c>
    </row>
    <row r="967" spans="1:13">
      <c r="A967" t="s">
        <v>118</v>
      </c>
      <c r="B967" t="s">
        <v>11</v>
      </c>
      <c r="C967" s="51">
        <v>138060572491</v>
      </c>
      <c r="D967" s="1">
        <v>15588.8</v>
      </c>
      <c r="E967" s="1">
        <v>11284690.609999999</v>
      </c>
      <c r="F967" t="s">
        <v>1280</v>
      </c>
      <c r="I967" s="16"/>
      <c r="J967" s="68"/>
      <c r="K967" s="68"/>
      <c r="L967" s="68"/>
      <c r="M967" s="74">
        <f t="shared" si="18"/>
        <v>15588.8</v>
      </c>
    </row>
    <row r="968" spans="1:13">
      <c r="A968" t="s">
        <v>118</v>
      </c>
      <c r="B968" t="s">
        <v>11</v>
      </c>
      <c r="C968" s="51">
        <v>138061721195</v>
      </c>
      <c r="D968" s="1">
        <v>72080.61</v>
      </c>
      <c r="E968" s="1">
        <v>11356771.220000001</v>
      </c>
      <c r="F968" t="s">
        <v>1280</v>
      </c>
      <c r="I968" s="16"/>
      <c r="J968" s="68"/>
      <c r="K968" s="68"/>
      <c r="L968" s="68"/>
      <c r="M968" s="74">
        <f t="shared" si="18"/>
        <v>72080.61</v>
      </c>
    </row>
    <row r="969" spans="1:13">
      <c r="A969" t="s">
        <v>118</v>
      </c>
      <c r="B969" t="s">
        <v>11</v>
      </c>
      <c r="C969" s="51">
        <v>138061896843</v>
      </c>
      <c r="D969" s="1">
        <v>34387.08</v>
      </c>
      <c r="E969" s="1">
        <v>11391158.300000001</v>
      </c>
      <c r="F969" t="s">
        <v>1280</v>
      </c>
      <c r="I969" s="16"/>
      <c r="J969" s="68"/>
      <c r="K969" s="68"/>
      <c r="L969" s="68"/>
      <c r="M969" s="74">
        <f t="shared" si="18"/>
        <v>34387.08</v>
      </c>
    </row>
    <row r="970" spans="1:13">
      <c r="A970" t="s">
        <v>118</v>
      </c>
      <c r="B970" t="s">
        <v>11</v>
      </c>
      <c r="C970" s="51">
        <v>138701890684</v>
      </c>
      <c r="D970" s="1">
        <v>107601.33</v>
      </c>
      <c r="E970" s="1">
        <v>11498759.630000001</v>
      </c>
      <c r="F970" t="s">
        <v>1280</v>
      </c>
      <c r="I970" s="16"/>
      <c r="J970" s="68"/>
      <c r="K970" s="68"/>
      <c r="L970" s="68"/>
      <c r="M970" s="74">
        <f t="shared" si="18"/>
        <v>107601.33</v>
      </c>
    </row>
    <row r="971" spans="1:13">
      <c r="A971" t="s">
        <v>118</v>
      </c>
      <c r="B971" t="s">
        <v>11</v>
      </c>
      <c r="C971" s="51">
        <v>138062703771</v>
      </c>
      <c r="D971" s="1">
        <v>56304.12</v>
      </c>
      <c r="E971" s="1">
        <v>11555063.75</v>
      </c>
      <c r="F971" t="s">
        <v>1280</v>
      </c>
      <c r="I971" s="16"/>
      <c r="J971" s="68"/>
      <c r="K971" s="68"/>
      <c r="L971" s="68"/>
      <c r="M971" s="74">
        <f t="shared" si="18"/>
        <v>56304.12</v>
      </c>
    </row>
    <row r="972" spans="1:13">
      <c r="A972" t="s">
        <v>118</v>
      </c>
      <c r="B972" t="s">
        <v>11</v>
      </c>
      <c r="C972" s="51">
        <v>138702659938</v>
      </c>
      <c r="D972" s="1">
        <v>101716.92</v>
      </c>
      <c r="E972" s="1">
        <v>11656780.67</v>
      </c>
      <c r="F972" t="s">
        <v>1280</v>
      </c>
      <c r="I972" s="16"/>
      <c r="J972" s="68"/>
      <c r="K972" s="68"/>
      <c r="L972" s="68"/>
      <c r="M972" s="74">
        <f t="shared" si="18"/>
        <v>101716.92</v>
      </c>
    </row>
    <row r="973" spans="1:13">
      <c r="A973" t="s">
        <v>118</v>
      </c>
      <c r="B973" t="s">
        <v>11</v>
      </c>
      <c r="C973" s="51">
        <v>138702853772</v>
      </c>
      <c r="D973" s="1">
        <v>4505.28</v>
      </c>
      <c r="E973" s="1">
        <v>11661285.949999999</v>
      </c>
      <c r="F973" t="s">
        <v>1280</v>
      </c>
      <c r="I973" s="16"/>
      <c r="J973" s="68"/>
      <c r="K973" s="68"/>
      <c r="L973" s="68"/>
      <c r="M973" s="74">
        <f t="shared" si="18"/>
        <v>4505.28</v>
      </c>
    </row>
    <row r="974" spans="1:13">
      <c r="A974" t="s">
        <v>118</v>
      </c>
      <c r="B974" t="s">
        <v>11</v>
      </c>
      <c r="C974" s="51">
        <v>138703142834</v>
      </c>
      <c r="D974" s="1">
        <v>4676.6400000000003</v>
      </c>
      <c r="E974" s="1">
        <v>11665962.59</v>
      </c>
      <c r="F974" t="s">
        <v>1280</v>
      </c>
      <c r="I974" s="16"/>
      <c r="J974" s="68"/>
      <c r="K974" s="68"/>
      <c r="L974" s="68"/>
      <c r="M974" s="74">
        <f t="shared" si="18"/>
        <v>4676.6400000000003</v>
      </c>
    </row>
    <row r="975" spans="1:13">
      <c r="A975" t="s">
        <v>127</v>
      </c>
      <c r="B975" t="s">
        <v>11</v>
      </c>
      <c r="C975" s="51">
        <v>138703994676</v>
      </c>
      <c r="D975" s="1">
        <v>49397.01</v>
      </c>
      <c r="E975" s="1">
        <v>11715359.6</v>
      </c>
      <c r="F975" t="s">
        <v>1280</v>
      </c>
      <c r="I975" s="16"/>
      <c r="J975" s="68"/>
      <c r="K975" s="68"/>
      <c r="L975" s="68"/>
      <c r="M975" s="74">
        <f t="shared" si="18"/>
        <v>49397.01</v>
      </c>
    </row>
    <row r="976" spans="1:13">
      <c r="A976" t="s">
        <v>127</v>
      </c>
      <c r="B976" t="s">
        <v>11</v>
      </c>
      <c r="C976" s="51">
        <v>138704550514</v>
      </c>
      <c r="D976" s="1">
        <v>64206.37</v>
      </c>
      <c r="E976" s="1">
        <v>11779565.970000001</v>
      </c>
      <c r="F976" t="s">
        <v>1280</v>
      </c>
      <c r="I976" s="16"/>
      <c r="J976" s="68"/>
      <c r="K976" s="68"/>
      <c r="L976" s="68"/>
      <c r="M976" s="74">
        <f t="shared" si="18"/>
        <v>64206.37</v>
      </c>
    </row>
    <row r="977" spans="1:13">
      <c r="A977" t="s">
        <v>127</v>
      </c>
      <c r="B977" t="s">
        <v>11</v>
      </c>
      <c r="C977" s="51">
        <v>138705039232</v>
      </c>
      <c r="D977" s="1">
        <v>4871.5</v>
      </c>
      <c r="E977" s="1">
        <v>11790889.08</v>
      </c>
      <c r="F977" t="s">
        <v>1280</v>
      </c>
      <c r="I977" s="16"/>
      <c r="J977" s="68"/>
      <c r="K977" s="68"/>
      <c r="L977" s="68"/>
      <c r="M977" s="74">
        <f t="shared" si="18"/>
        <v>4871.5</v>
      </c>
    </row>
    <row r="978" spans="1:13">
      <c r="A978" t="s">
        <v>127</v>
      </c>
      <c r="B978" t="s">
        <v>11</v>
      </c>
      <c r="C978" s="51">
        <v>138706049188</v>
      </c>
      <c r="D978" s="1">
        <v>42511.5</v>
      </c>
      <c r="E978" s="1">
        <v>11833400.58</v>
      </c>
      <c r="F978" t="s">
        <v>1280</v>
      </c>
      <c r="I978" s="16"/>
      <c r="J978" s="68"/>
      <c r="K978" s="68"/>
      <c r="L978" s="68"/>
      <c r="M978" s="74">
        <f t="shared" si="18"/>
        <v>42511.5</v>
      </c>
    </row>
    <row r="979" spans="1:13">
      <c r="A979" t="s">
        <v>127</v>
      </c>
      <c r="B979" t="s">
        <v>11</v>
      </c>
      <c r="C979" s="51">
        <v>138066372851</v>
      </c>
      <c r="D979" s="1">
        <v>4505.28</v>
      </c>
      <c r="E979" s="1">
        <v>11837905.859999999</v>
      </c>
      <c r="F979" t="s">
        <v>1280</v>
      </c>
      <c r="I979" s="16"/>
      <c r="J979" s="68"/>
      <c r="K979" s="68"/>
      <c r="L979" s="68"/>
      <c r="M979" s="74">
        <f t="shared" si="18"/>
        <v>4505.28</v>
      </c>
    </row>
    <row r="980" spans="1:13">
      <c r="A980" t="s">
        <v>127</v>
      </c>
      <c r="B980" t="s">
        <v>11</v>
      </c>
      <c r="C980" s="51">
        <v>138706937248</v>
      </c>
      <c r="D980" s="1">
        <v>52619.79</v>
      </c>
      <c r="E980" s="1">
        <v>11890525.65</v>
      </c>
      <c r="F980" t="s">
        <v>1280</v>
      </c>
      <c r="I980" s="16"/>
      <c r="J980" s="68"/>
      <c r="K980" s="68"/>
      <c r="L980" s="68"/>
      <c r="M980" s="74">
        <f t="shared" si="18"/>
        <v>52619.79</v>
      </c>
    </row>
    <row r="981" spans="1:13">
      <c r="A981" t="s">
        <v>127</v>
      </c>
      <c r="B981" t="s">
        <v>11</v>
      </c>
      <c r="C981" s="51">
        <v>138707444206</v>
      </c>
      <c r="D981" s="1">
        <v>86156.64</v>
      </c>
      <c r="E981" s="1">
        <v>11976682.289999999</v>
      </c>
      <c r="F981" t="s">
        <v>1280</v>
      </c>
      <c r="I981" s="16"/>
      <c r="J981" s="68"/>
      <c r="K981" s="68"/>
      <c r="L981" s="68"/>
      <c r="M981" s="74">
        <f t="shared" si="18"/>
        <v>86156.64</v>
      </c>
    </row>
    <row r="982" spans="1:13">
      <c r="A982" t="s">
        <v>127</v>
      </c>
      <c r="B982" t="s">
        <v>11</v>
      </c>
      <c r="C982" s="51">
        <v>138067716027</v>
      </c>
      <c r="D982" s="1">
        <v>42869.11</v>
      </c>
      <c r="E982" s="1">
        <v>12019551.4</v>
      </c>
      <c r="F982" t="s">
        <v>1280</v>
      </c>
      <c r="I982" s="16"/>
      <c r="J982" s="68"/>
      <c r="K982" s="68"/>
      <c r="L982" s="68"/>
      <c r="M982" s="74">
        <f t="shared" si="18"/>
        <v>42869.11</v>
      </c>
    </row>
    <row r="983" spans="1:13">
      <c r="A983" t="s">
        <v>127</v>
      </c>
      <c r="B983" t="s">
        <v>11</v>
      </c>
      <c r="C983" s="51">
        <v>138708147740</v>
      </c>
      <c r="D983" s="1">
        <v>41700.04</v>
      </c>
      <c r="E983" s="1">
        <v>12061251.439999999</v>
      </c>
      <c r="F983" t="s">
        <v>1280</v>
      </c>
      <c r="I983" s="16"/>
      <c r="J983" s="68"/>
      <c r="K983" s="68"/>
      <c r="L983" s="68"/>
      <c r="M983" s="74">
        <f t="shared" si="18"/>
        <v>41700.04</v>
      </c>
    </row>
    <row r="984" spans="1:13">
      <c r="A984" t="s">
        <v>127</v>
      </c>
      <c r="B984" t="s">
        <v>11</v>
      </c>
      <c r="C984" s="51">
        <v>138068490929</v>
      </c>
      <c r="D984" s="1">
        <v>33613.35</v>
      </c>
      <c r="E984" s="1">
        <v>12094864.789999999</v>
      </c>
      <c r="F984" t="s">
        <v>1280</v>
      </c>
      <c r="I984" s="16"/>
      <c r="J984" s="68"/>
      <c r="K984" s="68"/>
      <c r="L984" s="68"/>
      <c r="M984" s="74">
        <f t="shared" si="18"/>
        <v>33613.35</v>
      </c>
    </row>
    <row r="985" spans="1:13">
      <c r="A985" t="s">
        <v>127</v>
      </c>
      <c r="B985" t="s">
        <v>11</v>
      </c>
      <c r="C985" s="51">
        <v>138068724249</v>
      </c>
      <c r="D985" s="1">
        <v>46279.25</v>
      </c>
      <c r="E985" s="1">
        <v>12141144.039999999</v>
      </c>
      <c r="F985" t="s">
        <v>1280</v>
      </c>
      <c r="I985" s="16"/>
      <c r="J985" s="68"/>
      <c r="K985" s="68"/>
      <c r="L985" s="68"/>
      <c r="M985" s="74">
        <f t="shared" si="18"/>
        <v>46279.25</v>
      </c>
    </row>
    <row r="986" spans="1:13">
      <c r="A986" t="s">
        <v>127</v>
      </c>
      <c r="B986" t="s">
        <v>11</v>
      </c>
      <c r="C986" s="51">
        <v>138709041032</v>
      </c>
      <c r="D986" s="1">
        <v>65765.25</v>
      </c>
      <c r="E986" s="1">
        <v>12206909.289999999</v>
      </c>
      <c r="F986" t="s">
        <v>1280</v>
      </c>
      <c r="I986" s="16"/>
      <c r="J986" s="68"/>
      <c r="K986" s="68"/>
      <c r="L986" s="68"/>
      <c r="M986" s="74">
        <f t="shared" si="18"/>
        <v>65765.25</v>
      </c>
    </row>
    <row r="987" spans="1:13">
      <c r="A987" t="s">
        <v>127</v>
      </c>
      <c r="B987" t="s">
        <v>11</v>
      </c>
      <c r="C987" s="51">
        <v>138709043828</v>
      </c>
      <c r="D987" s="1">
        <v>45986.96</v>
      </c>
      <c r="E987" s="1">
        <v>12252896.25</v>
      </c>
      <c r="F987" t="s">
        <v>1280</v>
      </c>
      <c r="I987" s="16"/>
      <c r="J987" s="68"/>
      <c r="K987" s="68"/>
      <c r="L987" s="68"/>
      <c r="M987" s="74">
        <f t="shared" si="18"/>
        <v>45986.96</v>
      </c>
    </row>
    <row r="988" spans="1:13">
      <c r="A988" t="s">
        <v>118</v>
      </c>
      <c r="B988" t="s">
        <v>125</v>
      </c>
      <c r="C988" s="51">
        <v>138053901839</v>
      </c>
      <c r="D988" s="1">
        <v>3974.74</v>
      </c>
      <c r="E988" s="1">
        <v>10766112.5</v>
      </c>
      <c r="F988" t="s">
        <v>1280</v>
      </c>
      <c r="I988" s="16"/>
      <c r="J988" s="68"/>
      <c r="K988" s="68"/>
      <c r="L988" s="68"/>
      <c r="M988" s="74">
        <f t="shared" si="18"/>
        <v>3974.74</v>
      </c>
    </row>
    <row r="989" spans="1:13">
      <c r="A989" t="s">
        <v>127</v>
      </c>
      <c r="B989" t="s">
        <v>11</v>
      </c>
      <c r="C989" s="51">
        <v>138709514288</v>
      </c>
      <c r="D989" s="1">
        <v>20168.009999999998</v>
      </c>
      <c r="E989" s="1">
        <v>12277685.140000001</v>
      </c>
      <c r="F989" t="s">
        <v>1280</v>
      </c>
      <c r="I989" s="16"/>
      <c r="J989" s="68"/>
      <c r="K989" s="68"/>
      <c r="L989" s="68"/>
      <c r="M989" s="74">
        <f t="shared" si="18"/>
        <v>20168.009999999998</v>
      </c>
    </row>
    <row r="990" spans="1:13">
      <c r="A990" t="s">
        <v>127</v>
      </c>
      <c r="B990" t="s">
        <v>11</v>
      </c>
      <c r="C990" s="51">
        <v>138710020218</v>
      </c>
      <c r="D990" s="1">
        <v>36633.68</v>
      </c>
      <c r="E990" s="1">
        <v>12314318.82</v>
      </c>
      <c r="F990" t="s">
        <v>1280</v>
      </c>
      <c r="I990" s="16"/>
      <c r="J990" s="68"/>
      <c r="K990" s="68"/>
      <c r="L990" s="68"/>
      <c r="M990" s="74">
        <f t="shared" si="18"/>
        <v>36633.68</v>
      </c>
    </row>
    <row r="991" spans="1:13">
      <c r="A991" t="s">
        <v>127</v>
      </c>
      <c r="B991" t="s">
        <v>11</v>
      </c>
      <c r="C991" s="51">
        <v>138710023050</v>
      </c>
      <c r="D991" s="1">
        <v>4723.5</v>
      </c>
      <c r="E991" s="1">
        <v>12319042.32</v>
      </c>
      <c r="F991" t="s">
        <v>1280</v>
      </c>
      <c r="I991" s="16"/>
      <c r="J991" s="68"/>
      <c r="K991" s="68"/>
      <c r="L991" s="68"/>
      <c r="M991" s="74">
        <f t="shared" si="18"/>
        <v>4723.5</v>
      </c>
    </row>
    <row r="992" spans="1:13">
      <c r="A992" t="s">
        <v>127</v>
      </c>
      <c r="B992" t="s">
        <v>11</v>
      </c>
      <c r="C992" s="51">
        <v>138069999425</v>
      </c>
      <c r="D992" s="1">
        <v>4534.5600000000004</v>
      </c>
      <c r="E992" s="1">
        <v>12323576.880000001</v>
      </c>
      <c r="F992" t="s">
        <v>1280</v>
      </c>
      <c r="I992" s="16"/>
      <c r="J992" s="68"/>
      <c r="K992" s="68"/>
      <c r="L992" s="68"/>
      <c r="M992" s="74">
        <f t="shared" si="18"/>
        <v>4534.5600000000004</v>
      </c>
    </row>
    <row r="993" spans="1:13">
      <c r="A993" t="s">
        <v>127</v>
      </c>
      <c r="B993" t="s">
        <v>11</v>
      </c>
      <c r="C993" s="51">
        <v>138070771505</v>
      </c>
      <c r="D993" s="1">
        <v>5358.65</v>
      </c>
      <c r="E993" s="1">
        <v>12328935.529999999</v>
      </c>
      <c r="F993" t="s">
        <v>1280</v>
      </c>
      <c r="I993" s="16"/>
      <c r="J993" s="68"/>
      <c r="K993" s="68"/>
      <c r="L993" s="68"/>
      <c r="M993" s="74">
        <f t="shared" si="18"/>
        <v>5358.65</v>
      </c>
    </row>
    <row r="994" spans="1:13">
      <c r="A994" t="s">
        <v>127</v>
      </c>
      <c r="B994" t="s">
        <v>11</v>
      </c>
      <c r="C994" s="51">
        <v>138710725930</v>
      </c>
      <c r="D994" s="1">
        <v>5358.65</v>
      </c>
      <c r="E994" s="1">
        <v>12334294.18</v>
      </c>
      <c r="F994" t="s">
        <v>1280</v>
      </c>
      <c r="I994" s="16"/>
      <c r="J994" s="68"/>
      <c r="K994" s="68"/>
      <c r="L994" s="68"/>
      <c r="M994" s="74">
        <f t="shared" si="18"/>
        <v>5358.65</v>
      </c>
    </row>
    <row r="995" spans="1:13">
      <c r="A995" t="s">
        <v>118</v>
      </c>
      <c r="B995" t="s">
        <v>126</v>
      </c>
      <c r="C995" s="51">
        <v>138697916442</v>
      </c>
      <c r="D995" s="1">
        <v>2922.31</v>
      </c>
      <c r="E995" s="1">
        <v>11159590.49</v>
      </c>
      <c r="F995" t="s">
        <v>1280</v>
      </c>
      <c r="I995" s="16"/>
      <c r="J995" s="68"/>
      <c r="K995" s="68"/>
      <c r="L995" s="68"/>
      <c r="M995" s="74">
        <f t="shared" si="18"/>
        <v>2922.31</v>
      </c>
    </row>
    <row r="996" spans="1:13">
      <c r="A996" t="s">
        <v>127</v>
      </c>
      <c r="B996" t="s">
        <v>11</v>
      </c>
      <c r="C996" s="51">
        <v>138071304667</v>
      </c>
      <c r="D996" s="1">
        <v>25818.95</v>
      </c>
      <c r="E996" s="1">
        <v>12360113.130000001</v>
      </c>
      <c r="F996" t="s">
        <v>1280</v>
      </c>
      <c r="I996" s="16"/>
      <c r="J996" s="68"/>
      <c r="K996" s="68"/>
      <c r="L996" s="68"/>
      <c r="M996" s="74">
        <f t="shared" si="18"/>
        <v>25818.95</v>
      </c>
    </row>
    <row r="997" spans="1:13">
      <c r="A997" t="s">
        <v>127</v>
      </c>
      <c r="B997" t="s">
        <v>11</v>
      </c>
      <c r="C997" s="51">
        <v>138711660284</v>
      </c>
      <c r="D997" s="1">
        <v>19486</v>
      </c>
      <c r="E997" s="1">
        <v>12379599.130000001</v>
      </c>
      <c r="F997" t="s">
        <v>1280</v>
      </c>
      <c r="I997" s="16"/>
      <c r="J997" s="68"/>
      <c r="K997" s="68"/>
      <c r="L997" s="68"/>
      <c r="M997" s="74">
        <f t="shared" si="18"/>
        <v>19486</v>
      </c>
    </row>
    <row r="998" spans="1:13">
      <c r="A998" t="s">
        <v>127</v>
      </c>
      <c r="B998" t="s">
        <v>11</v>
      </c>
      <c r="C998" s="51">
        <v>138071717769</v>
      </c>
      <c r="D998" s="1">
        <v>25450.51</v>
      </c>
      <c r="E998" s="1">
        <v>12405049.640000001</v>
      </c>
      <c r="F998" t="s">
        <v>1280</v>
      </c>
      <c r="I998" s="16"/>
      <c r="J998" s="68"/>
      <c r="K998" s="68"/>
      <c r="L998" s="68"/>
      <c r="M998" s="74">
        <f t="shared" si="18"/>
        <v>25450.51</v>
      </c>
    </row>
    <row r="999" spans="1:13">
      <c r="A999" t="s">
        <v>127</v>
      </c>
      <c r="B999" t="s">
        <v>11</v>
      </c>
      <c r="C999" s="51">
        <v>138712596668</v>
      </c>
      <c r="D999" s="1">
        <v>26186.94</v>
      </c>
      <c r="E999" s="1">
        <v>12431236.58</v>
      </c>
      <c r="F999" t="s">
        <v>1280</v>
      </c>
      <c r="I999" s="16"/>
      <c r="J999" s="68"/>
      <c r="K999" s="68"/>
      <c r="L999" s="68"/>
      <c r="M999" s="74">
        <f t="shared" si="18"/>
        <v>26186.94</v>
      </c>
    </row>
    <row r="1000" spans="1:13">
      <c r="A1000" t="s">
        <v>127</v>
      </c>
      <c r="B1000" t="s">
        <v>11</v>
      </c>
      <c r="C1000" s="51">
        <v>138072709179</v>
      </c>
      <c r="D1000" s="1">
        <v>26322.32</v>
      </c>
      <c r="E1000" s="1">
        <v>12457558.9</v>
      </c>
      <c r="F1000" t="s">
        <v>1280</v>
      </c>
      <c r="I1000" s="16"/>
      <c r="J1000" s="68"/>
      <c r="K1000" s="68"/>
      <c r="L1000" s="68"/>
      <c r="M1000" s="74">
        <f t="shared" ref="M1000:M1063" si="19">+D1000-I1000-J1000-K1000-L1000</f>
        <v>26322.32</v>
      </c>
    </row>
    <row r="1001" spans="1:13">
      <c r="A1001" t="s">
        <v>127</v>
      </c>
      <c r="B1001" t="s">
        <v>11</v>
      </c>
      <c r="C1001" s="51">
        <v>138072727715</v>
      </c>
      <c r="D1001" s="1">
        <v>26793.25</v>
      </c>
      <c r="E1001" s="1">
        <v>12484352.15</v>
      </c>
      <c r="F1001" t="s">
        <v>1280</v>
      </c>
      <c r="I1001" s="16"/>
      <c r="J1001" s="68"/>
      <c r="K1001" s="68"/>
      <c r="L1001" s="68"/>
      <c r="M1001" s="74">
        <f t="shared" si="19"/>
        <v>26793.25</v>
      </c>
    </row>
    <row r="1002" spans="1:13">
      <c r="A1002" t="s">
        <v>127</v>
      </c>
      <c r="B1002" t="s">
        <v>11</v>
      </c>
      <c r="C1002" s="51">
        <v>138712746706</v>
      </c>
      <c r="D1002" s="1">
        <v>10230.15</v>
      </c>
      <c r="E1002" s="1">
        <v>12494582.300000001</v>
      </c>
      <c r="F1002" t="s">
        <v>1280</v>
      </c>
      <c r="I1002" s="16"/>
      <c r="J1002" s="68"/>
      <c r="K1002" s="68"/>
      <c r="L1002" s="68"/>
      <c r="M1002" s="74">
        <f t="shared" si="19"/>
        <v>10230.15</v>
      </c>
    </row>
    <row r="1003" spans="1:13">
      <c r="A1003" t="s">
        <v>127</v>
      </c>
      <c r="B1003" t="s">
        <v>11</v>
      </c>
      <c r="C1003" s="51">
        <v>138072784035</v>
      </c>
      <c r="D1003" s="1">
        <v>57288.84</v>
      </c>
      <c r="E1003" s="1">
        <v>12551871.140000001</v>
      </c>
      <c r="F1003" t="s">
        <v>1280</v>
      </c>
      <c r="I1003" s="16"/>
      <c r="J1003" s="68"/>
      <c r="K1003" s="68"/>
      <c r="L1003" s="68"/>
      <c r="M1003" s="74">
        <f t="shared" si="19"/>
        <v>57288.84</v>
      </c>
    </row>
    <row r="1004" spans="1:13">
      <c r="A1004" t="s">
        <v>127</v>
      </c>
      <c r="B1004" t="s">
        <v>11</v>
      </c>
      <c r="C1004" s="51">
        <v>138713132944</v>
      </c>
      <c r="D1004" s="1">
        <v>34587.65</v>
      </c>
      <c r="E1004" s="1">
        <v>12589337.050000001</v>
      </c>
      <c r="F1004" t="s">
        <v>1280</v>
      </c>
      <c r="I1004" s="16"/>
      <c r="J1004" s="68"/>
      <c r="K1004" s="68"/>
      <c r="L1004" s="68"/>
      <c r="M1004" s="74">
        <f t="shared" si="19"/>
        <v>34587.65</v>
      </c>
    </row>
    <row r="1005" spans="1:13">
      <c r="A1005" t="s">
        <v>127</v>
      </c>
      <c r="B1005" t="s">
        <v>11</v>
      </c>
      <c r="C1005" s="51">
        <v>138713390948</v>
      </c>
      <c r="D1005" s="1">
        <v>22138.639999999999</v>
      </c>
      <c r="E1005" s="1">
        <v>12611475.689999999</v>
      </c>
      <c r="F1005" t="s">
        <v>1280</v>
      </c>
      <c r="I1005" s="16"/>
      <c r="J1005" s="68"/>
      <c r="K1005" s="68"/>
      <c r="L1005" s="68"/>
      <c r="M1005" s="74">
        <f t="shared" si="19"/>
        <v>22138.639999999999</v>
      </c>
    </row>
    <row r="1006" spans="1:13">
      <c r="A1006" t="s">
        <v>127</v>
      </c>
      <c r="B1006" t="s">
        <v>11</v>
      </c>
      <c r="C1006" s="51">
        <v>138073452173</v>
      </c>
      <c r="D1006" s="1">
        <v>19486</v>
      </c>
      <c r="E1006" s="1">
        <v>12630961.689999999</v>
      </c>
      <c r="F1006" t="s">
        <v>1280</v>
      </c>
      <c r="I1006" s="16"/>
      <c r="J1006" s="68"/>
      <c r="K1006" s="68"/>
      <c r="L1006" s="68"/>
      <c r="M1006" s="74">
        <f t="shared" si="19"/>
        <v>19486</v>
      </c>
    </row>
    <row r="1007" spans="1:13">
      <c r="A1007" t="s">
        <v>127</v>
      </c>
      <c r="B1007" t="s">
        <v>11</v>
      </c>
      <c r="C1007" s="51">
        <v>138713517800</v>
      </c>
      <c r="D1007" s="1">
        <v>47399.3</v>
      </c>
      <c r="E1007" s="1">
        <v>12678360.99</v>
      </c>
      <c r="F1007" t="s">
        <v>1280</v>
      </c>
      <c r="I1007" s="16"/>
      <c r="J1007" s="68"/>
      <c r="K1007" s="68"/>
      <c r="L1007" s="68"/>
      <c r="M1007" s="74">
        <f t="shared" si="19"/>
        <v>47399.3</v>
      </c>
    </row>
    <row r="1008" spans="1:13">
      <c r="A1008" t="s">
        <v>127</v>
      </c>
      <c r="B1008" t="s">
        <v>11</v>
      </c>
      <c r="C1008" s="51">
        <v>138820146078</v>
      </c>
      <c r="D1008" s="1">
        <v>9743</v>
      </c>
      <c r="E1008" s="1">
        <v>12621276.42</v>
      </c>
      <c r="F1008" t="s">
        <v>1280</v>
      </c>
      <c r="I1008" s="16"/>
      <c r="J1008" s="68"/>
      <c r="K1008" s="68"/>
      <c r="L1008" s="68"/>
      <c r="M1008" s="74">
        <f t="shared" si="19"/>
        <v>9743</v>
      </c>
    </row>
    <row r="1009" spans="1:13">
      <c r="A1009" t="s">
        <v>127</v>
      </c>
      <c r="B1009" t="s">
        <v>128</v>
      </c>
      <c r="C1009" s="51">
        <v>138064631729</v>
      </c>
      <c r="D1009" s="1">
        <v>6451.61</v>
      </c>
      <c r="E1009" s="1">
        <v>11786017.58</v>
      </c>
      <c r="F1009" t="s">
        <v>1280</v>
      </c>
      <c r="I1009" s="16"/>
      <c r="J1009" s="68"/>
      <c r="K1009" s="68"/>
      <c r="L1009" s="68"/>
      <c r="M1009" s="74">
        <f t="shared" si="19"/>
        <v>6451.61</v>
      </c>
    </row>
    <row r="1010" spans="1:13">
      <c r="A1010" t="s">
        <v>127</v>
      </c>
      <c r="B1010" t="s">
        <v>11</v>
      </c>
      <c r="C1010" s="51">
        <v>138180185879</v>
      </c>
      <c r="D1010" s="1">
        <v>9743</v>
      </c>
      <c r="E1010" s="1">
        <v>12631019.42</v>
      </c>
      <c r="F1010" t="s">
        <v>1280</v>
      </c>
      <c r="I1010" s="16"/>
      <c r="J1010" s="68"/>
      <c r="K1010" s="68"/>
      <c r="L1010" s="68"/>
      <c r="M1010" s="74">
        <f t="shared" si="19"/>
        <v>9743</v>
      </c>
    </row>
    <row r="1011" spans="1:13">
      <c r="A1011" t="s">
        <v>127</v>
      </c>
      <c r="B1011" t="s">
        <v>11</v>
      </c>
      <c r="C1011" s="51">
        <v>138825658218</v>
      </c>
      <c r="D1011" s="1">
        <v>9447</v>
      </c>
      <c r="E1011" s="1">
        <v>12640466.42</v>
      </c>
      <c r="F1011" t="s">
        <v>1280</v>
      </c>
      <c r="I1011" s="16"/>
      <c r="J1011" s="68"/>
      <c r="K1011" s="68"/>
      <c r="L1011" s="68"/>
      <c r="M1011" s="74">
        <f t="shared" si="19"/>
        <v>9447</v>
      </c>
    </row>
    <row r="1012" spans="1:13">
      <c r="A1012" t="s">
        <v>127</v>
      </c>
      <c r="B1012" t="s">
        <v>11</v>
      </c>
      <c r="C1012" s="51">
        <v>138830273878</v>
      </c>
      <c r="D1012" s="1">
        <v>5447.4</v>
      </c>
      <c r="E1012" s="1">
        <v>12645913.82</v>
      </c>
      <c r="F1012" t="s">
        <v>1280</v>
      </c>
      <c r="I1012" s="16"/>
      <c r="J1012" s="68"/>
      <c r="K1012" s="68"/>
      <c r="L1012" s="68"/>
      <c r="M1012" s="74">
        <f t="shared" si="19"/>
        <v>5447.4</v>
      </c>
    </row>
    <row r="1013" spans="1:13">
      <c r="A1013" t="s">
        <v>127</v>
      </c>
      <c r="B1013" t="s">
        <v>11</v>
      </c>
      <c r="C1013" s="51">
        <v>138831169662</v>
      </c>
      <c r="D1013" s="1">
        <v>5358.65</v>
      </c>
      <c r="E1013" s="1">
        <v>12651272.470000001</v>
      </c>
      <c r="F1013" t="s">
        <v>1280</v>
      </c>
      <c r="I1013" s="16"/>
      <c r="J1013" s="68"/>
      <c r="K1013" s="68"/>
      <c r="L1013" s="68"/>
      <c r="M1013" s="74">
        <f t="shared" si="19"/>
        <v>5358.65</v>
      </c>
    </row>
    <row r="1014" spans="1:13">
      <c r="A1014" t="s">
        <v>127</v>
      </c>
      <c r="B1014" t="s">
        <v>11</v>
      </c>
      <c r="C1014" s="51">
        <v>138834531356</v>
      </c>
      <c r="D1014" s="1">
        <v>12568.47</v>
      </c>
      <c r="E1014" s="1">
        <v>12663840.939999999</v>
      </c>
      <c r="F1014" t="s">
        <v>1280</v>
      </c>
      <c r="I1014" s="16"/>
      <c r="J1014" s="68"/>
      <c r="K1014" s="68"/>
      <c r="L1014" s="68"/>
      <c r="M1014" s="74">
        <f t="shared" si="19"/>
        <v>12568.47</v>
      </c>
    </row>
    <row r="1015" spans="1:13">
      <c r="A1015" t="s">
        <v>127</v>
      </c>
      <c r="B1015" t="s">
        <v>11</v>
      </c>
      <c r="C1015" s="51">
        <v>138194400553</v>
      </c>
      <c r="D1015" s="1">
        <v>11158.5</v>
      </c>
      <c r="E1015" s="1">
        <v>12674999.439999999</v>
      </c>
      <c r="F1015" t="s">
        <v>1280</v>
      </c>
      <c r="I1015" s="16"/>
      <c r="J1015" s="68"/>
      <c r="K1015" s="68"/>
      <c r="L1015" s="68"/>
      <c r="M1015" s="74">
        <f t="shared" si="19"/>
        <v>11158.5</v>
      </c>
    </row>
    <row r="1016" spans="1:13">
      <c r="A1016" t="s">
        <v>127</v>
      </c>
      <c r="B1016" t="s">
        <v>11</v>
      </c>
      <c r="C1016" s="51">
        <v>138837938928</v>
      </c>
      <c r="D1016" s="1">
        <v>14614.5</v>
      </c>
      <c r="E1016" s="1">
        <v>12689613.939999999</v>
      </c>
      <c r="F1016" t="s">
        <v>1280</v>
      </c>
      <c r="I1016" s="16"/>
      <c r="J1016" s="68"/>
      <c r="K1016" s="68"/>
      <c r="L1016" s="68"/>
      <c r="M1016" s="74">
        <f t="shared" si="19"/>
        <v>14614.5</v>
      </c>
    </row>
    <row r="1017" spans="1:13">
      <c r="A1017" t="s">
        <v>127</v>
      </c>
      <c r="B1017" t="s">
        <v>11</v>
      </c>
      <c r="C1017" s="51">
        <v>138198187679</v>
      </c>
      <c r="D1017" s="1">
        <v>19486</v>
      </c>
      <c r="E1017" s="1">
        <v>12709099.939999999</v>
      </c>
      <c r="F1017" t="s">
        <v>1280</v>
      </c>
      <c r="I1017" s="16"/>
      <c r="J1017" s="68"/>
      <c r="K1017" s="68"/>
      <c r="L1017" s="68"/>
      <c r="M1017" s="74">
        <f t="shared" si="19"/>
        <v>19486</v>
      </c>
    </row>
    <row r="1018" spans="1:13">
      <c r="A1018" t="s">
        <v>127</v>
      </c>
      <c r="B1018" t="s">
        <v>11</v>
      </c>
      <c r="C1018" s="51">
        <v>138198737449</v>
      </c>
      <c r="D1018" s="1">
        <v>41673.839999999997</v>
      </c>
      <c r="E1018" s="1">
        <v>12750773.779999999</v>
      </c>
      <c r="F1018" t="s">
        <v>1280</v>
      </c>
      <c r="I1018" s="16"/>
      <c r="J1018" s="68"/>
      <c r="K1018" s="68"/>
      <c r="L1018" s="68"/>
      <c r="M1018" s="74">
        <f t="shared" si="19"/>
        <v>41673.839999999997</v>
      </c>
    </row>
    <row r="1019" spans="1:13">
      <c r="A1019" t="s">
        <v>127</v>
      </c>
      <c r="B1019" t="s">
        <v>11</v>
      </c>
      <c r="C1019" s="51">
        <v>138840860684</v>
      </c>
      <c r="D1019" s="1">
        <v>15587.55</v>
      </c>
      <c r="E1019" s="1">
        <v>12766361.33</v>
      </c>
      <c r="F1019" t="s">
        <v>1280</v>
      </c>
      <c r="I1019" s="16"/>
      <c r="J1019" s="68"/>
      <c r="K1019" s="68"/>
      <c r="L1019" s="68"/>
      <c r="M1019" s="74">
        <f t="shared" si="19"/>
        <v>15587.55</v>
      </c>
    </row>
    <row r="1020" spans="1:13">
      <c r="A1020" t="s">
        <v>127</v>
      </c>
      <c r="B1020" t="s">
        <v>11</v>
      </c>
      <c r="C1020" s="51">
        <v>138201157087</v>
      </c>
      <c r="D1020" s="1">
        <v>33864.67</v>
      </c>
      <c r="E1020" s="1">
        <v>12800226</v>
      </c>
      <c r="F1020" t="s">
        <v>1280</v>
      </c>
      <c r="I1020" s="16"/>
      <c r="J1020" s="68"/>
      <c r="K1020" s="68"/>
      <c r="L1020" s="68"/>
      <c r="M1020" s="74">
        <f t="shared" si="19"/>
        <v>33864.67</v>
      </c>
    </row>
    <row r="1021" spans="1:13">
      <c r="A1021" t="s">
        <v>127</v>
      </c>
      <c r="B1021" t="s">
        <v>129</v>
      </c>
      <c r="C1021" s="51">
        <v>138069276345</v>
      </c>
      <c r="D1021" s="1">
        <v>4620.88</v>
      </c>
      <c r="E1021" s="1">
        <v>12257517.130000001</v>
      </c>
      <c r="F1021" t="s">
        <v>1280</v>
      </c>
      <c r="I1021" s="16"/>
      <c r="J1021" s="68"/>
      <c r="K1021" s="68"/>
      <c r="L1021" s="68"/>
      <c r="M1021" s="74">
        <f t="shared" si="19"/>
        <v>4620.88</v>
      </c>
    </row>
    <row r="1022" spans="1:13">
      <c r="A1022" t="s">
        <v>127</v>
      </c>
      <c r="B1022" t="s">
        <v>11</v>
      </c>
      <c r="C1022" s="51">
        <v>138201252687</v>
      </c>
      <c r="D1022" s="1">
        <v>33126.199999999997</v>
      </c>
      <c r="E1022" s="1">
        <v>12833352.199999999</v>
      </c>
      <c r="F1022" t="s">
        <v>1280</v>
      </c>
      <c r="I1022" s="16"/>
      <c r="J1022" s="68"/>
      <c r="K1022" s="68"/>
      <c r="L1022" s="68"/>
      <c r="M1022" s="74">
        <f t="shared" si="19"/>
        <v>33126.199999999997</v>
      </c>
    </row>
    <row r="1023" spans="1:13">
      <c r="A1023" t="s">
        <v>127</v>
      </c>
      <c r="B1023" t="s">
        <v>11</v>
      </c>
      <c r="C1023" s="51">
        <v>138841653890</v>
      </c>
      <c r="D1023" s="1">
        <v>35048.370000000003</v>
      </c>
      <c r="E1023" s="1">
        <v>12868400.57</v>
      </c>
      <c r="F1023" t="s">
        <v>1280</v>
      </c>
      <c r="I1023" s="16"/>
      <c r="J1023" s="68"/>
      <c r="K1023" s="68"/>
      <c r="L1023" s="68"/>
      <c r="M1023" s="74">
        <f t="shared" si="19"/>
        <v>35048.370000000003</v>
      </c>
    </row>
    <row r="1024" spans="1:13">
      <c r="A1024" t="s">
        <v>127</v>
      </c>
      <c r="B1024" t="s">
        <v>11</v>
      </c>
      <c r="C1024" s="51">
        <v>138201467989</v>
      </c>
      <c r="D1024" s="1">
        <v>26598.39</v>
      </c>
      <c r="E1024" s="1">
        <v>12894998.960000001</v>
      </c>
      <c r="F1024" t="s">
        <v>1280</v>
      </c>
      <c r="I1024" s="16"/>
      <c r="J1024" s="68"/>
      <c r="K1024" s="68"/>
      <c r="L1024" s="68"/>
      <c r="M1024" s="74">
        <f t="shared" si="19"/>
        <v>26598.39</v>
      </c>
    </row>
    <row r="1025" spans="1:13">
      <c r="A1025" t="s">
        <v>127</v>
      </c>
      <c r="B1025" t="s">
        <v>11</v>
      </c>
      <c r="C1025" s="51">
        <v>138843315510</v>
      </c>
      <c r="D1025" s="1">
        <v>20783.400000000001</v>
      </c>
      <c r="E1025" s="1">
        <v>12915782.359999999</v>
      </c>
      <c r="F1025" t="s">
        <v>1280</v>
      </c>
      <c r="I1025" s="16"/>
      <c r="J1025" s="68"/>
      <c r="K1025" s="68"/>
      <c r="L1025" s="68"/>
      <c r="M1025" s="74">
        <f t="shared" si="19"/>
        <v>20783.400000000001</v>
      </c>
    </row>
    <row r="1026" spans="1:13">
      <c r="A1026" t="s">
        <v>127</v>
      </c>
      <c r="B1026" t="s">
        <v>11</v>
      </c>
      <c r="C1026" s="51">
        <v>138204114191</v>
      </c>
      <c r="D1026" s="1">
        <v>4838.5</v>
      </c>
      <c r="E1026" s="1">
        <v>12920620.859999999</v>
      </c>
      <c r="F1026" t="s">
        <v>1280</v>
      </c>
      <c r="I1026" s="16"/>
      <c r="J1026" s="68"/>
      <c r="K1026" s="68"/>
      <c r="L1026" s="68"/>
      <c r="M1026" s="74">
        <f t="shared" si="19"/>
        <v>4838.5</v>
      </c>
    </row>
    <row r="1027" spans="1:13">
      <c r="A1027" t="s">
        <v>127</v>
      </c>
      <c r="B1027" t="s">
        <v>11</v>
      </c>
      <c r="C1027" s="51">
        <v>138205303057</v>
      </c>
      <c r="D1027" s="1">
        <v>24065.21</v>
      </c>
      <c r="E1027" s="1">
        <v>12944686.07</v>
      </c>
      <c r="F1027" t="s">
        <v>1280</v>
      </c>
      <c r="I1027" s="16"/>
      <c r="J1027" s="68"/>
      <c r="K1027" s="68"/>
      <c r="L1027" s="68"/>
      <c r="M1027" s="74">
        <f t="shared" si="19"/>
        <v>24065.21</v>
      </c>
    </row>
    <row r="1028" spans="1:13">
      <c r="A1028" t="s">
        <v>127</v>
      </c>
      <c r="B1028" t="s">
        <v>11</v>
      </c>
      <c r="C1028" s="51">
        <v>138846074058</v>
      </c>
      <c r="D1028" s="1">
        <v>42869.11</v>
      </c>
      <c r="E1028" s="1">
        <v>12989973.310000001</v>
      </c>
      <c r="F1028" t="s">
        <v>1280</v>
      </c>
      <c r="I1028" s="16"/>
      <c r="J1028" s="68"/>
      <c r="K1028" s="68"/>
      <c r="L1028" s="68"/>
      <c r="M1028" s="74">
        <f t="shared" si="19"/>
        <v>42869.11</v>
      </c>
    </row>
    <row r="1029" spans="1:13">
      <c r="A1029" t="s">
        <v>127</v>
      </c>
      <c r="B1029" t="s">
        <v>11</v>
      </c>
      <c r="C1029" s="51">
        <v>138206888477</v>
      </c>
      <c r="D1029" s="1">
        <v>55264.95</v>
      </c>
      <c r="E1029" s="1">
        <v>13045238.26</v>
      </c>
      <c r="F1029" t="s">
        <v>1280</v>
      </c>
      <c r="I1029" s="16"/>
      <c r="J1029" s="68"/>
      <c r="K1029" s="68"/>
      <c r="L1029" s="68"/>
      <c r="M1029" s="74">
        <f t="shared" si="19"/>
        <v>55264.95</v>
      </c>
    </row>
    <row r="1030" spans="1:13">
      <c r="A1030" t="s">
        <v>127</v>
      </c>
      <c r="B1030" t="s">
        <v>11</v>
      </c>
      <c r="C1030" s="51">
        <v>138847468360</v>
      </c>
      <c r="D1030" s="1">
        <v>15486.9</v>
      </c>
      <c r="E1030" s="1">
        <v>13060725.16</v>
      </c>
      <c r="F1030" t="s">
        <v>1280</v>
      </c>
      <c r="I1030" s="16"/>
      <c r="J1030" s="68"/>
      <c r="K1030" s="68"/>
      <c r="L1030" s="68"/>
      <c r="M1030" s="74">
        <f t="shared" si="19"/>
        <v>15486.9</v>
      </c>
    </row>
    <row r="1031" spans="1:13">
      <c r="A1031" t="s">
        <v>127</v>
      </c>
      <c r="B1031" t="s">
        <v>11</v>
      </c>
      <c r="C1031" s="51">
        <v>138207560423</v>
      </c>
      <c r="D1031" s="1">
        <v>79405.45</v>
      </c>
      <c r="E1031" s="1">
        <v>13140130.609999999</v>
      </c>
      <c r="F1031" t="s">
        <v>1280</v>
      </c>
      <c r="I1031" s="16"/>
      <c r="J1031" s="68"/>
      <c r="K1031" s="68"/>
      <c r="L1031" s="68"/>
      <c r="M1031" s="74">
        <f t="shared" si="19"/>
        <v>79405.45</v>
      </c>
    </row>
    <row r="1032" spans="1:13">
      <c r="A1032" t="s">
        <v>127</v>
      </c>
      <c r="B1032" t="s">
        <v>11</v>
      </c>
      <c r="C1032" s="51">
        <v>138207547971</v>
      </c>
      <c r="D1032" s="1">
        <v>4871.5</v>
      </c>
      <c r="E1032" s="1">
        <v>13145002.109999999</v>
      </c>
      <c r="F1032" t="s">
        <v>1280</v>
      </c>
      <c r="I1032" s="16"/>
      <c r="J1032" s="68"/>
      <c r="K1032" s="68"/>
      <c r="L1032" s="68"/>
      <c r="M1032" s="74">
        <f t="shared" si="19"/>
        <v>4871.5</v>
      </c>
    </row>
    <row r="1033" spans="1:13">
      <c r="A1033" t="s">
        <v>127</v>
      </c>
      <c r="B1033" t="s">
        <v>11</v>
      </c>
      <c r="C1033" s="51">
        <v>138848404496</v>
      </c>
      <c r="D1033" s="1">
        <v>19291.14</v>
      </c>
      <c r="E1033" s="1">
        <v>13164293.25</v>
      </c>
      <c r="F1033" t="s">
        <v>1280</v>
      </c>
      <c r="I1033" s="16"/>
      <c r="J1033" s="68"/>
      <c r="K1033" s="68"/>
      <c r="L1033" s="68"/>
      <c r="M1033" s="74">
        <f t="shared" si="19"/>
        <v>19291.14</v>
      </c>
    </row>
    <row r="1034" spans="1:13">
      <c r="A1034" t="s">
        <v>134</v>
      </c>
      <c r="B1034" t="s">
        <v>11</v>
      </c>
      <c r="C1034" s="51">
        <v>138848967406</v>
      </c>
      <c r="D1034" s="1">
        <v>14127.35</v>
      </c>
      <c r="E1034" s="1">
        <v>13179389.810000001</v>
      </c>
      <c r="F1034" t="s">
        <v>1280</v>
      </c>
      <c r="I1034" s="16"/>
      <c r="J1034" s="68"/>
      <c r="K1034" s="68"/>
      <c r="L1034" s="68"/>
      <c r="M1034" s="74">
        <f t="shared" si="19"/>
        <v>14127.35</v>
      </c>
    </row>
    <row r="1035" spans="1:13">
      <c r="A1035" t="s">
        <v>134</v>
      </c>
      <c r="B1035" t="s">
        <v>11</v>
      </c>
      <c r="C1035" s="51">
        <v>138849036742</v>
      </c>
      <c r="D1035" s="1">
        <v>2922.9</v>
      </c>
      <c r="E1035" s="1">
        <v>13183732.26</v>
      </c>
      <c r="F1035" t="s">
        <v>1280</v>
      </c>
      <c r="I1035" s="16"/>
      <c r="J1035" s="68"/>
      <c r="K1035" s="68"/>
      <c r="L1035" s="68"/>
      <c r="M1035" s="74">
        <f t="shared" si="19"/>
        <v>2922.9</v>
      </c>
    </row>
    <row r="1036" spans="1:13">
      <c r="A1036" t="s">
        <v>127</v>
      </c>
      <c r="B1036" t="s">
        <v>130</v>
      </c>
      <c r="C1036" s="51">
        <v>138072847151</v>
      </c>
      <c r="D1036" s="1">
        <v>2878.26</v>
      </c>
      <c r="E1036" s="1">
        <v>12554749.4</v>
      </c>
      <c r="F1036" t="s">
        <v>1280</v>
      </c>
      <c r="I1036" s="16"/>
      <c r="J1036" s="68"/>
      <c r="K1036" s="68"/>
      <c r="L1036" s="68"/>
      <c r="M1036" s="74">
        <f t="shared" si="19"/>
        <v>2878.26</v>
      </c>
    </row>
    <row r="1037" spans="1:13">
      <c r="A1037" t="s">
        <v>134</v>
      </c>
      <c r="B1037" t="s">
        <v>11</v>
      </c>
      <c r="C1037" s="51">
        <v>138849101350</v>
      </c>
      <c r="D1037" s="1">
        <v>40055.279999999999</v>
      </c>
      <c r="E1037" s="1">
        <v>13223787.539999999</v>
      </c>
      <c r="F1037" t="s">
        <v>1280</v>
      </c>
      <c r="I1037" s="16"/>
      <c r="J1037" s="68"/>
      <c r="K1037" s="68"/>
      <c r="L1037" s="68"/>
      <c r="M1037" s="74">
        <f t="shared" si="19"/>
        <v>40055.279999999999</v>
      </c>
    </row>
    <row r="1038" spans="1:13">
      <c r="A1038" t="s">
        <v>134</v>
      </c>
      <c r="B1038" t="s">
        <v>11</v>
      </c>
      <c r="C1038" s="51">
        <v>138849267594</v>
      </c>
      <c r="D1038" s="1">
        <v>44400.9</v>
      </c>
      <c r="E1038" s="1">
        <v>13268188.439999999</v>
      </c>
      <c r="F1038" t="s">
        <v>1280</v>
      </c>
      <c r="I1038" s="16"/>
      <c r="J1038" s="68"/>
      <c r="K1038" s="68"/>
      <c r="L1038" s="68"/>
      <c r="M1038" s="74">
        <f t="shared" si="19"/>
        <v>44400.9</v>
      </c>
    </row>
    <row r="1039" spans="1:13">
      <c r="A1039" t="s">
        <v>134</v>
      </c>
      <c r="B1039" t="s">
        <v>11</v>
      </c>
      <c r="C1039" s="51">
        <v>138849484320</v>
      </c>
      <c r="D1039" s="1">
        <v>9386</v>
      </c>
      <c r="E1039" s="1">
        <v>13277574.439999999</v>
      </c>
      <c r="F1039" t="s">
        <v>1280</v>
      </c>
      <c r="I1039" s="16"/>
      <c r="J1039" s="68"/>
      <c r="K1039" s="68"/>
      <c r="L1039" s="68"/>
      <c r="M1039" s="74">
        <f t="shared" si="19"/>
        <v>9386</v>
      </c>
    </row>
    <row r="1040" spans="1:13">
      <c r="A1040" t="s">
        <v>134</v>
      </c>
      <c r="B1040" t="s">
        <v>11</v>
      </c>
      <c r="C1040" s="51">
        <v>138849998288</v>
      </c>
      <c r="D1040" s="1">
        <v>70734.179999999993</v>
      </c>
      <c r="E1040" s="1">
        <v>13348308.619999999</v>
      </c>
      <c r="F1040" t="s">
        <v>1280</v>
      </c>
      <c r="I1040" s="16"/>
      <c r="J1040" s="68"/>
      <c r="K1040" s="68"/>
      <c r="L1040" s="68"/>
      <c r="M1040" s="74">
        <f t="shared" si="19"/>
        <v>70734.179999999993</v>
      </c>
    </row>
    <row r="1041" spans="1:13">
      <c r="A1041" t="s">
        <v>134</v>
      </c>
      <c r="B1041" t="s">
        <v>11</v>
      </c>
      <c r="C1041" s="51">
        <v>138850633872</v>
      </c>
      <c r="D1041" s="1">
        <v>10230.15</v>
      </c>
      <c r="E1041" s="1">
        <v>13358538.77</v>
      </c>
      <c r="F1041" t="s">
        <v>1280</v>
      </c>
      <c r="I1041" s="16"/>
      <c r="J1041" s="68"/>
      <c r="K1041" s="68"/>
      <c r="L1041" s="68"/>
      <c r="M1041" s="74">
        <f t="shared" si="19"/>
        <v>10230.15</v>
      </c>
    </row>
    <row r="1042" spans="1:13">
      <c r="A1042" t="s">
        <v>134</v>
      </c>
      <c r="B1042" t="s">
        <v>11</v>
      </c>
      <c r="C1042" s="51">
        <v>138210363935</v>
      </c>
      <c r="D1042" s="1">
        <v>33914.730000000003</v>
      </c>
      <c r="E1042" s="1">
        <v>13392453.5</v>
      </c>
      <c r="F1042" t="s">
        <v>1280</v>
      </c>
      <c r="I1042" s="16"/>
      <c r="J1042" s="68"/>
      <c r="K1042" s="68"/>
      <c r="L1042" s="68"/>
      <c r="M1042" s="74">
        <f t="shared" si="19"/>
        <v>33914.730000000003</v>
      </c>
    </row>
    <row r="1043" spans="1:13">
      <c r="A1043" t="s">
        <v>134</v>
      </c>
      <c r="B1043" t="s">
        <v>11</v>
      </c>
      <c r="C1043" s="51">
        <v>138210648291</v>
      </c>
      <c r="D1043" s="1">
        <v>10035.290000000001</v>
      </c>
      <c r="E1043" s="1">
        <v>13402488.789999999</v>
      </c>
      <c r="F1043" t="s">
        <v>1280</v>
      </c>
      <c r="I1043" s="16"/>
      <c r="J1043" s="68"/>
      <c r="K1043" s="68"/>
      <c r="L1043" s="68"/>
      <c r="M1043" s="74">
        <f t="shared" si="19"/>
        <v>10035.290000000001</v>
      </c>
    </row>
    <row r="1044" spans="1:13">
      <c r="A1044" t="s">
        <v>134</v>
      </c>
      <c r="B1044" t="s">
        <v>11</v>
      </c>
      <c r="C1044" s="51">
        <v>138851061664</v>
      </c>
      <c r="D1044" s="1">
        <v>28057.59</v>
      </c>
      <c r="E1044" s="1">
        <v>13430546.380000001</v>
      </c>
      <c r="F1044" t="s">
        <v>1280</v>
      </c>
      <c r="I1044" s="16"/>
      <c r="J1044" s="68"/>
      <c r="K1044" s="68"/>
      <c r="L1044" s="68"/>
      <c r="M1044" s="74">
        <f t="shared" si="19"/>
        <v>28057.59</v>
      </c>
    </row>
    <row r="1045" spans="1:13">
      <c r="A1045" t="s">
        <v>134</v>
      </c>
      <c r="B1045" t="s">
        <v>11</v>
      </c>
      <c r="C1045" s="51">
        <v>138211297097</v>
      </c>
      <c r="D1045" s="1">
        <v>14127.35</v>
      </c>
      <c r="E1045" s="1">
        <v>13444673.73</v>
      </c>
      <c r="F1045" t="s">
        <v>1280</v>
      </c>
      <c r="I1045" s="16"/>
      <c r="J1045" s="68"/>
      <c r="K1045" s="68"/>
      <c r="L1045" s="68"/>
      <c r="M1045" s="74">
        <f t="shared" si="19"/>
        <v>14127.35</v>
      </c>
    </row>
    <row r="1046" spans="1:13">
      <c r="A1046" t="s">
        <v>134</v>
      </c>
      <c r="B1046" t="s">
        <v>11</v>
      </c>
      <c r="C1046" s="51">
        <v>138211329819</v>
      </c>
      <c r="D1046" s="1">
        <v>25331.8</v>
      </c>
      <c r="E1046" s="1">
        <v>13470005.529999999</v>
      </c>
      <c r="F1046" t="s">
        <v>1280</v>
      </c>
      <c r="I1046" s="16"/>
      <c r="J1046" s="68"/>
      <c r="K1046" s="68"/>
      <c r="L1046" s="68"/>
      <c r="M1046" s="74">
        <f t="shared" si="19"/>
        <v>25331.8</v>
      </c>
    </row>
    <row r="1047" spans="1:13">
      <c r="A1047" t="s">
        <v>134</v>
      </c>
      <c r="B1047" t="s">
        <v>11</v>
      </c>
      <c r="C1047" s="51">
        <v>138851977854</v>
      </c>
      <c r="D1047" s="1">
        <v>42576.91</v>
      </c>
      <c r="E1047" s="1">
        <v>13512582.439999999</v>
      </c>
      <c r="F1047" t="s">
        <v>1280</v>
      </c>
      <c r="I1047" s="16"/>
      <c r="J1047" s="68"/>
      <c r="K1047" s="68"/>
      <c r="L1047" s="68"/>
      <c r="M1047" s="74">
        <f t="shared" si="19"/>
        <v>42576.91</v>
      </c>
    </row>
    <row r="1048" spans="1:13">
      <c r="A1048" t="s">
        <v>134</v>
      </c>
      <c r="B1048" t="s">
        <v>11</v>
      </c>
      <c r="C1048" s="51">
        <v>138211671171</v>
      </c>
      <c r="D1048" s="1">
        <v>10717.3</v>
      </c>
      <c r="E1048" s="1">
        <v>13523299.74</v>
      </c>
      <c r="F1048" t="s">
        <v>1280</v>
      </c>
      <c r="I1048" s="16"/>
      <c r="J1048" s="68"/>
      <c r="K1048" s="68"/>
      <c r="L1048" s="68"/>
      <c r="M1048" s="74">
        <f t="shared" si="19"/>
        <v>10717.3</v>
      </c>
    </row>
    <row r="1049" spans="1:13">
      <c r="A1049" t="s">
        <v>134</v>
      </c>
      <c r="B1049" t="s">
        <v>11</v>
      </c>
      <c r="C1049" s="51">
        <v>138211779431</v>
      </c>
      <c r="D1049" s="1">
        <v>63426.93</v>
      </c>
      <c r="E1049" s="1">
        <v>13586726.67</v>
      </c>
      <c r="F1049" t="s">
        <v>1280</v>
      </c>
      <c r="I1049" s="16"/>
      <c r="J1049" s="68"/>
      <c r="K1049" s="68"/>
      <c r="L1049" s="68"/>
      <c r="M1049" s="74">
        <f t="shared" si="19"/>
        <v>63426.93</v>
      </c>
    </row>
    <row r="1050" spans="1:13">
      <c r="A1050" t="s">
        <v>134</v>
      </c>
      <c r="B1050" t="s">
        <v>11</v>
      </c>
      <c r="C1050" s="51">
        <v>138852403078</v>
      </c>
      <c r="D1050" s="1">
        <v>9353.2800000000007</v>
      </c>
      <c r="E1050" s="1">
        <v>13596079.949999999</v>
      </c>
      <c r="F1050" t="s">
        <v>1280</v>
      </c>
      <c r="I1050" s="16"/>
      <c r="J1050" s="68"/>
      <c r="K1050" s="68"/>
      <c r="L1050" s="68"/>
      <c r="M1050" s="74">
        <f t="shared" si="19"/>
        <v>9353.2800000000007</v>
      </c>
    </row>
    <row r="1051" spans="1:13">
      <c r="A1051" t="s">
        <v>134</v>
      </c>
      <c r="B1051" t="s">
        <v>11</v>
      </c>
      <c r="C1051" s="51">
        <v>138852498598</v>
      </c>
      <c r="D1051" s="1">
        <v>9548.14</v>
      </c>
      <c r="E1051" s="1">
        <v>13605628.09</v>
      </c>
      <c r="F1051" t="s">
        <v>1280</v>
      </c>
      <c r="I1051" s="16"/>
      <c r="J1051" s="68"/>
      <c r="K1051" s="68"/>
      <c r="L1051" s="68"/>
      <c r="M1051" s="74">
        <f t="shared" si="19"/>
        <v>9548.14</v>
      </c>
    </row>
    <row r="1052" spans="1:13">
      <c r="A1052" t="s">
        <v>134</v>
      </c>
      <c r="B1052" t="s">
        <v>11</v>
      </c>
      <c r="C1052" s="51">
        <v>138852696652</v>
      </c>
      <c r="D1052" s="1">
        <v>10717.3</v>
      </c>
      <c r="E1052" s="1">
        <v>13616345.390000001</v>
      </c>
      <c r="F1052" t="s">
        <v>1280</v>
      </c>
      <c r="I1052" s="16"/>
      <c r="J1052" s="68"/>
      <c r="K1052" s="68"/>
      <c r="L1052" s="68"/>
      <c r="M1052" s="74">
        <f t="shared" si="19"/>
        <v>10717.3</v>
      </c>
    </row>
    <row r="1053" spans="1:13">
      <c r="A1053" t="s">
        <v>134</v>
      </c>
      <c r="B1053" t="s">
        <v>11</v>
      </c>
      <c r="C1053" s="51">
        <v>138212356555</v>
      </c>
      <c r="D1053" s="1">
        <v>9743</v>
      </c>
      <c r="E1053" s="1">
        <v>13626088.390000001</v>
      </c>
      <c r="F1053" t="s">
        <v>1280</v>
      </c>
      <c r="I1053" s="16"/>
      <c r="J1053" s="68"/>
      <c r="K1053" s="68"/>
      <c r="L1053" s="68"/>
      <c r="M1053" s="74">
        <f t="shared" si="19"/>
        <v>9743</v>
      </c>
    </row>
    <row r="1054" spans="1:13">
      <c r="A1054" t="s">
        <v>134</v>
      </c>
      <c r="B1054" t="s">
        <v>11</v>
      </c>
      <c r="C1054" s="51">
        <v>138853192420</v>
      </c>
      <c r="D1054" s="1">
        <v>25136.94</v>
      </c>
      <c r="E1054" s="1">
        <v>13651225.33</v>
      </c>
      <c r="F1054" t="s">
        <v>1280</v>
      </c>
      <c r="I1054" s="16"/>
      <c r="J1054" s="68"/>
      <c r="K1054" s="68"/>
      <c r="L1054" s="68"/>
      <c r="M1054" s="74">
        <f t="shared" si="19"/>
        <v>25136.94</v>
      </c>
    </row>
    <row r="1055" spans="1:13">
      <c r="A1055" t="s">
        <v>134</v>
      </c>
      <c r="B1055" t="s">
        <v>11</v>
      </c>
      <c r="C1055" s="51">
        <v>138853202756</v>
      </c>
      <c r="D1055" s="1">
        <v>91635.9</v>
      </c>
      <c r="E1055" s="1">
        <v>13744124.140000001</v>
      </c>
      <c r="F1055" t="s">
        <v>1280</v>
      </c>
      <c r="I1055" s="16"/>
      <c r="J1055" s="68"/>
      <c r="K1055" s="68"/>
      <c r="L1055" s="68"/>
      <c r="M1055" s="74">
        <f t="shared" si="19"/>
        <v>91635.9</v>
      </c>
    </row>
    <row r="1056" spans="1:13">
      <c r="A1056" t="s">
        <v>134</v>
      </c>
      <c r="B1056" t="s">
        <v>11</v>
      </c>
      <c r="C1056" s="51">
        <v>138212818677</v>
      </c>
      <c r="D1056" s="1">
        <v>75313.39</v>
      </c>
      <c r="E1056" s="1">
        <v>13819437.529999999</v>
      </c>
      <c r="F1056" t="s">
        <v>1280</v>
      </c>
      <c r="I1056" s="16"/>
      <c r="J1056" s="68"/>
      <c r="K1056" s="68"/>
      <c r="L1056" s="68"/>
      <c r="M1056" s="74">
        <f t="shared" si="19"/>
        <v>75313.39</v>
      </c>
    </row>
    <row r="1057" spans="1:13">
      <c r="A1057" t="s">
        <v>134</v>
      </c>
      <c r="B1057" t="s">
        <v>11</v>
      </c>
      <c r="C1057" s="51">
        <v>138853313116</v>
      </c>
      <c r="D1057" s="1">
        <v>20460.3</v>
      </c>
      <c r="E1057" s="1">
        <v>13814760.890000001</v>
      </c>
      <c r="F1057" t="s">
        <v>1280</v>
      </c>
      <c r="I1057" s="16"/>
      <c r="J1057" s="68"/>
      <c r="K1057" s="68"/>
      <c r="L1057" s="68"/>
      <c r="M1057" s="74">
        <f t="shared" si="19"/>
        <v>20460.3</v>
      </c>
    </row>
    <row r="1058" spans="1:13">
      <c r="A1058" t="s">
        <v>134</v>
      </c>
      <c r="B1058" t="s">
        <v>11</v>
      </c>
      <c r="C1058" s="51">
        <v>138853442612</v>
      </c>
      <c r="D1058" s="1">
        <v>10035.290000000001</v>
      </c>
      <c r="E1058" s="1">
        <v>13824796.18</v>
      </c>
      <c r="F1058" t="s">
        <v>1280</v>
      </c>
      <c r="I1058" s="16"/>
      <c r="J1058" s="68"/>
      <c r="K1058" s="68"/>
      <c r="L1058" s="68"/>
      <c r="M1058" s="74">
        <f t="shared" si="19"/>
        <v>10035.290000000001</v>
      </c>
    </row>
    <row r="1059" spans="1:13">
      <c r="A1059" t="s">
        <v>134</v>
      </c>
      <c r="B1059" t="s">
        <v>11</v>
      </c>
      <c r="C1059" s="51">
        <v>138213130077</v>
      </c>
      <c r="D1059" s="1">
        <v>19486</v>
      </c>
      <c r="E1059" s="1">
        <v>13844282.18</v>
      </c>
      <c r="F1059" t="s">
        <v>1280</v>
      </c>
      <c r="I1059" s="16"/>
      <c r="J1059" s="68"/>
      <c r="K1059" s="68"/>
      <c r="L1059" s="68"/>
      <c r="M1059" s="74">
        <f t="shared" si="19"/>
        <v>19486</v>
      </c>
    </row>
    <row r="1060" spans="1:13">
      <c r="A1060" t="s">
        <v>127</v>
      </c>
      <c r="B1060" t="s">
        <v>132</v>
      </c>
      <c r="C1060" s="51">
        <v>138205242047</v>
      </c>
      <c r="D1060" s="1">
        <v>2418.13</v>
      </c>
      <c r="E1060" s="1">
        <v>12947104.199999999</v>
      </c>
      <c r="F1060" t="s">
        <v>1280</v>
      </c>
      <c r="I1060" s="16"/>
      <c r="J1060" s="68"/>
      <c r="K1060" s="68"/>
      <c r="L1060" s="68"/>
      <c r="M1060" s="74">
        <f t="shared" si="19"/>
        <v>2418.13</v>
      </c>
    </row>
    <row r="1061" spans="1:13">
      <c r="A1061" t="s">
        <v>134</v>
      </c>
      <c r="B1061" t="s">
        <v>11</v>
      </c>
      <c r="C1061" s="51">
        <v>138853958868</v>
      </c>
      <c r="D1061" s="1">
        <v>14926.26</v>
      </c>
      <c r="E1061" s="1">
        <v>13860187.439999999</v>
      </c>
      <c r="F1061" t="s">
        <v>1280</v>
      </c>
      <c r="I1061" s="16"/>
      <c r="J1061" s="68"/>
      <c r="K1061" s="68"/>
      <c r="L1061" s="68"/>
      <c r="M1061" s="74">
        <f t="shared" si="19"/>
        <v>14926.26</v>
      </c>
    </row>
    <row r="1062" spans="1:13">
      <c r="A1062" t="s">
        <v>134</v>
      </c>
      <c r="B1062" t="s">
        <v>11</v>
      </c>
      <c r="C1062" s="51">
        <v>138213612905</v>
      </c>
      <c r="D1062" s="1">
        <v>10230.15</v>
      </c>
      <c r="E1062" s="1">
        <v>13870417.59</v>
      </c>
      <c r="F1062" t="s">
        <v>1280</v>
      </c>
      <c r="I1062" s="16"/>
      <c r="J1062" s="68"/>
      <c r="K1062" s="68"/>
      <c r="L1062" s="68"/>
      <c r="M1062" s="74">
        <f t="shared" si="19"/>
        <v>10230.15</v>
      </c>
    </row>
    <row r="1063" spans="1:13">
      <c r="A1063" t="s">
        <v>134</v>
      </c>
      <c r="B1063" t="s">
        <v>11</v>
      </c>
      <c r="C1063" s="51">
        <v>138213756749</v>
      </c>
      <c r="D1063" s="1">
        <v>26695.82</v>
      </c>
      <c r="E1063" s="1">
        <v>13897113.41</v>
      </c>
      <c r="F1063" t="s">
        <v>1280</v>
      </c>
      <c r="I1063" s="16"/>
      <c r="J1063" s="68"/>
      <c r="K1063" s="68"/>
      <c r="L1063" s="68"/>
      <c r="M1063" s="74">
        <f t="shared" si="19"/>
        <v>26695.82</v>
      </c>
    </row>
    <row r="1064" spans="1:13">
      <c r="A1064" t="s">
        <v>134</v>
      </c>
      <c r="B1064" t="s">
        <v>11</v>
      </c>
      <c r="C1064" s="51">
        <v>138854466710</v>
      </c>
      <c r="D1064" s="1">
        <v>29284.32</v>
      </c>
      <c r="E1064" s="1">
        <v>13926397.73</v>
      </c>
      <c r="F1064" t="s">
        <v>1280</v>
      </c>
      <c r="I1064" s="16"/>
      <c r="J1064" s="68"/>
      <c r="K1064" s="68"/>
      <c r="L1064" s="68"/>
      <c r="M1064" s="74">
        <f t="shared" ref="M1064:M1127" si="20">+D1064-I1064-J1064-K1064-L1064</f>
        <v>29284.32</v>
      </c>
    </row>
    <row r="1065" spans="1:13">
      <c r="A1065" t="s">
        <v>134</v>
      </c>
      <c r="B1065" t="s">
        <v>11</v>
      </c>
      <c r="C1065" s="51">
        <v>138854698280</v>
      </c>
      <c r="D1065" s="1">
        <v>16075.95</v>
      </c>
      <c r="E1065" s="1">
        <v>13942473.68</v>
      </c>
      <c r="F1065" t="s">
        <v>1280</v>
      </c>
      <c r="I1065" s="16"/>
      <c r="J1065" s="68"/>
      <c r="K1065" s="68"/>
      <c r="L1065" s="68"/>
      <c r="M1065" s="74">
        <f t="shared" si="20"/>
        <v>16075.95</v>
      </c>
    </row>
    <row r="1066" spans="1:13">
      <c r="A1066" t="s">
        <v>134</v>
      </c>
      <c r="B1066" t="s">
        <v>11</v>
      </c>
      <c r="C1066" s="51">
        <v>138854732718</v>
      </c>
      <c r="D1066" s="1">
        <v>4676.6400000000003</v>
      </c>
      <c r="E1066" s="1">
        <v>13947150.32</v>
      </c>
      <c r="F1066" t="s">
        <v>1280</v>
      </c>
      <c r="I1066" s="16"/>
      <c r="J1066" s="68"/>
      <c r="K1066" s="68"/>
      <c r="L1066" s="68"/>
      <c r="M1066" s="74">
        <f t="shared" si="20"/>
        <v>4676.6400000000003</v>
      </c>
    </row>
    <row r="1067" spans="1:13">
      <c r="A1067" t="s">
        <v>127</v>
      </c>
      <c r="B1067" t="s">
        <v>133</v>
      </c>
      <c r="C1067" s="51">
        <v>138207819305</v>
      </c>
      <c r="D1067">
        <v>969.21</v>
      </c>
      <c r="E1067" s="1">
        <v>13165262.460000001</v>
      </c>
      <c r="F1067" t="s">
        <v>1280</v>
      </c>
      <c r="I1067" s="16"/>
      <c r="J1067" s="68"/>
      <c r="K1067" s="68"/>
      <c r="L1067" s="68"/>
      <c r="M1067" s="74">
        <f t="shared" si="20"/>
        <v>969.21</v>
      </c>
    </row>
    <row r="1068" spans="1:13">
      <c r="A1068" t="s">
        <v>134</v>
      </c>
      <c r="B1068" t="s">
        <v>11</v>
      </c>
      <c r="C1068" s="51">
        <v>138214397525</v>
      </c>
      <c r="D1068" s="1">
        <v>9548.14</v>
      </c>
      <c r="E1068" s="1">
        <v>13956698.460000001</v>
      </c>
      <c r="F1068" t="s">
        <v>1280</v>
      </c>
      <c r="I1068" s="16"/>
      <c r="J1068" s="68"/>
      <c r="K1068" s="68"/>
      <c r="L1068" s="68"/>
      <c r="M1068" s="74">
        <f t="shared" si="20"/>
        <v>9548.14</v>
      </c>
    </row>
    <row r="1069" spans="1:13">
      <c r="A1069" t="s">
        <v>134</v>
      </c>
      <c r="B1069" t="s">
        <v>135</v>
      </c>
      <c r="C1069" s="51">
        <v>138849001012</v>
      </c>
      <c r="D1069" s="1">
        <v>1419.55</v>
      </c>
      <c r="E1069" s="1">
        <v>13180809.359999999</v>
      </c>
      <c r="F1069" t="s">
        <v>1280</v>
      </c>
      <c r="I1069" s="16"/>
      <c r="J1069" s="68"/>
      <c r="K1069" s="68"/>
      <c r="L1069" s="68"/>
      <c r="M1069" s="74">
        <f t="shared" si="20"/>
        <v>1419.55</v>
      </c>
    </row>
    <row r="1070" spans="1:13">
      <c r="A1070" t="s">
        <v>134</v>
      </c>
      <c r="B1070" t="s">
        <v>11</v>
      </c>
      <c r="C1070" s="51">
        <v>138854924608</v>
      </c>
      <c r="D1070" s="1">
        <v>4871.5</v>
      </c>
      <c r="E1070" s="1">
        <v>13961569.960000001</v>
      </c>
      <c r="F1070" t="s">
        <v>1280</v>
      </c>
      <c r="I1070" s="16"/>
      <c r="J1070" s="68"/>
      <c r="K1070" s="68"/>
      <c r="L1070" s="68"/>
      <c r="M1070" s="74">
        <f t="shared" si="20"/>
        <v>4871.5</v>
      </c>
    </row>
    <row r="1071" spans="1:13">
      <c r="A1071" t="s">
        <v>134</v>
      </c>
      <c r="B1071" t="s">
        <v>11</v>
      </c>
      <c r="C1071" s="51">
        <v>138214651007</v>
      </c>
      <c r="D1071" s="1">
        <v>138448.03</v>
      </c>
      <c r="E1071" s="1">
        <v>14100017.99</v>
      </c>
      <c r="F1071" t="s">
        <v>1280</v>
      </c>
      <c r="I1071" s="16"/>
      <c r="J1071" s="68"/>
      <c r="K1071" s="68"/>
      <c r="L1071" s="68"/>
      <c r="M1071" s="74">
        <f t="shared" si="20"/>
        <v>138448.03</v>
      </c>
    </row>
    <row r="1072" spans="1:13">
      <c r="A1072" t="s">
        <v>134</v>
      </c>
      <c r="B1072" t="s">
        <v>11</v>
      </c>
      <c r="C1072" s="51">
        <v>138855188874</v>
      </c>
      <c r="D1072" s="1">
        <v>9548.14</v>
      </c>
      <c r="E1072" s="1">
        <v>14116521.92</v>
      </c>
      <c r="F1072" t="s">
        <v>1280</v>
      </c>
      <c r="I1072" s="16"/>
      <c r="J1072" s="68"/>
      <c r="K1072" s="68"/>
      <c r="L1072" s="68"/>
      <c r="M1072" s="74">
        <f t="shared" si="20"/>
        <v>9548.14</v>
      </c>
    </row>
    <row r="1073" spans="1:13">
      <c r="A1073" t="s">
        <v>134</v>
      </c>
      <c r="B1073" t="s">
        <v>11</v>
      </c>
      <c r="C1073" s="51">
        <v>138855285094</v>
      </c>
      <c r="D1073" s="1">
        <v>125197.55</v>
      </c>
      <c r="E1073" s="1">
        <v>14241719.470000001</v>
      </c>
      <c r="F1073" t="s">
        <v>1280</v>
      </c>
      <c r="I1073" s="16"/>
      <c r="J1073" s="68"/>
      <c r="K1073" s="68"/>
      <c r="L1073" s="68"/>
      <c r="M1073" s="74">
        <f t="shared" si="20"/>
        <v>125197.55</v>
      </c>
    </row>
    <row r="1074" spans="1:13">
      <c r="A1074" t="s">
        <v>134</v>
      </c>
      <c r="B1074" t="s">
        <v>11</v>
      </c>
      <c r="C1074" s="51">
        <v>138214932755</v>
      </c>
      <c r="D1074" s="1">
        <v>35212.639999999999</v>
      </c>
      <c r="E1074" s="1">
        <v>14276932.109999999</v>
      </c>
      <c r="F1074" t="s">
        <v>1280</v>
      </c>
      <c r="I1074" s="16"/>
      <c r="J1074" s="68"/>
      <c r="K1074" s="68"/>
      <c r="L1074" s="68"/>
      <c r="M1074" s="74">
        <f t="shared" si="20"/>
        <v>35212.639999999999</v>
      </c>
    </row>
    <row r="1075" spans="1:13">
      <c r="A1075" t="s">
        <v>134</v>
      </c>
      <c r="B1075" t="s">
        <v>11</v>
      </c>
      <c r="C1075" s="51">
        <v>138215041405</v>
      </c>
      <c r="D1075" s="1">
        <v>14029.92</v>
      </c>
      <c r="E1075" s="1">
        <v>14290962.029999999</v>
      </c>
      <c r="F1075" t="s">
        <v>1280</v>
      </c>
      <c r="I1075" s="16"/>
      <c r="J1075" s="68"/>
      <c r="K1075" s="68"/>
      <c r="L1075" s="68"/>
      <c r="M1075" s="74">
        <f t="shared" si="20"/>
        <v>14029.92</v>
      </c>
    </row>
    <row r="1076" spans="1:13">
      <c r="A1076" t="s">
        <v>134</v>
      </c>
      <c r="B1076" t="s">
        <v>11</v>
      </c>
      <c r="C1076" s="51">
        <v>138215082017</v>
      </c>
      <c r="D1076" s="1">
        <v>10717.3</v>
      </c>
      <c r="E1076" s="1">
        <v>14301679.33</v>
      </c>
      <c r="F1076" t="s">
        <v>1280</v>
      </c>
      <c r="I1076" s="16"/>
      <c r="J1076" s="68"/>
      <c r="K1076" s="68"/>
      <c r="L1076" s="68"/>
      <c r="M1076" s="74">
        <f t="shared" si="20"/>
        <v>10717.3</v>
      </c>
    </row>
    <row r="1077" spans="1:13">
      <c r="A1077" t="s">
        <v>134</v>
      </c>
      <c r="B1077" t="s">
        <v>11</v>
      </c>
      <c r="C1077" s="51">
        <v>138215130073</v>
      </c>
      <c r="D1077" s="1">
        <v>9198.2800000000007</v>
      </c>
      <c r="E1077" s="1">
        <v>14310877.609999999</v>
      </c>
      <c r="F1077" t="s">
        <v>1280</v>
      </c>
      <c r="I1077" s="16"/>
      <c r="J1077" s="68"/>
      <c r="K1077" s="68"/>
      <c r="L1077" s="68"/>
      <c r="M1077" s="74">
        <f t="shared" si="20"/>
        <v>9198.2800000000007</v>
      </c>
    </row>
    <row r="1078" spans="1:13">
      <c r="A1078" t="s">
        <v>134</v>
      </c>
      <c r="B1078" t="s">
        <v>11</v>
      </c>
      <c r="C1078" s="51">
        <v>138215334949</v>
      </c>
      <c r="D1078" s="1">
        <v>18414.27</v>
      </c>
      <c r="E1078" s="1">
        <v>14329291.880000001</v>
      </c>
      <c r="F1078" t="s">
        <v>1280</v>
      </c>
      <c r="I1078" s="16"/>
      <c r="J1078" s="68"/>
      <c r="K1078" s="68"/>
      <c r="L1078" s="68"/>
      <c r="M1078" s="74">
        <f t="shared" si="20"/>
        <v>18414.27</v>
      </c>
    </row>
    <row r="1079" spans="1:13">
      <c r="A1079" t="s">
        <v>134</v>
      </c>
      <c r="B1079" t="s">
        <v>11</v>
      </c>
      <c r="C1079" s="51">
        <v>138855980124</v>
      </c>
      <c r="D1079" s="1">
        <v>19291.14</v>
      </c>
      <c r="E1079" s="1">
        <v>14348583.02</v>
      </c>
      <c r="F1079" t="s">
        <v>1280</v>
      </c>
      <c r="I1079" s="16"/>
      <c r="J1079" s="68"/>
      <c r="K1079" s="68"/>
      <c r="L1079" s="68"/>
      <c r="M1079" s="74">
        <f t="shared" si="20"/>
        <v>19291.14</v>
      </c>
    </row>
    <row r="1080" spans="1:13">
      <c r="A1080" t="s">
        <v>134</v>
      </c>
      <c r="B1080" t="s">
        <v>11</v>
      </c>
      <c r="C1080" s="51">
        <v>138855967168</v>
      </c>
      <c r="D1080" s="1">
        <v>10230.15</v>
      </c>
      <c r="E1080" s="1">
        <v>14358813.17</v>
      </c>
      <c r="F1080" t="s">
        <v>1280</v>
      </c>
      <c r="I1080" s="16"/>
      <c r="J1080" s="68"/>
      <c r="K1080" s="68"/>
      <c r="L1080" s="68"/>
      <c r="M1080" s="74">
        <f t="shared" si="20"/>
        <v>10230.15</v>
      </c>
    </row>
    <row r="1081" spans="1:13">
      <c r="A1081" t="s">
        <v>134</v>
      </c>
      <c r="B1081" t="s">
        <v>11</v>
      </c>
      <c r="C1081" s="51">
        <v>138856026646</v>
      </c>
      <c r="D1081" s="1">
        <v>44778.78</v>
      </c>
      <c r="E1081" s="1">
        <v>14403591.949999999</v>
      </c>
      <c r="F1081" t="s">
        <v>1280</v>
      </c>
      <c r="I1081" s="16"/>
      <c r="J1081" s="68"/>
      <c r="K1081" s="68"/>
      <c r="L1081" s="68"/>
      <c r="M1081" s="74">
        <f t="shared" si="20"/>
        <v>44778.78</v>
      </c>
    </row>
    <row r="1082" spans="1:13">
      <c r="A1082" t="s">
        <v>134</v>
      </c>
      <c r="B1082" t="s">
        <v>11</v>
      </c>
      <c r="C1082" s="51">
        <v>138856057240</v>
      </c>
      <c r="D1082" s="1">
        <v>49007.29</v>
      </c>
      <c r="E1082" s="1">
        <v>14452599.24</v>
      </c>
      <c r="F1082" t="s">
        <v>1280</v>
      </c>
      <c r="I1082" s="16"/>
      <c r="J1082" s="68"/>
      <c r="K1082" s="68"/>
      <c r="L1082" s="68"/>
      <c r="M1082" s="74">
        <f t="shared" si="20"/>
        <v>49007.29</v>
      </c>
    </row>
    <row r="1083" spans="1:13">
      <c r="A1083" t="s">
        <v>134</v>
      </c>
      <c r="B1083" t="s">
        <v>11</v>
      </c>
      <c r="C1083" s="51">
        <v>138216488259</v>
      </c>
      <c r="D1083" s="1">
        <v>15978.52</v>
      </c>
      <c r="E1083" s="1">
        <v>14471039.939999999</v>
      </c>
      <c r="F1083" t="s">
        <v>1280</v>
      </c>
      <c r="I1083" s="16"/>
      <c r="J1083" s="68"/>
      <c r="K1083" s="68"/>
      <c r="L1083" s="68"/>
      <c r="M1083" s="74">
        <f t="shared" si="20"/>
        <v>15978.52</v>
      </c>
    </row>
    <row r="1084" spans="1:13">
      <c r="A1084" t="s">
        <v>134</v>
      </c>
      <c r="B1084" t="s">
        <v>11</v>
      </c>
      <c r="C1084" s="51">
        <v>138216467745</v>
      </c>
      <c r="D1084" s="1">
        <v>109253.04</v>
      </c>
      <c r="E1084" s="1">
        <v>14581095.76</v>
      </c>
      <c r="F1084" t="s">
        <v>1280</v>
      </c>
      <c r="I1084" s="16"/>
      <c r="J1084" s="68"/>
      <c r="K1084" s="68"/>
      <c r="L1084" s="68"/>
      <c r="M1084" s="74">
        <f t="shared" si="20"/>
        <v>109253.04</v>
      </c>
    </row>
    <row r="1085" spans="1:13">
      <c r="A1085" t="s">
        <v>134</v>
      </c>
      <c r="B1085" t="s">
        <v>11</v>
      </c>
      <c r="C1085" s="51">
        <v>138856950028</v>
      </c>
      <c r="D1085" s="1">
        <v>30702.75</v>
      </c>
      <c r="E1085" s="1">
        <v>14611798.51</v>
      </c>
      <c r="F1085" t="s">
        <v>1280</v>
      </c>
      <c r="I1085" s="16"/>
      <c r="J1085" s="68"/>
      <c r="K1085" s="68"/>
      <c r="L1085" s="68"/>
      <c r="M1085" s="74">
        <f t="shared" si="20"/>
        <v>30702.75</v>
      </c>
    </row>
    <row r="1086" spans="1:13">
      <c r="A1086" t="s">
        <v>134</v>
      </c>
      <c r="B1086" t="s">
        <v>11</v>
      </c>
      <c r="C1086" s="51">
        <v>138857415050</v>
      </c>
      <c r="D1086" s="1">
        <v>9986.9</v>
      </c>
      <c r="E1086" s="1">
        <v>14621785.41</v>
      </c>
      <c r="F1086" t="s">
        <v>1280</v>
      </c>
      <c r="I1086" s="16"/>
      <c r="J1086" s="68"/>
      <c r="K1086" s="68"/>
      <c r="L1086" s="68"/>
      <c r="M1086" s="74">
        <f t="shared" si="20"/>
        <v>9986.9</v>
      </c>
    </row>
    <row r="1087" spans="1:13">
      <c r="A1087" t="s">
        <v>134</v>
      </c>
      <c r="B1087" t="s">
        <v>11</v>
      </c>
      <c r="C1087" s="51">
        <v>138217368551</v>
      </c>
      <c r="D1087" s="1">
        <v>49007.29</v>
      </c>
      <c r="E1087" s="1">
        <v>14670792.699999999</v>
      </c>
      <c r="F1087" t="s">
        <v>1280</v>
      </c>
      <c r="I1087" s="16"/>
      <c r="J1087" s="68"/>
      <c r="K1087" s="68"/>
      <c r="L1087" s="68"/>
      <c r="M1087" s="74">
        <f t="shared" si="20"/>
        <v>49007.29</v>
      </c>
    </row>
    <row r="1088" spans="1:13">
      <c r="A1088" t="s">
        <v>134</v>
      </c>
      <c r="B1088" t="s">
        <v>11</v>
      </c>
      <c r="C1088" s="51">
        <v>138857784600</v>
      </c>
      <c r="D1088" s="1">
        <v>14711.93</v>
      </c>
      <c r="E1088" s="1">
        <v>14685504.630000001</v>
      </c>
      <c r="F1088" t="s">
        <v>1280</v>
      </c>
      <c r="I1088" s="16"/>
      <c r="J1088" s="68"/>
      <c r="K1088" s="68"/>
      <c r="L1088" s="68"/>
      <c r="M1088" s="74">
        <f t="shared" si="20"/>
        <v>14711.93</v>
      </c>
    </row>
    <row r="1089" spans="1:13">
      <c r="A1089" t="s">
        <v>134</v>
      </c>
      <c r="B1089" t="s">
        <v>136</v>
      </c>
      <c r="C1089" s="51">
        <v>138853147094</v>
      </c>
      <c r="D1089" s="1">
        <v>1262.9100000000001</v>
      </c>
      <c r="E1089" s="1">
        <v>13652488.24</v>
      </c>
      <c r="F1089" t="s">
        <v>1280</v>
      </c>
      <c r="I1089" s="16"/>
      <c r="J1089" s="68"/>
      <c r="K1089" s="68"/>
      <c r="L1089" s="68"/>
      <c r="M1089" s="74">
        <f t="shared" si="20"/>
        <v>1262.9100000000001</v>
      </c>
    </row>
    <row r="1090" spans="1:13">
      <c r="A1090" t="s">
        <v>134</v>
      </c>
      <c r="B1090" t="s">
        <v>11</v>
      </c>
      <c r="C1090" s="51">
        <v>138217572119</v>
      </c>
      <c r="D1090" s="1">
        <v>10035.290000000001</v>
      </c>
      <c r="E1090" s="1">
        <v>14695539.92</v>
      </c>
      <c r="F1090" t="s">
        <v>1280</v>
      </c>
      <c r="I1090" s="16"/>
      <c r="J1090" s="68"/>
      <c r="K1090" s="68"/>
      <c r="L1090" s="68"/>
      <c r="M1090" s="74">
        <f t="shared" si="20"/>
        <v>10035.290000000001</v>
      </c>
    </row>
    <row r="1091" spans="1:13">
      <c r="A1091" t="s">
        <v>134</v>
      </c>
      <c r="B1091" t="s">
        <v>11</v>
      </c>
      <c r="C1091" s="51">
        <v>138217537137</v>
      </c>
      <c r="D1091" s="1">
        <v>10717.3</v>
      </c>
      <c r="E1091" s="1">
        <v>14706257.220000001</v>
      </c>
      <c r="F1091" t="s">
        <v>1280</v>
      </c>
      <c r="I1091" s="16"/>
      <c r="J1091" s="68"/>
      <c r="K1091" s="68"/>
      <c r="L1091" s="68"/>
      <c r="M1091" s="74">
        <f t="shared" si="20"/>
        <v>10717.3</v>
      </c>
    </row>
    <row r="1092" spans="1:13">
      <c r="A1092" t="s">
        <v>134</v>
      </c>
      <c r="B1092" t="s">
        <v>11</v>
      </c>
      <c r="C1092" s="51">
        <v>138217640499</v>
      </c>
      <c r="D1092" s="1">
        <v>19096.28</v>
      </c>
      <c r="E1092" s="1">
        <v>14725353.5</v>
      </c>
      <c r="F1092" t="s">
        <v>1280</v>
      </c>
      <c r="I1092" s="16"/>
      <c r="J1092" s="68"/>
      <c r="K1092" s="68"/>
      <c r="L1092" s="68"/>
      <c r="M1092" s="74">
        <f t="shared" si="20"/>
        <v>19096.28</v>
      </c>
    </row>
    <row r="1093" spans="1:13">
      <c r="A1093" t="s">
        <v>134</v>
      </c>
      <c r="B1093" t="s">
        <v>11</v>
      </c>
      <c r="C1093" s="51">
        <v>138857992860</v>
      </c>
      <c r="D1093" s="1">
        <v>62160.34</v>
      </c>
      <c r="E1093" s="1">
        <v>14787513.84</v>
      </c>
      <c r="F1093" t="s">
        <v>1280</v>
      </c>
      <c r="I1093" s="16"/>
      <c r="J1093" s="68"/>
      <c r="K1093" s="68"/>
      <c r="L1093" s="68"/>
      <c r="M1093" s="74">
        <f t="shared" si="20"/>
        <v>62160.34</v>
      </c>
    </row>
    <row r="1094" spans="1:13">
      <c r="A1094" t="s">
        <v>134</v>
      </c>
      <c r="B1094" t="s">
        <v>11</v>
      </c>
      <c r="C1094" s="51">
        <v>138217702891</v>
      </c>
      <c r="D1094" s="1">
        <v>98794.02</v>
      </c>
      <c r="E1094" s="1">
        <v>14889430.869999999</v>
      </c>
      <c r="F1094" t="s">
        <v>1280</v>
      </c>
      <c r="I1094" s="16"/>
      <c r="J1094" s="68"/>
      <c r="K1094" s="68"/>
      <c r="L1094" s="68"/>
      <c r="M1094" s="74">
        <f t="shared" si="20"/>
        <v>98794.02</v>
      </c>
    </row>
    <row r="1095" spans="1:13">
      <c r="A1095" t="s">
        <v>134</v>
      </c>
      <c r="B1095" t="s">
        <v>11</v>
      </c>
      <c r="C1095" s="51">
        <v>138217707315</v>
      </c>
      <c r="D1095" s="1">
        <v>26306.1</v>
      </c>
      <c r="E1095" s="1">
        <v>14915736.970000001</v>
      </c>
      <c r="F1095" t="s">
        <v>1280</v>
      </c>
      <c r="I1095" s="16"/>
      <c r="J1095" s="68"/>
      <c r="K1095" s="68"/>
      <c r="L1095" s="68"/>
      <c r="M1095" s="74">
        <f t="shared" si="20"/>
        <v>26306.1</v>
      </c>
    </row>
    <row r="1096" spans="1:13">
      <c r="A1096" t="s">
        <v>134</v>
      </c>
      <c r="B1096" t="s">
        <v>137</v>
      </c>
      <c r="C1096" s="51">
        <v>138213161831</v>
      </c>
      <c r="D1096">
        <v>979</v>
      </c>
      <c r="E1096" s="1">
        <v>13845261.18</v>
      </c>
      <c r="F1096" t="s">
        <v>1280</v>
      </c>
      <c r="I1096" s="16"/>
      <c r="J1096" s="68"/>
      <c r="K1096" s="68"/>
      <c r="L1096" s="68"/>
      <c r="M1096" s="74">
        <f t="shared" si="20"/>
        <v>979</v>
      </c>
    </row>
    <row r="1097" spans="1:13">
      <c r="A1097" t="s">
        <v>134</v>
      </c>
      <c r="B1097" t="s">
        <v>11</v>
      </c>
      <c r="C1097" s="51">
        <v>138217710071</v>
      </c>
      <c r="D1097" s="1">
        <v>14711.93</v>
      </c>
      <c r="E1097" s="1">
        <v>14930448.9</v>
      </c>
      <c r="F1097" t="s">
        <v>1280</v>
      </c>
      <c r="I1097" s="16"/>
      <c r="J1097" s="68"/>
      <c r="K1097" s="68"/>
      <c r="L1097" s="68"/>
      <c r="M1097" s="74">
        <f t="shared" si="20"/>
        <v>14711.93</v>
      </c>
    </row>
    <row r="1098" spans="1:13">
      <c r="A1098" t="s">
        <v>134</v>
      </c>
      <c r="B1098" t="s">
        <v>11</v>
      </c>
      <c r="C1098" s="51">
        <v>138931151502</v>
      </c>
      <c r="D1098" s="1">
        <v>5358.65</v>
      </c>
      <c r="E1098" s="1">
        <v>14936546.689999999</v>
      </c>
      <c r="F1098" t="s">
        <v>1280</v>
      </c>
      <c r="I1098" s="16"/>
      <c r="J1098" s="68"/>
      <c r="K1098" s="68"/>
      <c r="L1098" s="68"/>
      <c r="M1098" s="74">
        <f t="shared" si="20"/>
        <v>5358.65</v>
      </c>
    </row>
    <row r="1099" spans="1:13">
      <c r="A1099" t="s">
        <v>134</v>
      </c>
      <c r="B1099" t="s">
        <v>11</v>
      </c>
      <c r="C1099" s="51">
        <v>138298749187</v>
      </c>
      <c r="D1099" s="1">
        <v>12847.92</v>
      </c>
      <c r="E1099" s="1">
        <v>14949394.609999999</v>
      </c>
      <c r="F1099" t="s">
        <v>1280</v>
      </c>
      <c r="I1099" s="16"/>
      <c r="J1099" s="68"/>
      <c r="K1099" s="68"/>
      <c r="L1099" s="68"/>
      <c r="M1099" s="74">
        <f t="shared" si="20"/>
        <v>12847.92</v>
      </c>
    </row>
    <row r="1100" spans="1:13">
      <c r="A1100" t="s">
        <v>134</v>
      </c>
      <c r="B1100" t="s">
        <v>11</v>
      </c>
      <c r="C1100" s="51">
        <v>138305568797</v>
      </c>
      <c r="D1100" s="1">
        <v>18073.259999999998</v>
      </c>
      <c r="E1100" s="1">
        <v>14967467.869999999</v>
      </c>
      <c r="F1100" t="s">
        <v>1280</v>
      </c>
      <c r="I1100" s="16"/>
      <c r="J1100" s="68"/>
      <c r="K1100" s="68"/>
      <c r="L1100" s="68"/>
      <c r="M1100" s="74">
        <f t="shared" si="20"/>
        <v>18073.259999999998</v>
      </c>
    </row>
    <row r="1101" spans="1:13">
      <c r="A1101" t="s">
        <v>134</v>
      </c>
      <c r="B1101" t="s">
        <v>11</v>
      </c>
      <c r="C1101" s="51">
        <v>138305709893</v>
      </c>
      <c r="D1101" s="1">
        <v>48715</v>
      </c>
      <c r="E1101" s="1">
        <v>15016182.869999999</v>
      </c>
      <c r="F1101" t="s">
        <v>1280</v>
      </c>
      <c r="I1101" s="16"/>
      <c r="J1101" s="68"/>
      <c r="K1101" s="68"/>
      <c r="L1101" s="68"/>
      <c r="M1101" s="74">
        <f t="shared" si="20"/>
        <v>48715</v>
      </c>
    </row>
    <row r="1102" spans="1:13">
      <c r="A1102" t="s">
        <v>134</v>
      </c>
      <c r="B1102" t="s">
        <v>11</v>
      </c>
      <c r="C1102" s="51">
        <v>138946864896</v>
      </c>
      <c r="D1102" s="1">
        <v>4629.03</v>
      </c>
      <c r="E1102" s="1">
        <v>15020811.9</v>
      </c>
      <c r="F1102" t="s">
        <v>1280</v>
      </c>
      <c r="I1102" s="16"/>
      <c r="J1102" s="68"/>
      <c r="K1102" s="68"/>
      <c r="L1102" s="68"/>
      <c r="M1102" s="74">
        <f t="shared" si="20"/>
        <v>4629.03</v>
      </c>
    </row>
    <row r="1103" spans="1:13">
      <c r="A1103" t="s">
        <v>134</v>
      </c>
      <c r="B1103" t="s">
        <v>11</v>
      </c>
      <c r="C1103" s="51">
        <v>138306469365</v>
      </c>
      <c r="D1103" s="1">
        <v>24065.21</v>
      </c>
      <c r="E1103" s="1">
        <v>15044877.109999999</v>
      </c>
      <c r="F1103" t="s">
        <v>1280</v>
      </c>
      <c r="I1103" s="16"/>
      <c r="J1103" s="68"/>
      <c r="K1103" s="68"/>
      <c r="L1103" s="68"/>
      <c r="M1103" s="74">
        <f t="shared" si="20"/>
        <v>24065.21</v>
      </c>
    </row>
    <row r="1104" spans="1:13">
      <c r="A1104" t="s">
        <v>134</v>
      </c>
      <c r="B1104" t="s">
        <v>11</v>
      </c>
      <c r="C1104" s="51">
        <v>138307234725</v>
      </c>
      <c r="D1104" s="1">
        <v>28152.06</v>
      </c>
      <c r="E1104" s="1">
        <v>15074238.23</v>
      </c>
      <c r="F1104" t="s">
        <v>1280</v>
      </c>
      <c r="I1104" s="16"/>
      <c r="J1104" s="68"/>
      <c r="K1104" s="68"/>
      <c r="L1104" s="68"/>
      <c r="M1104" s="74">
        <f t="shared" si="20"/>
        <v>28152.06</v>
      </c>
    </row>
    <row r="1105" spans="1:13">
      <c r="A1105" t="s">
        <v>134</v>
      </c>
      <c r="B1105" t="s">
        <v>11</v>
      </c>
      <c r="C1105" s="51">
        <v>138307273445</v>
      </c>
      <c r="D1105" s="1">
        <v>23870.35</v>
      </c>
      <c r="E1105" s="1">
        <v>15098108.58</v>
      </c>
      <c r="F1105" t="s">
        <v>1280</v>
      </c>
      <c r="I1105" s="16"/>
      <c r="J1105" s="68"/>
      <c r="K1105" s="68"/>
      <c r="L1105" s="68"/>
      <c r="M1105" s="74">
        <f t="shared" si="20"/>
        <v>23870.35</v>
      </c>
    </row>
    <row r="1106" spans="1:13">
      <c r="A1106" t="s">
        <v>134</v>
      </c>
      <c r="B1106" t="s">
        <v>85</v>
      </c>
      <c r="C1106" s="51">
        <v>138214690391</v>
      </c>
      <c r="D1106" s="1">
        <v>6955.79</v>
      </c>
      <c r="E1106" s="1">
        <v>14106973.779999999</v>
      </c>
      <c r="F1106" t="s">
        <v>1280</v>
      </c>
      <c r="I1106" s="16"/>
      <c r="J1106" s="68"/>
      <c r="K1106" s="68"/>
      <c r="L1106" s="68"/>
      <c r="M1106" s="74">
        <f t="shared" si="20"/>
        <v>6955.79</v>
      </c>
    </row>
    <row r="1107" spans="1:13">
      <c r="A1107" t="s">
        <v>134</v>
      </c>
      <c r="B1107" t="s">
        <v>11</v>
      </c>
      <c r="C1107" s="51">
        <v>138307429819</v>
      </c>
      <c r="D1107" s="1">
        <v>4871.5</v>
      </c>
      <c r="E1107" s="1">
        <v>15105378.630000001</v>
      </c>
      <c r="F1107" t="s">
        <v>1280</v>
      </c>
      <c r="I1107" s="16"/>
      <c r="J1107" s="68"/>
      <c r="K1107" s="68"/>
      <c r="L1107" s="68"/>
      <c r="M1107" s="74">
        <f t="shared" si="20"/>
        <v>4871.5</v>
      </c>
    </row>
    <row r="1108" spans="1:13">
      <c r="A1108" t="s">
        <v>134</v>
      </c>
      <c r="B1108" t="s">
        <v>11</v>
      </c>
      <c r="C1108" s="51">
        <v>138307491501</v>
      </c>
      <c r="D1108" s="1">
        <v>10391.700000000001</v>
      </c>
      <c r="E1108" s="1">
        <v>15116015.08</v>
      </c>
      <c r="F1108" t="s">
        <v>1280</v>
      </c>
      <c r="I1108" s="16"/>
      <c r="J1108" s="68"/>
      <c r="K1108" s="68"/>
      <c r="L1108" s="68"/>
      <c r="M1108" s="74">
        <f t="shared" si="20"/>
        <v>10391.700000000001</v>
      </c>
    </row>
    <row r="1109" spans="1:13">
      <c r="A1109" t="s">
        <v>134</v>
      </c>
      <c r="B1109" t="s">
        <v>11</v>
      </c>
      <c r="C1109" s="51">
        <v>138950747256</v>
      </c>
      <c r="D1109" s="1">
        <v>24656.67</v>
      </c>
      <c r="E1109" s="1">
        <v>15140671.75</v>
      </c>
      <c r="F1109" t="s">
        <v>1280</v>
      </c>
      <c r="I1109" s="16"/>
      <c r="J1109" s="68"/>
      <c r="K1109" s="68"/>
      <c r="L1109" s="68"/>
      <c r="M1109" s="74">
        <f t="shared" si="20"/>
        <v>24656.67</v>
      </c>
    </row>
    <row r="1110" spans="1:13">
      <c r="A1110" t="s">
        <v>134</v>
      </c>
      <c r="B1110" t="s">
        <v>11</v>
      </c>
      <c r="C1110" s="51">
        <v>138310086197</v>
      </c>
      <c r="D1110" s="1">
        <v>30495.59</v>
      </c>
      <c r="E1110" s="1">
        <v>15171167.34</v>
      </c>
      <c r="F1110" t="s">
        <v>1280</v>
      </c>
      <c r="I1110" s="16"/>
      <c r="J1110" s="68"/>
      <c r="K1110" s="68"/>
      <c r="L1110" s="68"/>
      <c r="M1110" s="74">
        <f t="shared" si="20"/>
        <v>30495.59</v>
      </c>
    </row>
    <row r="1111" spans="1:13">
      <c r="A1111" t="s">
        <v>134</v>
      </c>
      <c r="B1111" t="s">
        <v>11</v>
      </c>
      <c r="C1111" s="51">
        <v>138951541508</v>
      </c>
      <c r="D1111" s="1">
        <v>60460.800000000003</v>
      </c>
      <c r="E1111" s="1">
        <v>15234692.41</v>
      </c>
      <c r="F1111" t="s">
        <v>1280</v>
      </c>
      <c r="I1111" s="16"/>
      <c r="J1111" s="68"/>
      <c r="K1111" s="68"/>
      <c r="L1111" s="68"/>
      <c r="M1111" s="74">
        <f t="shared" si="20"/>
        <v>60460.800000000003</v>
      </c>
    </row>
    <row r="1112" spans="1:13">
      <c r="A1112" t="s">
        <v>134</v>
      </c>
      <c r="B1112" t="s">
        <v>11</v>
      </c>
      <c r="C1112" s="51">
        <v>138311072677</v>
      </c>
      <c r="D1112" s="1">
        <v>45889.53</v>
      </c>
      <c r="E1112" s="1">
        <v>15280581.939999999</v>
      </c>
      <c r="F1112" t="s">
        <v>1280</v>
      </c>
      <c r="I1112" s="16"/>
      <c r="J1112" s="68"/>
      <c r="K1112" s="68"/>
      <c r="L1112" s="68"/>
      <c r="M1112" s="74">
        <f t="shared" si="20"/>
        <v>45889.53</v>
      </c>
    </row>
    <row r="1113" spans="1:13">
      <c r="A1113" t="s">
        <v>134</v>
      </c>
      <c r="B1113" t="s">
        <v>11</v>
      </c>
      <c r="C1113" s="51">
        <v>138312353835</v>
      </c>
      <c r="D1113" s="1">
        <v>10259.27</v>
      </c>
      <c r="E1113" s="1">
        <v>15290841.210000001</v>
      </c>
      <c r="F1113" t="s">
        <v>1280</v>
      </c>
      <c r="I1113" s="16"/>
      <c r="J1113" s="68"/>
      <c r="K1113" s="68"/>
      <c r="L1113" s="68"/>
      <c r="M1113" s="74">
        <f t="shared" si="20"/>
        <v>10259.27</v>
      </c>
    </row>
    <row r="1114" spans="1:13">
      <c r="A1114" t="s">
        <v>134</v>
      </c>
      <c r="B1114" t="s">
        <v>11</v>
      </c>
      <c r="C1114" s="51">
        <v>138312563103</v>
      </c>
      <c r="D1114" s="1">
        <v>9353.2800000000007</v>
      </c>
      <c r="E1114" s="1">
        <v>15300194.49</v>
      </c>
      <c r="F1114" t="s">
        <v>1280</v>
      </c>
      <c r="I1114" s="16"/>
      <c r="J1114" s="68"/>
      <c r="K1114" s="68"/>
      <c r="L1114" s="68"/>
      <c r="M1114" s="74">
        <f t="shared" si="20"/>
        <v>9353.2800000000007</v>
      </c>
    </row>
    <row r="1115" spans="1:13">
      <c r="A1115" t="s">
        <v>134</v>
      </c>
      <c r="B1115" t="s">
        <v>11</v>
      </c>
      <c r="C1115" s="51">
        <v>138313163771</v>
      </c>
      <c r="D1115" s="1">
        <v>19583.43</v>
      </c>
      <c r="E1115" s="1">
        <v>15319777.92</v>
      </c>
      <c r="F1115" t="s">
        <v>1280</v>
      </c>
      <c r="I1115" s="16"/>
      <c r="J1115" s="68"/>
      <c r="K1115" s="68"/>
      <c r="L1115" s="68"/>
      <c r="M1115" s="74">
        <f t="shared" si="20"/>
        <v>19583.43</v>
      </c>
    </row>
    <row r="1116" spans="1:13">
      <c r="A1116" t="s">
        <v>134</v>
      </c>
      <c r="B1116" t="s">
        <v>11</v>
      </c>
      <c r="C1116" s="51">
        <v>138313756607</v>
      </c>
      <c r="D1116" s="1">
        <v>66934.41</v>
      </c>
      <c r="E1116" s="1">
        <v>15386712.33</v>
      </c>
      <c r="F1116" t="s">
        <v>1280</v>
      </c>
      <c r="I1116" s="16"/>
      <c r="J1116" s="68"/>
      <c r="K1116" s="68"/>
      <c r="L1116" s="68"/>
      <c r="M1116" s="74">
        <f t="shared" si="20"/>
        <v>66934.41</v>
      </c>
    </row>
    <row r="1117" spans="1:13">
      <c r="A1117" t="s">
        <v>134</v>
      </c>
      <c r="B1117" t="s">
        <v>11</v>
      </c>
      <c r="C1117" s="51">
        <v>138955332676</v>
      </c>
      <c r="D1117" s="1">
        <v>21471.83</v>
      </c>
      <c r="E1117" s="1">
        <v>15414909.890000001</v>
      </c>
      <c r="F1117" t="s">
        <v>1280</v>
      </c>
      <c r="I1117" s="16"/>
      <c r="J1117" s="68"/>
      <c r="K1117" s="68"/>
      <c r="L1117" s="68"/>
      <c r="M1117" s="74">
        <f t="shared" si="20"/>
        <v>21471.83</v>
      </c>
    </row>
    <row r="1118" spans="1:13">
      <c r="A1118" t="s">
        <v>134</v>
      </c>
      <c r="B1118" t="s">
        <v>138</v>
      </c>
      <c r="C1118" s="51">
        <v>138215505465</v>
      </c>
      <c r="D1118" s="1">
        <v>2462.1799999999998</v>
      </c>
      <c r="E1118" s="1">
        <v>14455061.42</v>
      </c>
      <c r="F1118" t="s">
        <v>1280</v>
      </c>
      <c r="I1118" s="16"/>
      <c r="J1118" s="68"/>
      <c r="K1118" s="68"/>
      <c r="L1118" s="68"/>
      <c r="M1118" s="74">
        <f t="shared" si="20"/>
        <v>2462.1799999999998</v>
      </c>
    </row>
    <row r="1119" spans="1:13">
      <c r="A1119" t="s">
        <v>134</v>
      </c>
      <c r="B1119" t="s">
        <v>11</v>
      </c>
      <c r="C1119" s="51">
        <v>138955737872</v>
      </c>
      <c r="D1119" s="1">
        <v>20070.580000000002</v>
      </c>
      <c r="E1119" s="1">
        <v>15434980.470000001</v>
      </c>
      <c r="F1119" t="s">
        <v>1280</v>
      </c>
      <c r="I1119" s="16"/>
      <c r="J1119" s="68"/>
      <c r="K1119" s="68"/>
      <c r="L1119" s="68"/>
      <c r="M1119" s="74">
        <f t="shared" si="20"/>
        <v>20070.580000000002</v>
      </c>
    </row>
    <row r="1120" spans="1:13">
      <c r="A1120" t="s">
        <v>134</v>
      </c>
      <c r="B1120" t="s">
        <v>139</v>
      </c>
      <c r="C1120" s="51">
        <v>138856908296</v>
      </c>
      <c r="D1120">
        <v>802.78</v>
      </c>
      <c r="E1120" s="1">
        <v>14471842.720000001</v>
      </c>
      <c r="F1120" t="s">
        <v>1280</v>
      </c>
      <c r="I1120" s="16"/>
      <c r="J1120" s="68"/>
      <c r="K1120" s="68"/>
      <c r="L1120" s="68"/>
      <c r="M1120" s="74">
        <f t="shared" si="20"/>
        <v>802.78</v>
      </c>
    </row>
    <row r="1121" spans="1:13">
      <c r="A1121" t="s">
        <v>134</v>
      </c>
      <c r="B1121" t="s">
        <v>11</v>
      </c>
      <c r="C1121" s="51">
        <v>138956547972</v>
      </c>
      <c r="D1121" s="1">
        <v>86322.98</v>
      </c>
      <c r="E1121" s="1">
        <v>15521303.449999999</v>
      </c>
      <c r="F1121" t="s">
        <v>1280</v>
      </c>
      <c r="I1121" s="16"/>
      <c r="J1121" s="68"/>
      <c r="K1121" s="68"/>
      <c r="L1121" s="68"/>
      <c r="M1121" s="74">
        <f t="shared" si="20"/>
        <v>86322.98</v>
      </c>
    </row>
    <row r="1122" spans="1:13">
      <c r="A1122" t="s">
        <v>134</v>
      </c>
      <c r="B1122" t="s">
        <v>11</v>
      </c>
      <c r="C1122" s="51">
        <v>138316277365</v>
      </c>
      <c r="D1122" s="1">
        <v>105686.36</v>
      </c>
      <c r="E1122" s="1">
        <v>15635663.75</v>
      </c>
      <c r="F1122" t="s">
        <v>1280</v>
      </c>
      <c r="I1122" s="16"/>
      <c r="J1122" s="68"/>
      <c r="K1122" s="68"/>
      <c r="L1122" s="68"/>
      <c r="M1122" s="74">
        <f t="shared" si="20"/>
        <v>105686.36</v>
      </c>
    </row>
    <row r="1123" spans="1:13">
      <c r="A1123" t="s">
        <v>134</v>
      </c>
      <c r="B1123" t="s">
        <v>11</v>
      </c>
      <c r="C1123" s="51">
        <v>138316534489</v>
      </c>
      <c r="D1123" s="1">
        <v>10717.3</v>
      </c>
      <c r="E1123" s="1">
        <v>15646381.050000001</v>
      </c>
      <c r="F1123" t="s">
        <v>1280</v>
      </c>
      <c r="I1123" s="16"/>
      <c r="J1123" s="68"/>
      <c r="K1123" s="68"/>
      <c r="L1123" s="68"/>
      <c r="M1123" s="74">
        <f t="shared" si="20"/>
        <v>10717.3</v>
      </c>
    </row>
    <row r="1124" spans="1:13">
      <c r="A1124" t="s">
        <v>134</v>
      </c>
      <c r="B1124" t="s">
        <v>11</v>
      </c>
      <c r="C1124" s="51">
        <v>138316537299</v>
      </c>
      <c r="D1124" s="1">
        <v>54463.37</v>
      </c>
      <c r="E1124" s="1">
        <v>15700844.42</v>
      </c>
      <c r="F1124" t="s">
        <v>1280</v>
      </c>
      <c r="I1124" s="16"/>
      <c r="J1124" s="68"/>
      <c r="K1124" s="68"/>
      <c r="L1124" s="68"/>
      <c r="M1124" s="74">
        <f t="shared" si="20"/>
        <v>54463.37</v>
      </c>
    </row>
    <row r="1125" spans="1:13">
      <c r="A1125" t="s">
        <v>134</v>
      </c>
      <c r="B1125" t="s">
        <v>11</v>
      </c>
      <c r="C1125" s="51">
        <v>138957550940</v>
      </c>
      <c r="D1125" s="1">
        <v>41992.33</v>
      </c>
      <c r="E1125" s="1">
        <v>15742836.75</v>
      </c>
      <c r="F1125" t="s">
        <v>1280</v>
      </c>
      <c r="I1125" s="16"/>
      <c r="J1125" s="68"/>
      <c r="K1125" s="68"/>
      <c r="L1125" s="68"/>
      <c r="M1125" s="74">
        <f t="shared" si="20"/>
        <v>41992.33</v>
      </c>
    </row>
    <row r="1126" spans="1:13">
      <c r="A1126" t="s">
        <v>134</v>
      </c>
      <c r="B1126" t="s">
        <v>11</v>
      </c>
      <c r="C1126" s="51">
        <v>138316909509</v>
      </c>
      <c r="D1126" s="1">
        <v>31080.17</v>
      </c>
      <c r="E1126" s="1">
        <v>15773916.92</v>
      </c>
      <c r="F1126" t="s">
        <v>1280</v>
      </c>
      <c r="I1126" s="16"/>
      <c r="J1126" s="68"/>
      <c r="K1126" s="68"/>
      <c r="L1126" s="68"/>
      <c r="M1126" s="74">
        <f t="shared" si="20"/>
        <v>31080.17</v>
      </c>
    </row>
    <row r="1127" spans="1:13">
      <c r="A1127" t="s">
        <v>134</v>
      </c>
      <c r="B1127" t="s">
        <v>11</v>
      </c>
      <c r="C1127" s="51">
        <v>138317483911</v>
      </c>
      <c r="D1127" s="1">
        <v>27962.41</v>
      </c>
      <c r="E1127" s="1">
        <v>15801879.33</v>
      </c>
      <c r="F1127" t="s">
        <v>1280</v>
      </c>
      <c r="I1127" s="16"/>
      <c r="J1127" s="68"/>
      <c r="K1127" s="68"/>
      <c r="L1127" s="68"/>
      <c r="M1127" s="74">
        <f t="shared" si="20"/>
        <v>27962.41</v>
      </c>
    </row>
    <row r="1128" spans="1:13">
      <c r="A1128" t="s">
        <v>134</v>
      </c>
      <c r="B1128" t="s">
        <v>11</v>
      </c>
      <c r="C1128" s="51">
        <v>138958608370</v>
      </c>
      <c r="D1128" s="1">
        <v>19486</v>
      </c>
      <c r="E1128" s="1">
        <v>15821365.33</v>
      </c>
      <c r="F1128" t="s">
        <v>1280</v>
      </c>
      <c r="I1128" s="16"/>
      <c r="J1128" s="68"/>
      <c r="K1128" s="68"/>
      <c r="L1128" s="68"/>
      <c r="M1128" s="74">
        <f t="shared" ref="M1128:M1191" si="21">+D1128-I1128-J1128-K1128-L1128</f>
        <v>19486</v>
      </c>
    </row>
    <row r="1129" spans="1:13">
      <c r="A1129" t="s">
        <v>134</v>
      </c>
      <c r="B1129" t="s">
        <v>11</v>
      </c>
      <c r="C1129" s="51">
        <v>138958597390</v>
      </c>
      <c r="D1129" s="1">
        <v>35854.239999999998</v>
      </c>
      <c r="E1129" s="1">
        <v>15857219.57</v>
      </c>
      <c r="F1129" t="s">
        <v>1280</v>
      </c>
      <c r="I1129" s="16"/>
      <c r="J1129" s="68"/>
      <c r="K1129" s="68"/>
      <c r="L1129" s="68"/>
      <c r="M1129" s="74">
        <f t="shared" si="21"/>
        <v>35854.239999999998</v>
      </c>
    </row>
    <row r="1130" spans="1:13">
      <c r="A1130" t="s">
        <v>134</v>
      </c>
      <c r="B1130" t="s">
        <v>140</v>
      </c>
      <c r="C1130" s="51">
        <v>138217676459</v>
      </c>
      <c r="D1130" s="1">
        <v>3123.01</v>
      </c>
      <c r="E1130" s="1">
        <v>14790636.85</v>
      </c>
      <c r="F1130" t="s">
        <v>1280</v>
      </c>
      <c r="I1130" s="16"/>
      <c r="J1130" s="68"/>
      <c r="K1130" s="68"/>
      <c r="L1130" s="68"/>
      <c r="M1130" s="74">
        <f t="shared" si="21"/>
        <v>3123.01</v>
      </c>
    </row>
    <row r="1131" spans="1:13">
      <c r="A1131" t="s">
        <v>134</v>
      </c>
      <c r="B1131" t="s">
        <v>11</v>
      </c>
      <c r="C1131" s="51">
        <v>138317694879</v>
      </c>
      <c r="D1131" s="1">
        <v>37405.480000000003</v>
      </c>
      <c r="E1131" s="1">
        <v>15900029.130000001</v>
      </c>
      <c r="F1131" t="s">
        <v>1280</v>
      </c>
      <c r="I1131" s="16"/>
      <c r="J1131" s="68"/>
      <c r="K1131" s="68"/>
      <c r="L1131" s="68"/>
      <c r="M1131" s="74">
        <f t="shared" si="21"/>
        <v>37405.480000000003</v>
      </c>
    </row>
    <row r="1132" spans="1:13">
      <c r="A1132" t="s">
        <v>134</v>
      </c>
      <c r="B1132" t="s">
        <v>11</v>
      </c>
      <c r="C1132" s="51">
        <v>138317772859</v>
      </c>
      <c r="D1132" s="1">
        <v>33820.26</v>
      </c>
      <c r="E1132" s="1">
        <v>15933849.390000001</v>
      </c>
      <c r="F1132" t="s">
        <v>1280</v>
      </c>
      <c r="I1132" s="16"/>
      <c r="J1132" s="68"/>
      <c r="K1132" s="68"/>
      <c r="L1132" s="68"/>
      <c r="M1132" s="74">
        <f t="shared" si="21"/>
        <v>33820.26</v>
      </c>
    </row>
    <row r="1133" spans="1:13">
      <c r="A1133" t="s">
        <v>134</v>
      </c>
      <c r="B1133" t="s">
        <v>11</v>
      </c>
      <c r="C1133" s="51">
        <v>138958894822</v>
      </c>
      <c r="D1133" s="1">
        <v>18024.55</v>
      </c>
      <c r="E1133" s="1">
        <v>15951873.939999999</v>
      </c>
      <c r="F1133" t="s">
        <v>1280</v>
      </c>
      <c r="I1133" s="16"/>
      <c r="J1133" s="68"/>
      <c r="K1133" s="68"/>
      <c r="L1133" s="68"/>
      <c r="M1133" s="74">
        <f t="shared" si="21"/>
        <v>18024.55</v>
      </c>
    </row>
    <row r="1134" spans="1:13">
      <c r="A1134" t="s">
        <v>134</v>
      </c>
      <c r="B1134" t="s">
        <v>141</v>
      </c>
      <c r="C1134" s="51">
        <v>138217820543</v>
      </c>
      <c r="D1134">
        <v>739.14</v>
      </c>
      <c r="E1134" s="1">
        <v>14931188.039999999</v>
      </c>
      <c r="F1134" t="s">
        <v>1280</v>
      </c>
      <c r="I1134" s="16"/>
      <c r="J1134" s="68"/>
      <c r="K1134" s="68"/>
      <c r="L1134" s="68"/>
      <c r="M1134" s="74">
        <f t="shared" si="21"/>
        <v>739.14</v>
      </c>
    </row>
    <row r="1135" spans="1:13">
      <c r="A1135" t="s">
        <v>134</v>
      </c>
      <c r="B1135" t="s">
        <v>11</v>
      </c>
      <c r="C1135" s="51">
        <v>138958895424</v>
      </c>
      <c r="D1135" s="1">
        <v>71608.259999999995</v>
      </c>
      <c r="E1135" s="1">
        <v>16023482.199999999</v>
      </c>
      <c r="F1135" t="s">
        <v>1280</v>
      </c>
      <c r="I1135" s="16"/>
      <c r="J1135" s="68"/>
      <c r="K1135" s="68"/>
      <c r="L1135" s="68"/>
      <c r="M1135" s="74">
        <f t="shared" si="21"/>
        <v>71608.259999999995</v>
      </c>
    </row>
    <row r="1136" spans="1:13">
      <c r="A1136" t="s">
        <v>134</v>
      </c>
      <c r="B1136" t="s">
        <v>11</v>
      </c>
      <c r="C1136" s="51">
        <v>138318135687</v>
      </c>
      <c r="D1136" s="1">
        <v>18894</v>
      </c>
      <c r="E1136" s="1">
        <v>16042376.199999999</v>
      </c>
      <c r="F1136" t="s">
        <v>1280</v>
      </c>
      <c r="I1136" s="16"/>
      <c r="J1136" s="68"/>
      <c r="K1136" s="68"/>
      <c r="L1136" s="68"/>
      <c r="M1136" s="74">
        <f t="shared" si="21"/>
        <v>18894</v>
      </c>
    </row>
    <row r="1137" spans="1:13">
      <c r="A1137" t="s">
        <v>134</v>
      </c>
      <c r="B1137" t="s">
        <v>11</v>
      </c>
      <c r="C1137" s="51">
        <v>138318627905</v>
      </c>
      <c r="D1137" s="1">
        <v>39771.870000000003</v>
      </c>
      <c r="E1137" s="1">
        <v>16082148.07</v>
      </c>
      <c r="F1137" t="s">
        <v>1280</v>
      </c>
      <c r="I1137" s="16"/>
      <c r="J1137" s="68"/>
      <c r="K1137" s="68"/>
      <c r="L1137" s="68"/>
      <c r="M1137" s="74">
        <f t="shared" si="21"/>
        <v>39771.870000000003</v>
      </c>
    </row>
    <row r="1138" spans="1:13">
      <c r="A1138" t="s">
        <v>134</v>
      </c>
      <c r="B1138" t="s">
        <v>11</v>
      </c>
      <c r="C1138" s="51">
        <v>138960552954</v>
      </c>
      <c r="D1138" s="1">
        <v>72877.64</v>
      </c>
      <c r="E1138" s="1">
        <v>16155025.710000001</v>
      </c>
      <c r="F1138" t="s">
        <v>1280</v>
      </c>
      <c r="I1138" s="16"/>
      <c r="J1138" s="68"/>
      <c r="K1138" s="68"/>
      <c r="L1138" s="68"/>
      <c r="M1138" s="74">
        <f t="shared" si="21"/>
        <v>72877.64</v>
      </c>
    </row>
    <row r="1139" spans="1:13">
      <c r="A1139" t="s">
        <v>134</v>
      </c>
      <c r="B1139" t="s">
        <v>11</v>
      </c>
      <c r="C1139" s="51">
        <v>138960529926</v>
      </c>
      <c r="D1139" s="1">
        <v>66934.41</v>
      </c>
      <c r="E1139" s="1">
        <v>16225621.58</v>
      </c>
      <c r="F1139" t="s">
        <v>1280</v>
      </c>
      <c r="I1139" s="16"/>
      <c r="J1139" s="68"/>
      <c r="K1139" s="68"/>
      <c r="L1139" s="68"/>
      <c r="M1139" s="74">
        <f t="shared" si="21"/>
        <v>66934.41</v>
      </c>
    </row>
    <row r="1140" spans="1:13">
      <c r="A1140" t="s">
        <v>134</v>
      </c>
      <c r="B1140" t="s">
        <v>11</v>
      </c>
      <c r="C1140" s="51">
        <v>138320030417</v>
      </c>
      <c r="D1140" s="1">
        <v>9353.2800000000007</v>
      </c>
      <c r="E1140" s="1">
        <v>16234974.859999999</v>
      </c>
      <c r="F1140" t="s">
        <v>1280</v>
      </c>
      <c r="I1140" s="16"/>
      <c r="J1140" s="68"/>
      <c r="K1140" s="68"/>
      <c r="L1140" s="68"/>
      <c r="M1140" s="74">
        <f t="shared" si="21"/>
        <v>9353.2800000000007</v>
      </c>
    </row>
    <row r="1141" spans="1:13">
      <c r="A1141" t="s">
        <v>134</v>
      </c>
      <c r="B1141" t="s">
        <v>142</v>
      </c>
      <c r="C1141" s="51">
        <v>138306522707</v>
      </c>
      <c r="D1141" s="1">
        <v>1209.06</v>
      </c>
      <c r="E1141" s="1">
        <v>15046086.17</v>
      </c>
      <c r="F1141" t="s">
        <v>1280</v>
      </c>
      <c r="I1141" s="16"/>
      <c r="J1141" s="68"/>
      <c r="K1141" s="68"/>
      <c r="L1141" s="68"/>
      <c r="M1141" s="74">
        <f t="shared" si="21"/>
        <v>1209.06</v>
      </c>
    </row>
    <row r="1142" spans="1:13">
      <c r="A1142" t="s">
        <v>134</v>
      </c>
      <c r="B1142" t="s">
        <v>11</v>
      </c>
      <c r="C1142" s="51">
        <v>138961200208</v>
      </c>
      <c r="D1142" s="1">
        <v>49974.63</v>
      </c>
      <c r="E1142" s="1">
        <v>16284949.49</v>
      </c>
      <c r="F1142" t="s">
        <v>1280</v>
      </c>
      <c r="I1142" s="16"/>
      <c r="J1142" s="68"/>
      <c r="K1142" s="68"/>
      <c r="L1142" s="68"/>
      <c r="M1142" s="74">
        <f t="shared" si="21"/>
        <v>49974.63</v>
      </c>
    </row>
    <row r="1143" spans="1:13">
      <c r="A1143" t="s">
        <v>149</v>
      </c>
      <c r="B1143" t="s">
        <v>11</v>
      </c>
      <c r="C1143" s="51">
        <v>138961724050</v>
      </c>
      <c r="D1143" s="1">
        <v>10717.3</v>
      </c>
      <c r="E1143" s="1">
        <v>16295666.789999999</v>
      </c>
      <c r="F1143" t="s">
        <v>1280</v>
      </c>
      <c r="I1143" s="16"/>
      <c r="J1143" s="68"/>
      <c r="K1143" s="68"/>
      <c r="L1143" s="68"/>
      <c r="M1143" s="74">
        <f t="shared" si="21"/>
        <v>10717.3</v>
      </c>
    </row>
    <row r="1144" spans="1:13">
      <c r="A1144" t="s">
        <v>134</v>
      </c>
      <c r="B1144" t="s">
        <v>16</v>
      </c>
      <c r="C1144" s="51">
        <v>138948009288</v>
      </c>
      <c r="D1144" s="1">
        <v>2398.5500000000002</v>
      </c>
      <c r="E1144" s="1">
        <v>15100507.130000001</v>
      </c>
      <c r="F1144" t="s">
        <v>1280</v>
      </c>
      <c r="I1144" s="16"/>
      <c r="J1144" s="68"/>
      <c r="K1144" s="68"/>
      <c r="L1144" s="68"/>
      <c r="M1144" s="74">
        <f t="shared" si="21"/>
        <v>2398.5500000000002</v>
      </c>
    </row>
    <row r="1145" spans="1:13">
      <c r="A1145" t="s">
        <v>149</v>
      </c>
      <c r="B1145" t="s">
        <v>11</v>
      </c>
      <c r="C1145" s="51">
        <v>138321453321</v>
      </c>
      <c r="D1145" s="1">
        <v>119546.61</v>
      </c>
      <c r="E1145" s="1">
        <v>16415213.4</v>
      </c>
      <c r="F1145" t="s">
        <v>1280</v>
      </c>
      <c r="I1145" s="16"/>
      <c r="J1145" s="68"/>
      <c r="K1145" s="68"/>
      <c r="L1145" s="68"/>
      <c r="M1145" s="74">
        <f t="shared" si="21"/>
        <v>119546.61</v>
      </c>
    </row>
    <row r="1146" spans="1:13">
      <c r="A1146" t="s">
        <v>134</v>
      </c>
      <c r="B1146" t="s">
        <v>143</v>
      </c>
      <c r="C1146" s="51">
        <v>138948247016</v>
      </c>
      <c r="D1146">
        <v>244.75</v>
      </c>
      <c r="E1146" s="1">
        <v>15105623.380000001</v>
      </c>
      <c r="F1146" t="s">
        <v>1280</v>
      </c>
      <c r="I1146" s="16"/>
      <c r="J1146" s="68"/>
      <c r="K1146" s="68"/>
      <c r="L1146" s="68"/>
      <c r="M1146" s="74">
        <f t="shared" si="21"/>
        <v>244.75</v>
      </c>
    </row>
    <row r="1147" spans="1:13">
      <c r="A1147" t="s">
        <v>149</v>
      </c>
      <c r="B1147" t="s">
        <v>11</v>
      </c>
      <c r="C1147" s="51">
        <v>138962445080</v>
      </c>
      <c r="D1147" s="1">
        <v>149555.04999999999</v>
      </c>
      <c r="E1147" s="1">
        <v>16564768.449999999</v>
      </c>
      <c r="F1147" t="s">
        <v>1280</v>
      </c>
      <c r="I1147" s="16"/>
      <c r="J1147" s="68"/>
      <c r="K1147" s="68"/>
      <c r="L1147" s="68"/>
      <c r="M1147" s="74">
        <f t="shared" si="21"/>
        <v>149555.04999999999</v>
      </c>
    </row>
    <row r="1148" spans="1:13">
      <c r="A1148" t="s">
        <v>149</v>
      </c>
      <c r="B1148" t="s">
        <v>11</v>
      </c>
      <c r="C1148" s="51">
        <v>138962720678</v>
      </c>
      <c r="D1148" s="1">
        <v>42382.05</v>
      </c>
      <c r="E1148" s="1">
        <v>16607150.5</v>
      </c>
      <c r="F1148" t="s">
        <v>1280</v>
      </c>
      <c r="I1148" s="16"/>
      <c r="J1148" s="68"/>
      <c r="K1148" s="68"/>
      <c r="L1148" s="68"/>
      <c r="M1148" s="74">
        <f t="shared" si="21"/>
        <v>42382.05</v>
      </c>
    </row>
    <row r="1149" spans="1:13">
      <c r="A1149" t="s">
        <v>149</v>
      </c>
      <c r="B1149" t="s">
        <v>11</v>
      </c>
      <c r="C1149" s="51">
        <v>138962805222</v>
      </c>
      <c r="D1149" s="1">
        <v>4871.5</v>
      </c>
      <c r="E1149" s="1">
        <v>16612022</v>
      </c>
      <c r="F1149" t="s">
        <v>1280</v>
      </c>
      <c r="I1149" s="16"/>
      <c r="J1149" s="68"/>
      <c r="K1149" s="68"/>
      <c r="L1149" s="68"/>
      <c r="M1149" s="74">
        <f t="shared" si="21"/>
        <v>4871.5</v>
      </c>
    </row>
    <row r="1150" spans="1:13">
      <c r="A1150" t="s">
        <v>134</v>
      </c>
      <c r="B1150" t="s">
        <v>144</v>
      </c>
      <c r="C1150" s="51">
        <v>138950884454</v>
      </c>
      <c r="D1150" s="1">
        <v>3064.27</v>
      </c>
      <c r="E1150" s="1">
        <v>15174231.609999999</v>
      </c>
      <c r="F1150" t="s">
        <v>1280</v>
      </c>
      <c r="I1150" s="16"/>
      <c r="J1150" s="68"/>
      <c r="K1150" s="68"/>
      <c r="L1150" s="68"/>
      <c r="M1150" s="74">
        <f t="shared" si="21"/>
        <v>3064.27</v>
      </c>
    </row>
    <row r="1151" spans="1:13">
      <c r="A1151" t="s">
        <v>149</v>
      </c>
      <c r="B1151" t="s">
        <v>11</v>
      </c>
      <c r="C1151" s="51">
        <v>138321908051</v>
      </c>
      <c r="D1151" s="1">
        <v>70906.990000000005</v>
      </c>
      <c r="E1151" s="1">
        <v>16682928.99</v>
      </c>
      <c r="F1151" t="s">
        <v>1280</v>
      </c>
      <c r="I1151" s="16"/>
      <c r="J1151" s="68"/>
      <c r="K1151" s="68"/>
      <c r="L1151" s="68"/>
      <c r="M1151" s="74">
        <f t="shared" si="21"/>
        <v>70906.990000000005</v>
      </c>
    </row>
    <row r="1152" spans="1:13">
      <c r="A1152" t="s">
        <v>149</v>
      </c>
      <c r="B1152" t="s">
        <v>11</v>
      </c>
      <c r="C1152" s="51">
        <v>138962996942</v>
      </c>
      <c r="D1152" s="1">
        <v>69370.16</v>
      </c>
      <c r="E1152" s="1">
        <v>16752299.15</v>
      </c>
      <c r="F1152" t="s">
        <v>1280</v>
      </c>
      <c r="I1152" s="16"/>
      <c r="J1152" s="68"/>
      <c r="K1152" s="68"/>
      <c r="L1152" s="68"/>
      <c r="M1152" s="74">
        <f t="shared" si="21"/>
        <v>69370.16</v>
      </c>
    </row>
    <row r="1153" spans="1:13">
      <c r="A1153" t="s">
        <v>149</v>
      </c>
      <c r="B1153" t="s">
        <v>11</v>
      </c>
      <c r="C1153" s="51">
        <v>138963015400</v>
      </c>
      <c r="D1153" s="1">
        <v>53619.66</v>
      </c>
      <c r="E1153" s="1">
        <v>16805918.809999999</v>
      </c>
      <c r="F1153" t="s">
        <v>1280</v>
      </c>
      <c r="I1153" s="16"/>
      <c r="J1153" s="68"/>
      <c r="K1153" s="68"/>
      <c r="L1153" s="68"/>
      <c r="M1153" s="74">
        <f t="shared" si="21"/>
        <v>53619.66</v>
      </c>
    </row>
    <row r="1154" spans="1:13">
      <c r="A1154" t="s">
        <v>149</v>
      </c>
      <c r="B1154" t="s">
        <v>11</v>
      </c>
      <c r="C1154" s="51">
        <v>138322192323</v>
      </c>
      <c r="D1154" s="1">
        <v>19744.23</v>
      </c>
      <c r="E1154" s="1">
        <v>16825663.039999999</v>
      </c>
      <c r="F1154" t="s">
        <v>1280</v>
      </c>
      <c r="I1154" s="16"/>
      <c r="J1154" s="68"/>
      <c r="K1154" s="68"/>
      <c r="L1154" s="68"/>
      <c r="M1154" s="74">
        <f t="shared" si="21"/>
        <v>19744.23</v>
      </c>
    </row>
    <row r="1155" spans="1:13">
      <c r="A1155" t="s">
        <v>149</v>
      </c>
      <c r="B1155" t="s">
        <v>11</v>
      </c>
      <c r="C1155" s="51">
        <v>138963097522</v>
      </c>
      <c r="D1155" s="1">
        <v>38858.120000000003</v>
      </c>
      <c r="E1155" s="1">
        <v>16864521.16</v>
      </c>
      <c r="F1155" t="s">
        <v>1280</v>
      </c>
      <c r="I1155" s="16"/>
      <c r="J1155" s="68"/>
      <c r="K1155" s="68"/>
      <c r="L1155" s="68"/>
      <c r="M1155" s="74">
        <f t="shared" si="21"/>
        <v>38858.120000000003</v>
      </c>
    </row>
    <row r="1156" spans="1:13">
      <c r="A1156" t="s">
        <v>149</v>
      </c>
      <c r="B1156" t="s">
        <v>11</v>
      </c>
      <c r="C1156" s="51">
        <v>138963123706</v>
      </c>
      <c r="D1156" s="1">
        <v>31912.400000000001</v>
      </c>
      <c r="E1156" s="1">
        <v>16896433.559999999</v>
      </c>
      <c r="F1156" t="s">
        <v>1280</v>
      </c>
      <c r="I1156" s="16"/>
      <c r="J1156" s="68"/>
      <c r="K1156" s="68"/>
      <c r="L1156" s="68"/>
      <c r="M1156" s="74">
        <f t="shared" si="21"/>
        <v>31912.400000000001</v>
      </c>
    </row>
    <row r="1157" spans="1:13">
      <c r="A1157" t="s">
        <v>134</v>
      </c>
      <c r="B1157" t="s">
        <v>145</v>
      </c>
      <c r="C1157" s="51">
        <v>138954494952</v>
      </c>
      <c r="D1157" s="1">
        <v>6725.73</v>
      </c>
      <c r="E1157" s="1">
        <v>15393438.060000001</v>
      </c>
      <c r="F1157" t="s">
        <v>1280</v>
      </c>
      <c r="I1157" s="16"/>
      <c r="J1157" s="68"/>
      <c r="K1157" s="68"/>
      <c r="L1157" s="68"/>
      <c r="M1157" s="74">
        <f t="shared" si="21"/>
        <v>6725.73</v>
      </c>
    </row>
    <row r="1158" spans="1:13">
      <c r="A1158" t="s">
        <v>149</v>
      </c>
      <c r="B1158" t="s">
        <v>11</v>
      </c>
      <c r="C1158" s="51">
        <v>138963448102</v>
      </c>
      <c r="D1158" s="1">
        <v>35074.800000000003</v>
      </c>
      <c r="E1158" s="1">
        <v>16931508.359999999</v>
      </c>
      <c r="F1158" t="s">
        <v>1280</v>
      </c>
      <c r="I1158" s="16"/>
      <c r="J1158" s="68"/>
      <c r="K1158" s="68"/>
      <c r="L1158" s="68"/>
      <c r="M1158" s="74">
        <f t="shared" si="21"/>
        <v>35074.800000000003</v>
      </c>
    </row>
    <row r="1159" spans="1:13">
      <c r="A1159" t="s">
        <v>149</v>
      </c>
      <c r="B1159" t="s">
        <v>11</v>
      </c>
      <c r="C1159" s="51">
        <v>138964643346</v>
      </c>
      <c r="D1159" s="1">
        <v>133186.81</v>
      </c>
      <c r="E1159" s="1">
        <v>17064695.170000002</v>
      </c>
      <c r="F1159" t="s">
        <v>1280</v>
      </c>
      <c r="I1159" s="16"/>
      <c r="J1159" s="68"/>
      <c r="K1159" s="68"/>
      <c r="L1159" s="68"/>
      <c r="M1159" s="74">
        <f t="shared" si="21"/>
        <v>133186.81</v>
      </c>
    </row>
    <row r="1160" spans="1:13">
      <c r="A1160" t="s">
        <v>149</v>
      </c>
      <c r="B1160" t="s">
        <v>11</v>
      </c>
      <c r="C1160" s="51">
        <v>138964725768</v>
      </c>
      <c r="D1160" s="1">
        <v>16075.95</v>
      </c>
      <c r="E1160" s="1">
        <v>17087462.579999998</v>
      </c>
      <c r="F1160" t="s">
        <v>1280</v>
      </c>
      <c r="I1160" s="16"/>
      <c r="J1160" s="68"/>
      <c r="K1160" s="68"/>
      <c r="L1160" s="68"/>
      <c r="M1160" s="74">
        <f t="shared" si="21"/>
        <v>16075.95</v>
      </c>
    </row>
    <row r="1161" spans="1:13">
      <c r="A1161" t="s">
        <v>134</v>
      </c>
      <c r="B1161" t="s">
        <v>146</v>
      </c>
      <c r="C1161" s="51">
        <v>138315661395</v>
      </c>
      <c r="D1161" s="1">
        <v>8673.94</v>
      </c>
      <c r="E1161" s="1">
        <v>15529977.390000001</v>
      </c>
      <c r="F1161" t="s">
        <v>1280</v>
      </c>
      <c r="I1161" s="16"/>
      <c r="J1161" s="68"/>
      <c r="K1161" s="68"/>
      <c r="L1161" s="68"/>
      <c r="M1161" s="74">
        <f t="shared" si="21"/>
        <v>8673.94</v>
      </c>
    </row>
    <row r="1162" spans="1:13">
      <c r="A1162" t="s">
        <v>149</v>
      </c>
      <c r="B1162" t="s">
        <v>11</v>
      </c>
      <c r="C1162" s="51">
        <v>138964781728</v>
      </c>
      <c r="D1162" s="1">
        <v>19486</v>
      </c>
      <c r="E1162" s="1">
        <v>17106948.579999998</v>
      </c>
      <c r="F1162" t="s">
        <v>1280</v>
      </c>
      <c r="I1162" s="16"/>
      <c r="J1162" s="68"/>
      <c r="K1162" s="68"/>
      <c r="L1162" s="68"/>
      <c r="M1162" s="74">
        <f t="shared" si="21"/>
        <v>19486</v>
      </c>
    </row>
    <row r="1163" spans="1:13">
      <c r="A1163" t="s">
        <v>149</v>
      </c>
      <c r="B1163" t="s">
        <v>11</v>
      </c>
      <c r="C1163" s="51">
        <v>138964996976</v>
      </c>
      <c r="D1163" s="1">
        <v>72682.78</v>
      </c>
      <c r="E1163" s="1">
        <v>17179631.359999999</v>
      </c>
      <c r="F1163" t="s">
        <v>1280</v>
      </c>
      <c r="I1163" s="16"/>
      <c r="J1163" s="68"/>
      <c r="K1163" s="68"/>
      <c r="L1163" s="68"/>
      <c r="M1163" s="74">
        <f t="shared" si="21"/>
        <v>72682.78</v>
      </c>
    </row>
    <row r="1164" spans="1:13">
      <c r="A1164" t="s">
        <v>149</v>
      </c>
      <c r="B1164" t="s">
        <v>11</v>
      </c>
      <c r="C1164" s="51">
        <v>138966323446</v>
      </c>
      <c r="D1164" s="1">
        <v>9677</v>
      </c>
      <c r="E1164" s="1">
        <v>17189308.359999999</v>
      </c>
      <c r="F1164" t="s">
        <v>1280</v>
      </c>
      <c r="I1164" s="16"/>
      <c r="J1164" s="68"/>
      <c r="K1164" s="68"/>
      <c r="L1164" s="68"/>
      <c r="M1164" s="74">
        <f t="shared" si="21"/>
        <v>9677</v>
      </c>
    </row>
    <row r="1165" spans="1:13">
      <c r="A1165" t="s">
        <v>149</v>
      </c>
      <c r="B1165" t="s">
        <v>11</v>
      </c>
      <c r="C1165" s="51">
        <v>138966619264</v>
      </c>
      <c r="D1165" s="1">
        <v>60893.75</v>
      </c>
      <c r="E1165" s="1">
        <v>17250202.109999999</v>
      </c>
      <c r="F1165" t="s">
        <v>1280</v>
      </c>
      <c r="I1165" s="16"/>
      <c r="J1165" s="68"/>
      <c r="K1165" s="68"/>
      <c r="L1165" s="68"/>
      <c r="M1165" s="74">
        <f t="shared" si="21"/>
        <v>60893.75</v>
      </c>
    </row>
    <row r="1166" spans="1:13">
      <c r="A1166" t="s">
        <v>151</v>
      </c>
      <c r="B1166" t="s">
        <v>11</v>
      </c>
      <c r="C1166" s="51">
        <v>139256588728</v>
      </c>
      <c r="D1166" s="1">
        <v>9353.2800000000007</v>
      </c>
      <c r="E1166" s="1">
        <v>15870700.23</v>
      </c>
      <c r="F1166" t="s">
        <v>1280</v>
      </c>
      <c r="I1166" s="16"/>
      <c r="J1166" s="68"/>
      <c r="K1166" s="68"/>
      <c r="L1166" s="68"/>
      <c r="M1166" s="74">
        <f t="shared" si="21"/>
        <v>9353.2800000000007</v>
      </c>
    </row>
    <row r="1167" spans="1:13">
      <c r="A1167" t="s">
        <v>151</v>
      </c>
      <c r="B1167" t="s">
        <v>11</v>
      </c>
      <c r="C1167" s="51">
        <v>138615245287</v>
      </c>
      <c r="D1167" s="1">
        <v>9677</v>
      </c>
      <c r="E1167" s="1">
        <v>15880377.23</v>
      </c>
      <c r="F1167" t="s">
        <v>1280</v>
      </c>
      <c r="I1167" s="16"/>
      <c r="J1167" s="68"/>
      <c r="K1167" s="68"/>
      <c r="L1167" s="68"/>
      <c r="M1167" s="74">
        <f t="shared" si="21"/>
        <v>9677</v>
      </c>
    </row>
    <row r="1168" spans="1:13">
      <c r="A1168" t="s">
        <v>151</v>
      </c>
      <c r="B1168" t="s">
        <v>11</v>
      </c>
      <c r="C1168" s="51">
        <v>139263142212</v>
      </c>
      <c r="D1168" s="1">
        <v>11691.6</v>
      </c>
      <c r="E1168" s="1">
        <v>15892068.83</v>
      </c>
      <c r="F1168" t="s">
        <v>1280</v>
      </c>
      <c r="I1168" s="16"/>
      <c r="J1168" s="68"/>
      <c r="K1168" s="68"/>
      <c r="L1168" s="68"/>
      <c r="M1168" s="74">
        <f t="shared" si="21"/>
        <v>11691.6</v>
      </c>
    </row>
    <row r="1169" spans="1:13">
      <c r="A1169" t="s">
        <v>151</v>
      </c>
      <c r="B1169" t="s">
        <v>11</v>
      </c>
      <c r="C1169" s="51">
        <v>139263155880</v>
      </c>
      <c r="D1169" s="1">
        <v>9447</v>
      </c>
      <c r="E1169" s="1">
        <v>15901515.83</v>
      </c>
      <c r="F1169" t="s">
        <v>1280</v>
      </c>
      <c r="I1169" s="16"/>
      <c r="J1169" s="68"/>
      <c r="K1169" s="68"/>
      <c r="L1169" s="68"/>
      <c r="M1169" s="74">
        <f t="shared" si="21"/>
        <v>9447</v>
      </c>
    </row>
    <row r="1170" spans="1:13">
      <c r="A1170" t="s">
        <v>134</v>
      </c>
      <c r="B1170" t="s">
        <v>147</v>
      </c>
      <c r="C1170" s="51">
        <v>138317696189</v>
      </c>
      <c r="D1170" s="1">
        <v>5404.08</v>
      </c>
      <c r="E1170" s="1">
        <v>15862623.65</v>
      </c>
      <c r="F1170" t="s">
        <v>1280</v>
      </c>
      <c r="I1170" s="16"/>
      <c r="J1170" s="68"/>
      <c r="K1170" s="68"/>
      <c r="L1170" s="68"/>
      <c r="M1170" s="74">
        <f t="shared" si="21"/>
        <v>5404.08</v>
      </c>
    </row>
    <row r="1171" spans="1:13">
      <c r="A1171" t="s">
        <v>151</v>
      </c>
      <c r="B1171" t="s">
        <v>11</v>
      </c>
      <c r="C1171" s="51">
        <v>138620385257</v>
      </c>
      <c r="D1171" s="1">
        <v>22767.27</v>
      </c>
      <c r="E1171" s="1">
        <v>15924283.1</v>
      </c>
      <c r="F1171" t="s">
        <v>1280</v>
      </c>
      <c r="I1171" s="16"/>
      <c r="J1171" s="68"/>
      <c r="K1171" s="68"/>
      <c r="L1171" s="68"/>
      <c r="M1171" s="74">
        <f t="shared" si="21"/>
        <v>22767.27</v>
      </c>
    </row>
    <row r="1172" spans="1:13">
      <c r="A1172" t="s">
        <v>151</v>
      </c>
      <c r="B1172" t="s">
        <v>11</v>
      </c>
      <c r="C1172" s="51">
        <v>138620961365</v>
      </c>
      <c r="D1172" s="1">
        <v>5845.8</v>
      </c>
      <c r="E1172" s="1">
        <v>15930128.9</v>
      </c>
      <c r="F1172" t="s">
        <v>1280</v>
      </c>
      <c r="I1172" s="16"/>
      <c r="J1172" s="68"/>
      <c r="K1172" s="68"/>
      <c r="L1172" s="68"/>
      <c r="M1172" s="74">
        <f t="shared" si="21"/>
        <v>5845.8</v>
      </c>
    </row>
    <row r="1173" spans="1:13">
      <c r="A1173" t="s">
        <v>151</v>
      </c>
      <c r="B1173" t="s">
        <v>11</v>
      </c>
      <c r="C1173" s="51">
        <v>139268810486</v>
      </c>
      <c r="D1173" s="1">
        <v>20783.400000000001</v>
      </c>
      <c r="E1173" s="1">
        <v>15950912.300000001</v>
      </c>
      <c r="F1173" t="s">
        <v>1280</v>
      </c>
      <c r="I1173" s="16"/>
      <c r="J1173" s="68"/>
      <c r="K1173" s="68"/>
      <c r="L1173" s="68"/>
      <c r="M1173" s="74">
        <f t="shared" si="21"/>
        <v>20783.400000000001</v>
      </c>
    </row>
    <row r="1174" spans="1:13">
      <c r="A1174" t="s">
        <v>151</v>
      </c>
      <c r="B1174" t="s">
        <v>11</v>
      </c>
      <c r="C1174" s="51">
        <v>138624066329</v>
      </c>
      <c r="D1174" s="1">
        <v>21824.32</v>
      </c>
      <c r="E1174" s="1">
        <v>15972736.619999999</v>
      </c>
      <c r="F1174" t="s">
        <v>1280</v>
      </c>
      <c r="I1174" s="16"/>
      <c r="J1174" s="68"/>
      <c r="K1174" s="68"/>
      <c r="L1174" s="68"/>
      <c r="M1174" s="74">
        <f t="shared" si="21"/>
        <v>21824.32</v>
      </c>
    </row>
    <row r="1175" spans="1:13">
      <c r="A1175" t="s">
        <v>151</v>
      </c>
      <c r="B1175" t="s">
        <v>11</v>
      </c>
      <c r="C1175" s="51">
        <v>139270327646</v>
      </c>
      <c r="D1175" s="1">
        <v>9743</v>
      </c>
      <c r="E1175" s="1">
        <v>15982479.619999999</v>
      </c>
      <c r="F1175" t="s">
        <v>1280</v>
      </c>
      <c r="I1175" s="16"/>
      <c r="J1175" s="68"/>
      <c r="K1175" s="68"/>
      <c r="L1175" s="68"/>
      <c r="M1175" s="74">
        <f t="shared" si="21"/>
        <v>9743</v>
      </c>
    </row>
    <row r="1176" spans="1:13">
      <c r="A1176" t="s">
        <v>151</v>
      </c>
      <c r="B1176" t="s">
        <v>11</v>
      </c>
      <c r="C1176" s="51">
        <v>139271087224</v>
      </c>
      <c r="D1176" s="1">
        <v>28546.99</v>
      </c>
      <c r="E1176" s="1">
        <v>16011026.609999999</v>
      </c>
      <c r="F1176" t="s">
        <v>1280</v>
      </c>
      <c r="I1176" s="16"/>
      <c r="J1176" s="68"/>
      <c r="K1176" s="68"/>
      <c r="L1176" s="68"/>
      <c r="M1176" s="74">
        <f t="shared" si="21"/>
        <v>28546.99</v>
      </c>
    </row>
    <row r="1177" spans="1:13">
      <c r="A1177" t="s">
        <v>151</v>
      </c>
      <c r="B1177" t="s">
        <v>11</v>
      </c>
      <c r="C1177" s="51">
        <v>138626144163</v>
      </c>
      <c r="D1177" s="1">
        <v>4676.6400000000003</v>
      </c>
      <c r="E1177" s="1">
        <v>16015703.25</v>
      </c>
      <c r="F1177" t="s">
        <v>1280</v>
      </c>
      <c r="I1177" s="16"/>
      <c r="J1177" s="68"/>
      <c r="K1177" s="68"/>
      <c r="L1177" s="68"/>
      <c r="M1177" s="74">
        <f t="shared" si="21"/>
        <v>4676.6400000000003</v>
      </c>
    </row>
    <row r="1178" spans="1:13">
      <c r="A1178" t="s">
        <v>134</v>
      </c>
      <c r="B1178" t="s">
        <v>148</v>
      </c>
      <c r="C1178" s="51">
        <v>138319640265</v>
      </c>
      <c r="D1178" s="1">
        <v>3661.46</v>
      </c>
      <c r="E1178" s="1">
        <v>16158687.17</v>
      </c>
      <c r="F1178" t="s">
        <v>1280</v>
      </c>
      <c r="I1178" s="16"/>
      <c r="J1178" s="68"/>
      <c r="K1178" s="68"/>
      <c r="L1178" s="68"/>
      <c r="M1178" s="74">
        <f t="shared" si="21"/>
        <v>3661.46</v>
      </c>
    </row>
    <row r="1179" spans="1:13">
      <c r="A1179" t="s">
        <v>151</v>
      </c>
      <c r="B1179" t="s">
        <v>11</v>
      </c>
      <c r="C1179" s="51">
        <v>139271724608</v>
      </c>
      <c r="D1179" s="1">
        <v>4676.6400000000003</v>
      </c>
      <c r="E1179" s="1">
        <v>16020379.890000001</v>
      </c>
      <c r="F1179" t="s">
        <v>1280</v>
      </c>
      <c r="I1179" s="16"/>
      <c r="J1179" s="68"/>
      <c r="K1179" s="68"/>
      <c r="L1179" s="68"/>
      <c r="M1179" s="74">
        <f t="shared" si="21"/>
        <v>4676.6400000000003</v>
      </c>
    </row>
    <row r="1180" spans="1:13">
      <c r="A1180" t="s">
        <v>151</v>
      </c>
      <c r="B1180" t="s">
        <v>11</v>
      </c>
      <c r="C1180" s="51">
        <v>139272015484</v>
      </c>
      <c r="D1180" s="1">
        <v>18511.7</v>
      </c>
      <c r="E1180" s="1">
        <v>16039126.550000001</v>
      </c>
      <c r="F1180" t="s">
        <v>1280</v>
      </c>
      <c r="I1180" s="16"/>
      <c r="J1180" s="68"/>
      <c r="K1180" s="68"/>
      <c r="L1180" s="68"/>
      <c r="M1180" s="74">
        <f t="shared" si="21"/>
        <v>18511.7</v>
      </c>
    </row>
    <row r="1181" spans="1:13">
      <c r="A1181" t="s">
        <v>151</v>
      </c>
      <c r="B1181" t="s">
        <v>11</v>
      </c>
      <c r="C1181" s="51">
        <v>139272408922</v>
      </c>
      <c r="D1181" s="1">
        <v>37510.550000000003</v>
      </c>
      <c r="E1181" s="1">
        <v>16076637.1</v>
      </c>
      <c r="F1181" t="s">
        <v>1280</v>
      </c>
      <c r="I1181" s="16"/>
      <c r="J1181" s="68"/>
      <c r="K1181" s="68"/>
      <c r="L1181" s="68"/>
      <c r="M1181" s="74">
        <f t="shared" si="21"/>
        <v>37510.550000000003</v>
      </c>
    </row>
    <row r="1182" spans="1:13">
      <c r="A1182" t="s">
        <v>151</v>
      </c>
      <c r="B1182" t="s">
        <v>11</v>
      </c>
      <c r="C1182" s="51">
        <v>139273670082</v>
      </c>
      <c r="D1182" s="1">
        <v>37032.239999999998</v>
      </c>
      <c r="E1182" s="1">
        <v>16113669.34</v>
      </c>
      <c r="F1182" t="s">
        <v>1280</v>
      </c>
      <c r="I1182" s="16"/>
      <c r="J1182" s="68"/>
      <c r="K1182" s="68"/>
      <c r="L1182" s="68"/>
      <c r="M1182" s="74">
        <f t="shared" si="21"/>
        <v>37032.239999999998</v>
      </c>
    </row>
    <row r="1183" spans="1:13">
      <c r="A1183" t="s">
        <v>151</v>
      </c>
      <c r="B1183" t="s">
        <v>11</v>
      </c>
      <c r="C1183" s="51">
        <v>138628677131</v>
      </c>
      <c r="D1183" s="1">
        <v>31836.39</v>
      </c>
      <c r="E1183" s="1">
        <v>16108473.49</v>
      </c>
      <c r="F1183" t="s">
        <v>1280</v>
      </c>
      <c r="I1183" s="16"/>
      <c r="J1183" s="68"/>
      <c r="K1183" s="68"/>
      <c r="L1183" s="68"/>
      <c r="M1183" s="74">
        <f t="shared" si="21"/>
        <v>31836.39</v>
      </c>
    </row>
    <row r="1184" spans="1:13">
      <c r="A1184" t="s">
        <v>151</v>
      </c>
      <c r="B1184" t="s">
        <v>11</v>
      </c>
      <c r="C1184" s="51">
        <v>139274280902</v>
      </c>
      <c r="D1184" s="1">
        <v>4871.5</v>
      </c>
      <c r="E1184" s="1">
        <v>16113344.99</v>
      </c>
      <c r="F1184" t="s">
        <v>1280</v>
      </c>
      <c r="I1184" s="16"/>
      <c r="J1184" s="68"/>
      <c r="K1184" s="68"/>
      <c r="L1184" s="68"/>
      <c r="M1184" s="74">
        <f t="shared" si="21"/>
        <v>4871.5</v>
      </c>
    </row>
    <row r="1185" spans="1:13">
      <c r="A1185" t="s">
        <v>151</v>
      </c>
      <c r="B1185" t="s">
        <v>11</v>
      </c>
      <c r="C1185" s="51">
        <v>139275103290</v>
      </c>
      <c r="D1185" s="1">
        <v>4871.5</v>
      </c>
      <c r="E1185" s="1">
        <v>16118705.99</v>
      </c>
      <c r="F1185" t="s">
        <v>1280</v>
      </c>
      <c r="I1185" s="16"/>
      <c r="J1185" s="68"/>
      <c r="K1185" s="68"/>
      <c r="L1185" s="68"/>
      <c r="M1185" s="74">
        <f t="shared" si="21"/>
        <v>4871.5</v>
      </c>
    </row>
    <row r="1186" spans="1:13">
      <c r="A1186" t="s">
        <v>151</v>
      </c>
      <c r="B1186" t="s">
        <v>11</v>
      </c>
      <c r="C1186" s="51">
        <v>139275323288</v>
      </c>
      <c r="D1186" s="1">
        <v>17050.25</v>
      </c>
      <c r="E1186" s="1">
        <v>16135756.24</v>
      </c>
      <c r="F1186" t="s">
        <v>1280</v>
      </c>
      <c r="I1186" s="16"/>
      <c r="J1186" s="68"/>
      <c r="K1186" s="68"/>
      <c r="L1186" s="68"/>
      <c r="M1186" s="74">
        <f t="shared" si="21"/>
        <v>17050.25</v>
      </c>
    </row>
    <row r="1187" spans="1:13">
      <c r="A1187" t="s">
        <v>151</v>
      </c>
      <c r="B1187" t="s">
        <v>11</v>
      </c>
      <c r="C1187" s="51">
        <v>139276302934</v>
      </c>
      <c r="D1187" s="1">
        <v>21824.32</v>
      </c>
      <c r="E1187" s="1">
        <v>16157580.560000001</v>
      </c>
      <c r="F1187" t="s">
        <v>1280</v>
      </c>
      <c r="I1187" s="16"/>
      <c r="J1187" s="68"/>
      <c r="K1187" s="68"/>
      <c r="L1187" s="68"/>
      <c r="M1187" s="74">
        <f t="shared" si="21"/>
        <v>21824.32</v>
      </c>
    </row>
    <row r="1188" spans="1:13">
      <c r="A1188" t="s">
        <v>151</v>
      </c>
      <c r="B1188" t="s">
        <v>11</v>
      </c>
      <c r="C1188" s="51">
        <v>138631353807</v>
      </c>
      <c r="D1188" s="1">
        <v>4599.1400000000003</v>
      </c>
      <c r="E1188" s="1">
        <v>16162179.699999999</v>
      </c>
      <c r="F1188" t="s">
        <v>1280</v>
      </c>
      <c r="I1188" s="16"/>
      <c r="J1188" s="68"/>
      <c r="K1188" s="68"/>
      <c r="L1188" s="68"/>
      <c r="M1188" s="74">
        <f t="shared" si="21"/>
        <v>4599.1400000000003</v>
      </c>
    </row>
    <row r="1189" spans="1:13">
      <c r="A1189" t="s">
        <v>151</v>
      </c>
      <c r="B1189" t="s">
        <v>11</v>
      </c>
      <c r="C1189" s="51">
        <v>138633140959</v>
      </c>
      <c r="D1189" s="1">
        <v>11802.7</v>
      </c>
      <c r="E1189" s="1">
        <v>16173982.4</v>
      </c>
      <c r="F1189" t="s">
        <v>1280</v>
      </c>
      <c r="I1189" s="16"/>
      <c r="J1189" s="68"/>
      <c r="K1189" s="68"/>
      <c r="L1189" s="68"/>
      <c r="M1189" s="74">
        <f t="shared" si="21"/>
        <v>11802.7</v>
      </c>
    </row>
    <row r="1190" spans="1:13">
      <c r="A1190" t="s">
        <v>151</v>
      </c>
      <c r="B1190" t="s">
        <v>11</v>
      </c>
      <c r="C1190" s="51">
        <v>138633302091</v>
      </c>
      <c r="D1190" s="1">
        <v>4676.6400000000003</v>
      </c>
      <c r="E1190" s="1">
        <v>16178659.039999999</v>
      </c>
      <c r="F1190" t="s">
        <v>1280</v>
      </c>
      <c r="I1190" s="16"/>
      <c r="J1190" s="68"/>
      <c r="K1190" s="68"/>
      <c r="L1190" s="68"/>
      <c r="M1190" s="74">
        <f t="shared" si="21"/>
        <v>4676.6400000000003</v>
      </c>
    </row>
    <row r="1191" spans="1:13">
      <c r="A1191" t="s">
        <v>151</v>
      </c>
      <c r="B1191" t="s">
        <v>11</v>
      </c>
      <c r="C1191" s="51">
        <v>138633435065</v>
      </c>
      <c r="D1191" s="1">
        <v>9548.14</v>
      </c>
      <c r="E1191" s="1">
        <v>16188207.18</v>
      </c>
      <c r="F1191" t="s">
        <v>1280</v>
      </c>
      <c r="I1191" s="16"/>
      <c r="J1191" s="68"/>
      <c r="K1191" s="68"/>
      <c r="L1191" s="68"/>
      <c r="M1191" s="74">
        <f t="shared" si="21"/>
        <v>9548.14</v>
      </c>
    </row>
    <row r="1192" spans="1:13">
      <c r="A1192" t="s">
        <v>151</v>
      </c>
      <c r="B1192" t="s">
        <v>11</v>
      </c>
      <c r="C1192" s="51">
        <v>138633489427</v>
      </c>
      <c r="D1192" s="1">
        <v>4871.5</v>
      </c>
      <c r="E1192" s="1">
        <v>16193558.390000001</v>
      </c>
      <c r="F1192" t="s">
        <v>1280</v>
      </c>
      <c r="I1192" s="16"/>
      <c r="J1192" s="68"/>
      <c r="K1192" s="68"/>
      <c r="L1192" s="68"/>
      <c r="M1192" s="74">
        <f t="shared" ref="M1192:M1255" si="22">+D1192-I1192-J1192-K1192-L1192</f>
        <v>4871.5</v>
      </c>
    </row>
    <row r="1193" spans="1:13">
      <c r="A1193" t="s">
        <v>151</v>
      </c>
      <c r="B1193" t="s">
        <v>11</v>
      </c>
      <c r="C1193" s="51">
        <v>138633605923</v>
      </c>
      <c r="D1193" s="1">
        <v>82472.31</v>
      </c>
      <c r="E1193" s="1">
        <v>16276030.699999999</v>
      </c>
      <c r="F1193" t="s">
        <v>1280</v>
      </c>
      <c r="I1193" s="16"/>
      <c r="J1193" s="68"/>
      <c r="K1193" s="68"/>
      <c r="L1193" s="68"/>
      <c r="M1193" s="74">
        <f t="shared" si="22"/>
        <v>82472.31</v>
      </c>
    </row>
    <row r="1194" spans="1:13">
      <c r="A1194" t="s">
        <v>151</v>
      </c>
      <c r="B1194" t="s">
        <v>11</v>
      </c>
      <c r="C1194" s="51">
        <v>139279213150</v>
      </c>
      <c r="D1194" s="1">
        <v>9743</v>
      </c>
      <c r="E1194" s="1">
        <v>16285773.699999999</v>
      </c>
      <c r="F1194" t="s">
        <v>1280</v>
      </c>
      <c r="I1194" s="16"/>
      <c r="J1194" s="68"/>
      <c r="K1194" s="68"/>
      <c r="L1194" s="68"/>
      <c r="M1194" s="74">
        <f t="shared" si="22"/>
        <v>9743</v>
      </c>
    </row>
    <row r="1195" spans="1:13">
      <c r="A1195" t="s">
        <v>149</v>
      </c>
      <c r="B1195" t="s">
        <v>150</v>
      </c>
      <c r="C1195" s="51">
        <v>138323774237</v>
      </c>
      <c r="D1195" s="1">
        <v>6691.46</v>
      </c>
      <c r="E1195" s="1">
        <v>17071386.629999999</v>
      </c>
      <c r="F1195" t="s">
        <v>1280</v>
      </c>
      <c r="I1195" s="16"/>
      <c r="J1195" s="68"/>
      <c r="K1195" s="68"/>
      <c r="L1195" s="68"/>
      <c r="M1195" s="74">
        <f t="shared" si="22"/>
        <v>6691.46</v>
      </c>
    </row>
    <row r="1196" spans="1:13">
      <c r="A1196" t="s">
        <v>151</v>
      </c>
      <c r="B1196" t="s">
        <v>11</v>
      </c>
      <c r="C1196" s="51">
        <v>138634295411</v>
      </c>
      <c r="D1196" s="1">
        <v>2435.75</v>
      </c>
      <c r="E1196" s="1">
        <v>16288209.449999999</v>
      </c>
      <c r="F1196" t="s">
        <v>1280</v>
      </c>
      <c r="I1196" s="16"/>
      <c r="J1196" s="68"/>
      <c r="K1196" s="68"/>
      <c r="L1196" s="68"/>
      <c r="M1196" s="74">
        <f t="shared" si="22"/>
        <v>2435.75</v>
      </c>
    </row>
    <row r="1197" spans="1:13">
      <c r="A1197" t="s">
        <v>151</v>
      </c>
      <c r="B1197" t="s">
        <v>11</v>
      </c>
      <c r="C1197" s="51">
        <v>138635021889</v>
      </c>
      <c r="D1197" s="1">
        <v>34879.94</v>
      </c>
      <c r="E1197" s="1">
        <v>16323089.390000001</v>
      </c>
      <c r="F1197" t="s">
        <v>1280</v>
      </c>
      <c r="I1197" s="16"/>
      <c r="J1197" s="68"/>
      <c r="K1197" s="68"/>
      <c r="L1197" s="68"/>
      <c r="M1197" s="74">
        <f t="shared" si="22"/>
        <v>34879.94</v>
      </c>
    </row>
    <row r="1198" spans="1:13">
      <c r="A1198" t="s">
        <v>151</v>
      </c>
      <c r="B1198" t="s">
        <v>11</v>
      </c>
      <c r="C1198" s="51">
        <v>139280438028</v>
      </c>
      <c r="D1198" s="1">
        <v>44135.79</v>
      </c>
      <c r="E1198" s="1">
        <v>16368977.59</v>
      </c>
      <c r="F1198" t="s">
        <v>1280</v>
      </c>
      <c r="I1198" s="16"/>
      <c r="J1198" s="68"/>
      <c r="K1198" s="68"/>
      <c r="L1198" s="68"/>
      <c r="M1198" s="74">
        <f t="shared" si="22"/>
        <v>44135.79</v>
      </c>
    </row>
    <row r="1199" spans="1:13">
      <c r="A1199" t="s">
        <v>151</v>
      </c>
      <c r="B1199" t="s">
        <v>11</v>
      </c>
      <c r="C1199" s="51">
        <v>139280754312</v>
      </c>
      <c r="D1199" s="1">
        <v>13347.91</v>
      </c>
      <c r="E1199" s="1">
        <v>16382325.5</v>
      </c>
      <c r="F1199" t="s">
        <v>1280</v>
      </c>
      <c r="I1199" s="16"/>
      <c r="J1199" s="68"/>
      <c r="K1199" s="68"/>
      <c r="L1199" s="68"/>
      <c r="M1199" s="74">
        <f t="shared" si="22"/>
        <v>13347.91</v>
      </c>
    </row>
    <row r="1200" spans="1:13">
      <c r="A1200" t="s">
        <v>151</v>
      </c>
      <c r="B1200" t="s">
        <v>11</v>
      </c>
      <c r="C1200" s="51">
        <v>139281632816</v>
      </c>
      <c r="D1200" s="1">
        <v>2252.64</v>
      </c>
      <c r="E1200" s="1">
        <v>16384578.140000001</v>
      </c>
      <c r="F1200" t="s">
        <v>1280</v>
      </c>
      <c r="I1200" s="16"/>
      <c r="J1200" s="68"/>
      <c r="K1200" s="68"/>
      <c r="L1200" s="68"/>
      <c r="M1200" s="74">
        <f t="shared" si="22"/>
        <v>2252.64</v>
      </c>
    </row>
    <row r="1201" spans="1:13">
      <c r="A1201" t="s">
        <v>151</v>
      </c>
      <c r="B1201" t="s">
        <v>11</v>
      </c>
      <c r="C1201" s="51">
        <v>138636328031</v>
      </c>
      <c r="D1201" s="1">
        <v>9855.2999999999993</v>
      </c>
      <c r="E1201" s="1">
        <v>16394433.439999999</v>
      </c>
      <c r="F1201" t="s">
        <v>1280</v>
      </c>
      <c r="I1201" s="16"/>
      <c r="J1201" s="68"/>
      <c r="K1201" s="68"/>
      <c r="L1201" s="68"/>
      <c r="M1201" s="74">
        <f t="shared" si="22"/>
        <v>9855.2999999999993</v>
      </c>
    </row>
    <row r="1202" spans="1:13">
      <c r="A1202" t="s">
        <v>151</v>
      </c>
      <c r="B1202" t="s">
        <v>11</v>
      </c>
      <c r="C1202" s="51">
        <v>139281926234</v>
      </c>
      <c r="D1202" s="1">
        <v>2435.75</v>
      </c>
      <c r="E1202" s="1">
        <v>16396869.189999999</v>
      </c>
      <c r="F1202" t="s">
        <v>1280</v>
      </c>
      <c r="I1202" s="16"/>
      <c r="J1202" s="68"/>
      <c r="K1202" s="68"/>
      <c r="L1202" s="68"/>
      <c r="M1202" s="74">
        <f t="shared" si="22"/>
        <v>2435.75</v>
      </c>
    </row>
    <row r="1203" spans="1:13">
      <c r="A1203" t="s">
        <v>151</v>
      </c>
      <c r="B1203" t="s">
        <v>11</v>
      </c>
      <c r="C1203" s="51">
        <v>139281911322</v>
      </c>
      <c r="D1203" s="1">
        <v>30982.74</v>
      </c>
      <c r="E1203" s="1">
        <v>16427851.93</v>
      </c>
      <c r="F1203" t="s">
        <v>1280</v>
      </c>
      <c r="I1203" s="16"/>
      <c r="J1203" s="68"/>
      <c r="K1203" s="68"/>
      <c r="L1203" s="68"/>
      <c r="M1203" s="74">
        <f t="shared" si="22"/>
        <v>30982.74</v>
      </c>
    </row>
    <row r="1204" spans="1:13">
      <c r="A1204" t="s">
        <v>151</v>
      </c>
      <c r="B1204" t="s">
        <v>11</v>
      </c>
      <c r="C1204" s="51">
        <v>138636840479</v>
      </c>
      <c r="D1204" s="1">
        <v>92769.54</v>
      </c>
      <c r="E1204" s="1">
        <v>16523734.689999999</v>
      </c>
      <c r="F1204" t="s">
        <v>1280</v>
      </c>
      <c r="I1204" s="16"/>
      <c r="J1204" s="68"/>
      <c r="K1204" s="68"/>
      <c r="L1204" s="68"/>
      <c r="M1204" s="74">
        <f t="shared" si="22"/>
        <v>92769.54</v>
      </c>
    </row>
    <row r="1205" spans="1:13">
      <c r="A1205" t="s">
        <v>151</v>
      </c>
      <c r="B1205" t="s">
        <v>11</v>
      </c>
      <c r="C1205" s="51">
        <v>138637654465</v>
      </c>
      <c r="D1205" s="1">
        <v>29423.86</v>
      </c>
      <c r="E1205" s="1">
        <v>16553158.550000001</v>
      </c>
      <c r="F1205" t="s">
        <v>1280</v>
      </c>
      <c r="I1205" s="16"/>
      <c r="J1205" s="68"/>
      <c r="K1205" s="68"/>
      <c r="L1205" s="68"/>
      <c r="M1205" s="74">
        <f t="shared" si="22"/>
        <v>29423.86</v>
      </c>
    </row>
    <row r="1206" spans="1:13">
      <c r="A1206" t="s">
        <v>151</v>
      </c>
      <c r="B1206" t="s">
        <v>11</v>
      </c>
      <c r="C1206" s="51">
        <v>138637623891</v>
      </c>
      <c r="D1206" s="1">
        <v>4723.5</v>
      </c>
      <c r="E1206" s="1">
        <v>16557882.050000001</v>
      </c>
      <c r="F1206" t="s">
        <v>1280</v>
      </c>
      <c r="I1206" s="16"/>
      <c r="J1206" s="68"/>
      <c r="K1206" s="68"/>
      <c r="L1206" s="68"/>
      <c r="M1206" s="74">
        <f t="shared" si="22"/>
        <v>4723.5</v>
      </c>
    </row>
    <row r="1207" spans="1:13">
      <c r="A1207" t="s">
        <v>158</v>
      </c>
      <c r="B1207" t="s">
        <v>11</v>
      </c>
      <c r="C1207" s="51">
        <v>139283314144</v>
      </c>
      <c r="D1207" s="1">
        <v>82718.070000000007</v>
      </c>
      <c r="E1207" s="1">
        <v>16640600.119999999</v>
      </c>
      <c r="F1207" t="s">
        <v>1280</v>
      </c>
      <c r="I1207" s="16"/>
      <c r="J1207" s="68"/>
      <c r="K1207" s="68"/>
      <c r="L1207" s="68"/>
      <c r="M1207" s="74">
        <f t="shared" si="22"/>
        <v>82718.070000000007</v>
      </c>
    </row>
    <row r="1208" spans="1:13">
      <c r="A1208" t="s">
        <v>158</v>
      </c>
      <c r="B1208" t="s">
        <v>11</v>
      </c>
      <c r="C1208" s="51">
        <v>138638180357</v>
      </c>
      <c r="D1208" s="1">
        <v>17683.54</v>
      </c>
      <c r="E1208" s="1">
        <v>16662439.51</v>
      </c>
      <c r="F1208" t="s">
        <v>1280</v>
      </c>
      <c r="I1208" s="16"/>
      <c r="J1208" s="68"/>
      <c r="K1208" s="68"/>
      <c r="L1208" s="68"/>
      <c r="M1208" s="74">
        <f t="shared" si="22"/>
        <v>17683.54</v>
      </c>
    </row>
    <row r="1209" spans="1:13">
      <c r="A1209" t="s">
        <v>158</v>
      </c>
      <c r="B1209" t="s">
        <v>11</v>
      </c>
      <c r="C1209" s="51">
        <v>139283485552</v>
      </c>
      <c r="D1209" s="1">
        <v>4539.5</v>
      </c>
      <c r="E1209" s="1">
        <v>16668755.890000001</v>
      </c>
      <c r="F1209" t="s">
        <v>1280</v>
      </c>
      <c r="I1209" s="16"/>
      <c r="J1209" s="68"/>
      <c r="K1209" s="68"/>
      <c r="L1209" s="68"/>
      <c r="M1209" s="74">
        <f t="shared" si="22"/>
        <v>4539.5</v>
      </c>
    </row>
    <row r="1210" spans="1:13">
      <c r="A1210" t="s">
        <v>158</v>
      </c>
      <c r="B1210" t="s">
        <v>11</v>
      </c>
      <c r="C1210" s="51">
        <v>139283523776</v>
      </c>
      <c r="D1210" s="1">
        <v>25624.09</v>
      </c>
      <c r="E1210" s="1">
        <v>16694379.98</v>
      </c>
      <c r="F1210" t="s">
        <v>1280</v>
      </c>
      <c r="I1210" s="16"/>
      <c r="J1210" s="68"/>
      <c r="K1210" s="68"/>
      <c r="L1210" s="68"/>
      <c r="M1210" s="74">
        <f t="shared" si="22"/>
        <v>25624.09</v>
      </c>
    </row>
    <row r="1211" spans="1:13">
      <c r="A1211" t="s">
        <v>158</v>
      </c>
      <c r="B1211" t="s">
        <v>11</v>
      </c>
      <c r="C1211" s="51">
        <v>138638356415</v>
      </c>
      <c r="D1211" s="1">
        <v>47029.22</v>
      </c>
      <c r="E1211" s="1">
        <v>16742696.58</v>
      </c>
      <c r="F1211" t="s">
        <v>1280</v>
      </c>
      <c r="I1211" s="16"/>
      <c r="J1211" s="68"/>
      <c r="K1211" s="68"/>
      <c r="L1211" s="68"/>
      <c r="M1211" s="74">
        <f t="shared" si="22"/>
        <v>47029.22</v>
      </c>
    </row>
    <row r="1212" spans="1:13">
      <c r="A1212" t="s">
        <v>158</v>
      </c>
      <c r="B1212" t="s">
        <v>11</v>
      </c>
      <c r="C1212" s="51">
        <v>139283726956</v>
      </c>
      <c r="D1212" s="1">
        <v>4774.07</v>
      </c>
      <c r="E1212" s="1">
        <v>16747470.65</v>
      </c>
      <c r="F1212" t="s">
        <v>1280</v>
      </c>
      <c r="I1212" s="16"/>
      <c r="J1212" s="68"/>
      <c r="K1212" s="68"/>
      <c r="L1212" s="68"/>
      <c r="M1212" s="74">
        <f t="shared" si="22"/>
        <v>4774.07</v>
      </c>
    </row>
    <row r="1213" spans="1:13">
      <c r="A1213" t="s">
        <v>158</v>
      </c>
      <c r="B1213" t="s">
        <v>11</v>
      </c>
      <c r="C1213" s="51">
        <v>138638643557</v>
      </c>
      <c r="D1213" s="1">
        <v>4871.5</v>
      </c>
      <c r="E1213" s="1">
        <v>16752342.15</v>
      </c>
      <c r="F1213" t="s">
        <v>1280</v>
      </c>
      <c r="I1213" s="16"/>
      <c r="J1213" s="68"/>
      <c r="K1213" s="68"/>
      <c r="L1213" s="68"/>
      <c r="M1213" s="74">
        <f t="shared" si="22"/>
        <v>4871.5</v>
      </c>
    </row>
    <row r="1214" spans="1:13">
      <c r="A1214" t="s">
        <v>158</v>
      </c>
      <c r="B1214" t="s">
        <v>11</v>
      </c>
      <c r="C1214" s="51">
        <v>139284640396</v>
      </c>
      <c r="D1214" s="1">
        <v>43942.36</v>
      </c>
      <c r="E1214" s="1">
        <v>16796284.510000002</v>
      </c>
      <c r="F1214" t="s">
        <v>1280</v>
      </c>
      <c r="I1214" s="16"/>
      <c r="J1214" s="68"/>
      <c r="K1214" s="68"/>
      <c r="L1214" s="68"/>
      <c r="M1214" s="74">
        <f t="shared" si="22"/>
        <v>43942.36</v>
      </c>
    </row>
    <row r="1215" spans="1:13">
      <c r="A1215" t="s">
        <v>158</v>
      </c>
      <c r="B1215" t="s">
        <v>11</v>
      </c>
      <c r="C1215" s="51">
        <v>138639507879</v>
      </c>
      <c r="D1215" s="1">
        <v>4676.6400000000003</v>
      </c>
      <c r="E1215" s="1">
        <v>16800961.149999999</v>
      </c>
      <c r="F1215" t="s">
        <v>1280</v>
      </c>
      <c r="I1215" s="16"/>
      <c r="J1215" s="68"/>
      <c r="K1215" s="68"/>
      <c r="L1215" s="68"/>
      <c r="M1215" s="74">
        <f t="shared" si="22"/>
        <v>4676.6400000000003</v>
      </c>
    </row>
    <row r="1216" spans="1:13">
      <c r="A1216" t="s">
        <v>158</v>
      </c>
      <c r="B1216" t="s">
        <v>11</v>
      </c>
      <c r="C1216" s="51">
        <v>138639685509</v>
      </c>
      <c r="D1216" s="1">
        <v>4871.5</v>
      </c>
      <c r="E1216" s="1">
        <v>16805832.649999999</v>
      </c>
      <c r="F1216" t="s">
        <v>1280</v>
      </c>
      <c r="I1216" s="16"/>
      <c r="J1216" s="68"/>
      <c r="K1216" s="68"/>
      <c r="L1216" s="68"/>
      <c r="M1216" s="74">
        <f t="shared" si="22"/>
        <v>4871.5</v>
      </c>
    </row>
    <row r="1217" spans="1:13">
      <c r="A1217" t="s">
        <v>151</v>
      </c>
      <c r="B1217" t="s">
        <v>153</v>
      </c>
      <c r="C1217" s="51">
        <v>138626440873</v>
      </c>
      <c r="D1217">
        <v>234.96</v>
      </c>
      <c r="E1217" s="1">
        <v>16020614.85</v>
      </c>
      <c r="F1217" t="s">
        <v>1280</v>
      </c>
      <c r="I1217" s="16"/>
      <c r="J1217" s="68"/>
      <c r="K1217" s="68"/>
      <c r="L1217" s="68"/>
      <c r="M1217" s="74">
        <f t="shared" si="22"/>
        <v>234.96</v>
      </c>
    </row>
    <row r="1218" spans="1:13">
      <c r="A1218" t="s">
        <v>158</v>
      </c>
      <c r="B1218" t="s">
        <v>11</v>
      </c>
      <c r="C1218" s="51">
        <v>138639735813</v>
      </c>
      <c r="D1218" s="1">
        <v>66734.460000000006</v>
      </c>
      <c r="E1218" s="1">
        <v>16872567.109999999</v>
      </c>
      <c r="F1218" t="s">
        <v>1280</v>
      </c>
      <c r="I1218" s="16"/>
      <c r="J1218" s="68"/>
      <c r="K1218" s="68"/>
      <c r="L1218" s="68"/>
      <c r="M1218" s="74">
        <f t="shared" si="22"/>
        <v>66734.460000000006</v>
      </c>
    </row>
    <row r="1219" spans="1:13">
      <c r="A1219" t="s">
        <v>158</v>
      </c>
      <c r="B1219" t="s">
        <v>11</v>
      </c>
      <c r="C1219" s="51">
        <v>138640068139</v>
      </c>
      <c r="D1219" s="1">
        <v>9743</v>
      </c>
      <c r="E1219" s="1">
        <v>16882310.109999999</v>
      </c>
      <c r="F1219" t="s">
        <v>1280</v>
      </c>
      <c r="I1219" s="16"/>
      <c r="J1219" s="68"/>
      <c r="K1219" s="68"/>
      <c r="L1219" s="68"/>
      <c r="M1219" s="74">
        <f t="shared" si="22"/>
        <v>9743</v>
      </c>
    </row>
    <row r="1220" spans="1:13">
      <c r="A1220" t="s">
        <v>158</v>
      </c>
      <c r="B1220" t="s">
        <v>11</v>
      </c>
      <c r="C1220" s="51">
        <v>139285356220</v>
      </c>
      <c r="D1220" s="1">
        <v>4871.5</v>
      </c>
      <c r="E1220" s="1">
        <v>16887181.609999999</v>
      </c>
      <c r="F1220" t="s">
        <v>1280</v>
      </c>
      <c r="I1220" s="16"/>
      <c r="J1220" s="68"/>
      <c r="K1220" s="68"/>
      <c r="L1220" s="68"/>
      <c r="M1220" s="74">
        <f t="shared" si="22"/>
        <v>4871.5</v>
      </c>
    </row>
    <row r="1221" spans="1:13">
      <c r="A1221" t="s">
        <v>158</v>
      </c>
      <c r="B1221" t="s">
        <v>11</v>
      </c>
      <c r="C1221" s="51">
        <v>138640123705</v>
      </c>
      <c r="D1221" s="1">
        <v>4871.5</v>
      </c>
      <c r="E1221" s="1">
        <v>16892053.109999999</v>
      </c>
      <c r="F1221" t="s">
        <v>1280</v>
      </c>
      <c r="I1221" s="16"/>
      <c r="J1221" s="68"/>
      <c r="K1221" s="68"/>
      <c r="L1221" s="68"/>
      <c r="M1221" s="74">
        <f t="shared" si="22"/>
        <v>4871.5</v>
      </c>
    </row>
    <row r="1222" spans="1:13">
      <c r="A1222" t="s">
        <v>158</v>
      </c>
      <c r="B1222" t="s">
        <v>11</v>
      </c>
      <c r="C1222" s="51">
        <v>138640349487</v>
      </c>
      <c r="D1222" s="1">
        <v>4871.5</v>
      </c>
      <c r="E1222" s="1">
        <v>16896924.609999999</v>
      </c>
      <c r="F1222" t="s">
        <v>1280</v>
      </c>
      <c r="I1222" s="16"/>
      <c r="J1222" s="68"/>
      <c r="K1222" s="68"/>
      <c r="L1222" s="68"/>
      <c r="M1222" s="74">
        <f t="shared" si="22"/>
        <v>4871.5</v>
      </c>
    </row>
    <row r="1223" spans="1:13">
      <c r="A1223" t="s">
        <v>158</v>
      </c>
      <c r="B1223" t="s">
        <v>11</v>
      </c>
      <c r="C1223" s="51">
        <v>139285806502</v>
      </c>
      <c r="D1223" s="1">
        <v>53683.93</v>
      </c>
      <c r="E1223" s="1">
        <v>16950608.539999999</v>
      </c>
      <c r="F1223" t="s">
        <v>1280</v>
      </c>
      <c r="I1223" s="16"/>
      <c r="J1223" s="68"/>
      <c r="K1223" s="68"/>
      <c r="L1223" s="68"/>
      <c r="M1223" s="74">
        <f t="shared" si="22"/>
        <v>53683.93</v>
      </c>
    </row>
    <row r="1224" spans="1:13">
      <c r="A1224" t="s">
        <v>151</v>
      </c>
      <c r="B1224" t="s">
        <v>154</v>
      </c>
      <c r="C1224" s="51">
        <v>139274304686</v>
      </c>
      <c r="D1224">
        <v>489.5</v>
      </c>
      <c r="E1224" s="1">
        <v>16113834.49</v>
      </c>
      <c r="F1224" t="s">
        <v>1280</v>
      </c>
      <c r="I1224" s="16"/>
      <c r="J1224" s="68"/>
      <c r="K1224" s="68"/>
      <c r="L1224" s="68"/>
      <c r="M1224" s="74">
        <f t="shared" si="22"/>
        <v>489.5</v>
      </c>
    </row>
    <row r="1225" spans="1:13">
      <c r="A1225" t="s">
        <v>158</v>
      </c>
      <c r="B1225" t="s">
        <v>11</v>
      </c>
      <c r="C1225" s="51">
        <v>138640656927</v>
      </c>
      <c r="D1225" s="1">
        <v>51958.5</v>
      </c>
      <c r="E1225" s="1">
        <v>17002567.039999999</v>
      </c>
      <c r="F1225" t="s">
        <v>1280</v>
      </c>
      <c r="I1225" s="16"/>
      <c r="J1225" s="68"/>
      <c r="K1225" s="68"/>
      <c r="L1225" s="68"/>
      <c r="M1225" s="74">
        <f t="shared" si="22"/>
        <v>51958.5</v>
      </c>
    </row>
    <row r="1226" spans="1:13">
      <c r="A1226" t="s">
        <v>158</v>
      </c>
      <c r="B1226" t="s">
        <v>11</v>
      </c>
      <c r="C1226" s="51">
        <v>139286070746</v>
      </c>
      <c r="D1226" s="1">
        <v>9743</v>
      </c>
      <c r="E1226" s="1">
        <v>17012310.039999999</v>
      </c>
      <c r="F1226" t="s">
        <v>1280</v>
      </c>
      <c r="I1226" s="16"/>
      <c r="J1226" s="68"/>
      <c r="K1226" s="68"/>
      <c r="L1226" s="68"/>
      <c r="M1226" s="74">
        <f t="shared" si="22"/>
        <v>9743</v>
      </c>
    </row>
    <row r="1227" spans="1:13">
      <c r="A1227" t="s">
        <v>158</v>
      </c>
      <c r="B1227" t="s">
        <v>11</v>
      </c>
      <c r="C1227" s="51">
        <v>139286071896</v>
      </c>
      <c r="D1227" s="1">
        <v>4676.6400000000003</v>
      </c>
      <c r="E1227" s="1">
        <v>17016986.68</v>
      </c>
      <c r="F1227" t="s">
        <v>1280</v>
      </c>
      <c r="I1227" s="16"/>
      <c r="J1227" s="68"/>
      <c r="K1227" s="68"/>
      <c r="L1227" s="68"/>
      <c r="M1227" s="74">
        <f t="shared" si="22"/>
        <v>4676.6400000000003</v>
      </c>
    </row>
    <row r="1228" spans="1:13">
      <c r="A1228" t="s">
        <v>158</v>
      </c>
      <c r="B1228" t="s">
        <v>11</v>
      </c>
      <c r="C1228" s="51">
        <v>138640943505</v>
      </c>
      <c r="D1228" s="1">
        <v>4871.5</v>
      </c>
      <c r="E1228" s="1">
        <v>17021858.18</v>
      </c>
      <c r="F1228" t="s">
        <v>1280</v>
      </c>
      <c r="I1228" s="16"/>
      <c r="J1228" s="68"/>
      <c r="K1228" s="68"/>
      <c r="L1228" s="68"/>
      <c r="M1228" s="74">
        <f t="shared" si="22"/>
        <v>4871.5</v>
      </c>
    </row>
    <row r="1229" spans="1:13">
      <c r="A1229" t="s">
        <v>158</v>
      </c>
      <c r="B1229" t="s">
        <v>11</v>
      </c>
      <c r="C1229" s="51">
        <v>139286339902</v>
      </c>
      <c r="D1229" s="1">
        <v>32054.47</v>
      </c>
      <c r="E1229" s="1">
        <v>17053912.649999999</v>
      </c>
      <c r="F1229" t="s">
        <v>1280</v>
      </c>
      <c r="I1229" s="16"/>
      <c r="J1229" s="68"/>
      <c r="K1229" s="68"/>
      <c r="L1229" s="68"/>
      <c r="M1229" s="74">
        <f t="shared" si="22"/>
        <v>32054.47</v>
      </c>
    </row>
    <row r="1230" spans="1:13">
      <c r="A1230" t="s">
        <v>158</v>
      </c>
      <c r="B1230" t="s">
        <v>11</v>
      </c>
      <c r="C1230" s="51">
        <v>138641600673</v>
      </c>
      <c r="D1230" s="1">
        <v>30222.92</v>
      </c>
      <c r="E1230" s="1">
        <v>17085746.02</v>
      </c>
      <c r="F1230" t="s">
        <v>1280</v>
      </c>
      <c r="I1230" s="16"/>
      <c r="J1230" s="68"/>
      <c r="K1230" s="68"/>
      <c r="L1230" s="68"/>
      <c r="M1230" s="74">
        <f t="shared" si="22"/>
        <v>30222.92</v>
      </c>
    </row>
    <row r="1231" spans="1:13">
      <c r="A1231" t="s">
        <v>158</v>
      </c>
      <c r="B1231" t="s">
        <v>11</v>
      </c>
      <c r="C1231" s="51">
        <v>139286935926</v>
      </c>
      <c r="D1231" s="1">
        <v>10230.15</v>
      </c>
      <c r="E1231" s="1">
        <v>17095976.170000002</v>
      </c>
      <c r="F1231" t="s">
        <v>1280</v>
      </c>
      <c r="I1231" s="16"/>
      <c r="J1231" s="68"/>
      <c r="K1231" s="68"/>
      <c r="L1231" s="68"/>
      <c r="M1231" s="74">
        <f t="shared" si="22"/>
        <v>10230.15</v>
      </c>
    </row>
    <row r="1232" spans="1:13">
      <c r="A1232" t="s">
        <v>151</v>
      </c>
      <c r="B1232" t="s">
        <v>155</v>
      </c>
      <c r="C1232" s="51">
        <v>138633472447</v>
      </c>
      <c r="D1232">
        <v>479.71</v>
      </c>
      <c r="E1232" s="1">
        <v>16188686.890000001</v>
      </c>
      <c r="F1232" t="s">
        <v>1280</v>
      </c>
      <c r="I1232" s="16"/>
      <c r="J1232" s="68"/>
      <c r="K1232" s="68"/>
      <c r="L1232" s="68"/>
      <c r="M1232" s="74">
        <f t="shared" si="22"/>
        <v>479.71</v>
      </c>
    </row>
    <row r="1233" spans="1:13">
      <c r="A1233" t="s">
        <v>158</v>
      </c>
      <c r="B1233" t="s">
        <v>11</v>
      </c>
      <c r="C1233" s="51">
        <v>139287660210</v>
      </c>
      <c r="D1233" s="1">
        <v>4693</v>
      </c>
      <c r="E1233" s="1">
        <v>17100669.170000002</v>
      </c>
      <c r="F1233" t="s">
        <v>1280</v>
      </c>
      <c r="I1233" s="16"/>
      <c r="J1233" s="68"/>
      <c r="K1233" s="68"/>
      <c r="L1233" s="68"/>
      <c r="M1233" s="74">
        <f t="shared" si="22"/>
        <v>4693</v>
      </c>
    </row>
    <row r="1234" spans="1:13">
      <c r="A1234" t="s">
        <v>158</v>
      </c>
      <c r="B1234" t="s">
        <v>11</v>
      </c>
      <c r="C1234" s="51">
        <v>139287633758</v>
      </c>
      <c r="D1234" s="1">
        <v>37904.82</v>
      </c>
      <c r="E1234" s="1">
        <v>17138573.989999998</v>
      </c>
      <c r="F1234" t="s">
        <v>1280</v>
      </c>
      <c r="I1234" s="16"/>
      <c r="J1234" s="68"/>
      <c r="K1234" s="68"/>
      <c r="L1234" s="68"/>
      <c r="M1234" s="74">
        <f t="shared" si="22"/>
        <v>37904.82</v>
      </c>
    </row>
    <row r="1235" spans="1:13">
      <c r="A1235" t="s">
        <v>158</v>
      </c>
      <c r="B1235" t="s">
        <v>11</v>
      </c>
      <c r="C1235" s="51">
        <v>138642549705</v>
      </c>
      <c r="D1235" s="1">
        <v>46998.82</v>
      </c>
      <c r="E1235" s="1">
        <v>17185572.809999999</v>
      </c>
      <c r="F1235" t="s">
        <v>1280</v>
      </c>
      <c r="I1235" s="16"/>
      <c r="J1235" s="68"/>
      <c r="K1235" s="68"/>
      <c r="L1235" s="68"/>
      <c r="M1235" s="74">
        <f t="shared" si="22"/>
        <v>46998.82</v>
      </c>
    </row>
    <row r="1236" spans="1:13">
      <c r="A1236" t="s">
        <v>158</v>
      </c>
      <c r="B1236" t="s">
        <v>11</v>
      </c>
      <c r="C1236" s="51">
        <v>138642802769</v>
      </c>
      <c r="D1236" s="1">
        <v>4871.5</v>
      </c>
      <c r="E1236" s="1">
        <v>17190444.309999999</v>
      </c>
      <c r="F1236" t="s">
        <v>1280</v>
      </c>
      <c r="I1236" s="16"/>
      <c r="J1236" s="68"/>
      <c r="K1236" s="68"/>
      <c r="L1236" s="68"/>
      <c r="M1236" s="74">
        <f t="shared" si="22"/>
        <v>4871.5</v>
      </c>
    </row>
    <row r="1237" spans="1:13">
      <c r="A1237" t="s">
        <v>158</v>
      </c>
      <c r="B1237" t="s">
        <v>11</v>
      </c>
      <c r="C1237" s="51">
        <v>139288035188</v>
      </c>
      <c r="D1237" s="1">
        <v>5017.6400000000003</v>
      </c>
      <c r="E1237" s="1">
        <v>17195461.949999999</v>
      </c>
      <c r="F1237" t="s">
        <v>1280</v>
      </c>
      <c r="I1237" s="16"/>
      <c r="J1237" s="68"/>
      <c r="K1237" s="68"/>
      <c r="L1237" s="68"/>
      <c r="M1237" s="74">
        <f t="shared" si="22"/>
        <v>5017.6400000000003</v>
      </c>
    </row>
    <row r="1238" spans="1:13">
      <c r="A1238" t="s">
        <v>151</v>
      </c>
      <c r="B1238" t="s">
        <v>156</v>
      </c>
      <c r="C1238" s="51">
        <v>138635067467</v>
      </c>
      <c r="D1238" s="1">
        <v>1752.41</v>
      </c>
      <c r="E1238" s="1">
        <v>16324841.800000001</v>
      </c>
      <c r="F1238" t="s">
        <v>1280</v>
      </c>
      <c r="I1238" s="16"/>
      <c r="J1238" s="68"/>
      <c r="K1238" s="68"/>
      <c r="L1238" s="68"/>
      <c r="M1238" s="74">
        <f t="shared" si="22"/>
        <v>1752.41</v>
      </c>
    </row>
    <row r="1239" spans="1:13">
      <c r="A1239" t="s">
        <v>158</v>
      </c>
      <c r="B1239" t="s">
        <v>11</v>
      </c>
      <c r="C1239" s="51">
        <v>138643137433</v>
      </c>
      <c r="D1239" s="1">
        <v>4871.5</v>
      </c>
      <c r="E1239" s="1">
        <v>17200333.449999999</v>
      </c>
      <c r="F1239" t="s">
        <v>1280</v>
      </c>
      <c r="I1239" s="16"/>
      <c r="J1239" s="68"/>
      <c r="K1239" s="68"/>
      <c r="L1239" s="68"/>
      <c r="M1239" s="74">
        <f t="shared" si="22"/>
        <v>4871.5</v>
      </c>
    </row>
    <row r="1240" spans="1:13">
      <c r="A1240" t="s">
        <v>158</v>
      </c>
      <c r="B1240" t="s">
        <v>11</v>
      </c>
      <c r="C1240" s="51">
        <v>138643246265</v>
      </c>
      <c r="D1240" s="1">
        <v>4871.5</v>
      </c>
      <c r="E1240" s="1">
        <v>17205204.949999999</v>
      </c>
      <c r="F1240" t="s">
        <v>1280</v>
      </c>
      <c r="I1240" s="16"/>
      <c r="J1240" s="68"/>
      <c r="K1240" s="68"/>
      <c r="L1240" s="68"/>
      <c r="M1240" s="74">
        <f t="shared" si="22"/>
        <v>4871.5</v>
      </c>
    </row>
    <row r="1241" spans="1:13">
      <c r="A1241" t="s">
        <v>158</v>
      </c>
      <c r="B1241" t="s">
        <v>11</v>
      </c>
      <c r="C1241" s="51">
        <v>139288624988</v>
      </c>
      <c r="D1241" s="1">
        <v>2922.9</v>
      </c>
      <c r="E1241" s="1">
        <v>17208127.850000001</v>
      </c>
      <c r="F1241" t="s">
        <v>1280</v>
      </c>
      <c r="I1241" s="16"/>
      <c r="J1241" s="68"/>
      <c r="K1241" s="68"/>
      <c r="L1241" s="68"/>
      <c r="M1241" s="74">
        <f t="shared" si="22"/>
        <v>2922.9</v>
      </c>
    </row>
    <row r="1242" spans="1:13">
      <c r="A1242" t="s">
        <v>158</v>
      </c>
      <c r="B1242" t="s">
        <v>11</v>
      </c>
      <c r="C1242" s="51">
        <v>138643534943</v>
      </c>
      <c r="D1242" s="1">
        <v>37950.22</v>
      </c>
      <c r="E1242" s="1">
        <v>17246078.07</v>
      </c>
      <c r="F1242" t="s">
        <v>1280</v>
      </c>
      <c r="I1242" s="16"/>
      <c r="J1242" s="68"/>
      <c r="K1242" s="68"/>
      <c r="L1242" s="68"/>
      <c r="M1242" s="74">
        <f t="shared" si="22"/>
        <v>37950.22</v>
      </c>
    </row>
    <row r="1243" spans="1:13">
      <c r="A1243" t="s">
        <v>158</v>
      </c>
      <c r="B1243" t="s">
        <v>11</v>
      </c>
      <c r="C1243" s="51">
        <v>138643607209</v>
      </c>
      <c r="D1243" s="1">
        <v>18609.13</v>
      </c>
      <c r="E1243" s="1">
        <v>17264687.199999999</v>
      </c>
      <c r="F1243" t="s">
        <v>1280</v>
      </c>
      <c r="I1243" s="16"/>
      <c r="J1243" s="68"/>
      <c r="K1243" s="68"/>
      <c r="L1243" s="68"/>
      <c r="M1243" s="74">
        <f t="shared" si="22"/>
        <v>18609.13</v>
      </c>
    </row>
    <row r="1244" spans="1:13">
      <c r="A1244" t="s">
        <v>158</v>
      </c>
      <c r="B1244" t="s">
        <v>11</v>
      </c>
      <c r="C1244" s="51">
        <v>138643629879</v>
      </c>
      <c r="D1244" s="1">
        <v>4871.5</v>
      </c>
      <c r="E1244" s="1">
        <v>17269558.699999999</v>
      </c>
      <c r="F1244" t="s">
        <v>1280</v>
      </c>
      <c r="I1244" s="16"/>
      <c r="J1244" s="68"/>
      <c r="K1244" s="68"/>
      <c r="L1244" s="68"/>
      <c r="M1244" s="74">
        <f t="shared" si="22"/>
        <v>4871.5</v>
      </c>
    </row>
    <row r="1245" spans="1:13">
      <c r="A1245" t="s">
        <v>151</v>
      </c>
      <c r="B1245" t="s">
        <v>157</v>
      </c>
      <c r="C1245" s="51">
        <v>138636696367</v>
      </c>
      <c r="D1245" s="1">
        <v>3113.22</v>
      </c>
      <c r="E1245" s="1">
        <v>16430965.15</v>
      </c>
      <c r="F1245" t="s">
        <v>1280</v>
      </c>
      <c r="I1245" s="16"/>
      <c r="J1245" s="68"/>
      <c r="K1245" s="68"/>
      <c r="L1245" s="68"/>
      <c r="M1245" s="74">
        <f t="shared" si="22"/>
        <v>3113.22</v>
      </c>
    </row>
    <row r="1246" spans="1:13">
      <c r="A1246" t="s">
        <v>158</v>
      </c>
      <c r="B1246" t="s">
        <v>11</v>
      </c>
      <c r="C1246" s="51">
        <v>138643753585</v>
      </c>
      <c r="D1246" s="1">
        <v>13797.42</v>
      </c>
      <c r="E1246" s="1">
        <v>17283356.120000001</v>
      </c>
      <c r="F1246" t="s">
        <v>1280</v>
      </c>
      <c r="I1246" s="16"/>
      <c r="J1246" s="68"/>
      <c r="K1246" s="68"/>
      <c r="L1246" s="68"/>
      <c r="M1246" s="74">
        <f t="shared" si="22"/>
        <v>13797.42</v>
      </c>
    </row>
    <row r="1247" spans="1:13">
      <c r="A1247" t="s">
        <v>158</v>
      </c>
      <c r="B1247" t="s">
        <v>11</v>
      </c>
      <c r="C1247" s="51">
        <v>139289109558</v>
      </c>
      <c r="D1247" s="1">
        <v>23529.34</v>
      </c>
      <c r="E1247" s="1">
        <v>17306885.460000001</v>
      </c>
      <c r="F1247" t="s">
        <v>1280</v>
      </c>
      <c r="I1247" s="16"/>
      <c r="J1247" s="68"/>
      <c r="K1247" s="68"/>
      <c r="L1247" s="68"/>
      <c r="M1247" s="74">
        <f t="shared" si="22"/>
        <v>23529.34</v>
      </c>
    </row>
    <row r="1248" spans="1:13">
      <c r="A1248" t="s">
        <v>158</v>
      </c>
      <c r="B1248" t="s">
        <v>11</v>
      </c>
      <c r="C1248" s="51">
        <v>138644107181</v>
      </c>
      <c r="D1248" s="1">
        <v>4676.6400000000003</v>
      </c>
      <c r="E1248" s="1">
        <v>17311562.100000001</v>
      </c>
      <c r="F1248" t="s">
        <v>1280</v>
      </c>
      <c r="I1248" s="16"/>
      <c r="J1248" s="68"/>
      <c r="K1248" s="68"/>
      <c r="L1248" s="68"/>
      <c r="M1248" s="74">
        <f t="shared" si="22"/>
        <v>4676.6400000000003</v>
      </c>
    </row>
    <row r="1249" spans="1:13">
      <c r="A1249" t="s">
        <v>158</v>
      </c>
      <c r="B1249" t="s">
        <v>11</v>
      </c>
      <c r="C1249" s="51">
        <v>139289529016</v>
      </c>
      <c r="D1249" s="1">
        <v>2419.25</v>
      </c>
      <c r="E1249" s="1">
        <v>17313981.350000001</v>
      </c>
      <c r="F1249" t="s">
        <v>1280</v>
      </c>
      <c r="I1249" s="16"/>
      <c r="J1249" s="68"/>
      <c r="K1249" s="68"/>
      <c r="L1249" s="68"/>
      <c r="M1249" s="74">
        <f t="shared" si="22"/>
        <v>2419.25</v>
      </c>
    </row>
    <row r="1250" spans="1:13">
      <c r="A1250" t="s">
        <v>158</v>
      </c>
      <c r="B1250" t="s">
        <v>159</v>
      </c>
      <c r="C1250" s="51">
        <v>138638016173</v>
      </c>
      <c r="D1250" s="1">
        <v>4155.8500000000004</v>
      </c>
      <c r="E1250" s="1">
        <v>16644755.970000001</v>
      </c>
      <c r="F1250" t="s">
        <v>1280</v>
      </c>
      <c r="I1250" s="16"/>
      <c r="J1250" s="68"/>
      <c r="K1250" s="68"/>
      <c r="L1250" s="68"/>
      <c r="M1250" s="74">
        <f t="shared" si="22"/>
        <v>4155.8500000000004</v>
      </c>
    </row>
    <row r="1251" spans="1:13">
      <c r="A1251" t="s">
        <v>158</v>
      </c>
      <c r="B1251" t="s">
        <v>11</v>
      </c>
      <c r="C1251" s="51">
        <v>138644468175</v>
      </c>
      <c r="D1251" s="1">
        <v>63621.79</v>
      </c>
      <c r="E1251" s="1">
        <v>17377603.140000001</v>
      </c>
      <c r="F1251" t="s">
        <v>1280</v>
      </c>
      <c r="I1251" s="16"/>
      <c r="J1251" s="68"/>
      <c r="K1251" s="68"/>
      <c r="L1251" s="68"/>
      <c r="M1251" s="74">
        <f t="shared" si="22"/>
        <v>63621.79</v>
      </c>
    </row>
    <row r="1252" spans="1:13">
      <c r="A1252" t="s">
        <v>158</v>
      </c>
      <c r="B1252" t="s">
        <v>16</v>
      </c>
      <c r="C1252" s="51">
        <v>139283452990</v>
      </c>
      <c r="D1252" s="1">
        <v>1776.88</v>
      </c>
      <c r="E1252" s="1">
        <v>16664216.390000001</v>
      </c>
      <c r="F1252" t="s">
        <v>1280</v>
      </c>
      <c r="I1252" s="16"/>
      <c r="J1252" s="68"/>
      <c r="K1252" s="68"/>
      <c r="L1252" s="68"/>
      <c r="M1252" s="74">
        <f t="shared" si="22"/>
        <v>1776.88</v>
      </c>
    </row>
    <row r="1253" spans="1:13">
      <c r="A1253" t="s">
        <v>164</v>
      </c>
      <c r="B1253" t="s">
        <v>11</v>
      </c>
      <c r="C1253" s="51">
        <v>138834348251</v>
      </c>
      <c r="D1253" s="1">
        <v>42284.62</v>
      </c>
      <c r="E1253" s="1">
        <v>17382534.34</v>
      </c>
      <c r="F1253" t="s">
        <v>1280</v>
      </c>
      <c r="I1253" s="16"/>
      <c r="J1253" s="68"/>
      <c r="K1253" s="68"/>
      <c r="L1253" s="68"/>
      <c r="M1253" s="74">
        <f t="shared" si="22"/>
        <v>42284.62</v>
      </c>
    </row>
    <row r="1254" spans="1:13">
      <c r="A1254" t="s">
        <v>164</v>
      </c>
      <c r="B1254" t="s">
        <v>11</v>
      </c>
      <c r="C1254" s="51">
        <v>138835077283</v>
      </c>
      <c r="D1254" s="1">
        <v>38921.64</v>
      </c>
      <c r="E1254" s="1">
        <v>17423580.41</v>
      </c>
      <c r="F1254" t="s">
        <v>1280</v>
      </c>
      <c r="I1254" s="16"/>
      <c r="J1254" s="68"/>
      <c r="K1254" s="68"/>
      <c r="L1254" s="68"/>
      <c r="M1254" s="74">
        <f t="shared" si="22"/>
        <v>38921.64</v>
      </c>
    </row>
    <row r="1255" spans="1:13">
      <c r="A1255" t="s">
        <v>158</v>
      </c>
      <c r="B1255" t="s">
        <v>160</v>
      </c>
      <c r="C1255" s="51">
        <v>138638300625</v>
      </c>
      <c r="D1255" s="1">
        <v>1287.3800000000001</v>
      </c>
      <c r="E1255" s="1">
        <v>16695667.359999999</v>
      </c>
      <c r="F1255" t="s">
        <v>1280</v>
      </c>
      <c r="I1255" s="16"/>
      <c r="J1255" s="68"/>
      <c r="K1255" s="68"/>
      <c r="L1255" s="68"/>
      <c r="M1255" s="74">
        <f t="shared" si="22"/>
        <v>1287.3800000000001</v>
      </c>
    </row>
    <row r="1256" spans="1:13">
      <c r="A1256" t="s">
        <v>164</v>
      </c>
      <c r="B1256" t="s">
        <v>11</v>
      </c>
      <c r="C1256" s="51">
        <v>139482937318</v>
      </c>
      <c r="D1256" s="1">
        <v>38354.82</v>
      </c>
      <c r="E1256" s="1">
        <v>17461935.23</v>
      </c>
      <c r="F1256" t="s">
        <v>1280</v>
      </c>
      <c r="I1256" s="16"/>
      <c r="J1256" s="68"/>
      <c r="K1256" s="68"/>
      <c r="L1256" s="68"/>
      <c r="M1256" s="74">
        <f t="shared" ref="M1256:M1319" si="23">+D1256-I1256-J1256-K1256-L1256</f>
        <v>38354.82</v>
      </c>
    </row>
    <row r="1257" spans="1:13">
      <c r="A1257" t="s">
        <v>164</v>
      </c>
      <c r="B1257" t="s">
        <v>11</v>
      </c>
      <c r="C1257" s="51">
        <v>138837039887</v>
      </c>
      <c r="D1257" s="1">
        <v>29758.05</v>
      </c>
      <c r="E1257" s="1">
        <v>17491693.280000001</v>
      </c>
      <c r="F1257" t="s">
        <v>1280</v>
      </c>
      <c r="I1257" s="16"/>
      <c r="J1257" s="68"/>
      <c r="K1257" s="68"/>
      <c r="L1257" s="68"/>
      <c r="M1257" s="74">
        <f t="shared" si="23"/>
        <v>29758.05</v>
      </c>
    </row>
    <row r="1258" spans="1:13">
      <c r="A1258" t="s">
        <v>164</v>
      </c>
      <c r="B1258" t="s">
        <v>11</v>
      </c>
      <c r="C1258" s="51">
        <v>139483867620</v>
      </c>
      <c r="D1258" s="1">
        <v>26829.48</v>
      </c>
      <c r="E1258" s="1">
        <v>17518522.760000002</v>
      </c>
      <c r="F1258" t="s">
        <v>1280</v>
      </c>
      <c r="I1258" s="16"/>
      <c r="J1258" s="68"/>
      <c r="K1258" s="68"/>
      <c r="L1258" s="68"/>
      <c r="M1258" s="74">
        <f t="shared" si="23"/>
        <v>26829.48</v>
      </c>
    </row>
    <row r="1259" spans="1:13">
      <c r="A1259" t="s">
        <v>164</v>
      </c>
      <c r="B1259" t="s">
        <v>11</v>
      </c>
      <c r="C1259" s="51">
        <v>138838194005</v>
      </c>
      <c r="D1259" s="1">
        <v>31930.86</v>
      </c>
      <c r="E1259" s="1">
        <v>17550453.620000001</v>
      </c>
      <c r="F1259" t="s">
        <v>1280</v>
      </c>
      <c r="I1259" s="16"/>
      <c r="J1259" s="68"/>
      <c r="K1259" s="68"/>
      <c r="L1259" s="68"/>
      <c r="M1259" s="74">
        <f t="shared" si="23"/>
        <v>31930.86</v>
      </c>
    </row>
    <row r="1260" spans="1:13">
      <c r="A1260" t="s">
        <v>164</v>
      </c>
      <c r="B1260" t="s">
        <v>11</v>
      </c>
      <c r="C1260" s="51">
        <v>139485985744</v>
      </c>
      <c r="D1260" s="1">
        <v>25916.38</v>
      </c>
      <c r="E1260" s="1">
        <v>17576370</v>
      </c>
      <c r="F1260" t="s">
        <v>1280</v>
      </c>
      <c r="I1260" s="16"/>
      <c r="J1260" s="68"/>
      <c r="K1260" s="68"/>
      <c r="L1260" s="68"/>
      <c r="M1260" s="74">
        <f t="shared" si="23"/>
        <v>25916.38</v>
      </c>
    </row>
    <row r="1261" spans="1:13">
      <c r="A1261" t="s">
        <v>164</v>
      </c>
      <c r="B1261" t="s">
        <v>11</v>
      </c>
      <c r="C1261" s="51">
        <v>138839833769</v>
      </c>
      <c r="D1261" s="1">
        <v>40823.17</v>
      </c>
      <c r="E1261" s="1">
        <v>17619797.309999999</v>
      </c>
      <c r="F1261" t="s">
        <v>1280</v>
      </c>
      <c r="I1261" s="16"/>
      <c r="J1261" s="68"/>
      <c r="K1261" s="68"/>
      <c r="L1261" s="68"/>
      <c r="M1261" s="74">
        <f t="shared" si="23"/>
        <v>40823.17</v>
      </c>
    </row>
    <row r="1262" spans="1:13">
      <c r="A1262" t="s">
        <v>164</v>
      </c>
      <c r="B1262" t="s">
        <v>11</v>
      </c>
      <c r="C1262" s="51">
        <v>138841317619</v>
      </c>
      <c r="D1262" s="1">
        <v>80771.850000000006</v>
      </c>
      <c r="E1262" s="1">
        <v>17702620.16</v>
      </c>
      <c r="F1262" t="s">
        <v>1280</v>
      </c>
      <c r="I1262" s="16"/>
      <c r="J1262" s="68"/>
      <c r="K1262" s="68"/>
      <c r="L1262" s="68"/>
      <c r="M1262" s="74">
        <f t="shared" si="23"/>
        <v>80771.850000000006</v>
      </c>
    </row>
    <row r="1263" spans="1:13">
      <c r="A1263" t="s">
        <v>164</v>
      </c>
      <c r="B1263" t="s">
        <v>11</v>
      </c>
      <c r="C1263" s="51">
        <v>139488051760</v>
      </c>
      <c r="D1263" s="1">
        <v>49202.15</v>
      </c>
      <c r="E1263" s="1">
        <v>17751822.309999999</v>
      </c>
      <c r="F1263" t="s">
        <v>1280</v>
      </c>
      <c r="I1263" s="16"/>
      <c r="J1263" s="68"/>
      <c r="K1263" s="68"/>
      <c r="L1263" s="68"/>
      <c r="M1263" s="74">
        <f t="shared" si="23"/>
        <v>49202.15</v>
      </c>
    </row>
    <row r="1264" spans="1:13">
      <c r="A1264" t="s">
        <v>164</v>
      </c>
      <c r="B1264" t="s">
        <v>11</v>
      </c>
      <c r="C1264" s="51">
        <v>139489872526</v>
      </c>
      <c r="D1264" s="1">
        <v>46571.54</v>
      </c>
      <c r="E1264" s="1">
        <v>17798393.850000001</v>
      </c>
      <c r="F1264" t="s">
        <v>1280</v>
      </c>
      <c r="I1264" s="16"/>
      <c r="J1264" s="68"/>
      <c r="K1264" s="68"/>
      <c r="L1264" s="68"/>
      <c r="M1264" s="74">
        <f t="shared" si="23"/>
        <v>46571.54</v>
      </c>
    </row>
    <row r="1265" spans="1:13">
      <c r="A1265" t="s">
        <v>164</v>
      </c>
      <c r="B1265" t="s">
        <v>11</v>
      </c>
      <c r="C1265" s="51">
        <v>139489922698</v>
      </c>
      <c r="D1265" s="1">
        <v>9548.14</v>
      </c>
      <c r="E1265" s="1">
        <v>17807941.989999998</v>
      </c>
      <c r="F1265" t="s">
        <v>1280</v>
      </c>
      <c r="I1265" s="16"/>
      <c r="J1265" s="68"/>
      <c r="K1265" s="68"/>
      <c r="L1265" s="68"/>
      <c r="M1265" s="74">
        <f t="shared" si="23"/>
        <v>9548.14</v>
      </c>
    </row>
    <row r="1266" spans="1:13">
      <c r="A1266" t="s">
        <v>164</v>
      </c>
      <c r="B1266" t="s">
        <v>11</v>
      </c>
      <c r="C1266" s="51">
        <v>139489925702</v>
      </c>
      <c r="D1266" s="1">
        <v>12753.45</v>
      </c>
      <c r="E1266" s="1">
        <v>17820695.440000001</v>
      </c>
      <c r="F1266" t="s">
        <v>1280</v>
      </c>
      <c r="I1266" s="16"/>
      <c r="J1266" s="68"/>
      <c r="K1266" s="68"/>
      <c r="L1266" s="68"/>
      <c r="M1266" s="74">
        <f t="shared" si="23"/>
        <v>12753.45</v>
      </c>
    </row>
    <row r="1267" spans="1:13">
      <c r="A1267" t="s">
        <v>168</v>
      </c>
      <c r="B1267" t="s">
        <v>11</v>
      </c>
      <c r="C1267" s="51">
        <v>139490512936</v>
      </c>
      <c r="D1267" s="1">
        <v>28059.84</v>
      </c>
      <c r="E1267" s="1">
        <v>17848755.280000001</v>
      </c>
      <c r="F1267" t="s">
        <v>1280</v>
      </c>
      <c r="I1267" s="16"/>
      <c r="J1267" s="68"/>
      <c r="K1267" s="68"/>
      <c r="L1267" s="68"/>
      <c r="M1267" s="74">
        <f t="shared" si="23"/>
        <v>28059.84</v>
      </c>
    </row>
    <row r="1268" spans="1:13">
      <c r="A1268" t="s">
        <v>168</v>
      </c>
      <c r="B1268" t="s">
        <v>11</v>
      </c>
      <c r="C1268" s="51">
        <v>138845223977</v>
      </c>
      <c r="D1268" s="1">
        <v>22847.33</v>
      </c>
      <c r="E1268" s="1">
        <v>17871602.609999999</v>
      </c>
      <c r="F1268" t="s">
        <v>1280</v>
      </c>
      <c r="I1268" s="16"/>
      <c r="J1268" s="68"/>
      <c r="K1268" s="68"/>
      <c r="L1268" s="68"/>
      <c r="M1268" s="74">
        <f t="shared" si="23"/>
        <v>22847.33</v>
      </c>
    </row>
    <row r="1269" spans="1:13">
      <c r="A1269" t="s">
        <v>168</v>
      </c>
      <c r="B1269" t="s">
        <v>11</v>
      </c>
      <c r="C1269" s="51">
        <v>138845587111</v>
      </c>
      <c r="D1269" s="1">
        <v>45110.09</v>
      </c>
      <c r="E1269" s="1">
        <v>17916712.699999999</v>
      </c>
      <c r="F1269" t="s">
        <v>1280</v>
      </c>
      <c r="I1269" s="16"/>
      <c r="J1269" s="68"/>
      <c r="K1269" s="68"/>
      <c r="L1269" s="68"/>
      <c r="M1269" s="74">
        <f t="shared" si="23"/>
        <v>45110.09</v>
      </c>
    </row>
    <row r="1270" spans="1:13">
      <c r="A1270" t="s">
        <v>168</v>
      </c>
      <c r="B1270" t="s">
        <v>11</v>
      </c>
      <c r="C1270" s="51">
        <v>138846734249</v>
      </c>
      <c r="D1270" s="1">
        <v>16270.81</v>
      </c>
      <c r="E1270" s="1">
        <v>17932983.510000002</v>
      </c>
      <c r="F1270" t="s">
        <v>1280</v>
      </c>
      <c r="I1270" s="16"/>
      <c r="J1270" s="68"/>
      <c r="K1270" s="68"/>
      <c r="L1270" s="68"/>
      <c r="M1270" s="74">
        <f t="shared" si="23"/>
        <v>16270.81</v>
      </c>
    </row>
    <row r="1271" spans="1:13">
      <c r="A1271" t="s">
        <v>168</v>
      </c>
      <c r="B1271" t="s">
        <v>11</v>
      </c>
      <c r="C1271" s="51">
        <v>139493377384</v>
      </c>
      <c r="D1271" s="1">
        <v>4871.5</v>
      </c>
      <c r="E1271" s="1">
        <v>17938672.469999999</v>
      </c>
      <c r="F1271" t="s">
        <v>1280</v>
      </c>
      <c r="I1271" s="16"/>
      <c r="J1271" s="68"/>
      <c r="K1271" s="68"/>
      <c r="L1271" s="68"/>
      <c r="M1271" s="74">
        <f t="shared" si="23"/>
        <v>4871.5</v>
      </c>
    </row>
    <row r="1272" spans="1:13">
      <c r="A1272" t="s">
        <v>168</v>
      </c>
      <c r="B1272" t="s">
        <v>11</v>
      </c>
      <c r="C1272" s="51">
        <v>138847199637</v>
      </c>
      <c r="D1272" s="1">
        <v>4676.6400000000003</v>
      </c>
      <c r="E1272" s="1">
        <v>17943349.109999999</v>
      </c>
      <c r="F1272" t="s">
        <v>1280</v>
      </c>
      <c r="I1272" s="16"/>
      <c r="J1272" s="68"/>
      <c r="K1272" s="68"/>
      <c r="L1272" s="68"/>
      <c r="M1272" s="74">
        <f t="shared" si="23"/>
        <v>4676.6400000000003</v>
      </c>
    </row>
    <row r="1273" spans="1:13">
      <c r="A1273" t="s">
        <v>158</v>
      </c>
      <c r="B1273" t="s">
        <v>161</v>
      </c>
      <c r="C1273" s="51">
        <v>139286484298</v>
      </c>
      <c r="D1273" s="1">
        <v>1610.45</v>
      </c>
      <c r="E1273" s="1">
        <v>17055523.100000001</v>
      </c>
      <c r="F1273" t="s">
        <v>1280</v>
      </c>
      <c r="I1273" s="16"/>
      <c r="J1273" s="68"/>
      <c r="K1273" s="68"/>
      <c r="L1273" s="68"/>
      <c r="M1273" s="74">
        <f t="shared" si="23"/>
        <v>1610.45</v>
      </c>
    </row>
    <row r="1274" spans="1:13">
      <c r="A1274" t="s">
        <v>168</v>
      </c>
      <c r="B1274" t="s">
        <v>11</v>
      </c>
      <c r="C1274" s="51">
        <v>138847521569</v>
      </c>
      <c r="D1274" s="1">
        <v>36316</v>
      </c>
      <c r="E1274" s="1">
        <v>17979665.109999999</v>
      </c>
      <c r="F1274" t="s">
        <v>1280</v>
      </c>
      <c r="I1274" s="16"/>
      <c r="J1274" s="68"/>
      <c r="K1274" s="68"/>
      <c r="L1274" s="68"/>
      <c r="M1274" s="74">
        <f t="shared" si="23"/>
        <v>36316</v>
      </c>
    </row>
    <row r="1275" spans="1:13">
      <c r="A1275" t="s">
        <v>168</v>
      </c>
      <c r="B1275" t="s">
        <v>11</v>
      </c>
      <c r="C1275" s="51">
        <v>138848287941</v>
      </c>
      <c r="D1275" s="1">
        <v>44720.37</v>
      </c>
      <c r="E1275" s="1">
        <v>18024385.48</v>
      </c>
      <c r="F1275" t="s">
        <v>1280</v>
      </c>
      <c r="I1275" s="16"/>
      <c r="J1275" s="68"/>
      <c r="K1275" s="68"/>
      <c r="L1275" s="68"/>
      <c r="M1275" s="74">
        <f t="shared" si="23"/>
        <v>44720.37</v>
      </c>
    </row>
    <row r="1276" spans="1:13">
      <c r="A1276" t="s">
        <v>168</v>
      </c>
      <c r="B1276" t="s">
        <v>11</v>
      </c>
      <c r="C1276" s="51">
        <v>138946899375</v>
      </c>
      <c r="D1276" s="1">
        <v>5358.65</v>
      </c>
      <c r="E1276" s="1">
        <v>11743687.48</v>
      </c>
      <c r="F1276" t="s">
        <v>1280</v>
      </c>
      <c r="I1276" s="16"/>
      <c r="J1276" s="68"/>
      <c r="K1276" s="68"/>
      <c r="L1276" s="68"/>
      <c r="M1276" s="74">
        <f t="shared" si="23"/>
        <v>5358.65</v>
      </c>
    </row>
    <row r="1277" spans="1:13">
      <c r="A1277" t="s">
        <v>168</v>
      </c>
      <c r="B1277" t="s">
        <v>11</v>
      </c>
      <c r="C1277" s="51">
        <v>139599090974</v>
      </c>
      <c r="D1277" s="1">
        <v>49934.5</v>
      </c>
      <c r="E1277" s="1">
        <v>11793621.98</v>
      </c>
      <c r="F1277" t="s">
        <v>1280</v>
      </c>
      <c r="I1277" s="16"/>
      <c r="J1277" s="68"/>
      <c r="K1277" s="68"/>
      <c r="L1277" s="68"/>
      <c r="M1277" s="74">
        <f t="shared" si="23"/>
        <v>49934.5</v>
      </c>
    </row>
    <row r="1278" spans="1:13">
      <c r="A1278" t="s">
        <v>168</v>
      </c>
      <c r="B1278" t="s">
        <v>11</v>
      </c>
      <c r="C1278" s="51">
        <v>138959611901</v>
      </c>
      <c r="D1278" s="1">
        <v>13073.76</v>
      </c>
      <c r="E1278" s="1">
        <v>11809387.99</v>
      </c>
      <c r="F1278" t="s">
        <v>1280</v>
      </c>
      <c r="I1278" s="16"/>
      <c r="J1278" s="68"/>
      <c r="K1278" s="68"/>
      <c r="L1278" s="68"/>
      <c r="M1278" s="74">
        <f t="shared" si="23"/>
        <v>13073.76</v>
      </c>
    </row>
    <row r="1279" spans="1:13">
      <c r="A1279" t="s">
        <v>168</v>
      </c>
      <c r="B1279" t="s">
        <v>11</v>
      </c>
      <c r="C1279" s="51">
        <v>138960532407</v>
      </c>
      <c r="D1279" s="1">
        <v>18705.060000000001</v>
      </c>
      <c r="E1279" s="1">
        <v>11828093.050000001</v>
      </c>
      <c r="F1279" t="s">
        <v>1280</v>
      </c>
      <c r="I1279" s="16"/>
      <c r="J1279" s="68"/>
      <c r="K1279" s="68"/>
      <c r="L1279" s="68"/>
      <c r="M1279" s="74">
        <f t="shared" si="23"/>
        <v>18705.060000000001</v>
      </c>
    </row>
    <row r="1280" spans="1:13">
      <c r="A1280" t="s">
        <v>168</v>
      </c>
      <c r="B1280" t="s">
        <v>11</v>
      </c>
      <c r="C1280" s="51">
        <v>138963343339</v>
      </c>
      <c r="D1280" s="1">
        <v>4357.92</v>
      </c>
      <c r="E1280" s="1">
        <v>11832450.970000001</v>
      </c>
      <c r="F1280" t="s">
        <v>1280</v>
      </c>
      <c r="I1280" s="16"/>
      <c r="J1280" s="68"/>
      <c r="K1280" s="68"/>
      <c r="L1280" s="68"/>
      <c r="M1280" s="74">
        <f t="shared" si="23"/>
        <v>4357.92</v>
      </c>
    </row>
    <row r="1281" spans="1:13">
      <c r="A1281" t="s">
        <v>168</v>
      </c>
      <c r="B1281" t="s">
        <v>11</v>
      </c>
      <c r="C1281" s="51">
        <v>138963614327</v>
      </c>
      <c r="D1281" s="1">
        <v>34046.25</v>
      </c>
      <c r="E1281" s="1">
        <v>11866497.220000001</v>
      </c>
      <c r="F1281" t="s">
        <v>1280</v>
      </c>
      <c r="I1281" s="16"/>
      <c r="J1281" s="68"/>
      <c r="K1281" s="68"/>
      <c r="L1281" s="68"/>
      <c r="M1281" s="74">
        <f t="shared" si="23"/>
        <v>34046.25</v>
      </c>
    </row>
    <row r="1282" spans="1:13">
      <c r="A1282" t="s">
        <v>168</v>
      </c>
      <c r="B1282" t="s">
        <v>11</v>
      </c>
      <c r="C1282" s="51">
        <v>138965535883</v>
      </c>
      <c r="D1282" s="1">
        <v>9447</v>
      </c>
      <c r="E1282" s="1">
        <v>11875944.220000001</v>
      </c>
      <c r="F1282" t="s">
        <v>1280</v>
      </c>
      <c r="I1282" s="16"/>
      <c r="J1282" s="68"/>
      <c r="K1282" s="68"/>
      <c r="L1282" s="68"/>
      <c r="M1282" s="74">
        <f t="shared" si="23"/>
        <v>9447</v>
      </c>
    </row>
    <row r="1283" spans="1:13">
      <c r="A1283" t="s">
        <v>168</v>
      </c>
      <c r="B1283" t="s">
        <v>11</v>
      </c>
      <c r="C1283" s="51">
        <v>138965717981</v>
      </c>
      <c r="D1283" s="1">
        <v>9447</v>
      </c>
      <c r="E1283" s="1">
        <v>11885391.220000001</v>
      </c>
      <c r="F1283" t="s">
        <v>1280</v>
      </c>
      <c r="I1283" s="16"/>
      <c r="J1283" s="68"/>
      <c r="K1283" s="68"/>
      <c r="L1283" s="68"/>
      <c r="M1283" s="74">
        <f t="shared" si="23"/>
        <v>9447</v>
      </c>
    </row>
    <row r="1284" spans="1:13">
      <c r="A1284" t="s">
        <v>168</v>
      </c>
      <c r="B1284" t="s">
        <v>11</v>
      </c>
      <c r="C1284" s="51">
        <v>138966237485</v>
      </c>
      <c r="D1284" s="1">
        <v>9069.1200000000008</v>
      </c>
      <c r="E1284" s="1">
        <v>11894460.34</v>
      </c>
      <c r="F1284" t="s">
        <v>1280</v>
      </c>
      <c r="I1284" s="16"/>
      <c r="J1284" s="68"/>
      <c r="K1284" s="68"/>
      <c r="L1284" s="68"/>
      <c r="M1284" s="74">
        <f t="shared" si="23"/>
        <v>9069.1200000000008</v>
      </c>
    </row>
    <row r="1285" spans="1:13">
      <c r="A1285" t="s">
        <v>168</v>
      </c>
      <c r="B1285" t="s">
        <v>11</v>
      </c>
      <c r="C1285" s="51">
        <v>139613303416</v>
      </c>
      <c r="D1285" s="1">
        <v>28254.7</v>
      </c>
      <c r="E1285" s="1">
        <v>11922715.039999999</v>
      </c>
      <c r="F1285" t="s">
        <v>1280</v>
      </c>
      <c r="I1285" s="16"/>
      <c r="J1285" s="68"/>
      <c r="K1285" s="68"/>
      <c r="L1285" s="68"/>
      <c r="M1285" s="74">
        <f t="shared" si="23"/>
        <v>28254.7</v>
      </c>
    </row>
    <row r="1286" spans="1:13">
      <c r="A1286" t="s">
        <v>168</v>
      </c>
      <c r="B1286" t="s">
        <v>11</v>
      </c>
      <c r="C1286" s="51">
        <v>138967782947</v>
      </c>
      <c r="D1286" s="1">
        <v>4838.5</v>
      </c>
      <c r="E1286" s="1">
        <v>11927553.539999999</v>
      </c>
      <c r="F1286" t="s">
        <v>1280</v>
      </c>
      <c r="I1286" s="16"/>
      <c r="J1286" s="68"/>
      <c r="K1286" s="68"/>
      <c r="L1286" s="68"/>
      <c r="M1286" s="74">
        <f t="shared" si="23"/>
        <v>4838.5</v>
      </c>
    </row>
    <row r="1287" spans="1:13">
      <c r="A1287" t="s">
        <v>168</v>
      </c>
      <c r="B1287" t="s">
        <v>11</v>
      </c>
      <c r="C1287" s="51">
        <v>139615922224</v>
      </c>
      <c r="D1287" s="1">
        <v>20367.62</v>
      </c>
      <c r="E1287" s="1">
        <v>11947921.16</v>
      </c>
      <c r="F1287" t="s">
        <v>1280</v>
      </c>
      <c r="I1287" s="16"/>
      <c r="J1287" s="68"/>
      <c r="K1287" s="68"/>
      <c r="L1287" s="68"/>
      <c r="M1287" s="74">
        <f t="shared" si="23"/>
        <v>20367.62</v>
      </c>
    </row>
    <row r="1288" spans="1:13">
      <c r="A1288" t="s">
        <v>168</v>
      </c>
      <c r="B1288" t="s">
        <v>11</v>
      </c>
      <c r="C1288" s="51">
        <v>138969778077</v>
      </c>
      <c r="D1288" s="1">
        <v>57154.35</v>
      </c>
      <c r="E1288" s="1">
        <v>12005075.51</v>
      </c>
      <c r="F1288" t="s">
        <v>1280</v>
      </c>
      <c r="I1288" s="16"/>
      <c r="J1288" s="68"/>
      <c r="K1288" s="68"/>
      <c r="L1288" s="68"/>
      <c r="M1288" s="74">
        <f t="shared" si="23"/>
        <v>57154.35</v>
      </c>
    </row>
    <row r="1289" spans="1:13">
      <c r="A1289" t="s">
        <v>168</v>
      </c>
      <c r="B1289" t="s">
        <v>11</v>
      </c>
      <c r="C1289" s="51">
        <v>139617244154</v>
      </c>
      <c r="D1289" s="1">
        <v>33710.78</v>
      </c>
      <c r="E1289" s="1">
        <v>12038786.289999999</v>
      </c>
      <c r="F1289" t="s">
        <v>1280</v>
      </c>
      <c r="I1289" s="16"/>
      <c r="J1289" s="68"/>
      <c r="K1289" s="68"/>
      <c r="L1289" s="68"/>
      <c r="M1289" s="74">
        <f t="shared" si="23"/>
        <v>33710.78</v>
      </c>
    </row>
    <row r="1290" spans="1:13">
      <c r="A1290" t="s">
        <v>168</v>
      </c>
      <c r="B1290" t="s">
        <v>11</v>
      </c>
      <c r="C1290" s="51">
        <v>138970709575</v>
      </c>
      <c r="D1290" s="1">
        <v>9743</v>
      </c>
      <c r="E1290" s="1">
        <v>12048529.289999999</v>
      </c>
      <c r="F1290" t="s">
        <v>1280</v>
      </c>
      <c r="I1290" s="16"/>
      <c r="J1290" s="68"/>
      <c r="K1290" s="68"/>
      <c r="L1290" s="68"/>
      <c r="M1290" s="74">
        <f t="shared" si="23"/>
        <v>9743</v>
      </c>
    </row>
    <row r="1291" spans="1:13">
      <c r="A1291" t="s">
        <v>168</v>
      </c>
      <c r="B1291" t="s">
        <v>11</v>
      </c>
      <c r="C1291" s="51">
        <v>139618386762</v>
      </c>
      <c r="D1291" s="1">
        <v>37693.53</v>
      </c>
      <c r="E1291" s="1">
        <v>12087201.82</v>
      </c>
      <c r="F1291" t="s">
        <v>1280</v>
      </c>
      <c r="I1291" s="16"/>
      <c r="J1291" s="68"/>
      <c r="K1291" s="68"/>
      <c r="L1291" s="68"/>
      <c r="M1291" s="74">
        <f t="shared" si="23"/>
        <v>37693.53</v>
      </c>
    </row>
    <row r="1292" spans="1:13">
      <c r="A1292" t="s">
        <v>158</v>
      </c>
      <c r="B1292" t="s">
        <v>162</v>
      </c>
      <c r="C1292" s="51">
        <v>138644454343</v>
      </c>
      <c r="D1292" s="1">
        <v>3196.43</v>
      </c>
      <c r="E1292" s="1">
        <v>17380799.57</v>
      </c>
      <c r="F1292" t="s">
        <v>1280</v>
      </c>
      <c r="I1292" s="16"/>
      <c r="J1292" s="68"/>
      <c r="K1292" s="68"/>
      <c r="L1292" s="68"/>
      <c r="M1292" s="74">
        <f t="shared" si="23"/>
        <v>3196.43</v>
      </c>
    </row>
    <row r="1293" spans="1:13">
      <c r="A1293" t="s">
        <v>168</v>
      </c>
      <c r="B1293" t="s">
        <v>11</v>
      </c>
      <c r="C1293" s="51">
        <v>139618771272</v>
      </c>
      <c r="D1293" s="1">
        <v>40622.1</v>
      </c>
      <c r="E1293" s="1">
        <v>12127823.92</v>
      </c>
      <c r="F1293" t="s">
        <v>1280</v>
      </c>
      <c r="I1293" s="16"/>
      <c r="J1293" s="68"/>
      <c r="K1293" s="68"/>
      <c r="L1293" s="68"/>
      <c r="M1293" s="74">
        <f t="shared" si="23"/>
        <v>40622.1</v>
      </c>
    </row>
    <row r="1294" spans="1:13">
      <c r="A1294" t="s">
        <v>168</v>
      </c>
      <c r="B1294" t="s">
        <v>11</v>
      </c>
      <c r="C1294" s="51">
        <v>139619856274</v>
      </c>
      <c r="D1294" s="1">
        <v>4838.5</v>
      </c>
      <c r="E1294" s="1">
        <v>12132662.42</v>
      </c>
      <c r="F1294" t="s">
        <v>1280</v>
      </c>
      <c r="I1294" s="16"/>
      <c r="J1294" s="68"/>
      <c r="K1294" s="68"/>
      <c r="L1294" s="68"/>
      <c r="M1294" s="74">
        <f t="shared" si="23"/>
        <v>4838.5</v>
      </c>
    </row>
    <row r="1295" spans="1:13">
      <c r="A1295" t="s">
        <v>168</v>
      </c>
      <c r="B1295" t="s">
        <v>11</v>
      </c>
      <c r="C1295" s="51">
        <v>138973548859</v>
      </c>
      <c r="D1295" s="1">
        <v>36731.11</v>
      </c>
      <c r="E1295" s="1">
        <v>12169393.529999999</v>
      </c>
      <c r="F1295" t="s">
        <v>1280</v>
      </c>
      <c r="I1295" s="16"/>
      <c r="J1295" s="68"/>
      <c r="K1295" s="68"/>
      <c r="L1295" s="68"/>
      <c r="M1295" s="74">
        <f t="shared" si="23"/>
        <v>36731.11</v>
      </c>
    </row>
    <row r="1296" spans="1:13">
      <c r="A1296" t="s">
        <v>164</v>
      </c>
      <c r="B1296" t="s">
        <v>165</v>
      </c>
      <c r="C1296" s="51">
        <v>139480526116</v>
      </c>
      <c r="D1296" s="1">
        <v>2124.4299999999998</v>
      </c>
      <c r="E1296" s="1">
        <v>17384658.77</v>
      </c>
      <c r="F1296" t="s">
        <v>1280</v>
      </c>
      <c r="I1296" s="16"/>
      <c r="J1296" s="68"/>
      <c r="K1296" s="68"/>
      <c r="L1296" s="68"/>
      <c r="M1296" s="74">
        <f t="shared" si="23"/>
        <v>2124.4299999999998</v>
      </c>
    </row>
    <row r="1297" spans="1:13">
      <c r="A1297" t="s">
        <v>168</v>
      </c>
      <c r="B1297" t="s">
        <v>11</v>
      </c>
      <c r="C1297" s="51">
        <v>139620716118</v>
      </c>
      <c r="D1297" s="1">
        <v>8715.84</v>
      </c>
      <c r="E1297" s="1">
        <v>12178109.369999999</v>
      </c>
      <c r="F1297" t="s">
        <v>1280</v>
      </c>
      <c r="I1297" s="16"/>
      <c r="J1297" s="68"/>
      <c r="K1297" s="68"/>
      <c r="L1297" s="68"/>
      <c r="M1297" s="74">
        <f t="shared" si="23"/>
        <v>8715.84</v>
      </c>
    </row>
    <row r="1298" spans="1:13">
      <c r="A1298" t="s">
        <v>168</v>
      </c>
      <c r="B1298" t="s">
        <v>11</v>
      </c>
      <c r="C1298" s="51">
        <v>139621844894</v>
      </c>
      <c r="D1298" s="1">
        <v>86628.99</v>
      </c>
      <c r="E1298" s="1">
        <v>12264738.359999999</v>
      </c>
      <c r="F1298" t="s">
        <v>1280</v>
      </c>
      <c r="I1298" s="16"/>
      <c r="J1298" s="68"/>
      <c r="K1298" s="68"/>
      <c r="L1298" s="68"/>
      <c r="M1298" s="74">
        <f t="shared" si="23"/>
        <v>86628.99</v>
      </c>
    </row>
    <row r="1299" spans="1:13">
      <c r="A1299" t="s">
        <v>168</v>
      </c>
      <c r="B1299" t="s">
        <v>11</v>
      </c>
      <c r="C1299" s="51">
        <v>138975586959</v>
      </c>
      <c r="D1299" s="1">
        <v>63861.72</v>
      </c>
      <c r="E1299" s="1">
        <v>12328600.08</v>
      </c>
      <c r="F1299" t="s">
        <v>1280</v>
      </c>
      <c r="I1299" s="16"/>
      <c r="J1299" s="68"/>
      <c r="K1299" s="68"/>
      <c r="L1299" s="68"/>
      <c r="M1299" s="74">
        <f t="shared" si="23"/>
        <v>63861.72</v>
      </c>
    </row>
    <row r="1300" spans="1:13">
      <c r="A1300" t="s">
        <v>168</v>
      </c>
      <c r="B1300" t="s">
        <v>11</v>
      </c>
      <c r="C1300" s="51">
        <v>139622764004</v>
      </c>
      <c r="D1300" s="1">
        <v>69175.3</v>
      </c>
      <c r="E1300" s="1">
        <v>12397775.380000001</v>
      </c>
      <c r="F1300" t="s">
        <v>1280</v>
      </c>
      <c r="I1300" s="16"/>
      <c r="J1300" s="68"/>
      <c r="K1300" s="68"/>
      <c r="L1300" s="68"/>
      <c r="M1300" s="74">
        <f t="shared" si="23"/>
        <v>69175.3</v>
      </c>
    </row>
    <row r="1301" spans="1:13">
      <c r="A1301" t="s">
        <v>168</v>
      </c>
      <c r="B1301" t="s">
        <v>11</v>
      </c>
      <c r="C1301" s="51">
        <v>138976300439</v>
      </c>
      <c r="D1301" s="1">
        <v>105516.69</v>
      </c>
      <c r="E1301" s="1">
        <v>12503292.07</v>
      </c>
      <c r="F1301" t="s">
        <v>1280</v>
      </c>
      <c r="I1301" s="16"/>
      <c r="J1301" s="68"/>
      <c r="K1301" s="68"/>
      <c r="L1301" s="68"/>
      <c r="M1301" s="74">
        <f t="shared" si="23"/>
        <v>105516.69</v>
      </c>
    </row>
    <row r="1302" spans="1:13">
      <c r="A1302" t="s">
        <v>168</v>
      </c>
      <c r="B1302" t="s">
        <v>11</v>
      </c>
      <c r="C1302" s="51">
        <v>139623660942</v>
      </c>
      <c r="D1302" s="1">
        <v>8378.98</v>
      </c>
      <c r="E1302" s="1">
        <v>12511671.050000001</v>
      </c>
      <c r="F1302" t="s">
        <v>1280</v>
      </c>
      <c r="I1302" s="16"/>
      <c r="J1302" s="68"/>
      <c r="K1302" s="68"/>
      <c r="L1302" s="68"/>
      <c r="M1302" s="74">
        <f t="shared" si="23"/>
        <v>8378.98</v>
      </c>
    </row>
    <row r="1303" spans="1:13">
      <c r="A1303" t="s">
        <v>164</v>
      </c>
      <c r="B1303" t="s">
        <v>166</v>
      </c>
      <c r="C1303" s="51">
        <v>139485979798</v>
      </c>
      <c r="D1303" s="1">
        <v>2604.14</v>
      </c>
      <c r="E1303" s="1">
        <v>17578974.140000001</v>
      </c>
      <c r="F1303" t="s">
        <v>1280</v>
      </c>
      <c r="I1303" s="16"/>
      <c r="J1303" s="68"/>
      <c r="K1303" s="68"/>
      <c r="L1303" s="68"/>
      <c r="M1303" s="74">
        <f t="shared" si="23"/>
        <v>2604.14</v>
      </c>
    </row>
    <row r="1304" spans="1:13">
      <c r="A1304" t="s">
        <v>171</v>
      </c>
      <c r="B1304" t="s">
        <v>11</v>
      </c>
      <c r="C1304" s="51">
        <v>139624260564</v>
      </c>
      <c r="D1304" s="1">
        <v>9986.9</v>
      </c>
      <c r="E1304" s="1">
        <v>12521657.949999999</v>
      </c>
      <c r="F1304" t="s">
        <v>1280</v>
      </c>
      <c r="I1304" s="16"/>
      <c r="J1304" s="68"/>
      <c r="K1304" s="68"/>
      <c r="L1304" s="68"/>
      <c r="M1304" s="74">
        <f t="shared" si="23"/>
        <v>9986.9</v>
      </c>
    </row>
    <row r="1305" spans="1:13">
      <c r="A1305" t="s">
        <v>164</v>
      </c>
      <c r="B1305" t="s">
        <v>167</v>
      </c>
      <c r="C1305" s="51">
        <v>139486139202</v>
      </c>
      <c r="D1305" s="1">
        <v>2051</v>
      </c>
      <c r="E1305" s="1">
        <v>17621848.309999999</v>
      </c>
      <c r="F1305" t="s">
        <v>1280</v>
      </c>
      <c r="I1305" s="16"/>
      <c r="J1305" s="68"/>
      <c r="K1305" s="68"/>
      <c r="L1305" s="68"/>
      <c r="M1305" s="74">
        <f t="shared" si="23"/>
        <v>2051</v>
      </c>
    </row>
    <row r="1306" spans="1:13">
      <c r="A1306" t="s">
        <v>171</v>
      </c>
      <c r="B1306" t="s">
        <v>11</v>
      </c>
      <c r="C1306" s="51">
        <v>139625026608</v>
      </c>
      <c r="D1306" s="1">
        <v>50858.46</v>
      </c>
      <c r="E1306" s="1">
        <v>12572516.41</v>
      </c>
      <c r="F1306" t="s">
        <v>1280</v>
      </c>
      <c r="I1306" s="16"/>
      <c r="J1306" s="68"/>
      <c r="K1306" s="68"/>
      <c r="L1306" s="68"/>
      <c r="M1306" s="74">
        <f t="shared" si="23"/>
        <v>50858.46</v>
      </c>
    </row>
    <row r="1307" spans="1:13">
      <c r="A1307" t="s">
        <v>171</v>
      </c>
      <c r="B1307" t="s">
        <v>11</v>
      </c>
      <c r="C1307" s="51">
        <v>138978259553</v>
      </c>
      <c r="D1307" s="1">
        <v>7414.94</v>
      </c>
      <c r="E1307" s="1">
        <v>12579931.35</v>
      </c>
      <c r="F1307" t="s">
        <v>1280</v>
      </c>
      <c r="I1307" s="16"/>
      <c r="J1307" s="68"/>
      <c r="K1307" s="68"/>
      <c r="L1307" s="68"/>
      <c r="M1307" s="74">
        <f t="shared" si="23"/>
        <v>7414.94</v>
      </c>
    </row>
    <row r="1308" spans="1:13">
      <c r="A1308" t="s">
        <v>171</v>
      </c>
      <c r="B1308" t="s">
        <v>11</v>
      </c>
      <c r="C1308" s="51">
        <v>139625329332</v>
      </c>
      <c r="D1308" s="1">
        <v>64523.01</v>
      </c>
      <c r="E1308" s="1">
        <v>12644454.359999999</v>
      </c>
      <c r="F1308" t="s">
        <v>1280</v>
      </c>
      <c r="I1308" s="16"/>
      <c r="J1308" s="68"/>
      <c r="K1308" s="68"/>
      <c r="L1308" s="68"/>
      <c r="M1308" s="74">
        <f t="shared" si="23"/>
        <v>64523.01</v>
      </c>
    </row>
    <row r="1309" spans="1:13">
      <c r="A1309" t="s">
        <v>171</v>
      </c>
      <c r="B1309" t="s">
        <v>11</v>
      </c>
      <c r="C1309" s="51">
        <v>138978844689</v>
      </c>
      <c r="D1309" s="1">
        <v>74241.66</v>
      </c>
      <c r="E1309" s="1">
        <v>12718696.02</v>
      </c>
      <c r="F1309" t="s">
        <v>1280</v>
      </c>
      <c r="I1309" s="16"/>
      <c r="J1309" s="68"/>
      <c r="K1309" s="68"/>
      <c r="L1309" s="68"/>
      <c r="M1309" s="74">
        <f t="shared" si="23"/>
        <v>74241.66</v>
      </c>
    </row>
    <row r="1310" spans="1:13">
      <c r="A1310" t="s">
        <v>171</v>
      </c>
      <c r="B1310" t="s">
        <v>11</v>
      </c>
      <c r="C1310" s="51">
        <v>138978851547</v>
      </c>
      <c r="D1310" s="1">
        <v>15588.8</v>
      </c>
      <c r="E1310" s="1">
        <v>12734284.82</v>
      </c>
      <c r="F1310" t="s">
        <v>1280</v>
      </c>
      <c r="I1310" s="16"/>
      <c r="J1310" s="68"/>
      <c r="K1310" s="68"/>
      <c r="L1310" s="68"/>
      <c r="M1310" s="74">
        <f t="shared" si="23"/>
        <v>15588.8</v>
      </c>
    </row>
    <row r="1311" spans="1:13">
      <c r="A1311" t="s">
        <v>171</v>
      </c>
      <c r="B1311" t="s">
        <v>11</v>
      </c>
      <c r="C1311" s="51">
        <v>139626692140</v>
      </c>
      <c r="D1311" s="1">
        <v>42284.62</v>
      </c>
      <c r="E1311" s="1">
        <v>12776569.439999999</v>
      </c>
      <c r="F1311" t="s">
        <v>1280</v>
      </c>
      <c r="I1311" s="16"/>
      <c r="J1311" s="68"/>
      <c r="K1311" s="68"/>
      <c r="L1311" s="68"/>
      <c r="M1311" s="74">
        <f t="shared" si="23"/>
        <v>42284.62</v>
      </c>
    </row>
    <row r="1312" spans="1:13">
      <c r="A1312" t="s">
        <v>171</v>
      </c>
      <c r="B1312" t="s">
        <v>11</v>
      </c>
      <c r="C1312" s="51">
        <v>138979990983</v>
      </c>
      <c r="D1312" s="1">
        <v>76872.27</v>
      </c>
      <c r="E1312" s="1">
        <v>12853441.710000001</v>
      </c>
      <c r="F1312" t="s">
        <v>1280</v>
      </c>
      <c r="I1312" s="16"/>
      <c r="J1312" s="68"/>
      <c r="K1312" s="68"/>
      <c r="L1312" s="68"/>
      <c r="M1312" s="74">
        <f t="shared" si="23"/>
        <v>76872.27</v>
      </c>
    </row>
    <row r="1313" spans="1:13">
      <c r="A1313" t="s">
        <v>171</v>
      </c>
      <c r="B1313" t="s">
        <v>11</v>
      </c>
      <c r="C1313" s="51">
        <v>139626843748</v>
      </c>
      <c r="D1313" s="1">
        <v>4871.5</v>
      </c>
      <c r="E1313" s="1">
        <v>12858313.210000001</v>
      </c>
      <c r="F1313" t="s">
        <v>1280</v>
      </c>
      <c r="I1313" s="16"/>
      <c r="J1313" s="68"/>
      <c r="K1313" s="68"/>
      <c r="L1313" s="68"/>
      <c r="M1313" s="74">
        <f t="shared" si="23"/>
        <v>4871.5</v>
      </c>
    </row>
    <row r="1314" spans="1:13">
      <c r="A1314" t="s">
        <v>171</v>
      </c>
      <c r="B1314" t="s">
        <v>11</v>
      </c>
      <c r="C1314" s="51">
        <v>138980531813</v>
      </c>
      <c r="D1314" s="1">
        <v>11147.46</v>
      </c>
      <c r="E1314" s="1">
        <v>12869460.67</v>
      </c>
      <c r="F1314" t="s">
        <v>1280</v>
      </c>
      <c r="I1314" s="16"/>
      <c r="J1314" s="68"/>
      <c r="K1314" s="68"/>
      <c r="L1314" s="68"/>
      <c r="M1314" s="74">
        <f t="shared" si="23"/>
        <v>11147.46</v>
      </c>
    </row>
    <row r="1315" spans="1:13">
      <c r="A1315" t="s">
        <v>168</v>
      </c>
      <c r="B1315" t="s">
        <v>169</v>
      </c>
      <c r="C1315" s="51">
        <v>138846676695</v>
      </c>
      <c r="D1315">
        <v>817.46</v>
      </c>
      <c r="E1315" s="1">
        <v>17933800.969999999</v>
      </c>
      <c r="F1315" t="s">
        <v>1280</v>
      </c>
      <c r="I1315" s="16"/>
      <c r="J1315" s="68"/>
      <c r="K1315" s="68"/>
      <c r="L1315" s="68"/>
      <c r="M1315" s="74">
        <f t="shared" si="23"/>
        <v>817.46</v>
      </c>
    </row>
    <row r="1316" spans="1:13">
      <c r="A1316" t="s">
        <v>171</v>
      </c>
      <c r="B1316" t="s">
        <v>11</v>
      </c>
      <c r="C1316" s="51">
        <v>138981018173</v>
      </c>
      <c r="D1316" s="1">
        <v>28157.27</v>
      </c>
      <c r="E1316" s="1">
        <v>12897617.939999999</v>
      </c>
      <c r="F1316" t="s">
        <v>1280</v>
      </c>
      <c r="I1316" s="16"/>
      <c r="J1316" s="68"/>
      <c r="K1316" s="68"/>
      <c r="L1316" s="68"/>
      <c r="M1316" s="74">
        <f t="shared" si="23"/>
        <v>28157.27</v>
      </c>
    </row>
    <row r="1317" spans="1:13">
      <c r="A1317" t="s">
        <v>171</v>
      </c>
      <c r="B1317" t="s">
        <v>11</v>
      </c>
      <c r="C1317" s="51">
        <v>139627710518</v>
      </c>
      <c r="D1317" s="1">
        <v>35009.78</v>
      </c>
      <c r="E1317" s="1">
        <v>12932627.720000001</v>
      </c>
      <c r="F1317" t="s">
        <v>1280</v>
      </c>
      <c r="I1317" s="16"/>
      <c r="J1317" s="68"/>
      <c r="K1317" s="68"/>
      <c r="L1317" s="68"/>
      <c r="M1317" s="74">
        <f t="shared" si="23"/>
        <v>35009.78</v>
      </c>
    </row>
    <row r="1318" spans="1:13">
      <c r="A1318" t="s">
        <v>171</v>
      </c>
      <c r="B1318" t="s">
        <v>11</v>
      </c>
      <c r="C1318" s="51">
        <v>138981406123</v>
      </c>
      <c r="D1318" s="1">
        <v>30300.73</v>
      </c>
      <c r="E1318" s="1">
        <v>12962928.449999999</v>
      </c>
      <c r="F1318" t="s">
        <v>1280</v>
      </c>
      <c r="I1318" s="16"/>
      <c r="J1318" s="68"/>
      <c r="K1318" s="68"/>
      <c r="L1318" s="68"/>
      <c r="M1318" s="74">
        <f t="shared" si="23"/>
        <v>30300.73</v>
      </c>
    </row>
    <row r="1319" spans="1:13">
      <c r="A1319" t="s">
        <v>171</v>
      </c>
      <c r="B1319" t="s">
        <v>11</v>
      </c>
      <c r="C1319" s="51">
        <v>139628504836</v>
      </c>
      <c r="D1319" s="1">
        <v>9743</v>
      </c>
      <c r="E1319" s="1">
        <v>12972671.449999999</v>
      </c>
      <c r="F1319" t="s">
        <v>1280</v>
      </c>
      <c r="I1319" s="16"/>
      <c r="J1319" s="68"/>
      <c r="K1319" s="68"/>
      <c r="L1319" s="68"/>
      <c r="M1319" s="74">
        <f t="shared" si="23"/>
        <v>9743</v>
      </c>
    </row>
    <row r="1320" spans="1:13">
      <c r="A1320" t="s">
        <v>171</v>
      </c>
      <c r="B1320" t="s">
        <v>11</v>
      </c>
      <c r="C1320" s="51">
        <v>139628583816</v>
      </c>
      <c r="D1320" s="1">
        <v>18901.419999999998</v>
      </c>
      <c r="E1320" s="1">
        <v>12991572.869999999</v>
      </c>
      <c r="F1320" t="s">
        <v>1280</v>
      </c>
      <c r="I1320" s="16"/>
      <c r="J1320" s="68"/>
      <c r="K1320" s="68"/>
      <c r="L1320" s="68"/>
      <c r="M1320" s="74">
        <f t="shared" ref="M1320:M1383" si="24">+D1320-I1320-J1320-K1320-L1320</f>
        <v>18901.419999999998</v>
      </c>
    </row>
    <row r="1321" spans="1:13">
      <c r="A1321" t="s">
        <v>171</v>
      </c>
      <c r="B1321" t="s">
        <v>11</v>
      </c>
      <c r="C1321" s="51">
        <v>138982147639</v>
      </c>
      <c r="D1321" s="1">
        <v>4871.5</v>
      </c>
      <c r="E1321" s="1">
        <v>12996444.369999999</v>
      </c>
      <c r="F1321" t="s">
        <v>1280</v>
      </c>
      <c r="I1321" s="16"/>
      <c r="J1321" s="68"/>
      <c r="K1321" s="68"/>
      <c r="L1321" s="68"/>
      <c r="M1321" s="74">
        <f t="shared" si="24"/>
        <v>4871.5</v>
      </c>
    </row>
    <row r="1322" spans="1:13">
      <c r="A1322" t="s">
        <v>171</v>
      </c>
      <c r="B1322" t="s">
        <v>11</v>
      </c>
      <c r="C1322" s="51">
        <v>138982236909</v>
      </c>
      <c r="D1322" s="1">
        <v>5358.65</v>
      </c>
      <c r="E1322" s="1">
        <v>13001803.02</v>
      </c>
      <c r="F1322" t="s">
        <v>1280</v>
      </c>
      <c r="I1322" s="16"/>
      <c r="J1322" s="68"/>
      <c r="K1322" s="68"/>
      <c r="L1322" s="68"/>
      <c r="M1322" s="74">
        <f t="shared" si="24"/>
        <v>5358.65</v>
      </c>
    </row>
    <row r="1323" spans="1:13">
      <c r="A1323" t="s">
        <v>171</v>
      </c>
      <c r="B1323" t="s">
        <v>11</v>
      </c>
      <c r="C1323" s="51">
        <v>138982300437</v>
      </c>
      <c r="D1323" s="1">
        <v>5358.65</v>
      </c>
      <c r="E1323" s="1">
        <v>13007161.67</v>
      </c>
      <c r="F1323" t="s">
        <v>1280</v>
      </c>
      <c r="I1323" s="16"/>
      <c r="J1323" s="68"/>
      <c r="K1323" s="68"/>
      <c r="L1323" s="68"/>
      <c r="M1323" s="74">
        <f t="shared" si="24"/>
        <v>5358.65</v>
      </c>
    </row>
    <row r="1324" spans="1:13">
      <c r="A1324" t="s">
        <v>171</v>
      </c>
      <c r="B1324" t="s">
        <v>11</v>
      </c>
      <c r="C1324" s="51">
        <v>138982362887</v>
      </c>
      <c r="D1324" s="1">
        <v>4676.6400000000003</v>
      </c>
      <c r="E1324" s="1">
        <v>13011838.310000001</v>
      </c>
      <c r="F1324" t="s">
        <v>1280</v>
      </c>
      <c r="I1324" s="16"/>
      <c r="J1324" s="68"/>
      <c r="K1324" s="68"/>
      <c r="L1324" s="68"/>
      <c r="M1324" s="74">
        <f t="shared" si="24"/>
        <v>4676.6400000000003</v>
      </c>
    </row>
    <row r="1325" spans="1:13">
      <c r="A1325" t="s">
        <v>171</v>
      </c>
      <c r="B1325" t="s">
        <v>11</v>
      </c>
      <c r="C1325" s="51">
        <v>138982602723</v>
      </c>
      <c r="D1325" s="1">
        <v>13445.34</v>
      </c>
      <c r="E1325" s="1">
        <v>13025283.65</v>
      </c>
      <c r="F1325" t="s">
        <v>1280</v>
      </c>
      <c r="I1325" s="16"/>
      <c r="J1325" s="68"/>
      <c r="K1325" s="68"/>
      <c r="L1325" s="68"/>
      <c r="M1325" s="74">
        <f t="shared" si="24"/>
        <v>13445.34</v>
      </c>
    </row>
    <row r="1326" spans="1:13">
      <c r="A1326" t="s">
        <v>168</v>
      </c>
      <c r="B1326" t="s">
        <v>93</v>
      </c>
      <c r="C1326" s="51">
        <v>138952390031</v>
      </c>
      <c r="D1326" s="1">
        <v>2692.25</v>
      </c>
      <c r="E1326" s="1">
        <v>11796314.23</v>
      </c>
      <c r="F1326" t="s">
        <v>1280</v>
      </c>
      <c r="I1326" s="16"/>
      <c r="J1326" s="68"/>
      <c r="K1326" s="68"/>
      <c r="L1326" s="68"/>
      <c r="M1326" s="74">
        <f t="shared" si="24"/>
        <v>2692.25</v>
      </c>
    </row>
    <row r="1327" spans="1:13">
      <c r="A1327" t="s">
        <v>171</v>
      </c>
      <c r="B1327" t="s">
        <v>11</v>
      </c>
      <c r="C1327" s="51">
        <v>138982952411</v>
      </c>
      <c r="D1327" s="1">
        <v>4871.5</v>
      </c>
      <c r="E1327" s="1">
        <v>13030155.15</v>
      </c>
      <c r="F1327" t="s">
        <v>1280</v>
      </c>
      <c r="I1327" s="16"/>
      <c r="J1327" s="68"/>
      <c r="K1327" s="68"/>
      <c r="L1327" s="68"/>
      <c r="M1327" s="74">
        <f t="shared" si="24"/>
        <v>4871.5</v>
      </c>
    </row>
    <row r="1328" spans="1:13">
      <c r="A1328" t="s">
        <v>171</v>
      </c>
      <c r="B1328" t="s">
        <v>11</v>
      </c>
      <c r="C1328" s="51">
        <v>138982968973</v>
      </c>
      <c r="D1328" s="1">
        <v>29096.76</v>
      </c>
      <c r="E1328" s="1">
        <v>13059251.91</v>
      </c>
      <c r="F1328" t="s">
        <v>1280</v>
      </c>
      <c r="I1328" s="16"/>
      <c r="J1328" s="68"/>
      <c r="K1328" s="68"/>
      <c r="L1328" s="68"/>
      <c r="M1328" s="74">
        <f t="shared" si="24"/>
        <v>29096.76</v>
      </c>
    </row>
    <row r="1329" spans="1:13">
      <c r="A1329" t="s">
        <v>171</v>
      </c>
      <c r="B1329" t="s">
        <v>11</v>
      </c>
      <c r="C1329" s="51">
        <v>139630051996</v>
      </c>
      <c r="D1329" s="1">
        <v>24649.79</v>
      </c>
      <c r="E1329" s="1">
        <v>13083901.699999999</v>
      </c>
      <c r="F1329" t="s">
        <v>1280</v>
      </c>
      <c r="I1329" s="16"/>
      <c r="J1329" s="68"/>
      <c r="K1329" s="68"/>
      <c r="L1329" s="68"/>
      <c r="M1329" s="74">
        <f t="shared" si="24"/>
        <v>24649.79</v>
      </c>
    </row>
    <row r="1330" spans="1:13">
      <c r="A1330" t="s">
        <v>171</v>
      </c>
      <c r="B1330" t="s">
        <v>11</v>
      </c>
      <c r="C1330" s="51">
        <v>139630170634</v>
      </c>
      <c r="D1330" s="1">
        <v>56704.26</v>
      </c>
      <c r="E1330" s="1">
        <v>13140605.960000001</v>
      </c>
      <c r="F1330" t="s">
        <v>1280</v>
      </c>
      <c r="I1330" s="16"/>
      <c r="J1330" s="68"/>
      <c r="K1330" s="68"/>
      <c r="L1330" s="68"/>
      <c r="M1330" s="74">
        <f t="shared" si="24"/>
        <v>56704.26</v>
      </c>
    </row>
    <row r="1331" spans="1:13">
      <c r="A1331" t="s">
        <v>171</v>
      </c>
      <c r="B1331" t="s">
        <v>11</v>
      </c>
      <c r="C1331" s="51">
        <v>139630137722</v>
      </c>
      <c r="D1331" s="1">
        <v>56304.12</v>
      </c>
      <c r="E1331" s="1">
        <v>13196910.08</v>
      </c>
      <c r="F1331" t="s">
        <v>1280</v>
      </c>
      <c r="I1331" s="16"/>
      <c r="J1331" s="68"/>
      <c r="K1331" s="68"/>
      <c r="L1331" s="68"/>
      <c r="M1331" s="74">
        <f t="shared" si="24"/>
        <v>56304.12</v>
      </c>
    </row>
    <row r="1332" spans="1:13">
      <c r="A1332" t="s">
        <v>171</v>
      </c>
      <c r="B1332" t="s">
        <v>11</v>
      </c>
      <c r="C1332" s="51">
        <v>139630171806</v>
      </c>
      <c r="D1332" s="1">
        <v>5358.65</v>
      </c>
      <c r="E1332" s="1">
        <v>13202268.73</v>
      </c>
      <c r="F1332" t="s">
        <v>1280</v>
      </c>
      <c r="I1332" s="16"/>
      <c r="J1332" s="68"/>
      <c r="K1332" s="68"/>
      <c r="L1332" s="68"/>
      <c r="M1332" s="74">
        <f t="shared" si="24"/>
        <v>5358.65</v>
      </c>
    </row>
    <row r="1333" spans="1:13">
      <c r="A1333" t="s">
        <v>171</v>
      </c>
      <c r="B1333" t="s">
        <v>11</v>
      </c>
      <c r="C1333" s="51">
        <v>138983545497</v>
      </c>
      <c r="D1333" s="1">
        <v>34977.370000000003</v>
      </c>
      <c r="E1333" s="1">
        <v>13237515.32</v>
      </c>
      <c r="F1333" t="s">
        <v>1280</v>
      </c>
      <c r="I1333" s="16"/>
      <c r="J1333" s="68"/>
      <c r="K1333" s="68"/>
      <c r="L1333" s="68"/>
      <c r="M1333" s="74">
        <f t="shared" si="24"/>
        <v>34977.370000000003</v>
      </c>
    </row>
    <row r="1334" spans="1:13">
      <c r="A1334" t="s">
        <v>171</v>
      </c>
      <c r="B1334" t="s">
        <v>11</v>
      </c>
      <c r="C1334" s="51">
        <v>139630576538</v>
      </c>
      <c r="D1334" s="1">
        <v>4871.5</v>
      </c>
      <c r="E1334" s="1">
        <v>13242386.82</v>
      </c>
      <c r="F1334" t="s">
        <v>1280</v>
      </c>
      <c r="I1334" s="16"/>
      <c r="J1334" s="68"/>
      <c r="K1334" s="68"/>
      <c r="L1334" s="68"/>
      <c r="M1334" s="74">
        <f t="shared" si="24"/>
        <v>4871.5</v>
      </c>
    </row>
    <row r="1335" spans="1:13">
      <c r="A1335" t="s">
        <v>171</v>
      </c>
      <c r="B1335" t="s">
        <v>11</v>
      </c>
      <c r="C1335" s="51">
        <v>139630636244</v>
      </c>
      <c r="D1335" s="1">
        <v>4676.6400000000003</v>
      </c>
      <c r="E1335" s="1">
        <v>13247063.460000001</v>
      </c>
      <c r="F1335" t="s">
        <v>1280</v>
      </c>
      <c r="I1335" s="16"/>
      <c r="J1335" s="68"/>
      <c r="K1335" s="68"/>
      <c r="L1335" s="68"/>
      <c r="M1335" s="74">
        <f t="shared" si="24"/>
        <v>4676.6400000000003</v>
      </c>
    </row>
    <row r="1336" spans="1:13">
      <c r="A1336" t="s">
        <v>171</v>
      </c>
      <c r="B1336" t="s">
        <v>11</v>
      </c>
      <c r="C1336" s="51">
        <v>139630821520</v>
      </c>
      <c r="D1336" s="1">
        <v>51832.76</v>
      </c>
      <c r="E1336" s="1">
        <v>13298896.220000001</v>
      </c>
      <c r="F1336" t="s">
        <v>1280</v>
      </c>
      <c r="I1336" s="16"/>
      <c r="J1336" s="68"/>
      <c r="K1336" s="68"/>
      <c r="L1336" s="68"/>
      <c r="M1336" s="74">
        <f t="shared" si="24"/>
        <v>51832.76</v>
      </c>
    </row>
    <row r="1337" spans="1:13">
      <c r="A1337" t="s">
        <v>171</v>
      </c>
      <c r="B1337" t="s">
        <v>11</v>
      </c>
      <c r="C1337" s="51">
        <v>138984089477</v>
      </c>
      <c r="D1337" s="1">
        <v>14029.92</v>
      </c>
      <c r="E1337" s="1">
        <v>13312926.140000001</v>
      </c>
      <c r="F1337" t="s">
        <v>1280</v>
      </c>
      <c r="I1337" s="16"/>
      <c r="J1337" s="68"/>
      <c r="K1337" s="68"/>
      <c r="L1337" s="68"/>
      <c r="M1337" s="74">
        <f t="shared" si="24"/>
        <v>14029.92</v>
      </c>
    </row>
    <row r="1338" spans="1:13">
      <c r="A1338" t="s">
        <v>171</v>
      </c>
      <c r="B1338" t="s">
        <v>11</v>
      </c>
      <c r="C1338" s="51">
        <v>138984279097</v>
      </c>
      <c r="D1338" s="1">
        <v>19354</v>
      </c>
      <c r="E1338" s="1">
        <v>13332985.02</v>
      </c>
      <c r="F1338" t="s">
        <v>1280</v>
      </c>
      <c r="I1338" s="16"/>
      <c r="J1338" s="68"/>
      <c r="K1338" s="68"/>
      <c r="L1338" s="68"/>
      <c r="M1338" s="74">
        <f t="shared" si="24"/>
        <v>19354</v>
      </c>
    </row>
    <row r="1339" spans="1:13">
      <c r="A1339" t="s">
        <v>171</v>
      </c>
      <c r="B1339" t="s">
        <v>11</v>
      </c>
      <c r="C1339" s="51">
        <v>139631095712</v>
      </c>
      <c r="D1339" s="1">
        <v>121202.92</v>
      </c>
      <c r="E1339" s="1">
        <v>13454187.939999999</v>
      </c>
      <c r="F1339" t="s">
        <v>1280</v>
      </c>
      <c r="I1339" s="16"/>
      <c r="J1339" s="68"/>
      <c r="K1339" s="68"/>
      <c r="L1339" s="68"/>
      <c r="M1339" s="74">
        <f t="shared" si="24"/>
        <v>121202.92</v>
      </c>
    </row>
    <row r="1340" spans="1:13">
      <c r="A1340" t="s">
        <v>168</v>
      </c>
      <c r="B1340" t="s">
        <v>170</v>
      </c>
      <c r="C1340" s="51">
        <v>139617382916</v>
      </c>
      <c r="D1340">
        <v>979</v>
      </c>
      <c r="E1340" s="1">
        <v>12049508.289999999</v>
      </c>
      <c r="F1340" t="s">
        <v>1280</v>
      </c>
      <c r="I1340" s="16"/>
      <c r="J1340" s="68"/>
      <c r="K1340" s="68"/>
      <c r="L1340" s="68"/>
      <c r="M1340" s="74">
        <f t="shared" si="24"/>
        <v>979</v>
      </c>
    </row>
    <row r="1341" spans="1:13">
      <c r="A1341" t="s">
        <v>171</v>
      </c>
      <c r="B1341" t="s">
        <v>11</v>
      </c>
      <c r="C1341" s="51">
        <v>139631277772</v>
      </c>
      <c r="D1341" s="1">
        <v>68103.570000000007</v>
      </c>
      <c r="E1341" s="1">
        <v>13522291.51</v>
      </c>
      <c r="F1341" t="s">
        <v>1280</v>
      </c>
      <c r="I1341" s="16"/>
      <c r="J1341" s="68"/>
      <c r="K1341" s="68"/>
      <c r="L1341" s="68"/>
      <c r="M1341" s="74">
        <f t="shared" si="24"/>
        <v>68103.570000000007</v>
      </c>
    </row>
    <row r="1342" spans="1:13">
      <c r="A1342" t="s">
        <v>171</v>
      </c>
      <c r="B1342" t="s">
        <v>11</v>
      </c>
      <c r="C1342" s="51">
        <v>138984795275</v>
      </c>
      <c r="D1342" s="1">
        <v>53586.5</v>
      </c>
      <c r="E1342" s="1">
        <v>13575878.01</v>
      </c>
      <c r="F1342" t="s">
        <v>1280</v>
      </c>
      <c r="I1342" s="16"/>
      <c r="J1342" s="68"/>
      <c r="K1342" s="68"/>
      <c r="L1342" s="68"/>
      <c r="M1342" s="74">
        <f t="shared" si="24"/>
        <v>53586.5</v>
      </c>
    </row>
    <row r="1343" spans="1:13">
      <c r="A1343" t="s">
        <v>171</v>
      </c>
      <c r="B1343" t="s">
        <v>11</v>
      </c>
      <c r="C1343" s="51">
        <v>138984902535</v>
      </c>
      <c r="D1343" s="1">
        <v>23480.63</v>
      </c>
      <c r="E1343" s="1">
        <v>13599358.640000001</v>
      </c>
      <c r="F1343" t="s">
        <v>1280</v>
      </c>
      <c r="I1343" s="16"/>
      <c r="J1343" s="68"/>
      <c r="K1343" s="68"/>
      <c r="L1343" s="68"/>
      <c r="M1343" s="74">
        <f t="shared" si="24"/>
        <v>23480.63</v>
      </c>
    </row>
    <row r="1344" spans="1:13">
      <c r="A1344" t="s">
        <v>171</v>
      </c>
      <c r="B1344" t="s">
        <v>11</v>
      </c>
      <c r="C1344" s="51">
        <v>139631549822</v>
      </c>
      <c r="D1344" s="1">
        <v>4871.5</v>
      </c>
      <c r="E1344" s="1">
        <v>13604230.140000001</v>
      </c>
      <c r="F1344" t="s">
        <v>1280</v>
      </c>
      <c r="I1344" s="16"/>
      <c r="J1344" s="68"/>
      <c r="K1344" s="68"/>
      <c r="L1344" s="68"/>
      <c r="M1344" s="74">
        <f t="shared" si="24"/>
        <v>4871.5</v>
      </c>
    </row>
    <row r="1345" spans="1:13">
      <c r="A1345" t="s">
        <v>171</v>
      </c>
      <c r="B1345" t="s">
        <v>11</v>
      </c>
      <c r="C1345" s="51">
        <v>139063218521</v>
      </c>
      <c r="D1345" s="1">
        <v>20460.3</v>
      </c>
      <c r="E1345" s="1">
        <v>13624690.439999999</v>
      </c>
      <c r="F1345" t="s">
        <v>1280</v>
      </c>
      <c r="I1345" s="16"/>
      <c r="J1345" s="68"/>
      <c r="K1345" s="68"/>
      <c r="L1345" s="68"/>
      <c r="M1345" s="74">
        <f t="shared" si="24"/>
        <v>20460.3</v>
      </c>
    </row>
    <row r="1346" spans="1:13">
      <c r="A1346" t="s">
        <v>171</v>
      </c>
      <c r="B1346" t="s">
        <v>11</v>
      </c>
      <c r="C1346" s="51">
        <v>139072847851</v>
      </c>
      <c r="D1346" s="1">
        <v>4358</v>
      </c>
      <c r="E1346" s="1">
        <v>13629048.439999999</v>
      </c>
      <c r="F1346" t="s">
        <v>1280</v>
      </c>
      <c r="I1346" s="16"/>
      <c r="J1346" s="68"/>
      <c r="K1346" s="68"/>
      <c r="L1346" s="68"/>
      <c r="M1346" s="74">
        <f t="shared" si="24"/>
        <v>4358</v>
      </c>
    </row>
    <row r="1347" spans="1:13">
      <c r="A1347" t="s">
        <v>171</v>
      </c>
      <c r="B1347" t="s">
        <v>11</v>
      </c>
      <c r="C1347" s="51">
        <v>139720219596</v>
      </c>
      <c r="D1347" s="1">
        <v>9353.2800000000007</v>
      </c>
      <c r="E1347" s="1">
        <v>13638401.720000001</v>
      </c>
      <c r="F1347" t="s">
        <v>1280</v>
      </c>
      <c r="I1347" s="16"/>
      <c r="J1347" s="68"/>
      <c r="K1347" s="68"/>
      <c r="L1347" s="68"/>
      <c r="M1347" s="74">
        <f t="shared" si="24"/>
        <v>9353.2800000000007</v>
      </c>
    </row>
    <row r="1348" spans="1:13">
      <c r="A1348" t="s">
        <v>171</v>
      </c>
      <c r="B1348" t="s">
        <v>11</v>
      </c>
      <c r="C1348" s="51">
        <v>139073157963</v>
      </c>
      <c r="D1348" s="1">
        <v>11496.74</v>
      </c>
      <c r="E1348" s="1">
        <v>13649898.460000001</v>
      </c>
      <c r="F1348" t="s">
        <v>1280</v>
      </c>
      <c r="I1348" s="16"/>
      <c r="J1348" s="68"/>
      <c r="K1348" s="68"/>
      <c r="L1348" s="68"/>
      <c r="M1348" s="74">
        <f t="shared" si="24"/>
        <v>11496.74</v>
      </c>
    </row>
    <row r="1349" spans="1:13">
      <c r="A1349" t="s">
        <v>171</v>
      </c>
      <c r="B1349" t="s">
        <v>11</v>
      </c>
      <c r="C1349" s="51">
        <v>139074196447</v>
      </c>
      <c r="D1349" s="1">
        <v>24357.5</v>
      </c>
      <c r="E1349" s="1">
        <v>13674255.960000001</v>
      </c>
      <c r="F1349" t="s">
        <v>1280</v>
      </c>
      <c r="I1349" s="16"/>
      <c r="J1349" s="68"/>
      <c r="K1349" s="68"/>
      <c r="L1349" s="68"/>
      <c r="M1349" s="74">
        <f t="shared" si="24"/>
        <v>24357.5</v>
      </c>
    </row>
    <row r="1350" spans="1:13">
      <c r="A1350" t="s">
        <v>171</v>
      </c>
      <c r="B1350" t="s">
        <v>11</v>
      </c>
      <c r="C1350" s="51">
        <v>139721874566</v>
      </c>
      <c r="D1350" s="1">
        <v>13981.56</v>
      </c>
      <c r="E1350" s="1">
        <v>13688237.52</v>
      </c>
      <c r="F1350" t="s">
        <v>1280</v>
      </c>
      <c r="I1350" s="16"/>
      <c r="J1350" s="68"/>
      <c r="K1350" s="68"/>
      <c r="L1350" s="68"/>
      <c r="M1350" s="74">
        <f t="shared" si="24"/>
        <v>13981.56</v>
      </c>
    </row>
    <row r="1351" spans="1:13">
      <c r="A1351" t="s">
        <v>171</v>
      </c>
      <c r="B1351" t="s">
        <v>11</v>
      </c>
      <c r="C1351" s="51">
        <v>139723099764</v>
      </c>
      <c r="D1351" s="1">
        <v>19973.150000000001</v>
      </c>
      <c r="E1351" s="1">
        <v>13708210.67</v>
      </c>
      <c r="F1351" t="s">
        <v>1280</v>
      </c>
      <c r="I1351" s="16"/>
      <c r="J1351" s="68"/>
      <c r="K1351" s="68"/>
      <c r="L1351" s="68"/>
      <c r="M1351" s="74">
        <f t="shared" si="24"/>
        <v>19973.150000000001</v>
      </c>
    </row>
    <row r="1352" spans="1:13">
      <c r="A1352" t="s">
        <v>171</v>
      </c>
      <c r="B1352" t="s">
        <v>11</v>
      </c>
      <c r="C1352" s="51">
        <v>139077062539</v>
      </c>
      <c r="D1352" s="1">
        <v>4723.5</v>
      </c>
      <c r="E1352" s="1">
        <v>13712934.17</v>
      </c>
      <c r="F1352" t="s">
        <v>1280</v>
      </c>
      <c r="I1352" s="16"/>
      <c r="J1352" s="68"/>
      <c r="K1352" s="68"/>
      <c r="L1352" s="68"/>
      <c r="M1352" s="74">
        <f t="shared" si="24"/>
        <v>4723.5</v>
      </c>
    </row>
    <row r="1353" spans="1:13">
      <c r="A1353" t="s">
        <v>171</v>
      </c>
      <c r="B1353" t="s">
        <v>11</v>
      </c>
      <c r="C1353" s="51">
        <v>139724393082</v>
      </c>
      <c r="D1353" s="1">
        <v>9447</v>
      </c>
      <c r="E1353" s="1">
        <v>13722381.17</v>
      </c>
      <c r="F1353" t="s">
        <v>1280</v>
      </c>
      <c r="I1353" s="16"/>
      <c r="J1353" s="68"/>
      <c r="K1353" s="68"/>
      <c r="L1353" s="68"/>
      <c r="M1353" s="74">
        <f t="shared" si="24"/>
        <v>9447</v>
      </c>
    </row>
    <row r="1354" spans="1:13">
      <c r="A1354" t="s">
        <v>171</v>
      </c>
      <c r="B1354" t="s">
        <v>11</v>
      </c>
      <c r="C1354" s="51">
        <v>139079138431</v>
      </c>
      <c r="D1354" s="1">
        <v>9677</v>
      </c>
      <c r="E1354" s="1">
        <v>13732058.17</v>
      </c>
      <c r="F1354" t="s">
        <v>1280</v>
      </c>
      <c r="I1354" s="16"/>
      <c r="J1354" s="68"/>
      <c r="K1354" s="68"/>
      <c r="L1354" s="68"/>
      <c r="M1354" s="74">
        <f t="shared" si="24"/>
        <v>9677</v>
      </c>
    </row>
    <row r="1355" spans="1:13">
      <c r="A1355" t="s">
        <v>171</v>
      </c>
      <c r="B1355" t="s">
        <v>11</v>
      </c>
      <c r="C1355" s="51">
        <v>139729250792</v>
      </c>
      <c r="D1355" s="1">
        <v>7794.4</v>
      </c>
      <c r="E1355" s="1">
        <v>13739852.57</v>
      </c>
      <c r="F1355" t="s">
        <v>1280</v>
      </c>
      <c r="I1355" s="16"/>
      <c r="J1355" s="68"/>
      <c r="K1355" s="68"/>
      <c r="L1355" s="68"/>
      <c r="M1355" s="74">
        <f t="shared" si="24"/>
        <v>7794.4</v>
      </c>
    </row>
    <row r="1356" spans="1:13">
      <c r="A1356" t="s">
        <v>171</v>
      </c>
      <c r="B1356" t="s">
        <v>11</v>
      </c>
      <c r="C1356" s="51">
        <v>139082306869</v>
      </c>
      <c r="D1356" s="1">
        <v>45759</v>
      </c>
      <c r="E1356" s="1">
        <v>13785611.57</v>
      </c>
      <c r="F1356" t="s">
        <v>1280</v>
      </c>
      <c r="I1356" s="16"/>
      <c r="J1356" s="68"/>
      <c r="K1356" s="68"/>
      <c r="L1356" s="68"/>
      <c r="M1356" s="74">
        <f t="shared" si="24"/>
        <v>45759</v>
      </c>
    </row>
    <row r="1357" spans="1:13">
      <c r="A1357" t="s">
        <v>171</v>
      </c>
      <c r="B1357" t="s">
        <v>11</v>
      </c>
      <c r="C1357" s="51">
        <v>139082797497</v>
      </c>
      <c r="D1357" s="1">
        <v>47545.84</v>
      </c>
      <c r="E1357" s="1">
        <v>13833157.41</v>
      </c>
      <c r="F1357" t="s">
        <v>1280</v>
      </c>
      <c r="I1357" s="16"/>
      <c r="J1357" s="68"/>
      <c r="K1357" s="68"/>
      <c r="L1357" s="68"/>
      <c r="M1357" s="74">
        <f t="shared" si="24"/>
        <v>47545.84</v>
      </c>
    </row>
    <row r="1358" spans="1:13">
      <c r="A1358" t="s">
        <v>171</v>
      </c>
      <c r="B1358" t="s">
        <v>11</v>
      </c>
      <c r="C1358" s="51">
        <v>139082973003</v>
      </c>
      <c r="D1358" s="1">
        <v>9447</v>
      </c>
      <c r="E1358" s="1">
        <v>13842604.41</v>
      </c>
      <c r="F1358" t="s">
        <v>1280</v>
      </c>
      <c r="I1358" s="16"/>
      <c r="J1358" s="68"/>
      <c r="K1358" s="68"/>
      <c r="L1358" s="68"/>
      <c r="M1358" s="74">
        <f t="shared" si="24"/>
        <v>9447</v>
      </c>
    </row>
    <row r="1359" spans="1:13">
      <c r="A1359" t="s">
        <v>171</v>
      </c>
      <c r="B1359" t="s">
        <v>11</v>
      </c>
      <c r="C1359" s="51">
        <v>139730594000</v>
      </c>
      <c r="D1359" s="1">
        <v>46384.77</v>
      </c>
      <c r="E1359" s="1">
        <v>13888989.18</v>
      </c>
      <c r="F1359" t="s">
        <v>1280</v>
      </c>
      <c r="I1359" s="16"/>
      <c r="J1359" s="68"/>
      <c r="K1359" s="68"/>
      <c r="L1359" s="68"/>
      <c r="M1359" s="74">
        <f t="shared" si="24"/>
        <v>46384.77</v>
      </c>
    </row>
    <row r="1360" spans="1:13">
      <c r="A1360" t="s">
        <v>171</v>
      </c>
      <c r="B1360" t="s">
        <v>11</v>
      </c>
      <c r="C1360" s="51">
        <v>139083518057</v>
      </c>
      <c r="D1360" s="1">
        <v>77807.03</v>
      </c>
      <c r="E1360" s="1">
        <v>13966796.210000001</v>
      </c>
      <c r="F1360" t="s">
        <v>1280</v>
      </c>
      <c r="I1360" s="16"/>
      <c r="J1360" s="68"/>
      <c r="K1360" s="68"/>
      <c r="L1360" s="68"/>
      <c r="M1360" s="74">
        <f t="shared" si="24"/>
        <v>77807.03</v>
      </c>
    </row>
    <row r="1361" spans="1:13">
      <c r="A1361" t="s">
        <v>171</v>
      </c>
      <c r="B1361" t="s">
        <v>11</v>
      </c>
      <c r="C1361" s="51">
        <v>139084107193</v>
      </c>
      <c r="D1361" s="1">
        <v>36633.68</v>
      </c>
      <c r="E1361" s="1">
        <v>14003429.890000001</v>
      </c>
      <c r="F1361" t="s">
        <v>1280</v>
      </c>
      <c r="I1361" s="16"/>
      <c r="J1361" s="68"/>
      <c r="K1361" s="68"/>
      <c r="L1361" s="68"/>
      <c r="M1361" s="74">
        <f t="shared" si="24"/>
        <v>36633.68</v>
      </c>
    </row>
    <row r="1362" spans="1:13">
      <c r="A1362" t="s">
        <v>171</v>
      </c>
      <c r="B1362" t="s">
        <v>11</v>
      </c>
      <c r="C1362" s="51">
        <v>139085202049</v>
      </c>
      <c r="D1362" s="1">
        <v>4723.5</v>
      </c>
      <c r="E1362" s="1">
        <v>14008153.390000001</v>
      </c>
      <c r="F1362" t="s">
        <v>1280</v>
      </c>
      <c r="I1362" s="16"/>
      <c r="J1362" s="68"/>
      <c r="K1362" s="68"/>
      <c r="L1362" s="68"/>
      <c r="M1362" s="74">
        <f t="shared" si="24"/>
        <v>4723.5</v>
      </c>
    </row>
    <row r="1363" spans="1:13">
      <c r="A1363" t="s">
        <v>171</v>
      </c>
      <c r="B1363" t="s">
        <v>11</v>
      </c>
      <c r="C1363" s="51">
        <v>139734214508</v>
      </c>
      <c r="D1363" s="1">
        <v>48663.44</v>
      </c>
      <c r="E1363" s="1">
        <v>14056816.83</v>
      </c>
      <c r="F1363" t="s">
        <v>1280</v>
      </c>
      <c r="I1363" s="16"/>
      <c r="J1363" s="68"/>
      <c r="K1363" s="68"/>
      <c r="L1363" s="68"/>
      <c r="M1363" s="74">
        <f t="shared" si="24"/>
        <v>48663.44</v>
      </c>
    </row>
    <row r="1364" spans="1:13">
      <c r="A1364" t="s">
        <v>171</v>
      </c>
      <c r="B1364" t="s">
        <v>11</v>
      </c>
      <c r="C1364" s="51">
        <v>139087122709</v>
      </c>
      <c r="D1364" s="1">
        <v>13225.8</v>
      </c>
      <c r="E1364" s="1">
        <v>14070042.630000001</v>
      </c>
      <c r="F1364" t="s">
        <v>1280</v>
      </c>
      <c r="I1364" s="16"/>
      <c r="J1364" s="68"/>
      <c r="K1364" s="68"/>
      <c r="L1364" s="68"/>
      <c r="M1364" s="74">
        <f t="shared" si="24"/>
        <v>13225.8</v>
      </c>
    </row>
    <row r="1365" spans="1:13">
      <c r="A1365" t="s">
        <v>171</v>
      </c>
      <c r="B1365" t="s">
        <v>11</v>
      </c>
      <c r="C1365" s="51">
        <v>139734505018</v>
      </c>
      <c r="D1365" s="1">
        <v>51904.58</v>
      </c>
      <c r="E1365" s="1">
        <v>14121947.210000001</v>
      </c>
      <c r="F1365" t="s">
        <v>1280</v>
      </c>
      <c r="I1365" s="16"/>
      <c r="J1365" s="68"/>
      <c r="K1365" s="68"/>
      <c r="L1365" s="68"/>
      <c r="M1365" s="74">
        <f t="shared" si="24"/>
        <v>51904.58</v>
      </c>
    </row>
    <row r="1366" spans="1:13">
      <c r="A1366" t="s">
        <v>171</v>
      </c>
      <c r="B1366" t="s">
        <v>11</v>
      </c>
      <c r="C1366" s="51">
        <v>139087711755</v>
      </c>
      <c r="D1366" s="1">
        <v>24649.79</v>
      </c>
      <c r="E1366" s="1">
        <v>14146597</v>
      </c>
      <c r="F1366" t="s">
        <v>1280</v>
      </c>
      <c r="I1366" s="16"/>
      <c r="J1366" s="68"/>
      <c r="K1366" s="68"/>
      <c r="L1366" s="68"/>
      <c r="M1366" s="74">
        <f t="shared" si="24"/>
        <v>24649.79</v>
      </c>
    </row>
    <row r="1367" spans="1:13">
      <c r="A1367" t="s">
        <v>171</v>
      </c>
      <c r="B1367" t="s">
        <v>11</v>
      </c>
      <c r="C1367" s="51">
        <v>139089424897</v>
      </c>
      <c r="D1367" s="1">
        <v>4871.5</v>
      </c>
      <c r="E1367" s="1">
        <v>14153945.369999999</v>
      </c>
      <c r="F1367" t="s">
        <v>1280</v>
      </c>
      <c r="I1367" s="16"/>
      <c r="J1367" s="68"/>
      <c r="K1367" s="68"/>
      <c r="L1367" s="68"/>
      <c r="M1367" s="74">
        <f t="shared" si="24"/>
        <v>4871.5</v>
      </c>
    </row>
    <row r="1368" spans="1:13">
      <c r="A1368" t="s">
        <v>171</v>
      </c>
      <c r="B1368" t="s">
        <v>11</v>
      </c>
      <c r="C1368" s="51">
        <v>139736694770</v>
      </c>
      <c r="D1368" s="1">
        <v>40141.160000000003</v>
      </c>
      <c r="E1368" s="1">
        <v>14194576.029999999</v>
      </c>
      <c r="F1368" t="s">
        <v>1280</v>
      </c>
      <c r="I1368" s="16"/>
      <c r="J1368" s="68"/>
      <c r="K1368" s="68"/>
      <c r="L1368" s="68"/>
      <c r="M1368" s="74">
        <f t="shared" si="24"/>
        <v>40141.160000000003</v>
      </c>
    </row>
    <row r="1369" spans="1:13">
      <c r="A1369" t="s">
        <v>171</v>
      </c>
      <c r="B1369" t="s">
        <v>11</v>
      </c>
      <c r="C1369" s="51">
        <v>139089767285</v>
      </c>
      <c r="D1369" s="1">
        <v>19257.23</v>
      </c>
      <c r="E1369" s="1">
        <v>14213833.26</v>
      </c>
      <c r="F1369" t="s">
        <v>1280</v>
      </c>
      <c r="I1369" s="16"/>
      <c r="J1369" s="68"/>
      <c r="K1369" s="68"/>
      <c r="L1369" s="68"/>
      <c r="M1369" s="74">
        <f t="shared" si="24"/>
        <v>19257.23</v>
      </c>
    </row>
    <row r="1370" spans="1:13">
      <c r="A1370" t="s">
        <v>171</v>
      </c>
      <c r="B1370" t="s">
        <v>11</v>
      </c>
      <c r="C1370" s="51">
        <v>139090047369</v>
      </c>
      <c r="D1370" s="1">
        <v>26890.68</v>
      </c>
      <c r="E1370" s="1">
        <v>14240723.939999999</v>
      </c>
      <c r="F1370" t="s">
        <v>1280</v>
      </c>
      <c r="I1370" s="16"/>
      <c r="J1370" s="68"/>
      <c r="K1370" s="68"/>
      <c r="L1370" s="68"/>
      <c r="M1370" s="74">
        <f t="shared" si="24"/>
        <v>26890.68</v>
      </c>
    </row>
    <row r="1371" spans="1:13">
      <c r="A1371" t="s">
        <v>171</v>
      </c>
      <c r="B1371" t="s">
        <v>11</v>
      </c>
      <c r="C1371" s="51">
        <v>139090278709</v>
      </c>
      <c r="D1371" s="1">
        <v>71135.91</v>
      </c>
      <c r="E1371" s="1">
        <v>14314561.890000001</v>
      </c>
      <c r="F1371" t="s">
        <v>1280</v>
      </c>
      <c r="I1371" s="16"/>
      <c r="J1371" s="68"/>
      <c r="K1371" s="68"/>
      <c r="L1371" s="68"/>
      <c r="M1371" s="74">
        <f t="shared" si="24"/>
        <v>71135.91</v>
      </c>
    </row>
    <row r="1372" spans="1:13">
      <c r="A1372" t="s">
        <v>171</v>
      </c>
      <c r="B1372" t="s">
        <v>11</v>
      </c>
      <c r="C1372" s="51">
        <v>139738821200</v>
      </c>
      <c r="D1372" s="1">
        <v>33321.06</v>
      </c>
      <c r="E1372" s="1">
        <v>14347882.949999999</v>
      </c>
      <c r="F1372" t="s">
        <v>1280</v>
      </c>
      <c r="I1372" s="16"/>
      <c r="J1372" s="68"/>
      <c r="K1372" s="68"/>
      <c r="L1372" s="68"/>
      <c r="M1372" s="74">
        <f t="shared" si="24"/>
        <v>33321.06</v>
      </c>
    </row>
    <row r="1373" spans="1:13">
      <c r="A1373" t="s">
        <v>171</v>
      </c>
      <c r="B1373" t="s">
        <v>11</v>
      </c>
      <c r="C1373" s="51">
        <v>139092164837</v>
      </c>
      <c r="D1373" s="1">
        <v>85835.83</v>
      </c>
      <c r="E1373" s="1">
        <v>14433718.779999999</v>
      </c>
      <c r="F1373" t="s">
        <v>1280</v>
      </c>
      <c r="I1373" s="16"/>
      <c r="J1373" s="68"/>
      <c r="K1373" s="68"/>
      <c r="L1373" s="68"/>
      <c r="M1373" s="74">
        <f t="shared" si="24"/>
        <v>85835.83</v>
      </c>
    </row>
    <row r="1374" spans="1:13">
      <c r="A1374" t="s">
        <v>177</v>
      </c>
      <c r="B1374" t="s">
        <v>11</v>
      </c>
      <c r="C1374" s="51">
        <v>139740074742</v>
      </c>
      <c r="D1374" s="1">
        <v>9548.14</v>
      </c>
      <c r="E1374" s="1">
        <v>14443266.92</v>
      </c>
      <c r="F1374" t="s">
        <v>1280</v>
      </c>
      <c r="I1374" s="16"/>
      <c r="J1374" s="68"/>
      <c r="K1374" s="68"/>
      <c r="L1374" s="68"/>
      <c r="M1374" s="74">
        <f t="shared" si="24"/>
        <v>9548.14</v>
      </c>
    </row>
    <row r="1375" spans="1:13">
      <c r="A1375" t="s">
        <v>177</v>
      </c>
      <c r="B1375" t="s">
        <v>11</v>
      </c>
      <c r="C1375" s="51">
        <v>139093374485</v>
      </c>
      <c r="D1375" s="1">
        <v>19291.14</v>
      </c>
      <c r="E1375" s="1">
        <v>14462558.060000001</v>
      </c>
      <c r="F1375" t="s">
        <v>1280</v>
      </c>
      <c r="I1375" s="16"/>
      <c r="J1375" s="68"/>
      <c r="K1375" s="68"/>
      <c r="L1375" s="68"/>
      <c r="M1375" s="74">
        <f t="shared" si="24"/>
        <v>19291.14</v>
      </c>
    </row>
    <row r="1376" spans="1:13">
      <c r="A1376" t="s">
        <v>177</v>
      </c>
      <c r="B1376" t="s">
        <v>11</v>
      </c>
      <c r="C1376" s="51">
        <v>139093878133</v>
      </c>
      <c r="D1376" s="1">
        <v>29852.52</v>
      </c>
      <c r="E1376" s="1">
        <v>14493379.789999999</v>
      </c>
      <c r="F1376" t="s">
        <v>1280</v>
      </c>
      <c r="I1376" s="16"/>
      <c r="J1376" s="68"/>
      <c r="K1376" s="68"/>
      <c r="L1376" s="68"/>
      <c r="M1376" s="74">
        <f t="shared" si="24"/>
        <v>29852.52</v>
      </c>
    </row>
    <row r="1377" spans="1:13">
      <c r="A1377" t="s">
        <v>171</v>
      </c>
      <c r="B1377" t="s">
        <v>172</v>
      </c>
      <c r="C1377" s="51">
        <v>138983534997</v>
      </c>
      <c r="D1377">
        <v>269.22000000000003</v>
      </c>
      <c r="E1377" s="1">
        <v>13202537.949999999</v>
      </c>
      <c r="F1377" t="s">
        <v>1280</v>
      </c>
      <c r="I1377" s="16"/>
      <c r="J1377" s="68"/>
      <c r="K1377" s="68"/>
      <c r="L1377" s="68"/>
      <c r="M1377" s="74">
        <f t="shared" si="24"/>
        <v>269.22000000000003</v>
      </c>
    </row>
    <row r="1378" spans="1:13">
      <c r="A1378" t="s">
        <v>177</v>
      </c>
      <c r="B1378" t="s">
        <v>11</v>
      </c>
      <c r="C1378" s="51">
        <v>139094071125</v>
      </c>
      <c r="D1378" s="1">
        <v>18138.240000000002</v>
      </c>
      <c r="E1378" s="1">
        <v>14511518.029999999</v>
      </c>
      <c r="F1378" t="s">
        <v>1280</v>
      </c>
      <c r="I1378" s="16"/>
      <c r="J1378" s="68"/>
      <c r="K1378" s="68"/>
      <c r="L1378" s="68"/>
      <c r="M1378" s="74">
        <f t="shared" si="24"/>
        <v>18138.240000000002</v>
      </c>
    </row>
    <row r="1379" spans="1:13">
      <c r="A1379" t="s">
        <v>177</v>
      </c>
      <c r="B1379" t="s">
        <v>11</v>
      </c>
      <c r="C1379" s="51">
        <v>139741640206</v>
      </c>
      <c r="D1379" s="1">
        <v>9743</v>
      </c>
      <c r="E1379" s="1">
        <v>14521261.029999999</v>
      </c>
      <c r="F1379" t="s">
        <v>1280</v>
      </c>
      <c r="I1379" s="16"/>
      <c r="J1379" s="68"/>
      <c r="K1379" s="68"/>
      <c r="L1379" s="68"/>
      <c r="M1379" s="74">
        <f t="shared" si="24"/>
        <v>9743</v>
      </c>
    </row>
    <row r="1380" spans="1:13">
      <c r="A1380" t="s">
        <v>177</v>
      </c>
      <c r="B1380" t="s">
        <v>11</v>
      </c>
      <c r="C1380" s="51">
        <v>139094631503</v>
      </c>
      <c r="D1380" s="1">
        <v>147373.20000000001</v>
      </c>
      <c r="E1380" s="1">
        <v>14668634.23</v>
      </c>
      <c r="F1380" t="s">
        <v>1280</v>
      </c>
      <c r="I1380" s="16"/>
      <c r="J1380" s="68"/>
      <c r="K1380" s="68"/>
      <c r="L1380" s="68"/>
      <c r="M1380" s="74">
        <f t="shared" si="24"/>
        <v>147373.20000000001</v>
      </c>
    </row>
    <row r="1381" spans="1:13">
      <c r="A1381" t="s">
        <v>177</v>
      </c>
      <c r="B1381" t="s">
        <v>11</v>
      </c>
      <c r="C1381" s="51">
        <v>139742005488</v>
      </c>
      <c r="D1381" s="1">
        <v>9743</v>
      </c>
      <c r="E1381" s="1">
        <v>14678377.23</v>
      </c>
      <c r="F1381" t="s">
        <v>1280</v>
      </c>
      <c r="I1381" s="16"/>
      <c r="J1381" s="68"/>
      <c r="K1381" s="68"/>
      <c r="L1381" s="68"/>
      <c r="M1381" s="74">
        <f t="shared" si="24"/>
        <v>9743</v>
      </c>
    </row>
    <row r="1382" spans="1:13">
      <c r="A1382" t="s">
        <v>177</v>
      </c>
      <c r="B1382" t="s">
        <v>11</v>
      </c>
      <c r="C1382" s="51">
        <v>139742125860</v>
      </c>
      <c r="D1382" s="1">
        <v>54171.08</v>
      </c>
      <c r="E1382" s="1">
        <v>14732548.310000001</v>
      </c>
      <c r="F1382" t="s">
        <v>1280</v>
      </c>
      <c r="I1382" s="16"/>
      <c r="J1382" s="68"/>
      <c r="K1382" s="68"/>
      <c r="L1382" s="68"/>
      <c r="M1382" s="74">
        <f t="shared" si="24"/>
        <v>54171.08</v>
      </c>
    </row>
    <row r="1383" spans="1:13">
      <c r="A1383" t="s">
        <v>171</v>
      </c>
      <c r="B1383" t="s">
        <v>173</v>
      </c>
      <c r="C1383" s="51">
        <v>139630899542</v>
      </c>
      <c r="D1383">
        <v>704.88</v>
      </c>
      <c r="E1383" s="1">
        <v>13313631.02</v>
      </c>
      <c r="F1383" t="s">
        <v>1280</v>
      </c>
      <c r="I1383" s="16"/>
      <c r="J1383" s="68"/>
      <c r="K1383" s="68"/>
      <c r="L1383" s="68"/>
      <c r="M1383" s="74">
        <f t="shared" si="24"/>
        <v>704.88</v>
      </c>
    </row>
    <row r="1384" spans="1:13">
      <c r="A1384" t="s">
        <v>177</v>
      </c>
      <c r="B1384" t="s">
        <v>11</v>
      </c>
      <c r="C1384" s="51">
        <v>139742356014</v>
      </c>
      <c r="D1384" s="1">
        <v>81433.14</v>
      </c>
      <c r="E1384" s="1">
        <v>14813981.449999999</v>
      </c>
      <c r="F1384" t="s">
        <v>1280</v>
      </c>
      <c r="I1384" s="16"/>
      <c r="J1384" s="68"/>
      <c r="K1384" s="68"/>
      <c r="L1384" s="68"/>
      <c r="M1384" s="74">
        <f t="shared" ref="M1384:M1447" si="25">+D1384-I1384-J1384-K1384-L1384</f>
        <v>81433.14</v>
      </c>
    </row>
    <row r="1385" spans="1:13">
      <c r="A1385" t="s">
        <v>177</v>
      </c>
      <c r="B1385" t="s">
        <v>11</v>
      </c>
      <c r="C1385" s="51">
        <v>139742892010</v>
      </c>
      <c r="D1385" s="1">
        <v>45110.09</v>
      </c>
      <c r="E1385" s="1">
        <v>14859091.539999999</v>
      </c>
      <c r="F1385" t="s">
        <v>1280</v>
      </c>
      <c r="I1385" s="16"/>
      <c r="J1385" s="68"/>
      <c r="K1385" s="68"/>
      <c r="L1385" s="68"/>
      <c r="M1385" s="74">
        <f t="shared" si="25"/>
        <v>45110.09</v>
      </c>
    </row>
    <row r="1386" spans="1:13">
      <c r="A1386" t="s">
        <v>177</v>
      </c>
      <c r="B1386" t="s">
        <v>11</v>
      </c>
      <c r="C1386" s="51">
        <v>139743113042</v>
      </c>
      <c r="D1386" s="1">
        <v>55145.38</v>
      </c>
      <c r="E1386" s="1">
        <v>14916503.300000001</v>
      </c>
      <c r="F1386" t="s">
        <v>1280</v>
      </c>
      <c r="I1386" s="16"/>
      <c r="J1386" s="68"/>
      <c r="K1386" s="68"/>
      <c r="L1386" s="68"/>
      <c r="M1386" s="74">
        <f t="shared" si="25"/>
        <v>55145.38</v>
      </c>
    </row>
    <row r="1387" spans="1:13">
      <c r="A1387" t="s">
        <v>177</v>
      </c>
      <c r="B1387" t="s">
        <v>11</v>
      </c>
      <c r="C1387" s="51">
        <v>139095819989</v>
      </c>
      <c r="D1387" s="1">
        <v>13257.49</v>
      </c>
      <c r="E1387" s="1">
        <v>14932531.359999999</v>
      </c>
      <c r="F1387" t="s">
        <v>1280</v>
      </c>
      <c r="I1387" s="16"/>
      <c r="J1387" s="68"/>
      <c r="K1387" s="68"/>
      <c r="L1387" s="68"/>
      <c r="M1387" s="74">
        <f t="shared" si="25"/>
        <v>13257.49</v>
      </c>
    </row>
    <row r="1388" spans="1:13">
      <c r="A1388" t="s">
        <v>177</v>
      </c>
      <c r="B1388" t="s">
        <v>11</v>
      </c>
      <c r="C1388" s="51">
        <v>139096355877</v>
      </c>
      <c r="D1388" s="1">
        <v>69077.87</v>
      </c>
      <c r="E1388" s="1">
        <v>15001609.23</v>
      </c>
      <c r="F1388" t="s">
        <v>1280</v>
      </c>
      <c r="I1388" s="16"/>
      <c r="J1388" s="68"/>
      <c r="K1388" s="68"/>
      <c r="L1388" s="68"/>
      <c r="M1388" s="74">
        <f t="shared" si="25"/>
        <v>69077.87</v>
      </c>
    </row>
    <row r="1389" spans="1:13">
      <c r="A1389" t="s">
        <v>177</v>
      </c>
      <c r="B1389" t="s">
        <v>11</v>
      </c>
      <c r="C1389" s="51">
        <v>139743764936</v>
      </c>
      <c r="D1389" s="1">
        <v>35331.78</v>
      </c>
      <c r="E1389" s="1">
        <v>15036941.01</v>
      </c>
      <c r="F1389" t="s">
        <v>1280</v>
      </c>
      <c r="I1389" s="16"/>
      <c r="J1389" s="68"/>
      <c r="K1389" s="68"/>
      <c r="L1389" s="68"/>
      <c r="M1389" s="74">
        <f t="shared" si="25"/>
        <v>35331.78</v>
      </c>
    </row>
    <row r="1390" spans="1:13">
      <c r="A1390" t="s">
        <v>177</v>
      </c>
      <c r="B1390" t="s">
        <v>11</v>
      </c>
      <c r="C1390" s="51">
        <v>139743954796</v>
      </c>
      <c r="D1390" s="1">
        <v>27585.24</v>
      </c>
      <c r="E1390" s="1">
        <v>15064526.25</v>
      </c>
      <c r="F1390" t="s">
        <v>1280</v>
      </c>
      <c r="I1390" s="16"/>
      <c r="J1390" s="68"/>
      <c r="K1390" s="68"/>
      <c r="L1390" s="68"/>
      <c r="M1390" s="74">
        <f t="shared" si="25"/>
        <v>27585.24</v>
      </c>
    </row>
    <row r="1391" spans="1:13">
      <c r="A1391" t="s">
        <v>177</v>
      </c>
      <c r="B1391" t="s">
        <v>11</v>
      </c>
      <c r="C1391" s="51">
        <v>139744308788</v>
      </c>
      <c r="D1391" s="1">
        <v>10035.290000000001</v>
      </c>
      <c r="E1391" s="1">
        <v>15074561.539999999</v>
      </c>
      <c r="F1391" t="s">
        <v>1280</v>
      </c>
      <c r="I1391" s="16"/>
      <c r="J1391" s="68"/>
      <c r="K1391" s="68"/>
      <c r="L1391" s="68"/>
      <c r="M1391" s="74">
        <f t="shared" si="25"/>
        <v>10035.290000000001</v>
      </c>
    </row>
    <row r="1392" spans="1:13">
      <c r="A1392" t="s">
        <v>177</v>
      </c>
      <c r="B1392" t="s">
        <v>11</v>
      </c>
      <c r="C1392" s="51">
        <v>139745018564</v>
      </c>
      <c r="D1392" s="1">
        <v>56509.4</v>
      </c>
      <c r="E1392" s="1">
        <v>15131070.939999999</v>
      </c>
      <c r="F1392" t="s">
        <v>1280</v>
      </c>
      <c r="I1392" s="16"/>
      <c r="J1392" s="68"/>
      <c r="K1392" s="68"/>
      <c r="L1392" s="68"/>
      <c r="M1392" s="74">
        <f t="shared" si="25"/>
        <v>56509.4</v>
      </c>
    </row>
    <row r="1393" spans="1:13">
      <c r="A1393" t="s">
        <v>177</v>
      </c>
      <c r="B1393" t="s">
        <v>11</v>
      </c>
      <c r="C1393" s="51">
        <v>139745156910</v>
      </c>
      <c r="D1393" s="1">
        <v>31175.1</v>
      </c>
      <c r="E1393" s="1">
        <v>15162246.039999999</v>
      </c>
      <c r="F1393" t="s">
        <v>1280</v>
      </c>
      <c r="I1393" s="16"/>
      <c r="J1393" s="68"/>
      <c r="K1393" s="68"/>
      <c r="L1393" s="68"/>
      <c r="M1393" s="74">
        <f t="shared" si="25"/>
        <v>31175.1</v>
      </c>
    </row>
    <row r="1394" spans="1:13">
      <c r="A1394" t="s">
        <v>177</v>
      </c>
      <c r="B1394" t="s">
        <v>11</v>
      </c>
      <c r="C1394" s="51">
        <v>139745222594</v>
      </c>
      <c r="D1394" s="1">
        <v>106845.57</v>
      </c>
      <c r="E1394" s="1">
        <v>15269091.609999999</v>
      </c>
      <c r="F1394" t="s">
        <v>1280</v>
      </c>
      <c r="I1394" s="16"/>
      <c r="J1394" s="68"/>
      <c r="K1394" s="68"/>
      <c r="L1394" s="68"/>
      <c r="M1394" s="74">
        <f t="shared" si="25"/>
        <v>106845.57</v>
      </c>
    </row>
    <row r="1395" spans="1:13">
      <c r="A1395" t="s">
        <v>177</v>
      </c>
      <c r="B1395" t="s">
        <v>11</v>
      </c>
      <c r="C1395" s="51">
        <v>139098023351</v>
      </c>
      <c r="D1395" s="1">
        <v>14906.79</v>
      </c>
      <c r="E1395" s="1">
        <v>15283998.4</v>
      </c>
      <c r="F1395" t="s">
        <v>1280</v>
      </c>
      <c r="I1395" s="16"/>
      <c r="J1395" s="68"/>
      <c r="K1395" s="68"/>
      <c r="L1395" s="68"/>
      <c r="M1395" s="74">
        <f t="shared" si="25"/>
        <v>14906.79</v>
      </c>
    </row>
    <row r="1396" spans="1:13">
      <c r="A1396" t="s">
        <v>177</v>
      </c>
      <c r="B1396" t="s">
        <v>11</v>
      </c>
      <c r="C1396" s="51">
        <v>139098272395</v>
      </c>
      <c r="D1396" s="1">
        <v>74436.52</v>
      </c>
      <c r="E1396" s="1">
        <v>15358434.92</v>
      </c>
      <c r="F1396" t="s">
        <v>1280</v>
      </c>
      <c r="I1396" s="16"/>
      <c r="J1396" s="68"/>
      <c r="K1396" s="68"/>
      <c r="L1396" s="68"/>
      <c r="M1396" s="74">
        <f t="shared" si="25"/>
        <v>74436.52</v>
      </c>
    </row>
    <row r="1397" spans="1:13">
      <c r="A1397" t="s">
        <v>177</v>
      </c>
      <c r="B1397" t="s">
        <v>11</v>
      </c>
      <c r="C1397" s="51">
        <v>139746116204</v>
      </c>
      <c r="D1397" s="1">
        <v>39946.300000000003</v>
      </c>
      <c r="E1397" s="1">
        <v>15398381.220000001</v>
      </c>
      <c r="F1397" t="s">
        <v>1280</v>
      </c>
      <c r="I1397" s="16"/>
      <c r="J1397" s="68"/>
      <c r="K1397" s="68"/>
      <c r="L1397" s="68"/>
      <c r="M1397" s="74">
        <f t="shared" si="25"/>
        <v>39946.300000000003</v>
      </c>
    </row>
    <row r="1398" spans="1:13">
      <c r="A1398" t="s">
        <v>177</v>
      </c>
      <c r="B1398" t="s">
        <v>11</v>
      </c>
      <c r="C1398" s="51">
        <v>139746110436</v>
      </c>
      <c r="D1398" s="1">
        <v>44135.79</v>
      </c>
      <c r="E1398" s="1">
        <v>15442517.01</v>
      </c>
      <c r="F1398" t="s">
        <v>1280</v>
      </c>
      <c r="I1398" s="16"/>
      <c r="J1398" s="68"/>
      <c r="K1398" s="68"/>
      <c r="L1398" s="68"/>
      <c r="M1398" s="74">
        <f t="shared" si="25"/>
        <v>44135.79</v>
      </c>
    </row>
    <row r="1399" spans="1:13">
      <c r="A1399" t="s">
        <v>177</v>
      </c>
      <c r="B1399" t="s">
        <v>11</v>
      </c>
      <c r="C1399" s="51">
        <v>139746069422</v>
      </c>
      <c r="D1399" s="1">
        <v>15393.94</v>
      </c>
      <c r="E1399" s="1">
        <v>15457910.949999999</v>
      </c>
      <c r="F1399" t="s">
        <v>1280</v>
      </c>
      <c r="I1399" s="16"/>
      <c r="J1399" s="68"/>
      <c r="K1399" s="68"/>
      <c r="L1399" s="68"/>
      <c r="M1399" s="74">
        <f t="shared" si="25"/>
        <v>15393.94</v>
      </c>
    </row>
    <row r="1400" spans="1:13">
      <c r="A1400" t="s">
        <v>177</v>
      </c>
      <c r="B1400" t="s">
        <v>11</v>
      </c>
      <c r="C1400" s="51">
        <v>139098946275</v>
      </c>
      <c r="D1400" s="1">
        <v>97040.28</v>
      </c>
      <c r="E1400" s="1">
        <v>15554951.23</v>
      </c>
      <c r="F1400" t="s">
        <v>1280</v>
      </c>
      <c r="I1400" s="16"/>
      <c r="J1400" s="68"/>
      <c r="K1400" s="68"/>
      <c r="L1400" s="68"/>
      <c r="M1400" s="74">
        <f t="shared" si="25"/>
        <v>97040.28</v>
      </c>
    </row>
    <row r="1401" spans="1:13">
      <c r="A1401" t="s">
        <v>177</v>
      </c>
      <c r="B1401" t="s">
        <v>11</v>
      </c>
      <c r="C1401" s="51">
        <v>139746652180</v>
      </c>
      <c r="D1401" s="1">
        <v>40043.730000000003</v>
      </c>
      <c r="E1401" s="1">
        <v>15594994.960000001</v>
      </c>
      <c r="F1401" t="s">
        <v>1280</v>
      </c>
      <c r="I1401" s="16"/>
      <c r="J1401" s="68"/>
      <c r="K1401" s="68"/>
      <c r="L1401" s="68"/>
      <c r="M1401" s="74">
        <f t="shared" si="25"/>
        <v>40043.730000000003</v>
      </c>
    </row>
    <row r="1402" spans="1:13">
      <c r="A1402" t="s">
        <v>177</v>
      </c>
      <c r="B1402" t="s">
        <v>11</v>
      </c>
      <c r="C1402" s="51">
        <v>139746956110</v>
      </c>
      <c r="D1402" s="1">
        <v>25695.84</v>
      </c>
      <c r="E1402" s="1">
        <v>15622702.640000001</v>
      </c>
      <c r="F1402" t="s">
        <v>1280</v>
      </c>
      <c r="I1402" s="16"/>
      <c r="J1402" s="68"/>
      <c r="K1402" s="68"/>
      <c r="L1402" s="68"/>
      <c r="M1402" s="74">
        <f t="shared" si="25"/>
        <v>25695.84</v>
      </c>
    </row>
    <row r="1403" spans="1:13">
      <c r="A1403" t="s">
        <v>177</v>
      </c>
      <c r="B1403" t="s">
        <v>11</v>
      </c>
      <c r="C1403" s="51">
        <v>139746996378</v>
      </c>
      <c r="D1403" s="1">
        <v>72269.55</v>
      </c>
      <c r="E1403" s="1">
        <v>15694972.189999999</v>
      </c>
      <c r="F1403" t="s">
        <v>1280</v>
      </c>
      <c r="I1403" s="16"/>
      <c r="J1403" s="68"/>
      <c r="K1403" s="68"/>
      <c r="L1403" s="68"/>
      <c r="M1403" s="74">
        <f t="shared" si="25"/>
        <v>72269.55</v>
      </c>
    </row>
    <row r="1404" spans="1:13">
      <c r="A1404" t="s">
        <v>177</v>
      </c>
      <c r="B1404" t="s">
        <v>11</v>
      </c>
      <c r="C1404" s="51">
        <v>139747108932</v>
      </c>
      <c r="D1404" s="1">
        <v>29229</v>
      </c>
      <c r="E1404" s="1">
        <v>15724201.189999999</v>
      </c>
      <c r="F1404" t="s">
        <v>1280</v>
      </c>
      <c r="I1404" s="16"/>
      <c r="J1404" s="68"/>
      <c r="K1404" s="68"/>
      <c r="L1404" s="68"/>
      <c r="M1404" s="74">
        <f t="shared" si="25"/>
        <v>29229</v>
      </c>
    </row>
    <row r="1405" spans="1:13">
      <c r="A1405" t="s">
        <v>177</v>
      </c>
      <c r="B1405" t="s">
        <v>11</v>
      </c>
      <c r="C1405" s="51">
        <v>139747250496</v>
      </c>
      <c r="D1405" s="1">
        <v>140760.29999999999</v>
      </c>
      <c r="E1405" s="1">
        <v>15864961.49</v>
      </c>
      <c r="F1405" t="s">
        <v>1280</v>
      </c>
      <c r="I1405" s="16"/>
      <c r="J1405" s="68"/>
      <c r="K1405" s="68"/>
      <c r="L1405" s="68"/>
      <c r="M1405" s="74">
        <f t="shared" si="25"/>
        <v>140760.29999999999</v>
      </c>
    </row>
    <row r="1406" spans="1:13">
      <c r="A1406" t="s">
        <v>177</v>
      </c>
      <c r="B1406" t="s">
        <v>11</v>
      </c>
      <c r="C1406" s="51">
        <v>139100436161</v>
      </c>
      <c r="D1406" s="1">
        <v>14029.92</v>
      </c>
      <c r="E1406" s="1">
        <v>15878991.41</v>
      </c>
      <c r="F1406" t="s">
        <v>1280</v>
      </c>
      <c r="I1406" s="16"/>
      <c r="J1406" s="68"/>
      <c r="K1406" s="68"/>
      <c r="L1406" s="68"/>
      <c r="M1406" s="74">
        <f t="shared" si="25"/>
        <v>14029.92</v>
      </c>
    </row>
    <row r="1407" spans="1:13">
      <c r="A1407" t="s">
        <v>177</v>
      </c>
      <c r="B1407" t="s">
        <v>11</v>
      </c>
      <c r="C1407" s="51">
        <v>139100574281</v>
      </c>
      <c r="D1407" s="1">
        <v>30203.3</v>
      </c>
      <c r="E1407" s="1">
        <v>15909194.710000001</v>
      </c>
      <c r="F1407" t="s">
        <v>1280</v>
      </c>
      <c r="I1407" s="16"/>
      <c r="J1407" s="68"/>
      <c r="K1407" s="68"/>
      <c r="L1407" s="68"/>
      <c r="M1407" s="74">
        <f t="shared" si="25"/>
        <v>30203.3</v>
      </c>
    </row>
    <row r="1408" spans="1:13">
      <c r="A1408" t="s">
        <v>177</v>
      </c>
      <c r="B1408" t="s">
        <v>11</v>
      </c>
      <c r="C1408" s="51">
        <v>139808799678</v>
      </c>
      <c r="D1408" s="1">
        <v>5322.35</v>
      </c>
      <c r="E1408" s="1">
        <v>15830748.550000001</v>
      </c>
      <c r="F1408" t="s">
        <v>1280</v>
      </c>
      <c r="I1408" s="16"/>
      <c r="J1408" s="68"/>
      <c r="K1408" s="68"/>
      <c r="L1408" s="68"/>
      <c r="M1408" s="74">
        <f t="shared" si="25"/>
        <v>5322.35</v>
      </c>
    </row>
    <row r="1409" spans="1:13">
      <c r="A1409" t="s">
        <v>177</v>
      </c>
      <c r="B1409" t="s">
        <v>11</v>
      </c>
      <c r="C1409" s="51">
        <v>139811178548</v>
      </c>
      <c r="D1409" s="1">
        <v>18894</v>
      </c>
      <c r="E1409" s="1">
        <v>15849642.550000001</v>
      </c>
      <c r="F1409" t="s">
        <v>1280</v>
      </c>
      <c r="I1409" s="16"/>
      <c r="J1409" s="68"/>
      <c r="K1409" s="68"/>
      <c r="L1409" s="68"/>
      <c r="M1409" s="74">
        <f t="shared" si="25"/>
        <v>18894</v>
      </c>
    </row>
    <row r="1410" spans="1:13">
      <c r="A1410" t="s">
        <v>177</v>
      </c>
      <c r="B1410" t="s">
        <v>11</v>
      </c>
      <c r="C1410" s="51">
        <v>139172546173</v>
      </c>
      <c r="D1410" s="1">
        <v>4774.07</v>
      </c>
      <c r="E1410" s="1">
        <v>15854416.619999999</v>
      </c>
      <c r="F1410" t="s">
        <v>1280</v>
      </c>
      <c r="I1410" s="16"/>
      <c r="J1410" s="68"/>
      <c r="K1410" s="68"/>
      <c r="L1410" s="68"/>
      <c r="M1410" s="74">
        <f t="shared" si="25"/>
        <v>4774.07</v>
      </c>
    </row>
    <row r="1411" spans="1:13">
      <c r="A1411" t="s">
        <v>177</v>
      </c>
      <c r="B1411" t="s">
        <v>11</v>
      </c>
      <c r="C1411" s="51">
        <v>139172710465</v>
      </c>
      <c r="D1411" s="1">
        <v>6275.52</v>
      </c>
      <c r="E1411" s="1">
        <v>15860692.140000001</v>
      </c>
      <c r="F1411" t="s">
        <v>1280</v>
      </c>
      <c r="I1411" s="16"/>
      <c r="J1411" s="68"/>
      <c r="K1411" s="68"/>
      <c r="L1411" s="68"/>
      <c r="M1411" s="74">
        <f t="shared" si="25"/>
        <v>6275.52</v>
      </c>
    </row>
    <row r="1412" spans="1:13">
      <c r="A1412" t="s">
        <v>171</v>
      </c>
      <c r="B1412" t="s">
        <v>174</v>
      </c>
      <c r="C1412" s="51">
        <v>139087916413</v>
      </c>
      <c r="D1412" s="1">
        <v>2476.87</v>
      </c>
      <c r="E1412" s="1">
        <v>14149073.869999999</v>
      </c>
      <c r="F1412" t="s">
        <v>1280</v>
      </c>
      <c r="I1412" s="16"/>
      <c r="J1412" s="68"/>
      <c r="K1412" s="68"/>
      <c r="L1412" s="68"/>
      <c r="M1412" s="74">
        <f t="shared" si="25"/>
        <v>2476.87</v>
      </c>
    </row>
    <row r="1413" spans="1:13">
      <c r="A1413" t="s">
        <v>177</v>
      </c>
      <c r="B1413" t="s">
        <v>11</v>
      </c>
      <c r="C1413" s="51">
        <v>139820048220</v>
      </c>
      <c r="D1413" s="1">
        <v>18901.419999999998</v>
      </c>
      <c r="E1413" s="1">
        <v>15879593.560000001</v>
      </c>
      <c r="F1413" t="s">
        <v>1280</v>
      </c>
      <c r="I1413" s="16"/>
      <c r="J1413" s="68"/>
      <c r="K1413" s="68"/>
      <c r="L1413" s="68"/>
      <c r="M1413" s="74">
        <f t="shared" si="25"/>
        <v>18901.419999999998</v>
      </c>
    </row>
    <row r="1414" spans="1:13">
      <c r="A1414" t="s">
        <v>171</v>
      </c>
      <c r="B1414" t="s">
        <v>175</v>
      </c>
      <c r="C1414" s="51">
        <v>139089399095</v>
      </c>
      <c r="D1414">
        <v>489.5</v>
      </c>
      <c r="E1414" s="1">
        <v>14154434.869999999</v>
      </c>
      <c r="F1414" t="s">
        <v>1280</v>
      </c>
      <c r="I1414" s="16"/>
      <c r="J1414" s="68"/>
      <c r="K1414" s="68"/>
      <c r="L1414" s="68"/>
      <c r="M1414" s="74">
        <f t="shared" si="25"/>
        <v>489.5</v>
      </c>
    </row>
    <row r="1415" spans="1:13">
      <c r="A1415" t="s">
        <v>177</v>
      </c>
      <c r="B1415" t="s">
        <v>11</v>
      </c>
      <c r="C1415" s="51">
        <v>139173070093</v>
      </c>
      <c r="D1415" s="1">
        <v>18894</v>
      </c>
      <c r="E1415" s="1">
        <v>15900386.82</v>
      </c>
      <c r="F1415" t="s">
        <v>1280</v>
      </c>
      <c r="I1415" s="16"/>
      <c r="J1415" s="68"/>
      <c r="K1415" s="68"/>
      <c r="L1415" s="68"/>
      <c r="M1415" s="74">
        <f t="shared" si="25"/>
        <v>18894</v>
      </c>
    </row>
    <row r="1416" spans="1:13">
      <c r="A1416" t="s">
        <v>177</v>
      </c>
      <c r="B1416" t="s">
        <v>11</v>
      </c>
      <c r="C1416" s="51">
        <v>139820841428</v>
      </c>
      <c r="D1416" s="1">
        <v>12165.86</v>
      </c>
      <c r="E1416" s="1">
        <v>15912552.68</v>
      </c>
      <c r="F1416" t="s">
        <v>1280</v>
      </c>
      <c r="I1416" s="16"/>
      <c r="J1416" s="68"/>
      <c r="K1416" s="68"/>
      <c r="L1416" s="68"/>
      <c r="M1416" s="74">
        <f t="shared" si="25"/>
        <v>12165.86</v>
      </c>
    </row>
    <row r="1417" spans="1:13">
      <c r="A1417" t="s">
        <v>177</v>
      </c>
      <c r="B1417" t="s">
        <v>11</v>
      </c>
      <c r="C1417" s="51">
        <v>139820905374</v>
      </c>
      <c r="D1417" s="1">
        <v>9447</v>
      </c>
      <c r="E1417" s="1">
        <v>15923311.539999999</v>
      </c>
      <c r="F1417" t="s">
        <v>1280</v>
      </c>
      <c r="I1417" s="16"/>
      <c r="J1417" s="68"/>
      <c r="K1417" s="68"/>
      <c r="L1417" s="68"/>
      <c r="M1417" s="74">
        <f t="shared" si="25"/>
        <v>9447</v>
      </c>
    </row>
    <row r="1418" spans="1:13">
      <c r="A1418" t="s">
        <v>171</v>
      </c>
      <c r="B1418" t="s">
        <v>176</v>
      </c>
      <c r="C1418" s="51">
        <v>139737185630</v>
      </c>
      <c r="D1418" s="1">
        <v>2702.04</v>
      </c>
      <c r="E1418" s="1">
        <v>14243425.98</v>
      </c>
      <c r="F1418" t="s">
        <v>1280</v>
      </c>
      <c r="I1418" s="16"/>
      <c r="J1418" s="68"/>
      <c r="K1418" s="68"/>
      <c r="L1418" s="68"/>
      <c r="M1418" s="74">
        <f t="shared" si="25"/>
        <v>2702.04</v>
      </c>
    </row>
    <row r="1419" spans="1:13">
      <c r="A1419" t="s">
        <v>177</v>
      </c>
      <c r="B1419" t="s">
        <v>11</v>
      </c>
      <c r="C1419" s="51">
        <v>139174210059</v>
      </c>
      <c r="D1419" s="1">
        <v>4539.5</v>
      </c>
      <c r="E1419" s="1">
        <v>15927851.039999999</v>
      </c>
      <c r="F1419" t="s">
        <v>1280</v>
      </c>
      <c r="I1419" s="16"/>
      <c r="J1419" s="68"/>
      <c r="K1419" s="68"/>
      <c r="L1419" s="68"/>
      <c r="M1419" s="74">
        <f t="shared" si="25"/>
        <v>4539.5</v>
      </c>
    </row>
    <row r="1420" spans="1:13">
      <c r="A1420" t="s">
        <v>177</v>
      </c>
      <c r="B1420" t="s">
        <v>11</v>
      </c>
      <c r="C1420" s="51">
        <v>139174873593</v>
      </c>
      <c r="D1420" s="1">
        <v>9743</v>
      </c>
      <c r="E1420" s="1">
        <v>15937594.039999999</v>
      </c>
      <c r="F1420" t="s">
        <v>1280</v>
      </c>
      <c r="I1420" s="16"/>
      <c r="J1420" s="68"/>
      <c r="K1420" s="68"/>
      <c r="L1420" s="68"/>
      <c r="M1420" s="74">
        <f t="shared" si="25"/>
        <v>9743</v>
      </c>
    </row>
    <row r="1421" spans="1:13">
      <c r="A1421" t="s">
        <v>177</v>
      </c>
      <c r="B1421" t="s">
        <v>11</v>
      </c>
      <c r="C1421" s="51">
        <v>139174829827</v>
      </c>
      <c r="D1421" s="1">
        <v>4774.07</v>
      </c>
      <c r="E1421" s="1">
        <v>15942368.109999999</v>
      </c>
      <c r="F1421" t="s">
        <v>1280</v>
      </c>
      <c r="I1421" s="16"/>
      <c r="J1421" s="68"/>
      <c r="K1421" s="68"/>
      <c r="L1421" s="68"/>
      <c r="M1421" s="74">
        <f t="shared" si="25"/>
        <v>4774.07</v>
      </c>
    </row>
    <row r="1422" spans="1:13">
      <c r="A1422" t="s">
        <v>177</v>
      </c>
      <c r="B1422" t="s">
        <v>11</v>
      </c>
      <c r="C1422" s="51">
        <v>139175369981</v>
      </c>
      <c r="D1422" s="1">
        <v>7209.82</v>
      </c>
      <c r="E1422" s="1">
        <v>15949577.93</v>
      </c>
      <c r="F1422" t="s">
        <v>1280</v>
      </c>
      <c r="I1422" s="16"/>
      <c r="J1422" s="68"/>
      <c r="K1422" s="68"/>
      <c r="L1422" s="68"/>
      <c r="M1422" s="74">
        <f t="shared" si="25"/>
        <v>7209.82</v>
      </c>
    </row>
    <row r="1423" spans="1:13">
      <c r="A1423" t="s">
        <v>177</v>
      </c>
      <c r="B1423" t="s">
        <v>11</v>
      </c>
      <c r="C1423" s="51">
        <v>139176331131</v>
      </c>
      <c r="D1423" s="1">
        <v>13640.2</v>
      </c>
      <c r="E1423" s="1">
        <v>15963218.130000001</v>
      </c>
      <c r="F1423" t="s">
        <v>1280</v>
      </c>
      <c r="I1423" s="16"/>
      <c r="J1423" s="68"/>
      <c r="K1423" s="68"/>
      <c r="L1423" s="68"/>
      <c r="M1423" s="74">
        <f t="shared" si="25"/>
        <v>13640.2</v>
      </c>
    </row>
    <row r="1424" spans="1:13">
      <c r="A1424" t="s">
        <v>177</v>
      </c>
      <c r="B1424" t="s">
        <v>178</v>
      </c>
      <c r="C1424" s="51">
        <v>139093172083</v>
      </c>
      <c r="D1424">
        <v>969.21</v>
      </c>
      <c r="E1424" s="1">
        <v>14463527.27</v>
      </c>
      <c r="F1424" t="s">
        <v>1280</v>
      </c>
      <c r="I1424" s="16"/>
      <c r="J1424" s="68"/>
      <c r="K1424" s="68"/>
      <c r="L1424" s="68"/>
      <c r="M1424" s="74">
        <f t="shared" si="25"/>
        <v>969.21</v>
      </c>
    </row>
    <row r="1425" spans="1:13">
      <c r="A1425" t="s">
        <v>177</v>
      </c>
      <c r="B1425" t="s">
        <v>11</v>
      </c>
      <c r="C1425" s="51">
        <v>139825993870</v>
      </c>
      <c r="D1425" s="1">
        <v>28529.94</v>
      </c>
      <c r="E1425" s="1">
        <v>15991748.07</v>
      </c>
      <c r="F1425" t="s">
        <v>1280</v>
      </c>
      <c r="I1425" s="16"/>
      <c r="J1425" s="68"/>
      <c r="K1425" s="68"/>
      <c r="L1425" s="68"/>
      <c r="M1425" s="74">
        <f t="shared" si="25"/>
        <v>28529.94</v>
      </c>
    </row>
    <row r="1426" spans="1:13">
      <c r="A1426" t="s">
        <v>177</v>
      </c>
      <c r="B1426" t="s">
        <v>11</v>
      </c>
      <c r="C1426" s="51">
        <v>139827276052</v>
      </c>
      <c r="D1426" s="1">
        <v>38699.040000000001</v>
      </c>
      <c r="E1426" s="1">
        <v>16030447.109999999</v>
      </c>
      <c r="F1426" t="s">
        <v>1280</v>
      </c>
      <c r="I1426" s="16"/>
      <c r="J1426" s="68"/>
      <c r="K1426" s="68"/>
      <c r="L1426" s="68"/>
      <c r="M1426" s="74">
        <f t="shared" si="25"/>
        <v>38699.040000000001</v>
      </c>
    </row>
    <row r="1427" spans="1:13">
      <c r="A1427" t="s">
        <v>177</v>
      </c>
      <c r="B1427" t="s">
        <v>11</v>
      </c>
      <c r="C1427" s="51">
        <v>139181298385</v>
      </c>
      <c r="D1427" s="1">
        <v>82566.78</v>
      </c>
      <c r="E1427" s="1">
        <v>16113013.890000001</v>
      </c>
      <c r="F1427" t="s">
        <v>1280</v>
      </c>
      <c r="I1427" s="16"/>
      <c r="J1427" s="68"/>
      <c r="K1427" s="68"/>
      <c r="L1427" s="68"/>
      <c r="M1427" s="74">
        <f t="shared" si="25"/>
        <v>82566.78</v>
      </c>
    </row>
    <row r="1428" spans="1:13">
      <c r="A1428" t="s">
        <v>177</v>
      </c>
      <c r="B1428" t="s">
        <v>11</v>
      </c>
      <c r="C1428" s="51">
        <v>139828941790</v>
      </c>
      <c r="D1428" s="1">
        <v>31664.75</v>
      </c>
      <c r="E1428" s="1">
        <v>16144678.640000001</v>
      </c>
      <c r="F1428" t="s">
        <v>1280</v>
      </c>
      <c r="I1428" s="16"/>
      <c r="J1428" s="68"/>
      <c r="K1428" s="68"/>
      <c r="L1428" s="68"/>
      <c r="M1428" s="74">
        <f t="shared" si="25"/>
        <v>31664.75</v>
      </c>
    </row>
    <row r="1429" spans="1:13">
      <c r="A1429" t="s">
        <v>177</v>
      </c>
      <c r="B1429" t="s">
        <v>11</v>
      </c>
      <c r="C1429" s="51">
        <v>139182522797</v>
      </c>
      <c r="D1429" s="1">
        <v>14419.64</v>
      </c>
      <c r="E1429" s="1">
        <v>16159098.279999999</v>
      </c>
      <c r="F1429" t="s">
        <v>1280</v>
      </c>
      <c r="I1429" s="16"/>
      <c r="J1429" s="68"/>
      <c r="K1429" s="68"/>
      <c r="L1429" s="68"/>
      <c r="M1429" s="74">
        <f t="shared" si="25"/>
        <v>14419.64</v>
      </c>
    </row>
    <row r="1430" spans="1:13">
      <c r="A1430" t="s">
        <v>177</v>
      </c>
      <c r="B1430" t="s">
        <v>11</v>
      </c>
      <c r="C1430" s="51">
        <v>139829873234</v>
      </c>
      <c r="D1430" s="1">
        <v>53196.78</v>
      </c>
      <c r="E1430" s="1">
        <v>16212295.060000001</v>
      </c>
      <c r="F1430" t="s">
        <v>1280</v>
      </c>
      <c r="I1430" s="16"/>
      <c r="J1430" s="68"/>
      <c r="K1430" s="68"/>
      <c r="L1430" s="68"/>
      <c r="M1430" s="74">
        <f t="shared" si="25"/>
        <v>53196.78</v>
      </c>
    </row>
    <row r="1431" spans="1:13">
      <c r="A1431" t="s">
        <v>177</v>
      </c>
      <c r="B1431" t="s">
        <v>11</v>
      </c>
      <c r="C1431" s="51">
        <v>139182797023</v>
      </c>
      <c r="D1431" s="1">
        <v>32931.339999999997</v>
      </c>
      <c r="E1431" s="1">
        <v>16245226.4</v>
      </c>
      <c r="F1431" t="s">
        <v>1280</v>
      </c>
      <c r="I1431" s="16"/>
      <c r="J1431" s="68"/>
      <c r="K1431" s="68"/>
      <c r="L1431" s="68"/>
      <c r="M1431" s="74">
        <f t="shared" si="25"/>
        <v>32931.339999999997</v>
      </c>
    </row>
    <row r="1432" spans="1:13">
      <c r="A1432" t="s">
        <v>177</v>
      </c>
      <c r="B1432" t="s">
        <v>11</v>
      </c>
      <c r="C1432" s="51">
        <v>139183086281</v>
      </c>
      <c r="D1432" s="1">
        <v>23967.78</v>
      </c>
      <c r="E1432" s="1">
        <v>16269194.18</v>
      </c>
      <c r="F1432" t="s">
        <v>1280</v>
      </c>
      <c r="I1432" s="16"/>
      <c r="J1432" s="68"/>
      <c r="K1432" s="68"/>
      <c r="L1432" s="68"/>
      <c r="M1432" s="74">
        <f t="shared" si="25"/>
        <v>23967.78</v>
      </c>
    </row>
    <row r="1433" spans="1:13">
      <c r="A1433" t="s">
        <v>177</v>
      </c>
      <c r="B1433" t="s">
        <v>179</v>
      </c>
      <c r="C1433" s="51">
        <v>139095760979</v>
      </c>
      <c r="D1433" s="1">
        <v>2266.38</v>
      </c>
      <c r="E1433" s="1">
        <v>14861357.92</v>
      </c>
      <c r="F1433" t="s">
        <v>1280</v>
      </c>
      <c r="I1433" s="16"/>
      <c r="J1433" s="68"/>
      <c r="K1433" s="68"/>
      <c r="L1433" s="68"/>
      <c r="M1433" s="74">
        <f t="shared" si="25"/>
        <v>2266.38</v>
      </c>
    </row>
    <row r="1434" spans="1:13">
      <c r="A1434" t="s">
        <v>177</v>
      </c>
      <c r="B1434" t="s">
        <v>11</v>
      </c>
      <c r="C1434" s="51">
        <v>139183307389</v>
      </c>
      <c r="D1434" s="1">
        <v>23675.49</v>
      </c>
      <c r="E1434" s="1">
        <v>16292869.67</v>
      </c>
      <c r="F1434" t="s">
        <v>1280</v>
      </c>
      <c r="I1434" s="16"/>
      <c r="J1434" s="68"/>
      <c r="K1434" s="68"/>
      <c r="L1434" s="68"/>
      <c r="M1434" s="74">
        <f t="shared" si="25"/>
        <v>23675.49</v>
      </c>
    </row>
    <row r="1435" spans="1:13">
      <c r="A1435" t="s">
        <v>177</v>
      </c>
      <c r="B1435" t="s">
        <v>180</v>
      </c>
      <c r="C1435" s="51">
        <v>139095930685</v>
      </c>
      <c r="D1435" s="1">
        <v>2770.57</v>
      </c>
      <c r="E1435" s="1">
        <v>14919273.869999999</v>
      </c>
      <c r="F1435" t="s">
        <v>1280</v>
      </c>
      <c r="I1435" s="16"/>
      <c r="J1435" s="68"/>
      <c r="K1435" s="68"/>
      <c r="L1435" s="68"/>
      <c r="M1435" s="74">
        <f t="shared" si="25"/>
        <v>2770.57</v>
      </c>
    </row>
    <row r="1436" spans="1:13">
      <c r="A1436" t="s">
        <v>177</v>
      </c>
      <c r="B1436" t="s">
        <v>11</v>
      </c>
      <c r="C1436" s="51">
        <v>139830848786</v>
      </c>
      <c r="D1436" s="1">
        <v>83789.8</v>
      </c>
      <c r="E1436" s="1">
        <v>16377848.949999999</v>
      </c>
      <c r="F1436" t="s">
        <v>1280</v>
      </c>
      <c r="I1436" s="16"/>
      <c r="J1436" s="68"/>
      <c r="K1436" s="68"/>
      <c r="L1436" s="68"/>
      <c r="M1436" s="74">
        <f t="shared" si="25"/>
        <v>83789.8</v>
      </c>
    </row>
    <row r="1437" spans="1:13">
      <c r="A1437" t="s">
        <v>177</v>
      </c>
      <c r="B1437" t="s">
        <v>11</v>
      </c>
      <c r="C1437" s="51">
        <v>139184104301</v>
      </c>
      <c r="D1437" s="1">
        <v>40811.040000000001</v>
      </c>
      <c r="E1437" s="1">
        <v>16418659.99</v>
      </c>
      <c r="F1437" t="s">
        <v>1280</v>
      </c>
      <c r="I1437" s="16"/>
      <c r="J1437" s="68"/>
      <c r="K1437" s="68"/>
      <c r="L1437" s="68"/>
      <c r="M1437" s="74">
        <f t="shared" si="25"/>
        <v>40811.040000000001</v>
      </c>
    </row>
    <row r="1438" spans="1:13">
      <c r="A1438" t="s">
        <v>177</v>
      </c>
      <c r="B1438" t="s">
        <v>11</v>
      </c>
      <c r="C1438" s="51">
        <v>139184358441</v>
      </c>
      <c r="D1438" s="1">
        <v>27280.400000000001</v>
      </c>
      <c r="E1438" s="1">
        <v>16445940.390000001</v>
      </c>
      <c r="F1438" t="s">
        <v>1280</v>
      </c>
      <c r="I1438" s="16"/>
      <c r="J1438" s="68"/>
      <c r="K1438" s="68"/>
      <c r="L1438" s="68"/>
      <c r="M1438" s="74">
        <f t="shared" si="25"/>
        <v>27280.400000000001</v>
      </c>
    </row>
    <row r="1439" spans="1:13">
      <c r="A1439" t="s">
        <v>177</v>
      </c>
      <c r="B1439" t="s">
        <v>11</v>
      </c>
      <c r="C1439" s="51">
        <v>139832577514</v>
      </c>
      <c r="D1439" s="1">
        <v>34685.08</v>
      </c>
      <c r="E1439" s="1">
        <v>16481996.07</v>
      </c>
      <c r="F1439" t="s">
        <v>1280</v>
      </c>
      <c r="I1439" s="16"/>
      <c r="J1439" s="68"/>
      <c r="K1439" s="68"/>
      <c r="L1439" s="68"/>
      <c r="M1439" s="74">
        <f t="shared" si="25"/>
        <v>34685.08</v>
      </c>
    </row>
    <row r="1440" spans="1:13">
      <c r="A1440" t="s">
        <v>177</v>
      </c>
      <c r="B1440" t="s">
        <v>11</v>
      </c>
      <c r="C1440" s="51">
        <v>139832669638</v>
      </c>
      <c r="D1440" s="1">
        <v>52159.03</v>
      </c>
      <c r="E1440" s="1">
        <v>16534155.1</v>
      </c>
      <c r="F1440" t="s">
        <v>1280</v>
      </c>
      <c r="I1440" s="16"/>
      <c r="J1440" s="68"/>
      <c r="K1440" s="68"/>
      <c r="L1440" s="68"/>
      <c r="M1440" s="74">
        <f t="shared" si="25"/>
        <v>52159.03</v>
      </c>
    </row>
    <row r="1441" spans="1:13">
      <c r="A1441" t="s">
        <v>177</v>
      </c>
      <c r="B1441" t="s">
        <v>11</v>
      </c>
      <c r="C1441" s="51">
        <v>139186007717</v>
      </c>
      <c r="D1441" s="1">
        <v>40920.6</v>
      </c>
      <c r="E1441" s="1">
        <v>16575075.699999999</v>
      </c>
      <c r="F1441" t="s">
        <v>1280</v>
      </c>
      <c r="I1441" s="16"/>
      <c r="J1441" s="68"/>
      <c r="K1441" s="68"/>
      <c r="L1441" s="68"/>
      <c r="M1441" s="74">
        <f t="shared" si="25"/>
        <v>40920.6</v>
      </c>
    </row>
    <row r="1442" spans="1:13">
      <c r="A1442" t="s">
        <v>177</v>
      </c>
      <c r="B1442" t="s">
        <v>11</v>
      </c>
      <c r="C1442" s="51">
        <v>139834422234</v>
      </c>
      <c r="D1442" s="1">
        <v>9743</v>
      </c>
      <c r="E1442" s="1">
        <v>16584818.699999999</v>
      </c>
      <c r="F1442" t="s">
        <v>1280</v>
      </c>
      <c r="I1442" s="16"/>
      <c r="J1442" s="68"/>
      <c r="K1442" s="68"/>
      <c r="L1442" s="68"/>
      <c r="M1442" s="74">
        <f t="shared" si="25"/>
        <v>9743</v>
      </c>
    </row>
    <row r="1443" spans="1:13">
      <c r="A1443" t="s">
        <v>177</v>
      </c>
      <c r="B1443" t="s">
        <v>11</v>
      </c>
      <c r="C1443" s="51">
        <v>139187061995</v>
      </c>
      <c r="D1443" s="1">
        <v>26357.13</v>
      </c>
      <c r="E1443" s="1">
        <v>16612154.83</v>
      </c>
      <c r="F1443" t="s">
        <v>1280</v>
      </c>
      <c r="I1443" s="16"/>
      <c r="J1443" s="68"/>
      <c r="K1443" s="68"/>
      <c r="L1443" s="68"/>
      <c r="M1443" s="74">
        <f t="shared" si="25"/>
        <v>26357.13</v>
      </c>
    </row>
    <row r="1444" spans="1:13">
      <c r="A1444" t="s">
        <v>177</v>
      </c>
      <c r="B1444" t="s">
        <v>11</v>
      </c>
      <c r="C1444" s="51">
        <v>139834672452</v>
      </c>
      <c r="D1444" s="1">
        <v>39264.29</v>
      </c>
      <c r="E1444" s="1">
        <v>16651419.119999999</v>
      </c>
      <c r="F1444" t="s">
        <v>1280</v>
      </c>
      <c r="I1444" s="16"/>
      <c r="J1444" s="68"/>
      <c r="K1444" s="68"/>
      <c r="L1444" s="68"/>
      <c r="M1444" s="74">
        <f t="shared" si="25"/>
        <v>39264.29</v>
      </c>
    </row>
    <row r="1445" spans="1:13">
      <c r="A1445" t="s">
        <v>188</v>
      </c>
      <c r="B1445" t="s">
        <v>11</v>
      </c>
      <c r="C1445" s="51">
        <v>139188540317</v>
      </c>
      <c r="D1445" s="1">
        <v>36828.54</v>
      </c>
      <c r="E1445" s="1">
        <v>16688247.66</v>
      </c>
      <c r="F1445" t="s">
        <v>1280</v>
      </c>
      <c r="I1445" s="16"/>
      <c r="J1445" s="68"/>
      <c r="K1445" s="68"/>
      <c r="L1445" s="68"/>
      <c r="M1445" s="74">
        <f t="shared" si="25"/>
        <v>36828.54</v>
      </c>
    </row>
    <row r="1446" spans="1:13">
      <c r="A1446" t="s">
        <v>188</v>
      </c>
      <c r="B1446" t="s">
        <v>11</v>
      </c>
      <c r="C1446" s="51">
        <v>139188415481</v>
      </c>
      <c r="D1446" s="1">
        <v>52904.49</v>
      </c>
      <c r="E1446" s="1">
        <v>16746703.08</v>
      </c>
      <c r="F1446" t="s">
        <v>1280</v>
      </c>
      <c r="I1446" s="16"/>
      <c r="J1446" s="68"/>
      <c r="K1446" s="68"/>
      <c r="L1446" s="68"/>
      <c r="M1446" s="74">
        <f t="shared" si="25"/>
        <v>52904.49</v>
      </c>
    </row>
    <row r="1447" spans="1:13">
      <c r="A1447" t="s">
        <v>188</v>
      </c>
      <c r="B1447" t="s">
        <v>11</v>
      </c>
      <c r="C1447" s="51">
        <v>139836291978</v>
      </c>
      <c r="D1447" s="1">
        <v>37218.26</v>
      </c>
      <c r="E1447" s="1">
        <v>16789237.309999999</v>
      </c>
      <c r="F1447" t="s">
        <v>1280</v>
      </c>
      <c r="I1447" s="16"/>
      <c r="J1447" s="68"/>
      <c r="K1447" s="68"/>
      <c r="L1447" s="68"/>
      <c r="M1447" s="74">
        <f t="shared" si="25"/>
        <v>37218.26</v>
      </c>
    </row>
    <row r="1448" spans="1:13">
      <c r="A1448" t="s">
        <v>188</v>
      </c>
      <c r="B1448" t="s">
        <v>11</v>
      </c>
      <c r="C1448" s="51">
        <v>139836502702</v>
      </c>
      <c r="D1448" s="1">
        <v>39751.440000000002</v>
      </c>
      <c r="E1448" s="1">
        <v>16832728.530000001</v>
      </c>
      <c r="F1448" t="s">
        <v>1280</v>
      </c>
      <c r="I1448" s="16"/>
      <c r="J1448" s="68"/>
      <c r="K1448" s="68"/>
      <c r="L1448" s="68"/>
      <c r="M1448" s="74">
        <f t="shared" ref="M1448:M1511" si="26">+D1448-I1448-J1448-K1448-L1448</f>
        <v>39751.440000000002</v>
      </c>
    </row>
    <row r="1449" spans="1:13">
      <c r="A1449" t="s">
        <v>188</v>
      </c>
      <c r="B1449" t="s">
        <v>11</v>
      </c>
      <c r="C1449" s="51">
        <v>139836675072</v>
      </c>
      <c r="D1449" s="1">
        <v>48617.57</v>
      </c>
      <c r="E1449" s="1">
        <v>16883343.260000002</v>
      </c>
      <c r="F1449" t="s">
        <v>1280</v>
      </c>
      <c r="I1449" s="16"/>
      <c r="J1449" s="68"/>
      <c r="K1449" s="68"/>
      <c r="L1449" s="68"/>
      <c r="M1449" s="74">
        <f t="shared" si="26"/>
        <v>48617.57</v>
      </c>
    </row>
    <row r="1450" spans="1:13">
      <c r="A1450" t="s">
        <v>188</v>
      </c>
      <c r="B1450" t="s">
        <v>11</v>
      </c>
      <c r="C1450" s="51">
        <v>139189628517</v>
      </c>
      <c r="D1450" s="1">
        <v>19486</v>
      </c>
      <c r="E1450" s="1">
        <v>16902829.260000002</v>
      </c>
      <c r="F1450" t="s">
        <v>1280</v>
      </c>
      <c r="I1450" s="16"/>
      <c r="J1450" s="68"/>
      <c r="K1450" s="68"/>
      <c r="L1450" s="68"/>
      <c r="M1450" s="74">
        <f t="shared" si="26"/>
        <v>19486</v>
      </c>
    </row>
    <row r="1451" spans="1:13">
      <c r="A1451" t="s">
        <v>177</v>
      </c>
      <c r="B1451" t="s">
        <v>181</v>
      </c>
      <c r="C1451" s="51">
        <v>139099300533</v>
      </c>
      <c r="D1451" s="1">
        <v>2011.84</v>
      </c>
      <c r="E1451" s="1">
        <v>15597006.800000001</v>
      </c>
      <c r="F1451" t="s">
        <v>1280</v>
      </c>
      <c r="I1451" s="16"/>
      <c r="J1451" s="68"/>
      <c r="K1451" s="68"/>
      <c r="L1451" s="68"/>
      <c r="M1451" s="74">
        <f t="shared" si="26"/>
        <v>2011.84</v>
      </c>
    </row>
    <row r="1452" spans="1:13">
      <c r="A1452" t="s">
        <v>188</v>
      </c>
      <c r="B1452" t="s">
        <v>11</v>
      </c>
      <c r="C1452" s="51">
        <v>139837986428</v>
      </c>
      <c r="D1452" s="1">
        <v>9447</v>
      </c>
      <c r="E1452" s="1">
        <v>16914234.260000002</v>
      </c>
      <c r="F1452" t="s">
        <v>1280</v>
      </c>
      <c r="I1452" s="16"/>
      <c r="J1452" s="68"/>
      <c r="K1452" s="68"/>
      <c r="L1452" s="68"/>
      <c r="M1452" s="74">
        <f t="shared" si="26"/>
        <v>9447</v>
      </c>
    </row>
    <row r="1453" spans="1:13">
      <c r="A1453" t="s">
        <v>188</v>
      </c>
      <c r="B1453" t="s">
        <v>11</v>
      </c>
      <c r="C1453" s="51">
        <v>139191028607</v>
      </c>
      <c r="D1453" s="1">
        <v>180399.73</v>
      </c>
      <c r="E1453" s="1">
        <v>17094633.989999998</v>
      </c>
      <c r="F1453" t="s">
        <v>1280</v>
      </c>
      <c r="I1453" s="16"/>
      <c r="J1453" s="68"/>
      <c r="K1453" s="68"/>
      <c r="L1453" s="68"/>
      <c r="M1453" s="74">
        <f t="shared" si="26"/>
        <v>180399.73</v>
      </c>
    </row>
    <row r="1454" spans="1:13">
      <c r="A1454" t="s">
        <v>188</v>
      </c>
      <c r="B1454" t="s">
        <v>11</v>
      </c>
      <c r="C1454" s="51">
        <v>139838247870</v>
      </c>
      <c r="D1454" s="1">
        <v>9919.35</v>
      </c>
      <c r="E1454" s="1">
        <v>17104553.34</v>
      </c>
      <c r="F1454" t="s">
        <v>1280</v>
      </c>
      <c r="I1454" s="16"/>
      <c r="J1454" s="68"/>
      <c r="K1454" s="68"/>
      <c r="L1454" s="68"/>
      <c r="M1454" s="74">
        <f t="shared" si="26"/>
        <v>9919.35</v>
      </c>
    </row>
    <row r="1455" spans="1:13">
      <c r="A1455" t="s">
        <v>188</v>
      </c>
      <c r="B1455" t="s">
        <v>11</v>
      </c>
      <c r="C1455" s="51">
        <v>139191376159</v>
      </c>
      <c r="D1455" s="1">
        <v>28644.42</v>
      </c>
      <c r="E1455" s="1">
        <v>17133197.760000002</v>
      </c>
      <c r="F1455" t="s">
        <v>1280</v>
      </c>
      <c r="I1455" s="16"/>
      <c r="J1455" s="68"/>
      <c r="K1455" s="68"/>
      <c r="L1455" s="68"/>
      <c r="M1455" s="74">
        <f t="shared" si="26"/>
        <v>28644.42</v>
      </c>
    </row>
    <row r="1456" spans="1:13">
      <c r="A1456" t="s">
        <v>188</v>
      </c>
      <c r="B1456" t="s">
        <v>11</v>
      </c>
      <c r="C1456" s="51">
        <v>139191318807</v>
      </c>
      <c r="D1456" s="1">
        <v>28627.3</v>
      </c>
      <c r="E1456" s="1">
        <v>17161825.059999999</v>
      </c>
      <c r="F1456" t="s">
        <v>1280</v>
      </c>
      <c r="I1456" s="16"/>
      <c r="J1456" s="68"/>
      <c r="K1456" s="68"/>
      <c r="L1456" s="68"/>
      <c r="M1456" s="74">
        <f t="shared" si="26"/>
        <v>28627.3</v>
      </c>
    </row>
    <row r="1457" spans="1:13">
      <c r="A1457" t="s">
        <v>188</v>
      </c>
      <c r="B1457" t="s">
        <v>11</v>
      </c>
      <c r="C1457" s="51">
        <v>139191239891</v>
      </c>
      <c r="D1457" s="1">
        <v>15588.8</v>
      </c>
      <c r="E1457" s="1">
        <v>17177413.859999999</v>
      </c>
      <c r="F1457" t="s">
        <v>1280</v>
      </c>
      <c r="I1457" s="16"/>
      <c r="J1457" s="68"/>
      <c r="K1457" s="68"/>
      <c r="L1457" s="68"/>
      <c r="M1457" s="74">
        <f t="shared" si="26"/>
        <v>15588.8</v>
      </c>
    </row>
    <row r="1458" spans="1:13">
      <c r="A1458" t="s">
        <v>177</v>
      </c>
      <c r="B1458" t="s">
        <v>157</v>
      </c>
      <c r="C1458" s="51">
        <v>139747543928</v>
      </c>
      <c r="D1458" s="1">
        <v>3034.9</v>
      </c>
      <c r="E1458" s="1">
        <v>15912229.609999999</v>
      </c>
      <c r="F1458" t="s">
        <v>1280</v>
      </c>
      <c r="I1458" s="16"/>
      <c r="J1458" s="68"/>
      <c r="K1458" s="68"/>
      <c r="L1458" s="68"/>
      <c r="M1458" s="74">
        <f t="shared" si="26"/>
        <v>3034.9</v>
      </c>
    </row>
    <row r="1459" spans="1:13">
      <c r="A1459" t="s">
        <v>194</v>
      </c>
      <c r="B1459" t="s">
        <v>11</v>
      </c>
      <c r="C1459" s="51">
        <v>139441467593</v>
      </c>
      <c r="D1459" s="1">
        <v>27585.24</v>
      </c>
      <c r="E1459" s="1">
        <v>10244159.1</v>
      </c>
      <c r="F1459" t="s">
        <v>1280</v>
      </c>
      <c r="I1459" s="16"/>
      <c r="J1459" s="68"/>
      <c r="K1459" s="68"/>
      <c r="L1459" s="68"/>
      <c r="M1459" s="74">
        <f t="shared" si="26"/>
        <v>27585.24</v>
      </c>
    </row>
    <row r="1460" spans="1:13">
      <c r="A1460" t="s">
        <v>194</v>
      </c>
      <c r="B1460" t="s">
        <v>11</v>
      </c>
      <c r="C1460" s="51">
        <v>139447802567</v>
      </c>
      <c r="D1460" s="1">
        <v>14614.5</v>
      </c>
      <c r="E1460" s="1">
        <v>10258773.6</v>
      </c>
      <c r="F1460" t="s">
        <v>1280</v>
      </c>
      <c r="I1460" s="16"/>
      <c r="J1460" s="68"/>
      <c r="K1460" s="68"/>
      <c r="L1460" s="68"/>
      <c r="M1460" s="74">
        <f t="shared" si="26"/>
        <v>14614.5</v>
      </c>
    </row>
    <row r="1461" spans="1:13">
      <c r="A1461" t="s">
        <v>194</v>
      </c>
      <c r="B1461" t="s">
        <v>11</v>
      </c>
      <c r="C1461" s="51">
        <v>140096941494</v>
      </c>
      <c r="D1461" s="1">
        <v>37410.120000000003</v>
      </c>
      <c r="E1461" s="1">
        <v>10296183.720000001</v>
      </c>
      <c r="F1461" t="s">
        <v>1280</v>
      </c>
      <c r="I1461" s="16"/>
      <c r="J1461" s="68"/>
      <c r="K1461" s="68"/>
      <c r="L1461" s="68"/>
      <c r="M1461" s="74">
        <f t="shared" si="26"/>
        <v>37410.120000000003</v>
      </c>
    </row>
    <row r="1462" spans="1:13">
      <c r="A1462" t="s">
        <v>194</v>
      </c>
      <c r="B1462" t="s">
        <v>11</v>
      </c>
      <c r="C1462" s="51">
        <v>139450291447</v>
      </c>
      <c r="D1462" s="1">
        <v>9743</v>
      </c>
      <c r="E1462" s="1">
        <v>10305926.720000001</v>
      </c>
      <c r="F1462" t="s">
        <v>1280</v>
      </c>
      <c r="I1462" s="16"/>
      <c r="J1462" s="68"/>
      <c r="K1462" s="68"/>
      <c r="L1462" s="68"/>
      <c r="M1462" s="74">
        <f t="shared" si="26"/>
        <v>9743</v>
      </c>
    </row>
    <row r="1463" spans="1:13">
      <c r="A1463" t="s">
        <v>194</v>
      </c>
      <c r="B1463" t="s">
        <v>11</v>
      </c>
      <c r="C1463" s="51">
        <v>140102435218</v>
      </c>
      <c r="D1463" s="1">
        <v>18516.12</v>
      </c>
      <c r="E1463" s="1">
        <v>10324442.84</v>
      </c>
      <c r="F1463" t="s">
        <v>1280</v>
      </c>
      <c r="I1463" s="16"/>
      <c r="J1463" s="68"/>
      <c r="K1463" s="68"/>
      <c r="L1463" s="68"/>
      <c r="M1463" s="74">
        <f t="shared" si="26"/>
        <v>18516.12</v>
      </c>
    </row>
    <row r="1464" spans="1:13">
      <c r="A1464" t="s">
        <v>194</v>
      </c>
      <c r="B1464" t="s">
        <v>11</v>
      </c>
      <c r="C1464" s="51">
        <v>140105601398</v>
      </c>
      <c r="D1464" s="1">
        <v>35074.800000000003</v>
      </c>
      <c r="E1464" s="1">
        <v>10359517.640000001</v>
      </c>
      <c r="F1464" t="s">
        <v>1280</v>
      </c>
      <c r="I1464" s="16"/>
      <c r="J1464" s="68"/>
      <c r="K1464" s="68"/>
      <c r="L1464" s="68"/>
      <c r="M1464" s="74">
        <f t="shared" si="26"/>
        <v>35074.800000000003</v>
      </c>
    </row>
    <row r="1465" spans="1:13">
      <c r="A1465" t="s">
        <v>177</v>
      </c>
      <c r="B1465" t="s">
        <v>183</v>
      </c>
      <c r="C1465" s="51">
        <v>139819986828</v>
      </c>
      <c r="D1465" s="1">
        <v>1899.26</v>
      </c>
      <c r="E1465" s="1">
        <v>15881492.82</v>
      </c>
      <c r="F1465" t="s">
        <v>1280</v>
      </c>
      <c r="I1465" s="16"/>
      <c r="J1465" s="68"/>
      <c r="K1465" s="68"/>
      <c r="L1465" s="68"/>
      <c r="M1465" s="74">
        <f t="shared" si="26"/>
        <v>1899.26</v>
      </c>
    </row>
    <row r="1466" spans="1:13">
      <c r="A1466" t="s">
        <v>194</v>
      </c>
      <c r="B1466" t="s">
        <v>11</v>
      </c>
      <c r="C1466" s="51">
        <v>139459696295</v>
      </c>
      <c r="D1466" s="1">
        <v>19271.88</v>
      </c>
      <c r="E1466" s="1">
        <v>10378789.52</v>
      </c>
      <c r="F1466" t="s">
        <v>1280</v>
      </c>
      <c r="I1466" s="16"/>
      <c r="J1466" s="68"/>
      <c r="K1466" s="68"/>
      <c r="L1466" s="68"/>
      <c r="M1466" s="74">
        <f t="shared" si="26"/>
        <v>19271.88</v>
      </c>
    </row>
    <row r="1467" spans="1:13">
      <c r="A1467" t="s">
        <v>194</v>
      </c>
      <c r="B1467" t="s">
        <v>11</v>
      </c>
      <c r="C1467" s="51">
        <v>139460219937</v>
      </c>
      <c r="D1467" s="1">
        <v>4871.5</v>
      </c>
      <c r="E1467" s="1">
        <v>10383661.02</v>
      </c>
      <c r="F1467" t="s">
        <v>1280</v>
      </c>
      <c r="I1467" s="16"/>
      <c r="J1467" s="68"/>
      <c r="K1467" s="68"/>
      <c r="L1467" s="68"/>
      <c r="M1467" s="74">
        <f t="shared" si="26"/>
        <v>4871.5</v>
      </c>
    </row>
    <row r="1468" spans="1:13">
      <c r="A1468" t="s">
        <v>177</v>
      </c>
      <c r="B1468" t="s">
        <v>184</v>
      </c>
      <c r="C1468" s="51">
        <v>139173662641</v>
      </c>
      <c r="D1468" s="1">
        <v>1311.86</v>
      </c>
      <c r="E1468" s="1">
        <v>15913864.539999999</v>
      </c>
      <c r="F1468" t="s">
        <v>1280</v>
      </c>
      <c r="I1468" s="16"/>
      <c r="J1468" s="68"/>
      <c r="K1468" s="68"/>
      <c r="L1468" s="68"/>
      <c r="M1468" s="74">
        <f t="shared" si="26"/>
        <v>1311.86</v>
      </c>
    </row>
    <row r="1469" spans="1:13">
      <c r="A1469" t="s">
        <v>194</v>
      </c>
      <c r="B1469" t="s">
        <v>11</v>
      </c>
      <c r="C1469" s="51">
        <v>140108556622</v>
      </c>
      <c r="D1469" s="1">
        <v>5845.8</v>
      </c>
      <c r="E1469" s="1">
        <v>10389506.82</v>
      </c>
      <c r="F1469" t="s">
        <v>1280</v>
      </c>
      <c r="I1469" s="16"/>
      <c r="J1469" s="68"/>
      <c r="K1469" s="68"/>
      <c r="L1469" s="68"/>
      <c r="M1469" s="74">
        <f t="shared" si="26"/>
        <v>5845.8</v>
      </c>
    </row>
    <row r="1470" spans="1:13">
      <c r="A1470" t="s">
        <v>194</v>
      </c>
      <c r="B1470" t="s">
        <v>11</v>
      </c>
      <c r="C1470" s="51">
        <v>140110342078</v>
      </c>
      <c r="D1470" s="1">
        <v>19193.71</v>
      </c>
      <c r="E1470" s="1">
        <v>10408700.529999999</v>
      </c>
      <c r="F1470" t="s">
        <v>1280</v>
      </c>
      <c r="I1470" s="16"/>
      <c r="J1470" s="68"/>
      <c r="K1470" s="68"/>
      <c r="L1470" s="68"/>
      <c r="M1470" s="74">
        <f t="shared" si="26"/>
        <v>19193.71</v>
      </c>
    </row>
    <row r="1471" spans="1:13">
      <c r="A1471" t="s">
        <v>194</v>
      </c>
      <c r="B1471" t="s">
        <v>11</v>
      </c>
      <c r="C1471" s="51">
        <v>140111554838</v>
      </c>
      <c r="D1471" s="1">
        <v>16270.81</v>
      </c>
      <c r="E1471" s="1">
        <v>10424971.34</v>
      </c>
      <c r="F1471" t="s">
        <v>1280</v>
      </c>
      <c r="I1471" s="16"/>
      <c r="J1471" s="68"/>
      <c r="K1471" s="68"/>
      <c r="L1471" s="68"/>
      <c r="M1471" s="74">
        <f t="shared" si="26"/>
        <v>16270.81</v>
      </c>
    </row>
    <row r="1472" spans="1:13">
      <c r="A1472" t="s">
        <v>194</v>
      </c>
      <c r="B1472" t="s">
        <v>11</v>
      </c>
      <c r="C1472" s="51">
        <v>139464638853</v>
      </c>
      <c r="D1472" s="1">
        <v>16705.36</v>
      </c>
      <c r="E1472" s="1">
        <v>10444129.09</v>
      </c>
      <c r="F1472" t="s">
        <v>1280</v>
      </c>
      <c r="I1472" s="16"/>
      <c r="J1472" s="68"/>
      <c r="K1472" s="68"/>
      <c r="L1472" s="68"/>
      <c r="M1472" s="74">
        <f t="shared" si="26"/>
        <v>16705.36</v>
      </c>
    </row>
    <row r="1473" spans="1:13">
      <c r="A1473" t="s">
        <v>194</v>
      </c>
      <c r="B1473" t="s">
        <v>11</v>
      </c>
      <c r="C1473" s="51">
        <v>139465107537</v>
      </c>
      <c r="D1473" s="1">
        <v>9743</v>
      </c>
      <c r="E1473" s="1">
        <v>10453872.09</v>
      </c>
      <c r="F1473" t="s">
        <v>1280</v>
      </c>
      <c r="I1473" s="16"/>
      <c r="J1473" s="68"/>
      <c r="K1473" s="68"/>
      <c r="L1473" s="68"/>
      <c r="M1473" s="74">
        <f t="shared" si="26"/>
        <v>9743</v>
      </c>
    </row>
    <row r="1474" spans="1:13">
      <c r="A1474" t="s">
        <v>194</v>
      </c>
      <c r="B1474" t="s">
        <v>11</v>
      </c>
      <c r="C1474" s="51">
        <v>140113726872</v>
      </c>
      <c r="D1474" s="1">
        <v>9743</v>
      </c>
      <c r="E1474" s="1">
        <v>10463615.09</v>
      </c>
      <c r="F1474" t="s">
        <v>1280</v>
      </c>
      <c r="I1474" s="16"/>
      <c r="J1474" s="68"/>
      <c r="K1474" s="68"/>
      <c r="L1474" s="68"/>
      <c r="M1474" s="74">
        <f t="shared" si="26"/>
        <v>9743</v>
      </c>
    </row>
    <row r="1475" spans="1:13">
      <c r="A1475" t="s">
        <v>194</v>
      </c>
      <c r="B1475" t="s">
        <v>11</v>
      </c>
      <c r="C1475" s="51">
        <v>139466162181</v>
      </c>
      <c r="D1475" s="1">
        <v>19486</v>
      </c>
      <c r="E1475" s="1">
        <v>10483590.59</v>
      </c>
      <c r="F1475" t="s">
        <v>1280</v>
      </c>
      <c r="I1475" s="16"/>
      <c r="J1475" s="68"/>
      <c r="K1475" s="68"/>
      <c r="L1475" s="68"/>
      <c r="M1475" s="74">
        <f t="shared" si="26"/>
        <v>19486</v>
      </c>
    </row>
    <row r="1476" spans="1:13">
      <c r="A1476" t="s">
        <v>194</v>
      </c>
      <c r="B1476" t="s">
        <v>11</v>
      </c>
      <c r="C1476" s="51">
        <v>140115445908</v>
      </c>
      <c r="D1476" s="1">
        <v>10644.7</v>
      </c>
      <c r="E1476" s="1">
        <v>10495214.289999999</v>
      </c>
      <c r="F1476" t="s">
        <v>1280</v>
      </c>
      <c r="I1476" s="16"/>
      <c r="J1476" s="68"/>
      <c r="K1476" s="68"/>
      <c r="L1476" s="68"/>
      <c r="M1476" s="74">
        <f t="shared" si="26"/>
        <v>10644.7</v>
      </c>
    </row>
    <row r="1477" spans="1:13">
      <c r="A1477" t="s">
        <v>194</v>
      </c>
      <c r="B1477" t="s">
        <v>11</v>
      </c>
      <c r="C1477" s="51">
        <v>140115663656</v>
      </c>
      <c r="D1477" s="1">
        <v>9447</v>
      </c>
      <c r="E1477" s="1">
        <v>10504661.289999999</v>
      </c>
      <c r="F1477" t="s">
        <v>1280</v>
      </c>
      <c r="I1477" s="16"/>
      <c r="J1477" s="68"/>
      <c r="K1477" s="68"/>
      <c r="L1477" s="68"/>
      <c r="M1477" s="74">
        <f t="shared" si="26"/>
        <v>9447</v>
      </c>
    </row>
    <row r="1478" spans="1:13">
      <c r="A1478" t="s">
        <v>194</v>
      </c>
      <c r="B1478" t="s">
        <v>11</v>
      </c>
      <c r="C1478" s="51">
        <v>140116601668</v>
      </c>
      <c r="D1478" s="1">
        <v>18396.560000000001</v>
      </c>
      <c r="E1478" s="1">
        <v>10523057.85</v>
      </c>
      <c r="F1478" t="s">
        <v>1280</v>
      </c>
      <c r="I1478" s="16"/>
      <c r="J1478" s="68"/>
      <c r="K1478" s="68"/>
      <c r="L1478" s="68"/>
      <c r="M1478" s="74">
        <f t="shared" si="26"/>
        <v>18396.560000000001</v>
      </c>
    </row>
    <row r="1479" spans="1:13">
      <c r="A1479" t="s">
        <v>194</v>
      </c>
      <c r="B1479" t="s">
        <v>11</v>
      </c>
      <c r="C1479" s="51">
        <v>140116779156</v>
      </c>
      <c r="D1479" s="1">
        <v>9353.2800000000007</v>
      </c>
      <c r="E1479" s="1">
        <v>10532411.130000001</v>
      </c>
      <c r="F1479" t="s">
        <v>1280</v>
      </c>
      <c r="I1479" s="16"/>
      <c r="J1479" s="68"/>
      <c r="K1479" s="68"/>
      <c r="L1479" s="68"/>
      <c r="M1479" s="74">
        <f t="shared" si="26"/>
        <v>9353.2800000000007</v>
      </c>
    </row>
    <row r="1480" spans="1:13">
      <c r="A1480" t="s">
        <v>194</v>
      </c>
      <c r="B1480" t="s">
        <v>11</v>
      </c>
      <c r="C1480" s="51">
        <v>140117650322</v>
      </c>
      <c r="D1480" s="1">
        <v>12096.25</v>
      </c>
      <c r="E1480" s="1">
        <v>10544507.380000001</v>
      </c>
      <c r="F1480" t="s">
        <v>1280</v>
      </c>
      <c r="I1480" s="16"/>
      <c r="J1480" s="68"/>
      <c r="K1480" s="68"/>
      <c r="L1480" s="68"/>
      <c r="M1480" s="74">
        <f t="shared" si="26"/>
        <v>12096.25</v>
      </c>
    </row>
    <row r="1481" spans="1:13">
      <c r="A1481" t="s">
        <v>194</v>
      </c>
      <c r="B1481" t="s">
        <v>11</v>
      </c>
      <c r="C1481" s="51">
        <v>139469521293</v>
      </c>
      <c r="D1481" s="1">
        <v>42089.760000000002</v>
      </c>
      <c r="E1481" s="1">
        <v>10586597.140000001</v>
      </c>
      <c r="F1481" t="s">
        <v>1280</v>
      </c>
      <c r="I1481" s="16"/>
      <c r="J1481" s="68"/>
      <c r="K1481" s="68"/>
      <c r="L1481" s="68"/>
      <c r="M1481" s="74">
        <f t="shared" si="26"/>
        <v>42089.760000000002</v>
      </c>
    </row>
    <row r="1482" spans="1:13">
      <c r="A1482" t="s">
        <v>194</v>
      </c>
      <c r="B1482" t="s">
        <v>11</v>
      </c>
      <c r="C1482" s="51">
        <v>139472364079</v>
      </c>
      <c r="D1482" s="1">
        <v>9447</v>
      </c>
      <c r="E1482" s="1">
        <v>10596044.140000001</v>
      </c>
      <c r="F1482" t="s">
        <v>1280</v>
      </c>
      <c r="I1482" s="16"/>
      <c r="J1482" s="68"/>
      <c r="K1482" s="68"/>
      <c r="L1482" s="68"/>
      <c r="M1482" s="74">
        <f t="shared" si="26"/>
        <v>9447</v>
      </c>
    </row>
    <row r="1483" spans="1:13">
      <c r="A1483" t="s">
        <v>194</v>
      </c>
      <c r="B1483" t="s">
        <v>11</v>
      </c>
      <c r="C1483" s="51">
        <v>139472867537</v>
      </c>
      <c r="D1483" s="1">
        <v>28254.7</v>
      </c>
      <c r="E1483" s="1">
        <v>10624298.84</v>
      </c>
      <c r="F1483" t="s">
        <v>1280</v>
      </c>
      <c r="I1483" s="16"/>
      <c r="J1483" s="68"/>
      <c r="K1483" s="68"/>
      <c r="L1483" s="68"/>
      <c r="M1483" s="74">
        <f t="shared" si="26"/>
        <v>28254.7</v>
      </c>
    </row>
    <row r="1484" spans="1:13">
      <c r="A1484" t="s">
        <v>177</v>
      </c>
      <c r="B1484" t="s">
        <v>185</v>
      </c>
      <c r="C1484" s="51">
        <v>139830676398</v>
      </c>
      <c r="D1484" s="1">
        <v>1189.48</v>
      </c>
      <c r="E1484" s="1">
        <v>16294059.15</v>
      </c>
      <c r="F1484" t="s">
        <v>1280</v>
      </c>
      <c r="I1484" s="16"/>
      <c r="J1484" s="68"/>
      <c r="K1484" s="68"/>
      <c r="L1484" s="68"/>
      <c r="M1484" s="74">
        <f t="shared" si="26"/>
        <v>1189.48</v>
      </c>
    </row>
    <row r="1485" spans="1:13">
      <c r="A1485" t="s">
        <v>194</v>
      </c>
      <c r="B1485" t="s">
        <v>11</v>
      </c>
      <c r="C1485" s="51">
        <v>139473304409</v>
      </c>
      <c r="D1485" s="1">
        <v>7085.25</v>
      </c>
      <c r="E1485" s="1">
        <v>10631384.09</v>
      </c>
      <c r="F1485" t="s">
        <v>1280</v>
      </c>
      <c r="I1485" s="16"/>
      <c r="J1485" s="68"/>
      <c r="K1485" s="68"/>
      <c r="L1485" s="68"/>
      <c r="M1485" s="74">
        <f t="shared" si="26"/>
        <v>7085.25</v>
      </c>
    </row>
    <row r="1486" spans="1:13">
      <c r="A1486" t="s">
        <v>194</v>
      </c>
      <c r="B1486" t="s">
        <v>11</v>
      </c>
      <c r="C1486" s="51">
        <v>140122127434</v>
      </c>
      <c r="D1486" s="1">
        <v>4723.5</v>
      </c>
      <c r="E1486" s="1">
        <v>10636107.59</v>
      </c>
      <c r="F1486" t="s">
        <v>1280</v>
      </c>
      <c r="I1486" s="16"/>
      <c r="J1486" s="68"/>
      <c r="K1486" s="68"/>
      <c r="L1486" s="68"/>
      <c r="M1486" s="74">
        <f t="shared" si="26"/>
        <v>4723.5</v>
      </c>
    </row>
    <row r="1487" spans="1:13">
      <c r="A1487" t="s">
        <v>194</v>
      </c>
      <c r="B1487" t="s">
        <v>11</v>
      </c>
      <c r="C1487" s="51">
        <v>139474299533</v>
      </c>
      <c r="D1487" s="1">
        <v>4723.5</v>
      </c>
      <c r="E1487" s="1">
        <v>10640831.09</v>
      </c>
      <c r="F1487" t="s">
        <v>1280</v>
      </c>
      <c r="I1487" s="16"/>
      <c r="J1487" s="68"/>
      <c r="K1487" s="68"/>
      <c r="L1487" s="68"/>
      <c r="M1487" s="74">
        <f t="shared" si="26"/>
        <v>4723.5</v>
      </c>
    </row>
    <row r="1488" spans="1:13">
      <c r="A1488" t="s">
        <v>177</v>
      </c>
      <c r="B1488" t="s">
        <v>186</v>
      </c>
      <c r="C1488" s="51">
        <v>139184362387</v>
      </c>
      <c r="D1488" s="1">
        <v>1370.6</v>
      </c>
      <c r="E1488" s="1">
        <v>16447310.99</v>
      </c>
      <c r="F1488" t="s">
        <v>1280</v>
      </c>
      <c r="I1488" s="16"/>
      <c r="J1488" s="68"/>
      <c r="K1488" s="68"/>
      <c r="L1488" s="68"/>
      <c r="M1488" s="74">
        <f t="shared" si="26"/>
        <v>1370.6</v>
      </c>
    </row>
    <row r="1489" spans="1:13">
      <c r="A1489" t="s">
        <v>194</v>
      </c>
      <c r="B1489" t="s">
        <v>11</v>
      </c>
      <c r="C1489" s="51">
        <v>139474831259</v>
      </c>
      <c r="D1489" s="1">
        <v>9743</v>
      </c>
      <c r="E1489" s="1">
        <v>10650574.09</v>
      </c>
      <c r="F1489" t="s">
        <v>1280</v>
      </c>
      <c r="I1489" s="16"/>
      <c r="J1489" s="68"/>
      <c r="K1489" s="68"/>
      <c r="L1489" s="68"/>
      <c r="M1489" s="74">
        <f t="shared" si="26"/>
        <v>9743</v>
      </c>
    </row>
    <row r="1490" spans="1:13">
      <c r="A1490" t="s">
        <v>194</v>
      </c>
      <c r="B1490" t="s">
        <v>11</v>
      </c>
      <c r="C1490" s="51">
        <v>139474889257</v>
      </c>
      <c r="D1490" s="1">
        <v>27280.400000000001</v>
      </c>
      <c r="E1490" s="1">
        <v>10677854.49</v>
      </c>
      <c r="F1490" t="s">
        <v>1280</v>
      </c>
      <c r="I1490" s="16"/>
      <c r="J1490" s="68"/>
      <c r="K1490" s="68"/>
      <c r="L1490" s="68"/>
      <c r="M1490" s="74">
        <f t="shared" si="26"/>
        <v>27280.400000000001</v>
      </c>
    </row>
    <row r="1491" spans="1:13">
      <c r="A1491" t="s">
        <v>194</v>
      </c>
      <c r="B1491" t="s">
        <v>11</v>
      </c>
      <c r="C1491" s="51">
        <v>139475371877</v>
      </c>
      <c r="D1491" s="1">
        <v>7307.25</v>
      </c>
      <c r="E1491" s="1">
        <v>10685161.74</v>
      </c>
      <c r="F1491" t="s">
        <v>1280</v>
      </c>
      <c r="I1491" s="16"/>
      <c r="J1491" s="68"/>
      <c r="K1491" s="68"/>
      <c r="L1491" s="68"/>
      <c r="M1491" s="74">
        <f t="shared" si="26"/>
        <v>7307.25</v>
      </c>
    </row>
    <row r="1492" spans="1:13">
      <c r="A1492" t="s">
        <v>194</v>
      </c>
      <c r="B1492" t="s">
        <v>11</v>
      </c>
      <c r="C1492" s="51">
        <v>139476022875</v>
      </c>
      <c r="D1492" s="1">
        <v>4676.6400000000003</v>
      </c>
      <c r="E1492" s="1">
        <v>10689838.380000001</v>
      </c>
      <c r="F1492" t="s">
        <v>1280</v>
      </c>
      <c r="I1492" s="16"/>
      <c r="J1492" s="68"/>
      <c r="K1492" s="68"/>
      <c r="L1492" s="68"/>
      <c r="M1492" s="74">
        <f t="shared" si="26"/>
        <v>4676.6400000000003</v>
      </c>
    </row>
    <row r="1493" spans="1:13">
      <c r="A1493" t="s">
        <v>177</v>
      </c>
      <c r="B1493" t="s">
        <v>187</v>
      </c>
      <c r="C1493" s="51">
        <v>139187005321</v>
      </c>
      <c r="D1493">
        <v>979</v>
      </c>
      <c r="E1493" s="1">
        <v>16585797.699999999</v>
      </c>
      <c r="F1493" t="s">
        <v>1280</v>
      </c>
      <c r="I1493" s="16"/>
      <c r="J1493" s="68"/>
      <c r="K1493" s="68"/>
      <c r="L1493" s="68"/>
      <c r="M1493" s="74">
        <f t="shared" si="26"/>
        <v>979</v>
      </c>
    </row>
    <row r="1494" spans="1:13">
      <c r="A1494" t="s">
        <v>194</v>
      </c>
      <c r="B1494" t="s">
        <v>11</v>
      </c>
      <c r="C1494" s="51">
        <v>139476163297</v>
      </c>
      <c r="D1494" s="1">
        <v>18386.3</v>
      </c>
      <c r="E1494" s="1">
        <v>10708459.640000001</v>
      </c>
      <c r="F1494" t="s">
        <v>1280</v>
      </c>
      <c r="I1494" s="16"/>
      <c r="J1494" s="68"/>
      <c r="K1494" s="68"/>
      <c r="L1494" s="68"/>
      <c r="M1494" s="74">
        <f t="shared" si="26"/>
        <v>18386.3</v>
      </c>
    </row>
    <row r="1495" spans="1:13">
      <c r="A1495" t="s">
        <v>194</v>
      </c>
      <c r="B1495" t="s">
        <v>11</v>
      </c>
      <c r="C1495" s="51">
        <v>139476380341</v>
      </c>
      <c r="D1495" s="1">
        <v>14614.5</v>
      </c>
      <c r="E1495" s="1">
        <v>10723074.140000001</v>
      </c>
      <c r="F1495" t="s">
        <v>1280</v>
      </c>
      <c r="I1495" s="16"/>
      <c r="J1495" s="68"/>
      <c r="K1495" s="68"/>
      <c r="L1495" s="68"/>
      <c r="M1495" s="74">
        <f t="shared" si="26"/>
        <v>14614.5</v>
      </c>
    </row>
    <row r="1496" spans="1:13">
      <c r="A1496" t="s">
        <v>194</v>
      </c>
      <c r="B1496" t="s">
        <v>11</v>
      </c>
      <c r="C1496" s="51">
        <v>139476781595</v>
      </c>
      <c r="D1496" s="1">
        <v>9743</v>
      </c>
      <c r="E1496" s="1">
        <v>10732817.140000001</v>
      </c>
      <c r="F1496" t="s">
        <v>1280</v>
      </c>
      <c r="I1496" s="16"/>
      <c r="J1496" s="68"/>
      <c r="K1496" s="68"/>
      <c r="L1496" s="68"/>
      <c r="M1496" s="74">
        <f t="shared" si="26"/>
        <v>9743</v>
      </c>
    </row>
    <row r="1497" spans="1:13">
      <c r="A1497" t="s">
        <v>188</v>
      </c>
      <c r="B1497" t="s">
        <v>189</v>
      </c>
      <c r="C1497" s="51">
        <v>139188337731</v>
      </c>
      <c r="D1497" s="1">
        <v>5550.93</v>
      </c>
      <c r="E1497" s="1">
        <v>16693798.59</v>
      </c>
      <c r="F1497" t="s">
        <v>1280</v>
      </c>
      <c r="I1497" s="16"/>
      <c r="J1497" s="68"/>
      <c r="K1497" s="68"/>
      <c r="L1497" s="68"/>
      <c r="M1497" s="74">
        <f t="shared" si="26"/>
        <v>5550.93</v>
      </c>
    </row>
    <row r="1498" spans="1:13">
      <c r="A1498" t="s">
        <v>194</v>
      </c>
      <c r="B1498" t="s">
        <v>11</v>
      </c>
      <c r="C1498" s="51">
        <v>140124952752</v>
      </c>
      <c r="D1498" s="1">
        <v>31080.17</v>
      </c>
      <c r="E1498" s="1">
        <v>10764386.810000001</v>
      </c>
      <c r="F1498" t="s">
        <v>1280</v>
      </c>
      <c r="I1498" s="16"/>
      <c r="J1498" s="68"/>
      <c r="K1498" s="68"/>
      <c r="L1498" s="68"/>
      <c r="M1498" s="74">
        <f t="shared" si="26"/>
        <v>31080.17</v>
      </c>
    </row>
    <row r="1499" spans="1:13">
      <c r="A1499" t="s">
        <v>188</v>
      </c>
      <c r="B1499" t="s">
        <v>190</v>
      </c>
      <c r="C1499" s="51">
        <v>139835864462</v>
      </c>
      <c r="D1499" s="1">
        <v>5315.97</v>
      </c>
      <c r="E1499" s="1">
        <v>16752019.050000001</v>
      </c>
      <c r="F1499" t="s">
        <v>1280</v>
      </c>
      <c r="I1499" s="16"/>
      <c r="J1499" s="68"/>
      <c r="K1499" s="68"/>
      <c r="L1499" s="68"/>
      <c r="M1499" s="74">
        <f t="shared" si="26"/>
        <v>5315.97</v>
      </c>
    </row>
    <row r="1500" spans="1:13">
      <c r="A1500" t="s">
        <v>194</v>
      </c>
      <c r="B1500" t="s">
        <v>11</v>
      </c>
      <c r="C1500" s="51">
        <v>140125689836</v>
      </c>
      <c r="D1500" s="1">
        <v>7557.6</v>
      </c>
      <c r="E1500" s="1">
        <v>10775067.42</v>
      </c>
      <c r="F1500" t="s">
        <v>1280</v>
      </c>
      <c r="I1500" s="16"/>
      <c r="J1500" s="68"/>
      <c r="K1500" s="68"/>
      <c r="L1500" s="68"/>
      <c r="M1500" s="74">
        <f t="shared" si="26"/>
        <v>7557.6</v>
      </c>
    </row>
    <row r="1501" spans="1:13">
      <c r="A1501" t="s">
        <v>188</v>
      </c>
      <c r="B1501" t="s">
        <v>191</v>
      </c>
      <c r="C1501" s="51">
        <v>139836327732</v>
      </c>
      <c r="D1501" s="1">
        <v>3739.78</v>
      </c>
      <c r="E1501" s="1">
        <v>16792977.09</v>
      </c>
      <c r="F1501" t="s">
        <v>1280</v>
      </c>
      <c r="I1501" s="16"/>
      <c r="J1501" s="68"/>
      <c r="K1501" s="68"/>
      <c r="L1501" s="68"/>
      <c r="M1501" s="74">
        <f t="shared" si="26"/>
        <v>3739.78</v>
      </c>
    </row>
    <row r="1502" spans="1:13">
      <c r="A1502" t="s">
        <v>194</v>
      </c>
      <c r="B1502" t="s">
        <v>11</v>
      </c>
      <c r="C1502" s="51">
        <v>139478121971</v>
      </c>
      <c r="D1502" s="1">
        <v>7112.39</v>
      </c>
      <c r="E1502" s="1">
        <v>10782179.810000001</v>
      </c>
      <c r="F1502" t="s">
        <v>1280</v>
      </c>
      <c r="I1502" s="16"/>
      <c r="J1502" s="68"/>
      <c r="K1502" s="68"/>
      <c r="L1502" s="68"/>
      <c r="M1502" s="74">
        <f t="shared" si="26"/>
        <v>7112.39</v>
      </c>
    </row>
    <row r="1503" spans="1:13">
      <c r="A1503" t="s">
        <v>188</v>
      </c>
      <c r="B1503" t="s">
        <v>192</v>
      </c>
      <c r="C1503" s="51">
        <v>139836544342</v>
      </c>
      <c r="D1503" s="1">
        <v>1997.16</v>
      </c>
      <c r="E1503" s="1">
        <v>16834725.690000001</v>
      </c>
      <c r="F1503" t="s">
        <v>1280</v>
      </c>
      <c r="I1503" s="16"/>
      <c r="J1503" s="68"/>
      <c r="K1503" s="68"/>
      <c r="L1503" s="68"/>
      <c r="M1503" s="74">
        <f t="shared" si="26"/>
        <v>1997.16</v>
      </c>
    </row>
    <row r="1504" spans="1:13">
      <c r="A1504" t="s">
        <v>194</v>
      </c>
      <c r="B1504" t="s">
        <v>11</v>
      </c>
      <c r="C1504" s="51">
        <v>140126690492</v>
      </c>
      <c r="D1504" s="1">
        <v>7307.25</v>
      </c>
      <c r="E1504" s="1">
        <v>10789487.060000001</v>
      </c>
      <c r="F1504" t="s">
        <v>1280</v>
      </c>
      <c r="I1504" s="16"/>
      <c r="J1504" s="68"/>
      <c r="K1504" s="68"/>
      <c r="L1504" s="68"/>
      <c r="M1504" s="74">
        <f t="shared" si="26"/>
        <v>7307.25</v>
      </c>
    </row>
    <row r="1505" spans="1:13">
      <c r="A1505" t="s">
        <v>194</v>
      </c>
      <c r="B1505" t="s">
        <v>11</v>
      </c>
      <c r="C1505" s="51">
        <v>139478863041</v>
      </c>
      <c r="D1505" s="1">
        <v>46863.83</v>
      </c>
      <c r="E1505" s="1">
        <v>10836718.01</v>
      </c>
      <c r="F1505" t="s">
        <v>1280</v>
      </c>
      <c r="I1505" s="16"/>
      <c r="J1505" s="68"/>
      <c r="K1505" s="68"/>
      <c r="L1505" s="68"/>
      <c r="M1505" s="74">
        <f t="shared" si="26"/>
        <v>46863.83</v>
      </c>
    </row>
    <row r="1506" spans="1:13">
      <c r="A1506" t="s">
        <v>188</v>
      </c>
      <c r="B1506" t="s">
        <v>193</v>
      </c>
      <c r="C1506" s="51">
        <v>139836791360</v>
      </c>
      <c r="D1506" s="1">
        <v>1958</v>
      </c>
      <c r="E1506" s="1">
        <v>16904787.260000002</v>
      </c>
      <c r="F1506" t="s">
        <v>1280</v>
      </c>
      <c r="I1506" s="16"/>
      <c r="J1506" s="68"/>
      <c r="K1506" s="68"/>
      <c r="L1506" s="68"/>
      <c r="M1506" s="74">
        <f t="shared" si="26"/>
        <v>1958</v>
      </c>
    </row>
    <row r="1507" spans="1:13">
      <c r="A1507" t="s">
        <v>194</v>
      </c>
      <c r="B1507" t="s">
        <v>11</v>
      </c>
      <c r="C1507" s="51">
        <v>140126955086</v>
      </c>
      <c r="D1507" s="1">
        <v>40628.31</v>
      </c>
      <c r="E1507" s="1">
        <v>10877346.32</v>
      </c>
      <c r="F1507" t="s">
        <v>1280</v>
      </c>
      <c r="I1507" s="16"/>
      <c r="J1507" s="68"/>
      <c r="K1507" s="68"/>
      <c r="L1507" s="68"/>
      <c r="M1507" s="74">
        <f t="shared" si="26"/>
        <v>40628.31</v>
      </c>
    </row>
    <row r="1508" spans="1:13">
      <c r="A1508" t="s">
        <v>194</v>
      </c>
      <c r="B1508" t="s">
        <v>11</v>
      </c>
      <c r="C1508" s="51">
        <v>139479170537</v>
      </c>
      <c r="D1508" s="1">
        <v>30410.639999999999</v>
      </c>
      <c r="E1508" s="1">
        <v>10907756.960000001</v>
      </c>
      <c r="F1508" t="s">
        <v>1280</v>
      </c>
      <c r="I1508" s="16"/>
      <c r="J1508" s="68"/>
      <c r="K1508" s="68"/>
      <c r="L1508" s="68"/>
      <c r="M1508" s="74">
        <f t="shared" si="26"/>
        <v>30410.639999999999</v>
      </c>
    </row>
    <row r="1509" spans="1:13">
      <c r="A1509" t="s">
        <v>194</v>
      </c>
      <c r="B1509" t="s">
        <v>11</v>
      </c>
      <c r="C1509" s="51">
        <v>140127339266</v>
      </c>
      <c r="D1509" s="1">
        <v>4505.28</v>
      </c>
      <c r="E1509" s="1">
        <v>10912262.24</v>
      </c>
      <c r="F1509" t="s">
        <v>1280</v>
      </c>
      <c r="I1509" s="16"/>
      <c r="J1509" s="68"/>
      <c r="K1509" s="68"/>
      <c r="L1509" s="68"/>
      <c r="M1509" s="74">
        <f t="shared" si="26"/>
        <v>4505.28</v>
      </c>
    </row>
    <row r="1510" spans="1:13">
      <c r="A1510" t="s">
        <v>202</v>
      </c>
      <c r="B1510" t="s">
        <v>11</v>
      </c>
      <c r="C1510" s="51">
        <v>140128375658</v>
      </c>
      <c r="D1510" s="1">
        <v>8378.98</v>
      </c>
      <c r="E1510" s="1">
        <v>10920641.220000001</v>
      </c>
      <c r="F1510" t="s">
        <v>1280</v>
      </c>
      <c r="I1510" s="16"/>
      <c r="J1510" s="68"/>
      <c r="K1510" s="68"/>
      <c r="L1510" s="68"/>
      <c r="M1510" s="74">
        <f t="shared" si="26"/>
        <v>8378.98</v>
      </c>
    </row>
    <row r="1511" spans="1:13">
      <c r="A1511" t="s">
        <v>202</v>
      </c>
      <c r="B1511" t="s">
        <v>11</v>
      </c>
      <c r="C1511" s="51">
        <v>139480783565</v>
      </c>
      <c r="D1511" s="1">
        <v>9743</v>
      </c>
      <c r="E1511" s="1">
        <v>10930384.220000001</v>
      </c>
      <c r="F1511" t="s">
        <v>1280</v>
      </c>
      <c r="I1511" s="16"/>
      <c r="J1511" s="68"/>
      <c r="K1511" s="68"/>
      <c r="L1511" s="68"/>
      <c r="M1511" s="74">
        <f t="shared" si="26"/>
        <v>9743</v>
      </c>
    </row>
    <row r="1512" spans="1:13">
      <c r="A1512" t="s">
        <v>202</v>
      </c>
      <c r="B1512" t="s">
        <v>11</v>
      </c>
      <c r="C1512" s="51">
        <v>140129124980</v>
      </c>
      <c r="D1512" s="1">
        <v>10391.700000000001</v>
      </c>
      <c r="E1512" s="1">
        <v>10941265.42</v>
      </c>
      <c r="F1512" t="s">
        <v>1280</v>
      </c>
      <c r="I1512" s="16"/>
      <c r="J1512" s="68"/>
      <c r="K1512" s="68"/>
      <c r="L1512" s="68"/>
      <c r="M1512" s="74">
        <f t="shared" ref="M1512:M1565" si="27">+D1512-I1512-J1512-K1512-L1512</f>
        <v>10391.700000000001</v>
      </c>
    </row>
    <row r="1513" spans="1:13">
      <c r="A1513" t="s">
        <v>202</v>
      </c>
      <c r="B1513" t="s">
        <v>11</v>
      </c>
      <c r="C1513" s="51">
        <v>139481099341</v>
      </c>
      <c r="D1513" s="1">
        <v>4723.5</v>
      </c>
      <c r="E1513" s="1">
        <v>10945988.92</v>
      </c>
      <c r="F1513" t="s">
        <v>1280</v>
      </c>
      <c r="I1513" s="16"/>
      <c r="J1513" s="68"/>
      <c r="K1513" s="68"/>
      <c r="L1513" s="68"/>
      <c r="M1513" s="74">
        <f t="shared" si="27"/>
        <v>4723.5</v>
      </c>
    </row>
    <row r="1514" spans="1:13">
      <c r="A1514" t="s">
        <v>202</v>
      </c>
      <c r="B1514" t="s">
        <v>11</v>
      </c>
      <c r="C1514" s="51">
        <v>140129225334</v>
      </c>
      <c r="D1514" s="1">
        <v>4723.5</v>
      </c>
      <c r="E1514" s="1">
        <v>10950712.42</v>
      </c>
      <c r="F1514" t="s">
        <v>1280</v>
      </c>
      <c r="I1514" s="16"/>
      <c r="J1514" s="68"/>
      <c r="K1514" s="68"/>
      <c r="L1514" s="68"/>
      <c r="M1514" s="74">
        <f t="shared" si="27"/>
        <v>4723.5</v>
      </c>
    </row>
    <row r="1515" spans="1:13">
      <c r="A1515" t="s">
        <v>202</v>
      </c>
      <c r="B1515" t="s">
        <v>11</v>
      </c>
      <c r="C1515" s="51">
        <v>140129793484</v>
      </c>
      <c r="D1515" s="1">
        <v>7696.97</v>
      </c>
      <c r="E1515" s="1">
        <v>10958409.390000001</v>
      </c>
      <c r="F1515" t="s">
        <v>1280</v>
      </c>
      <c r="I1515" s="16"/>
      <c r="J1515" s="68"/>
      <c r="K1515" s="68"/>
      <c r="L1515" s="68"/>
      <c r="M1515" s="74">
        <f t="shared" si="27"/>
        <v>7696.97</v>
      </c>
    </row>
    <row r="1516" spans="1:13">
      <c r="A1516" t="s">
        <v>202</v>
      </c>
      <c r="B1516" t="s">
        <v>11</v>
      </c>
      <c r="C1516" s="51">
        <v>139482482409</v>
      </c>
      <c r="D1516" s="1">
        <v>4871.5</v>
      </c>
      <c r="E1516" s="1">
        <v>10963667.59</v>
      </c>
      <c r="F1516" t="s">
        <v>1280</v>
      </c>
      <c r="I1516" s="16"/>
      <c r="J1516" s="68"/>
      <c r="K1516" s="68"/>
      <c r="L1516" s="68"/>
      <c r="M1516" s="74">
        <f t="shared" si="27"/>
        <v>4871.5</v>
      </c>
    </row>
    <row r="1517" spans="1:13">
      <c r="A1517" t="s">
        <v>194</v>
      </c>
      <c r="B1517" t="s">
        <v>195</v>
      </c>
      <c r="C1517" s="51">
        <v>139427737813</v>
      </c>
      <c r="D1517" s="1">
        <v>39160</v>
      </c>
      <c r="E1517" s="1">
        <v>10216573.859999999</v>
      </c>
      <c r="F1517" t="s">
        <v>1280</v>
      </c>
      <c r="I1517" s="16"/>
      <c r="J1517" s="68"/>
      <c r="K1517" s="68"/>
      <c r="L1517" s="68"/>
      <c r="M1517" s="74">
        <f t="shared" si="27"/>
        <v>39160</v>
      </c>
    </row>
    <row r="1518" spans="1:13">
      <c r="A1518" t="s">
        <v>202</v>
      </c>
      <c r="B1518" t="s">
        <v>11</v>
      </c>
      <c r="C1518" s="51">
        <v>139482363759</v>
      </c>
      <c r="D1518" s="1">
        <v>5358.65</v>
      </c>
      <c r="E1518" s="1">
        <v>10969026.24</v>
      </c>
      <c r="F1518" t="s">
        <v>1280</v>
      </c>
      <c r="I1518" s="16"/>
      <c r="J1518" s="68"/>
      <c r="K1518" s="68"/>
      <c r="L1518" s="68"/>
      <c r="M1518" s="74">
        <f t="shared" si="27"/>
        <v>5358.65</v>
      </c>
    </row>
    <row r="1519" spans="1:13">
      <c r="A1519" t="s">
        <v>202</v>
      </c>
      <c r="B1519" t="s">
        <v>11</v>
      </c>
      <c r="C1519" s="51">
        <v>140130674408</v>
      </c>
      <c r="D1519" s="1">
        <v>4774.07</v>
      </c>
      <c r="E1519" s="1">
        <v>10973800.310000001</v>
      </c>
      <c r="F1519" t="s">
        <v>1280</v>
      </c>
      <c r="I1519" s="16"/>
      <c r="J1519" s="68"/>
      <c r="K1519" s="68"/>
      <c r="L1519" s="68"/>
      <c r="M1519" s="74">
        <f t="shared" si="27"/>
        <v>4774.07</v>
      </c>
    </row>
    <row r="1520" spans="1:13">
      <c r="A1520" t="s">
        <v>202</v>
      </c>
      <c r="B1520" t="s">
        <v>11</v>
      </c>
      <c r="C1520" s="51">
        <v>139483078587</v>
      </c>
      <c r="D1520" s="1">
        <v>23050.68</v>
      </c>
      <c r="E1520" s="1">
        <v>10996850.99</v>
      </c>
      <c r="F1520" t="s">
        <v>1280</v>
      </c>
      <c r="I1520" s="16"/>
      <c r="J1520" s="68"/>
      <c r="K1520" s="68"/>
      <c r="L1520" s="68"/>
      <c r="M1520" s="74">
        <f t="shared" si="27"/>
        <v>23050.68</v>
      </c>
    </row>
    <row r="1521" spans="1:13">
      <c r="A1521" t="s">
        <v>202</v>
      </c>
      <c r="B1521" t="s">
        <v>11</v>
      </c>
      <c r="C1521" s="51">
        <v>139483146433</v>
      </c>
      <c r="D1521" s="1">
        <v>47058.69</v>
      </c>
      <c r="E1521" s="1">
        <v>11043909.68</v>
      </c>
      <c r="F1521" t="s">
        <v>1280</v>
      </c>
      <c r="I1521" s="16"/>
      <c r="J1521" s="68"/>
      <c r="K1521" s="68"/>
      <c r="L1521" s="68"/>
      <c r="M1521" s="74">
        <f t="shared" si="27"/>
        <v>47058.69</v>
      </c>
    </row>
    <row r="1522" spans="1:13">
      <c r="A1522" t="s">
        <v>202</v>
      </c>
      <c r="B1522" t="s">
        <v>11</v>
      </c>
      <c r="C1522" s="51">
        <v>139483278643</v>
      </c>
      <c r="D1522" s="1">
        <v>7039.5</v>
      </c>
      <c r="E1522" s="1">
        <v>11053313.460000001</v>
      </c>
      <c r="F1522" t="s">
        <v>1280</v>
      </c>
      <c r="I1522" s="16"/>
      <c r="J1522" s="68"/>
      <c r="K1522" s="68"/>
      <c r="L1522" s="68"/>
      <c r="M1522" s="74">
        <f t="shared" si="27"/>
        <v>7039.5</v>
      </c>
    </row>
    <row r="1523" spans="1:13">
      <c r="A1523" t="s">
        <v>202</v>
      </c>
      <c r="B1523" t="s">
        <v>11</v>
      </c>
      <c r="C1523" s="51">
        <v>139483504133</v>
      </c>
      <c r="D1523" s="1">
        <v>7696.97</v>
      </c>
      <c r="E1523" s="1">
        <v>11061010.43</v>
      </c>
      <c r="F1523" t="s">
        <v>1280</v>
      </c>
      <c r="I1523" s="16"/>
      <c r="J1523" s="68"/>
      <c r="K1523" s="68"/>
      <c r="L1523" s="68"/>
      <c r="M1523" s="74">
        <f t="shared" si="27"/>
        <v>7696.97</v>
      </c>
    </row>
    <row r="1524" spans="1:13">
      <c r="A1524" t="s">
        <v>202</v>
      </c>
      <c r="B1524" t="s">
        <v>11</v>
      </c>
      <c r="C1524" s="51">
        <v>139483492351</v>
      </c>
      <c r="D1524" s="1">
        <v>10391.700000000001</v>
      </c>
      <c r="E1524" s="1">
        <v>11071402.130000001</v>
      </c>
      <c r="F1524" t="s">
        <v>1280</v>
      </c>
      <c r="I1524" s="16"/>
      <c r="J1524" s="68"/>
      <c r="K1524" s="68"/>
      <c r="L1524" s="68"/>
      <c r="M1524" s="74">
        <f t="shared" si="27"/>
        <v>10391.700000000001</v>
      </c>
    </row>
    <row r="1525" spans="1:13">
      <c r="A1525" t="s">
        <v>202</v>
      </c>
      <c r="B1525" t="s">
        <v>11</v>
      </c>
      <c r="C1525" s="51">
        <v>139483449131</v>
      </c>
      <c r="D1525" s="1">
        <v>4644.96</v>
      </c>
      <c r="E1525" s="1">
        <v>11076047.09</v>
      </c>
      <c r="F1525" t="s">
        <v>1280</v>
      </c>
      <c r="I1525" s="16"/>
      <c r="J1525" s="68"/>
      <c r="K1525" s="68"/>
      <c r="L1525" s="68"/>
      <c r="M1525" s="74">
        <f t="shared" si="27"/>
        <v>4644.96</v>
      </c>
    </row>
    <row r="1526" spans="1:13">
      <c r="A1526" t="s">
        <v>202</v>
      </c>
      <c r="B1526" t="s">
        <v>11</v>
      </c>
      <c r="C1526" s="51">
        <v>140132323268</v>
      </c>
      <c r="D1526" s="1">
        <v>17634.830000000002</v>
      </c>
      <c r="E1526" s="1">
        <v>11093681.92</v>
      </c>
      <c r="F1526" t="s">
        <v>1280</v>
      </c>
      <c r="I1526" s="16"/>
      <c r="J1526" s="68"/>
      <c r="K1526" s="68"/>
      <c r="L1526" s="68"/>
      <c r="M1526" s="74">
        <f t="shared" si="27"/>
        <v>17634.830000000002</v>
      </c>
    </row>
    <row r="1527" spans="1:13">
      <c r="A1527" t="s">
        <v>202</v>
      </c>
      <c r="B1527" t="s">
        <v>11</v>
      </c>
      <c r="C1527" s="51">
        <v>139484535079</v>
      </c>
      <c r="D1527" s="1">
        <v>23578.06</v>
      </c>
      <c r="E1527" s="1">
        <v>11117259.98</v>
      </c>
      <c r="F1527" t="s">
        <v>1280</v>
      </c>
      <c r="I1527" s="16"/>
      <c r="J1527" s="68"/>
      <c r="K1527" s="68"/>
      <c r="L1527" s="68"/>
      <c r="M1527" s="74">
        <f t="shared" si="27"/>
        <v>23578.06</v>
      </c>
    </row>
    <row r="1528" spans="1:13">
      <c r="A1528" t="s">
        <v>202</v>
      </c>
      <c r="B1528" t="s">
        <v>11</v>
      </c>
      <c r="C1528" s="51">
        <v>140132565856</v>
      </c>
      <c r="D1528" s="1">
        <v>10230.15</v>
      </c>
      <c r="E1528" s="1">
        <v>11127490.130000001</v>
      </c>
      <c r="F1528" t="s">
        <v>1280</v>
      </c>
      <c r="I1528" s="16"/>
      <c r="J1528" s="68"/>
      <c r="K1528" s="68"/>
      <c r="L1528" s="68"/>
      <c r="M1528" s="74">
        <f t="shared" si="27"/>
        <v>10230.15</v>
      </c>
    </row>
    <row r="1529" spans="1:13">
      <c r="A1529" t="s">
        <v>194</v>
      </c>
      <c r="B1529" t="s">
        <v>196</v>
      </c>
      <c r="C1529" s="51">
        <v>140111640118</v>
      </c>
      <c r="D1529" s="1">
        <v>2452.39</v>
      </c>
      <c r="E1529" s="1">
        <v>10427423.73</v>
      </c>
      <c r="F1529" t="s">
        <v>1280</v>
      </c>
      <c r="I1529" s="16"/>
      <c r="J1529" s="68"/>
      <c r="K1529" s="68"/>
      <c r="L1529" s="68"/>
      <c r="M1529" s="74">
        <f t="shared" si="27"/>
        <v>2452.39</v>
      </c>
    </row>
    <row r="1530" spans="1:13">
      <c r="A1530" t="s">
        <v>202</v>
      </c>
      <c r="B1530" t="s">
        <v>11</v>
      </c>
      <c r="C1530" s="51">
        <v>140132858928</v>
      </c>
      <c r="D1530" s="1">
        <v>29031</v>
      </c>
      <c r="E1530" s="1">
        <v>11156521.130000001</v>
      </c>
      <c r="F1530" t="s">
        <v>1280</v>
      </c>
      <c r="I1530" s="16"/>
      <c r="J1530" s="68"/>
      <c r="K1530" s="68"/>
      <c r="L1530" s="68"/>
      <c r="M1530" s="74">
        <f t="shared" si="27"/>
        <v>29031</v>
      </c>
    </row>
    <row r="1531" spans="1:13">
      <c r="A1531" t="s">
        <v>202</v>
      </c>
      <c r="B1531" t="s">
        <v>11</v>
      </c>
      <c r="C1531" s="51">
        <v>140132881300</v>
      </c>
      <c r="D1531" s="1">
        <v>15881.09</v>
      </c>
      <c r="E1531" s="1">
        <v>11172402.220000001</v>
      </c>
      <c r="F1531" t="s">
        <v>1280</v>
      </c>
      <c r="I1531" s="16"/>
      <c r="J1531" s="68"/>
      <c r="K1531" s="68"/>
      <c r="L1531" s="68"/>
      <c r="M1531" s="74">
        <f t="shared" si="27"/>
        <v>15881.09</v>
      </c>
    </row>
    <row r="1532" spans="1:13">
      <c r="A1532" t="s">
        <v>202</v>
      </c>
      <c r="B1532" t="s">
        <v>11</v>
      </c>
      <c r="C1532" s="51">
        <v>139484972295</v>
      </c>
      <c r="D1532" s="1">
        <v>31063.17</v>
      </c>
      <c r="E1532" s="1">
        <v>11203465.390000001</v>
      </c>
      <c r="F1532" t="s">
        <v>1280</v>
      </c>
      <c r="I1532" s="16"/>
      <c r="J1532" s="68"/>
      <c r="K1532" s="68"/>
      <c r="L1532" s="68"/>
      <c r="M1532" s="74">
        <f t="shared" si="27"/>
        <v>31063.17</v>
      </c>
    </row>
    <row r="1533" spans="1:13">
      <c r="A1533" t="s">
        <v>194</v>
      </c>
      <c r="B1533" t="s">
        <v>197</v>
      </c>
      <c r="C1533" s="51">
        <v>140113621612</v>
      </c>
      <c r="D1533">
        <v>489.5</v>
      </c>
      <c r="E1533" s="1">
        <v>10464104.59</v>
      </c>
      <c r="F1533" t="s">
        <v>1280</v>
      </c>
      <c r="I1533" s="16"/>
      <c r="J1533" s="68"/>
      <c r="K1533" s="68"/>
      <c r="L1533" s="68"/>
      <c r="M1533" s="74">
        <f t="shared" si="27"/>
        <v>489.5</v>
      </c>
    </row>
    <row r="1534" spans="1:13">
      <c r="A1534" t="s">
        <v>202</v>
      </c>
      <c r="B1534" t="s">
        <v>11</v>
      </c>
      <c r="C1534" s="51">
        <v>140133204838</v>
      </c>
      <c r="D1534" s="1">
        <v>7696.97</v>
      </c>
      <c r="E1534" s="1">
        <v>11211162.359999999</v>
      </c>
      <c r="F1534" t="s">
        <v>1280</v>
      </c>
      <c r="I1534" s="16"/>
      <c r="J1534" s="68"/>
      <c r="K1534" s="68"/>
      <c r="L1534" s="68"/>
      <c r="M1534" s="74">
        <f t="shared" si="27"/>
        <v>7696.97</v>
      </c>
    </row>
    <row r="1535" spans="1:13">
      <c r="A1535" t="s">
        <v>194</v>
      </c>
      <c r="B1535" t="s">
        <v>176</v>
      </c>
      <c r="C1535" s="51">
        <v>139466124447</v>
      </c>
      <c r="D1535">
        <v>979</v>
      </c>
      <c r="E1535" s="1">
        <v>10484569.59</v>
      </c>
      <c r="F1535" t="s">
        <v>1280</v>
      </c>
      <c r="I1535" s="16"/>
      <c r="J1535" s="68"/>
      <c r="K1535" s="68"/>
      <c r="L1535" s="68"/>
      <c r="M1535" s="74">
        <f t="shared" si="27"/>
        <v>979</v>
      </c>
    </row>
    <row r="1536" spans="1:13">
      <c r="A1536" t="s">
        <v>202</v>
      </c>
      <c r="B1536" t="s">
        <v>11</v>
      </c>
      <c r="C1536" s="51">
        <v>139485340871</v>
      </c>
      <c r="D1536" s="1">
        <v>2361.75</v>
      </c>
      <c r="E1536" s="1">
        <v>11214297.52</v>
      </c>
      <c r="F1536" t="s">
        <v>1280</v>
      </c>
      <c r="I1536" s="16"/>
      <c r="J1536" s="68"/>
      <c r="K1536" s="68"/>
      <c r="L1536" s="68"/>
      <c r="M1536" s="74">
        <f t="shared" si="27"/>
        <v>2361.75</v>
      </c>
    </row>
    <row r="1537" spans="1:13">
      <c r="A1537" t="s">
        <v>202</v>
      </c>
      <c r="B1537" t="s">
        <v>11</v>
      </c>
      <c r="C1537" s="51">
        <v>139485632399</v>
      </c>
      <c r="D1537" s="1">
        <v>9824.8799999999992</v>
      </c>
      <c r="E1537" s="1">
        <v>11224122.4</v>
      </c>
      <c r="F1537" t="s">
        <v>1280</v>
      </c>
      <c r="I1537" s="16"/>
      <c r="J1537" s="68"/>
      <c r="K1537" s="68"/>
      <c r="L1537" s="68"/>
      <c r="M1537" s="74">
        <f t="shared" si="27"/>
        <v>9824.8799999999992</v>
      </c>
    </row>
    <row r="1538" spans="1:13">
      <c r="A1538" t="s">
        <v>202</v>
      </c>
      <c r="B1538" t="s">
        <v>11</v>
      </c>
      <c r="C1538" s="51">
        <v>139485607001</v>
      </c>
      <c r="D1538" s="1">
        <v>34071.18</v>
      </c>
      <c r="E1538" s="1">
        <v>11258193.58</v>
      </c>
      <c r="F1538" t="s">
        <v>1280</v>
      </c>
      <c r="I1538" s="16"/>
      <c r="J1538" s="68"/>
      <c r="K1538" s="68"/>
      <c r="L1538" s="68"/>
      <c r="M1538" s="74">
        <f t="shared" si="27"/>
        <v>34071.18</v>
      </c>
    </row>
    <row r="1539" spans="1:13">
      <c r="A1539" t="s">
        <v>202</v>
      </c>
      <c r="B1539" t="s">
        <v>11</v>
      </c>
      <c r="C1539" s="51">
        <v>140133653336</v>
      </c>
      <c r="D1539" s="1">
        <v>14419.64</v>
      </c>
      <c r="E1539" s="1">
        <v>11272613.220000001</v>
      </c>
      <c r="F1539" t="s">
        <v>1280</v>
      </c>
      <c r="I1539" s="16"/>
      <c r="J1539" s="68"/>
      <c r="K1539" s="68"/>
      <c r="L1539" s="68"/>
      <c r="M1539" s="74">
        <f t="shared" si="27"/>
        <v>14419.64</v>
      </c>
    </row>
    <row r="1540" spans="1:13">
      <c r="A1540" t="s">
        <v>202</v>
      </c>
      <c r="B1540" t="s">
        <v>11</v>
      </c>
      <c r="C1540" s="51">
        <v>139485756335</v>
      </c>
      <c r="D1540" s="1">
        <v>25818.95</v>
      </c>
      <c r="E1540" s="1">
        <v>11299156.630000001</v>
      </c>
      <c r="F1540" t="s">
        <v>1280</v>
      </c>
      <c r="I1540" s="16"/>
      <c r="J1540" s="68"/>
      <c r="K1540" s="68"/>
      <c r="L1540" s="68"/>
      <c r="M1540" s="74">
        <f t="shared" si="27"/>
        <v>25818.95</v>
      </c>
    </row>
    <row r="1541" spans="1:13">
      <c r="A1541" t="s">
        <v>202</v>
      </c>
      <c r="B1541" t="s">
        <v>11</v>
      </c>
      <c r="C1541" s="51">
        <v>140133896184</v>
      </c>
      <c r="D1541" s="1">
        <v>107845.14</v>
      </c>
      <c r="E1541" s="1">
        <v>11407001.77</v>
      </c>
      <c r="F1541" t="s">
        <v>1280</v>
      </c>
      <c r="I1541" s="16"/>
      <c r="J1541" s="68"/>
      <c r="K1541" s="68"/>
      <c r="L1541" s="68"/>
      <c r="M1541" s="74">
        <f t="shared" si="27"/>
        <v>107845.14</v>
      </c>
    </row>
    <row r="1542" spans="1:13">
      <c r="A1542" t="s">
        <v>202</v>
      </c>
      <c r="B1542" t="s">
        <v>11</v>
      </c>
      <c r="C1542" s="51">
        <v>140133763234</v>
      </c>
      <c r="D1542" s="1">
        <v>18706.560000000001</v>
      </c>
      <c r="E1542" s="1">
        <v>11425708.33</v>
      </c>
      <c r="F1542" t="s">
        <v>1280</v>
      </c>
      <c r="I1542" s="16"/>
      <c r="J1542" s="68"/>
      <c r="K1542" s="68"/>
      <c r="L1542" s="68"/>
      <c r="M1542" s="74">
        <f t="shared" si="27"/>
        <v>18706.560000000001</v>
      </c>
    </row>
    <row r="1543" spans="1:13">
      <c r="A1543" t="s">
        <v>202</v>
      </c>
      <c r="B1543" t="s">
        <v>11</v>
      </c>
      <c r="C1543" s="51">
        <v>140133910726</v>
      </c>
      <c r="D1543" s="1">
        <v>14322.21</v>
      </c>
      <c r="E1543" s="1">
        <v>11440030.539999999</v>
      </c>
      <c r="F1543" t="s">
        <v>1280</v>
      </c>
      <c r="I1543" s="16"/>
      <c r="J1543" s="68"/>
      <c r="K1543" s="68"/>
      <c r="L1543" s="68"/>
      <c r="M1543" s="74">
        <f t="shared" si="27"/>
        <v>14322.21</v>
      </c>
    </row>
    <row r="1544" spans="1:13">
      <c r="A1544" t="s">
        <v>202</v>
      </c>
      <c r="B1544" t="s">
        <v>11</v>
      </c>
      <c r="C1544" s="51">
        <v>139485908731</v>
      </c>
      <c r="D1544" s="1">
        <v>79308.02</v>
      </c>
      <c r="E1544" s="1">
        <v>11520058.119999999</v>
      </c>
      <c r="F1544" t="s">
        <v>1280</v>
      </c>
      <c r="I1544" s="16"/>
      <c r="J1544" s="68"/>
      <c r="K1544" s="68"/>
      <c r="L1544" s="68"/>
      <c r="M1544" s="74">
        <f t="shared" si="27"/>
        <v>79308.02</v>
      </c>
    </row>
    <row r="1545" spans="1:13">
      <c r="A1545" t="s">
        <v>202</v>
      </c>
      <c r="B1545" t="s">
        <v>11</v>
      </c>
      <c r="C1545" s="51">
        <v>140133907214</v>
      </c>
      <c r="D1545" s="1">
        <v>9353.2800000000007</v>
      </c>
      <c r="E1545" s="1">
        <v>11529411.4</v>
      </c>
      <c r="F1545" t="s">
        <v>1280</v>
      </c>
      <c r="I1545" s="16"/>
      <c r="J1545" s="68"/>
      <c r="K1545" s="68"/>
      <c r="L1545" s="68"/>
      <c r="M1545" s="74">
        <f t="shared" si="27"/>
        <v>9353.2800000000007</v>
      </c>
    </row>
    <row r="1546" spans="1:13">
      <c r="A1546" t="s">
        <v>202</v>
      </c>
      <c r="B1546" t="s">
        <v>11</v>
      </c>
      <c r="C1546" s="51">
        <v>139485954691</v>
      </c>
      <c r="D1546" s="1">
        <v>7307.25</v>
      </c>
      <c r="E1546" s="1">
        <v>11537188.57</v>
      </c>
      <c r="F1546" t="s">
        <v>1280</v>
      </c>
      <c r="I1546" s="16"/>
      <c r="J1546" s="68"/>
      <c r="K1546" s="68"/>
      <c r="L1546" s="68"/>
      <c r="M1546" s="74">
        <f t="shared" si="27"/>
        <v>7307.25</v>
      </c>
    </row>
    <row r="1547" spans="1:13">
      <c r="A1547" t="s">
        <v>202</v>
      </c>
      <c r="B1547" t="s">
        <v>11</v>
      </c>
      <c r="C1547" s="51">
        <v>140133989406</v>
      </c>
      <c r="D1547" s="1">
        <v>81938.63</v>
      </c>
      <c r="E1547" s="1">
        <v>11619127.199999999</v>
      </c>
      <c r="F1547" t="s">
        <v>1280</v>
      </c>
      <c r="I1547" s="16"/>
      <c r="J1547" s="68"/>
      <c r="K1547" s="68"/>
      <c r="L1547" s="68"/>
      <c r="M1547" s="74">
        <f t="shared" si="27"/>
        <v>81938.63</v>
      </c>
    </row>
    <row r="1548" spans="1:13">
      <c r="A1548" t="s">
        <v>202</v>
      </c>
      <c r="B1548" t="s">
        <v>11</v>
      </c>
      <c r="C1548" s="51">
        <v>139486142195</v>
      </c>
      <c r="D1548" s="1">
        <v>39166.86</v>
      </c>
      <c r="E1548" s="1">
        <v>11658294.060000001</v>
      </c>
      <c r="F1548" t="s">
        <v>1280</v>
      </c>
      <c r="I1548" s="16"/>
      <c r="J1548" s="68"/>
      <c r="K1548" s="68"/>
      <c r="L1548" s="68"/>
      <c r="M1548" s="74">
        <f t="shared" si="27"/>
        <v>39166.86</v>
      </c>
    </row>
    <row r="1549" spans="1:13">
      <c r="A1549" t="s">
        <v>202</v>
      </c>
      <c r="B1549" t="s">
        <v>11</v>
      </c>
      <c r="C1549" s="51">
        <v>139486182203</v>
      </c>
      <c r="D1549" s="1">
        <v>35561.949999999997</v>
      </c>
      <c r="E1549" s="1">
        <v>11693856.01</v>
      </c>
      <c r="F1549" t="s">
        <v>1280</v>
      </c>
      <c r="I1549" s="16"/>
      <c r="J1549" s="68"/>
      <c r="K1549" s="68"/>
      <c r="L1549" s="68"/>
      <c r="M1549" s="74">
        <f t="shared" si="27"/>
        <v>35561.949999999997</v>
      </c>
    </row>
    <row r="1550" spans="1:13">
      <c r="A1550" t="s">
        <v>202</v>
      </c>
      <c r="B1550" t="s">
        <v>11</v>
      </c>
      <c r="C1550" s="51">
        <v>140134110924</v>
      </c>
      <c r="D1550" s="1">
        <v>4723.5</v>
      </c>
      <c r="E1550" s="1">
        <v>11698579.51</v>
      </c>
      <c r="F1550" t="s">
        <v>1280</v>
      </c>
      <c r="I1550" s="16"/>
      <c r="J1550" s="68"/>
      <c r="K1550" s="68"/>
      <c r="L1550" s="68"/>
      <c r="M1550" s="74">
        <f t="shared" si="27"/>
        <v>4723.5</v>
      </c>
    </row>
    <row r="1551" spans="1:13">
      <c r="A1551" t="s">
        <v>194</v>
      </c>
      <c r="B1551" t="s">
        <v>198</v>
      </c>
      <c r="C1551" s="51">
        <v>140124023076</v>
      </c>
      <c r="D1551">
        <v>234.96</v>
      </c>
      <c r="E1551" s="1">
        <v>10690073.34</v>
      </c>
      <c r="F1551" t="s">
        <v>1280</v>
      </c>
      <c r="I1551" s="16"/>
      <c r="J1551" s="68"/>
      <c r="K1551" s="68"/>
      <c r="L1551" s="68"/>
      <c r="M1551" s="74">
        <f t="shared" si="27"/>
        <v>234.96</v>
      </c>
    </row>
    <row r="1552" spans="1:13">
      <c r="A1552" t="s">
        <v>202</v>
      </c>
      <c r="B1552" t="s">
        <v>11</v>
      </c>
      <c r="C1552" s="51">
        <v>140134031710</v>
      </c>
      <c r="D1552" s="1">
        <v>4774.07</v>
      </c>
      <c r="E1552" s="1">
        <v>11703353.58</v>
      </c>
      <c r="F1552" t="s">
        <v>1280</v>
      </c>
      <c r="I1552" s="16"/>
      <c r="J1552" s="68"/>
      <c r="K1552" s="68"/>
      <c r="L1552" s="68"/>
      <c r="M1552" s="74">
        <f t="shared" si="27"/>
        <v>4774.07</v>
      </c>
    </row>
    <row r="1553" spans="1:13">
      <c r="A1553" t="s">
        <v>202</v>
      </c>
      <c r="B1553" t="s">
        <v>11</v>
      </c>
      <c r="C1553" s="51">
        <v>139486025795</v>
      </c>
      <c r="D1553" s="1">
        <v>12276.18</v>
      </c>
      <c r="E1553" s="1">
        <v>11715629.76</v>
      </c>
      <c r="F1553" t="s">
        <v>1280</v>
      </c>
      <c r="I1553" s="16"/>
      <c r="J1553" s="68"/>
      <c r="K1553" s="68"/>
      <c r="L1553" s="68"/>
      <c r="M1553" s="74">
        <f t="shared" si="27"/>
        <v>12276.18</v>
      </c>
    </row>
    <row r="1554" spans="1:13">
      <c r="A1554" t="s">
        <v>202</v>
      </c>
      <c r="B1554" t="s">
        <v>11</v>
      </c>
      <c r="C1554" s="51">
        <v>139486246871</v>
      </c>
      <c r="D1554" s="1">
        <v>7794.4</v>
      </c>
      <c r="E1554" s="1">
        <v>11723424.16</v>
      </c>
      <c r="F1554" t="s">
        <v>1280</v>
      </c>
      <c r="I1554" s="16"/>
      <c r="J1554" s="68"/>
      <c r="K1554" s="68"/>
      <c r="L1554" s="68"/>
      <c r="M1554" s="74">
        <f t="shared" si="27"/>
        <v>7794.4</v>
      </c>
    </row>
    <row r="1555" spans="1:13">
      <c r="A1555" t="s">
        <v>194</v>
      </c>
      <c r="B1555" t="s">
        <v>199</v>
      </c>
      <c r="C1555" s="51">
        <v>139476918527</v>
      </c>
      <c r="D1555">
        <v>489.5</v>
      </c>
      <c r="E1555" s="1">
        <v>10733306.640000001</v>
      </c>
      <c r="F1555" t="s">
        <v>1280</v>
      </c>
      <c r="I1555" s="16"/>
      <c r="J1555" s="68"/>
      <c r="K1555" s="68"/>
      <c r="L1555" s="68"/>
      <c r="M1555" s="74">
        <f t="shared" si="27"/>
        <v>489.5</v>
      </c>
    </row>
    <row r="1556" spans="1:13">
      <c r="A1556" t="s">
        <v>202</v>
      </c>
      <c r="B1556" t="s">
        <v>11</v>
      </c>
      <c r="C1556" s="51">
        <v>140134313280</v>
      </c>
      <c r="D1556" s="1">
        <v>39166.86</v>
      </c>
      <c r="E1556" s="1">
        <v>11762591.02</v>
      </c>
      <c r="F1556" t="s">
        <v>1280</v>
      </c>
      <c r="I1556" s="16"/>
      <c r="J1556" s="68"/>
      <c r="K1556" s="68"/>
      <c r="L1556" s="68"/>
      <c r="M1556" s="74">
        <f t="shared" si="27"/>
        <v>39166.86</v>
      </c>
    </row>
    <row r="1557" spans="1:13">
      <c r="A1557" t="s">
        <v>194</v>
      </c>
      <c r="B1557" t="s">
        <v>200</v>
      </c>
      <c r="C1557" s="51">
        <v>139476996191</v>
      </c>
      <c r="D1557" s="1">
        <v>3123.01</v>
      </c>
      <c r="E1557" s="1">
        <v>10767509.82</v>
      </c>
      <c r="F1557" t="s">
        <v>1280</v>
      </c>
      <c r="I1557" s="16"/>
      <c r="J1557" s="68"/>
      <c r="K1557" s="68"/>
      <c r="L1557" s="68"/>
      <c r="M1557" s="74">
        <f t="shared" si="27"/>
        <v>3123.01</v>
      </c>
    </row>
    <row r="1558" spans="1:13">
      <c r="A1558" t="s">
        <v>202</v>
      </c>
      <c r="B1558" t="s">
        <v>11</v>
      </c>
      <c r="C1558" s="51">
        <v>139486404629</v>
      </c>
      <c r="D1558" s="1">
        <v>3312.62</v>
      </c>
      <c r="E1558" s="1">
        <v>11765903.640000001</v>
      </c>
      <c r="F1558" t="s">
        <v>1280</v>
      </c>
      <c r="I1558" s="16"/>
      <c r="J1558" s="68"/>
      <c r="K1558" s="68"/>
      <c r="L1558" s="68"/>
      <c r="M1558" s="74">
        <f t="shared" si="27"/>
        <v>3312.62</v>
      </c>
    </row>
    <row r="1559" spans="1:13">
      <c r="A1559" t="s">
        <v>202</v>
      </c>
      <c r="B1559" t="s">
        <v>11</v>
      </c>
      <c r="C1559" s="51">
        <v>140134432862</v>
      </c>
      <c r="D1559" s="1">
        <v>217442.05</v>
      </c>
      <c r="E1559" s="1">
        <v>11983345.689999999</v>
      </c>
      <c r="F1559" t="s">
        <v>1280</v>
      </c>
      <c r="I1559" s="16"/>
      <c r="J1559" s="68"/>
      <c r="K1559" s="68"/>
      <c r="L1559" s="68"/>
      <c r="M1559" s="74">
        <f t="shared" si="27"/>
        <v>217442.05</v>
      </c>
    </row>
    <row r="1560" spans="1:13">
      <c r="A1560" t="s">
        <v>202</v>
      </c>
      <c r="B1560" t="s">
        <v>11</v>
      </c>
      <c r="C1560" s="51">
        <v>139486393553</v>
      </c>
      <c r="D1560" s="1">
        <v>3702.34</v>
      </c>
      <c r="E1560" s="1">
        <v>11987048.029999999</v>
      </c>
      <c r="F1560" t="s">
        <v>1280</v>
      </c>
      <c r="I1560" s="16"/>
      <c r="J1560" s="68"/>
      <c r="K1560" s="68"/>
      <c r="L1560" s="68"/>
      <c r="M1560" s="74">
        <f t="shared" si="27"/>
        <v>3702.34</v>
      </c>
    </row>
    <row r="1561" spans="1:13">
      <c r="A1561" t="s">
        <v>194</v>
      </c>
      <c r="B1561" t="s">
        <v>201</v>
      </c>
      <c r="C1561" s="51">
        <v>139478507609</v>
      </c>
      <c r="D1561">
        <v>367.12</v>
      </c>
      <c r="E1561" s="1">
        <v>10789854.18</v>
      </c>
      <c r="F1561" t="s">
        <v>1280</v>
      </c>
      <c r="I1561" s="16"/>
      <c r="J1561" s="68"/>
      <c r="K1561" s="68"/>
      <c r="L1561" s="68"/>
      <c r="M1561" s="74">
        <f t="shared" si="27"/>
        <v>367.12</v>
      </c>
    </row>
    <row r="1562" spans="1:13">
      <c r="A1562" t="s">
        <v>118</v>
      </c>
      <c r="B1562" t="s">
        <v>36</v>
      </c>
      <c r="C1562" s="51">
        <v>138034620679</v>
      </c>
      <c r="D1562" s="1">
        <v>-18138.240000000002</v>
      </c>
      <c r="E1562" s="1">
        <v>10449486.300000001</v>
      </c>
      <c r="F1562" t="s">
        <v>1280</v>
      </c>
      <c r="I1562" s="16"/>
      <c r="J1562" s="68"/>
      <c r="K1562" s="68"/>
      <c r="L1562" s="68"/>
      <c r="M1562" s="74">
        <f t="shared" si="27"/>
        <v>-18138.240000000002</v>
      </c>
    </row>
    <row r="1563" spans="1:13">
      <c r="A1563" t="s">
        <v>118</v>
      </c>
      <c r="B1563" t="s">
        <v>36</v>
      </c>
      <c r="C1563" s="51">
        <v>138034929089</v>
      </c>
      <c r="D1563">
        <v>-94.47</v>
      </c>
      <c r="E1563" s="1">
        <v>10467624.539999999</v>
      </c>
      <c r="F1563" t="s">
        <v>1280</v>
      </c>
      <c r="I1563" s="16"/>
      <c r="J1563" s="68"/>
      <c r="K1563" s="68"/>
      <c r="L1563" s="68"/>
      <c r="M1563" s="74">
        <f t="shared" si="27"/>
        <v>-94.47</v>
      </c>
    </row>
    <row r="1564" spans="1:13">
      <c r="A1564" t="s">
        <v>134</v>
      </c>
      <c r="B1564" t="s">
        <v>36</v>
      </c>
      <c r="C1564" s="51">
        <v>138853192420</v>
      </c>
      <c r="D1564" s="1">
        <v>-25136.94</v>
      </c>
      <c r="E1564" s="1">
        <v>13794300.59</v>
      </c>
      <c r="F1564" t="s">
        <v>1280</v>
      </c>
      <c r="I1564" s="16"/>
      <c r="J1564" s="68"/>
      <c r="K1564" s="68"/>
      <c r="L1564" s="68"/>
      <c r="M1564" s="74">
        <f t="shared" si="27"/>
        <v>-25136.94</v>
      </c>
    </row>
    <row r="1565" spans="1:13">
      <c r="A1565" t="s">
        <v>151</v>
      </c>
      <c r="B1565" t="s">
        <v>36</v>
      </c>
      <c r="C1565" s="51">
        <v>139273670082</v>
      </c>
      <c r="D1565" s="1">
        <v>-37032.239999999998</v>
      </c>
      <c r="E1565" s="1">
        <v>16076637.1</v>
      </c>
      <c r="F1565" t="s">
        <v>1280</v>
      </c>
      <c r="I1565" s="16"/>
      <c r="J1565" s="68"/>
      <c r="K1565" s="68"/>
      <c r="L1565" s="68"/>
      <c r="M1565" s="74">
        <f t="shared" si="27"/>
        <v>-37032.239999999998</v>
      </c>
    </row>
    <row r="1566" spans="1:13">
      <c r="A1566" t="s">
        <v>64</v>
      </c>
      <c r="B1566" t="s">
        <v>67</v>
      </c>
      <c r="C1566" s="51">
        <v>136643701755</v>
      </c>
      <c r="D1566" s="1">
        <v>-1000000</v>
      </c>
      <c r="E1566" s="1">
        <v>15800467.59</v>
      </c>
      <c r="F1566" s="27" t="s">
        <v>1283</v>
      </c>
      <c r="G1566" s="16">
        <f>+D1566</f>
        <v>-1000000</v>
      </c>
      <c r="H1566" s="16"/>
      <c r="I1566" s="16"/>
      <c r="J1566" s="68"/>
      <c r="K1566" s="68"/>
      <c r="L1566" s="68"/>
      <c r="M1566" s="52">
        <f t="shared" ref="M1566:M1567" si="28">+D1566</f>
        <v>-1000000</v>
      </c>
    </row>
    <row r="1567" spans="1:13">
      <c r="A1567" t="s">
        <v>64</v>
      </c>
      <c r="B1567" t="s">
        <v>67</v>
      </c>
      <c r="C1567" s="51">
        <v>136644102125</v>
      </c>
      <c r="D1567" s="1">
        <v>-1000000</v>
      </c>
      <c r="E1567" s="1">
        <v>23800467.59</v>
      </c>
      <c r="F1567" s="27" t="s">
        <v>1283</v>
      </c>
      <c r="G1567" s="16">
        <f>+D1567</f>
        <v>-1000000</v>
      </c>
      <c r="H1567" s="16"/>
      <c r="I1567" s="16"/>
      <c r="J1567" s="68"/>
      <c r="K1567" s="68"/>
      <c r="L1567" s="68"/>
      <c r="M1567" s="52">
        <f t="shared" si="28"/>
        <v>-1000000</v>
      </c>
    </row>
    <row r="1568" spans="1:13">
      <c r="A1568" t="s">
        <v>202</v>
      </c>
      <c r="B1568" t="s">
        <v>201</v>
      </c>
      <c r="C1568" s="51">
        <v>139480876737</v>
      </c>
      <c r="D1568">
        <v>489.5</v>
      </c>
      <c r="E1568" s="1">
        <v>10930873.720000001</v>
      </c>
      <c r="F1568" t="s">
        <v>1280</v>
      </c>
      <c r="I1568" s="16"/>
      <c r="J1568" s="68"/>
      <c r="K1568" s="68"/>
      <c r="L1568" s="68"/>
      <c r="M1568" s="74">
        <f t="shared" ref="M1568" si="29">+D1568-I1568-J1568-K1568-L1568</f>
        <v>489.5</v>
      </c>
    </row>
    <row r="1569" spans="1:13">
      <c r="A1569" t="s">
        <v>64</v>
      </c>
      <c r="B1569" t="s">
        <v>67</v>
      </c>
      <c r="C1569" s="51">
        <v>136644141961</v>
      </c>
      <c r="D1569" s="1">
        <v>-1000000</v>
      </c>
      <c r="E1569" s="1">
        <v>11800467.59</v>
      </c>
      <c r="F1569" s="27" t="s">
        <v>1283</v>
      </c>
      <c r="G1569" s="16">
        <f>+D1569</f>
        <v>-1000000</v>
      </c>
      <c r="H1569" s="16"/>
      <c r="I1569" s="16"/>
      <c r="J1569" s="68"/>
      <c r="K1569" s="68"/>
      <c r="L1569" s="68"/>
      <c r="M1569" s="52">
        <f t="shared" ref="M1569:M1570" si="30">+D1569</f>
        <v>-1000000</v>
      </c>
    </row>
    <row r="1570" spans="1:13">
      <c r="A1570" t="s">
        <v>64</v>
      </c>
      <c r="B1570" t="s">
        <v>67</v>
      </c>
      <c r="C1570" s="51">
        <v>136645101177</v>
      </c>
      <c r="D1570" s="1">
        <v>-200000</v>
      </c>
      <c r="E1570" s="1">
        <v>9600467.5899999999</v>
      </c>
      <c r="F1570" s="27" t="s">
        <v>1283</v>
      </c>
      <c r="G1570" s="16">
        <f>+D1570</f>
        <v>-200000</v>
      </c>
      <c r="H1570" s="16"/>
      <c r="I1570" s="16"/>
      <c r="J1570" s="68"/>
      <c r="K1570" s="68"/>
      <c r="L1570" s="68"/>
      <c r="M1570" s="52">
        <f t="shared" si="30"/>
        <v>-200000</v>
      </c>
    </row>
    <row r="1571" spans="1:13">
      <c r="A1571" s="59" t="s">
        <v>64</v>
      </c>
      <c r="B1571" s="59" t="s">
        <v>13</v>
      </c>
      <c r="C1571" s="65">
        <v>137266249568</v>
      </c>
      <c r="D1571" s="66">
        <v>-3000</v>
      </c>
      <c r="E1571" s="1">
        <v>25800467.59</v>
      </c>
      <c r="F1571" s="59" t="s">
        <v>1242</v>
      </c>
      <c r="G1571" s="67">
        <f>+D1571/0.006</f>
        <v>-500000</v>
      </c>
      <c r="H1571" s="67"/>
      <c r="I1571" s="16"/>
      <c r="J1571" s="68"/>
      <c r="K1571" s="68"/>
      <c r="L1571" s="68"/>
      <c r="M1571" s="75">
        <f>+D1571</f>
        <v>-3000</v>
      </c>
    </row>
    <row r="1572" spans="1:13">
      <c r="A1572" s="59" t="s">
        <v>64</v>
      </c>
      <c r="B1572" s="59" t="s">
        <v>66</v>
      </c>
      <c r="C1572" s="65">
        <v>137266249568</v>
      </c>
      <c r="D1572" s="66">
        <v>-500000</v>
      </c>
      <c r="E1572" s="1">
        <v>25803467.59</v>
      </c>
      <c r="F1572" s="59" t="s">
        <v>1281</v>
      </c>
      <c r="G1572" s="67"/>
      <c r="H1572" s="67"/>
      <c r="I1572" s="16"/>
      <c r="J1572" s="68"/>
      <c r="K1572" s="68"/>
      <c r="L1572" s="68"/>
      <c r="M1572" s="75">
        <f>+D1572</f>
        <v>-500000</v>
      </c>
    </row>
    <row r="1573" spans="1:13">
      <c r="A1573" t="s">
        <v>202</v>
      </c>
      <c r="B1573" t="s">
        <v>203</v>
      </c>
      <c r="C1573" s="51">
        <v>140129960332</v>
      </c>
      <c r="D1573">
        <v>386.7</v>
      </c>
      <c r="E1573" s="1">
        <v>10958796.09</v>
      </c>
      <c r="F1573" t="s">
        <v>1280</v>
      </c>
      <c r="I1573" s="16"/>
      <c r="J1573" s="68"/>
      <c r="K1573" s="68"/>
      <c r="L1573" s="68"/>
      <c r="M1573" s="74">
        <f t="shared" ref="M1573" si="31">+D1573-I1573-J1573-K1573-L1573</f>
        <v>386.7</v>
      </c>
    </row>
    <row r="1574" spans="1:13">
      <c r="A1574" t="s">
        <v>64</v>
      </c>
      <c r="B1574" t="s">
        <v>67</v>
      </c>
      <c r="C1574" s="51">
        <v>137272037684</v>
      </c>
      <c r="D1574" s="1">
        <v>-1000000</v>
      </c>
      <c r="E1574" s="1">
        <v>21800467.59</v>
      </c>
      <c r="F1574" s="27" t="s">
        <v>1283</v>
      </c>
      <c r="G1574" s="16">
        <f>+D1574</f>
        <v>-1000000</v>
      </c>
      <c r="H1574" s="16"/>
      <c r="I1574" s="16"/>
      <c r="J1574" s="68"/>
      <c r="K1574" s="68"/>
      <c r="L1574" s="68"/>
      <c r="M1574" s="52">
        <f t="shared" ref="M1574:M1578" si="32">+D1574</f>
        <v>-1000000</v>
      </c>
    </row>
    <row r="1575" spans="1:13">
      <c r="A1575" t="s">
        <v>64</v>
      </c>
      <c r="B1575" t="s">
        <v>67</v>
      </c>
      <c r="C1575" s="51">
        <v>137272199862</v>
      </c>
      <c r="D1575" s="1">
        <v>-1000000</v>
      </c>
      <c r="E1575" s="1">
        <v>18800467.59</v>
      </c>
      <c r="F1575" s="27" t="s">
        <v>1283</v>
      </c>
      <c r="G1575" s="16">
        <f>+D1575</f>
        <v>-1000000</v>
      </c>
      <c r="H1575" s="16"/>
      <c r="I1575" s="16"/>
      <c r="J1575" s="68"/>
      <c r="K1575" s="68"/>
      <c r="L1575" s="68"/>
      <c r="M1575" s="52">
        <f t="shared" si="32"/>
        <v>-1000000</v>
      </c>
    </row>
    <row r="1576" spans="1:13">
      <c r="A1576" t="s">
        <v>64</v>
      </c>
      <c r="B1576" t="s">
        <v>67</v>
      </c>
      <c r="C1576" s="51">
        <v>137272959812</v>
      </c>
      <c r="D1576" s="1">
        <v>-1000000</v>
      </c>
      <c r="E1576" s="1">
        <v>14800467.59</v>
      </c>
      <c r="F1576" s="27" t="s">
        <v>1283</v>
      </c>
      <c r="G1576" s="16">
        <f>+D1576</f>
        <v>-1000000</v>
      </c>
      <c r="H1576" s="16"/>
      <c r="I1576" s="16"/>
      <c r="J1576" s="68"/>
      <c r="K1576" s="68"/>
      <c r="L1576" s="68"/>
      <c r="M1576" s="52">
        <f t="shared" si="32"/>
        <v>-1000000</v>
      </c>
    </row>
    <row r="1577" spans="1:13">
      <c r="A1577" t="s">
        <v>64</v>
      </c>
      <c r="B1577" t="s">
        <v>67</v>
      </c>
      <c r="C1577" s="51">
        <v>137273297958</v>
      </c>
      <c r="D1577" s="1">
        <v>-1000000</v>
      </c>
      <c r="E1577" s="1">
        <v>10800467.59</v>
      </c>
      <c r="F1577" s="27" t="s">
        <v>1283</v>
      </c>
      <c r="G1577" s="16">
        <f>+D1577</f>
        <v>-1000000</v>
      </c>
      <c r="H1577" s="16"/>
      <c r="I1577" s="16"/>
      <c r="J1577" s="68"/>
      <c r="K1577" s="68"/>
      <c r="L1577" s="68"/>
      <c r="M1577" s="52">
        <f t="shared" si="32"/>
        <v>-1000000</v>
      </c>
    </row>
    <row r="1578" spans="1:13">
      <c r="A1578" t="s">
        <v>64</v>
      </c>
      <c r="B1578" t="s">
        <v>67</v>
      </c>
      <c r="C1578" s="51">
        <v>137273876874</v>
      </c>
      <c r="D1578" s="1">
        <v>-1000000</v>
      </c>
      <c r="E1578" s="1">
        <v>12800467.59</v>
      </c>
      <c r="F1578" s="27" t="s">
        <v>1283</v>
      </c>
      <c r="G1578" s="16">
        <f>+D1578</f>
        <v>-1000000</v>
      </c>
      <c r="H1578" s="16"/>
      <c r="I1578" s="16"/>
      <c r="J1578" s="68"/>
      <c r="K1578" s="68"/>
      <c r="L1578" s="68"/>
      <c r="M1578" s="52">
        <f t="shared" si="32"/>
        <v>-1000000</v>
      </c>
    </row>
    <row r="1579" spans="1:13">
      <c r="A1579" t="s">
        <v>202</v>
      </c>
      <c r="B1579" t="s">
        <v>204</v>
      </c>
      <c r="C1579" s="51">
        <v>140131190404</v>
      </c>
      <c r="D1579" s="1">
        <v>2364.2800000000002</v>
      </c>
      <c r="E1579" s="1">
        <v>11046273.960000001</v>
      </c>
      <c r="F1579" t="s">
        <v>1280</v>
      </c>
      <c r="I1579" s="16"/>
      <c r="J1579" s="68"/>
      <c r="K1579" s="68"/>
      <c r="L1579" s="68"/>
      <c r="M1579" s="74">
        <f t="shared" ref="M1579" si="33">+D1579-I1579-J1579-K1579-L1579</f>
        <v>2364.2800000000002</v>
      </c>
    </row>
    <row r="1580" spans="1:13">
      <c r="A1580" t="s">
        <v>64</v>
      </c>
      <c r="B1580" t="s">
        <v>67</v>
      </c>
      <c r="C1580" s="51">
        <v>137273884824</v>
      </c>
      <c r="D1580" s="1">
        <v>-1000000</v>
      </c>
      <c r="E1580" s="1">
        <v>13800467.59</v>
      </c>
      <c r="F1580" s="27" t="s">
        <v>1283</v>
      </c>
      <c r="G1580" s="16">
        <f>+D1580</f>
        <v>-1000000</v>
      </c>
      <c r="H1580" s="16"/>
      <c r="I1580" s="16"/>
      <c r="J1580" s="68"/>
      <c r="K1580" s="68"/>
      <c r="L1580" s="68"/>
      <c r="M1580" s="52">
        <f t="shared" ref="M1580:M1581" si="34">+D1580</f>
        <v>-1000000</v>
      </c>
    </row>
    <row r="1581" spans="1:13">
      <c r="A1581" t="s">
        <v>64</v>
      </c>
      <c r="B1581" t="s">
        <v>67</v>
      </c>
      <c r="C1581" s="51">
        <v>137273929588</v>
      </c>
      <c r="D1581" s="1">
        <v>-1000000</v>
      </c>
      <c r="E1581" s="1">
        <v>9800467.5899999999</v>
      </c>
      <c r="F1581" s="27" t="s">
        <v>1283</v>
      </c>
      <c r="G1581" s="16">
        <f>+D1581</f>
        <v>-1000000</v>
      </c>
      <c r="H1581" s="16"/>
      <c r="I1581" s="16"/>
      <c r="J1581" s="68"/>
      <c r="K1581" s="68"/>
      <c r="L1581" s="68"/>
      <c r="M1581" s="52">
        <f t="shared" si="34"/>
        <v>-1000000</v>
      </c>
    </row>
    <row r="1582" spans="1:13">
      <c r="A1582" t="s">
        <v>81</v>
      </c>
      <c r="B1582" t="s">
        <v>86</v>
      </c>
      <c r="C1582" s="51">
        <v>137611435372</v>
      </c>
      <c r="D1582" s="1">
        <v>-144652.32999999999</v>
      </c>
      <c r="E1582" s="1">
        <v>12987065.060000001</v>
      </c>
      <c r="F1582" s="27" t="s">
        <v>1281</v>
      </c>
      <c r="G1582" s="16">
        <f>+D1582/1.006</f>
        <v>-143789.59244532802</v>
      </c>
      <c r="H1582" s="16"/>
      <c r="I1582" s="16"/>
      <c r="J1582" s="68"/>
      <c r="K1582" s="68"/>
      <c r="L1582" s="68"/>
      <c r="M1582" s="52">
        <f>+D1582-I1582-J1582-K1582-L1582</f>
        <v>-144652.32999999999</v>
      </c>
    </row>
    <row r="1583" spans="1:13">
      <c r="A1583" t="s">
        <v>81</v>
      </c>
      <c r="B1583" t="s">
        <v>87</v>
      </c>
      <c r="C1583" s="51">
        <v>137621114436</v>
      </c>
      <c r="D1583" s="1">
        <v>-45268.99</v>
      </c>
      <c r="E1583" s="1">
        <v>12941796.07</v>
      </c>
      <c r="F1583" s="27" t="s">
        <v>1281</v>
      </c>
      <c r="G1583" s="16">
        <f>+D1583/1.006</f>
        <v>-44998.99602385686</v>
      </c>
      <c r="H1583" s="16"/>
      <c r="I1583" s="16"/>
      <c r="J1583" s="68"/>
      <c r="K1583" s="68"/>
      <c r="L1583" s="68"/>
      <c r="M1583" s="52">
        <f>+D1583-I1583-J1583-K1583-L1583</f>
        <v>-45268.99</v>
      </c>
    </row>
    <row r="1584" spans="1:13">
      <c r="A1584" s="59" t="s">
        <v>106</v>
      </c>
      <c r="B1584" s="59" t="s">
        <v>13</v>
      </c>
      <c r="C1584" s="65">
        <v>137625617225</v>
      </c>
      <c r="D1584" s="66">
        <v>-1800</v>
      </c>
      <c r="E1584" s="1">
        <v>17348924.239999998</v>
      </c>
      <c r="F1584" s="59" t="s">
        <v>1242</v>
      </c>
      <c r="G1584" s="67">
        <f>+D1584/0.006</f>
        <v>-300000</v>
      </c>
      <c r="H1584" s="67"/>
      <c r="I1584" s="16"/>
      <c r="J1584" s="68"/>
      <c r="K1584" s="68"/>
      <c r="L1584" s="68"/>
      <c r="M1584" s="75">
        <f>+D1584</f>
        <v>-1800</v>
      </c>
    </row>
    <row r="1585" spans="1:13">
      <c r="A1585" s="59" t="s">
        <v>106</v>
      </c>
      <c r="B1585" s="59" t="s">
        <v>66</v>
      </c>
      <c r="C1585" s="65">
        <v>137625617225</v>
      </c>
      <c r="D1585" s="66">
        <v>-300000</v>
      </c>
      <c r="E1585" s="1">
        <v>17350724.239999998</v>
      </c>
      <c r="F1585" s="59" t="s">
        <v>1281</v>
      </c>
      <c r="G1585" s="67"/>
      <c r="H1585" s="67"/>
      <c r="I1585" s="16"/>
      <c r="J1585" s="68"/>
      <c r="K1585" s="68"/>
      <c r="L1585" s="68"/>
      <c r="M1585" s="75">
        <f>+D1585</f>
        <v>-300000</v>
      </c>
    </row>
    <row r="1586" spans="1:13">
      <c r="A1586" t="s">
        <v>106</v>
      </c>
      <c r="B1586" t="s">
        <v>107</v>
      </c>
      <c r="C1586" s="51">
        <v>137628567805</v>
      </c>
      <c r="D1586" s="1">
        <v>-366988.79999999999</v>
      </c>
      <c r="E1586" s="1">
        <v>16981935.440000001</v>
      </c>
      <c r="F1586" s="27" t="s">
        <v>1281</v>
      </c>
      <c r="G1586" s="16">
        <f>+D1586/1.006</f>
        <v>-364800</v>
      </c>
      <c r="H1586" s="16"/>
      <c r="I1586" s="16"/>
      <c r="J1586" s="68"/>
      <c r="K1586" s="68"/>
      <c r="L1586" s="68"/>
      <c r="M1586" s="52">
        <f>+D1586-I1586-J1586-K1586-L1586</f>
        <v>-366988.79999999999</v>
      </c>
    </row>
    <row r="1587" spans="1:13">
      <c r="A1587" t="s">
        <v>106</v>
      </c>
      <c r="B1587" t="s">
        <v>67</v>
      </c>
      <c r="C1587" s="51">
        <v>137647504691</v>
      </c>
      <c r="D1587" s="1">
        <v>-3200000</v>
      </c>
      <c r="E1587" s="1">
        <v>13781935.439999999</v>
      </c>
      <c r="F1587" s="27" t="s">
        <v>1283</v>
      </c>
      <c r="G1587" s="16">
        <f>+D1587</f>
        <v>-3200000</v>
      </c>
      <c r="H1587" s="16"/>
      <c r="I1587" s="16"/>
      <c r="J1587" s="68"/>
      <c r="K1587" s="68"/>
      <c r="L1587" s="68"/>
      <c r="M1587" s="52">
        <f>+D1587</f>
        <v>-3200000</v>
      </c>
    </row>
    <row r="1588" spans="1:13">
      <c r="A1588" t="s">
        <v>106</v>
      </c>
      <c r="B1588" t="s">
        <v>108</v>
      </c>
      <c r="C1588" s="51">
        <v>137676769397</v>
      </c>
      <c r="D1588" s="1">
        <v>-89507.839999999997</v>
      </c>
      <c r="E1588" s="1">
        <v>13692427.6</v>
      </c>
      <c r="F1588" s="27" t="s">
        <v>1281</v>
      </c>
      <c r="G1588" s="16">
        <f>+D1588/1.006</f>
        <v>-88973.99602385686</v>
      </c>
      <c r="H1588" s="16"/>
      <c r="I1588" s="16"/>
      <c r="J1588" s="68"/>
      <c r="K1588" s="68"/>
      <c r="L1588" s="68"/>
      <c r="M1588" s="52">
        <f>+D1588-I1588-J1588-K1588-L1588</f>
        <v>-89507.839999999997</v>
      </c>
    </row>
    <row r="1589" spans="1:13">
      <c r="A1589" s="59" t="s">
        <v>118</v>
      </c>
      <c r="B1589" s="59" t="s">
        <v>13</v>
      </c>
      <c r="C1589" s="65">
        <v>137934058475</v>
      </c>
      <c r="D1589" s="66">
        <v>-3084.42</v>
      </c>
      <c r="E1589" s="1">
        <v>16851886.300000001</v>
      </c>
      <c r="F1589" s="59" t="s">
        <v>1242</v>
      </c>
      <c r="G1589" s="67">
        <f>+D1589/0.006</f>
        <v>-514070</v>
      </c>
      <c r="H1589" s="67"/>
      <c r="I1589" s="16"/>
      <c r="J1589" s="68"/>
      <c r="K1589" s="68"/>
      <c r="L1589" s="68"/>
      <c r="M1589" s="75">
        <f>+D1589</f>
        <v>-3084.42</v>
      </c>
    </row>
    <row r="1590" spans="1:13">
      <c r="A1590" s="59" t="s">
        <v>118</v>
      </c>
      <c r="B1590" s="59" t="s">
        <v>124</v>
      </c>
      <c r="C1590" s="65">
        <v>137934058475</v>
      </c>
      <c r="D1590" s="66">
        <v>-514069.75</v>
      </c>
      <c r="E1590" s="1">
        <v>16854970.719999999</v>
      </c>
      <c r="F1590" s="59" t="s">
        <v>1281</v>
      </c>
      <c r="G1590" s="67"/>
      <c r="H1590" s="67"/>
      <c r="I1590" s="16"/>
      <c r="J1590" s="68"/>
      <c r="K1590" s="68"/>
      <c r="L1590" s="68"/>
      <c r="M1590" s="75">
        <f>+D1590</f>
        <v>-514069.75</v>
      </c>
    </row>
    <row r="1591" spans="1:13">
      <c r="A1591" t="s">
        <v>202</v>
      </c>
      <c r="B1591" t="s">
        <v>203</v>
      </c>
      <c r="C1591" s="51">
        <v>139485224387</v>
      </c>
      <c r="D1591">
        <v>773.41</v>
      </c>
      <c r="E1591" s="1">
        <v>11211935.77</v>
      </c>
      <c r="F1591" t="s">
        <v>1280</v>
      </c>
      <c r="I1591" s="16"/>
      <c r="J1591" s="68"/>
      <c r="K1591" s="68"/>
      <c r="L1591" s="68"/>
      <c r="M1591" s="74">
        <f t="shared" ref="M1591" si="35">+D1591-I1591-J1591-K1591-L1591</f>
        <v>773.41</v>
      </c>
    </row>
    <row r="1592" spans="1:13">
      <c r="A1592" t="s">
        <v>118</v>
      </c>
      <c r="B1592" t="s">
        <v>67</v>
      </c>
      <c r="C1592" s="51">
        <v>137938761795</v>
      </c>
      <c r="D1592" s="1">
        <v>-2000000</v>
      </c>
      <c r="E1592" s="1">
        <v>10851886.300000001</v>
      </c>
      <c r="F1592" s="27" t="s">
        <v>1283</v>
      </c>
      <c r="G1592" s="16">
        <f>+D1592</f>
        <v>-2000000</v>
      </c>
      <c r="H1592" s="16"/>
      <c r="I1592" s="16"/>
      <c r="J1592" s="68"/>
      <c r="K1592" s="68"/>
      <c r="L1592" s="68"/>
      <c r="M1592" s="52">
        <f>+D1592</f>
        <v>-2000000</v>
      </c>
    </row>
    <row r="1593" spans="1:13">
      <c r="A1593" s="59" t="s">
        <v>118</v>
      </c>
      <c r="B1593" s="59" t="s">
        <v>13</v>
      </c>
      <c r="C1593" s="65">
        <v>138016711113</v>
      </c>
      <c r="D1593" s="66">
        <v>-2400</v>
      </c>
      <c r="E1593" s="1">
        <v>10449486.300000001</v>
      </c>
      <c r="F1593" s="59" t="s">
        <v>1242</v>
      </c>
      <c r="G1593" s="67">
        <f>+D1593/0.006</f>
        <v>-400000</v>
      </c>
      <c r="H1593" s="67"/>
      <c r="I1593" s="16"/>
      <c r="J1593" s="68"/>
      <c r="K1593" s="68"/>
      <c r="L1593" s="68"/>
      <c r="M1593" s="75">
        <f>+D1593</f>
        <v>-2400</v>
      </c>
    </row>
    <row r="1594" spans="1:13">
      <c r="A1594" s="59" t="s">
        <v>118</v>
      </c>
      <c r="B1594" s="59" t="s">
        <v>66</v>
      </c>
      <c r="C1594" s="65">
        <v>138016711113</v>
      </c>
      <c r="D1594" s="66">
        <v>-400000</v>
      </c>
      <c r="E1594" s="1">
        <v>10451886.300000001</v>
      </c>
      <c r="F1594" s="59" t="s">
        <v>1281</v>
      </c>
      <c r="G1594" s="67"/>
      <c r="H1594" s="67"/>
      <c r="I1594" s="16"/>
      <c r="J1594" s="68"/>
      <c r="K1594" s="68"/>
      <c r="L1594" s="68"/>
      <c r="M1594" s="75">
        <f>+D1594</f>
        <v>-400000</v>
      </c>
    </row>
    <row r="1595" spans="1:13">
      <c r="A1595" t="s">
        <v>106</v>
      </c>
      <c r="B1595" t="s">
        <v>109</v>
      </c>
      <c r="C1595" s="51">
        <v>138355746802</v>
      </c>
      <c r="D1595" s="1">
        <v>-118708</v>
      </c>
      <c r="E1595" s="1">
        <v>13573719.6</v>
      </c>
      <c r="F1595" s="27" t="s">
        <v>1281</v>
      </c>
      <c r="G1595" s="16">
        <f>+D1595/1.006</f>
        <v>-118000</v>
      </c>
      <c r="H1595" s="16"/>
      <c r="I1595" s="16"/>
      <c r="J1595" s="68"/>
      <c r="K1595" s="68"/>
      <c r="L1595" s="68"/>
      <c r="M1595" s="52">
        <f>+D1595-I1595-J1595-K1595-L1595</f>
        <v>-118708</v>
      </c>
    </row>
    <row r="1596" spans="1:13">
      <c r="A1596" t="s">
        <v>202</v>
      </c>
      <c r="B1596" t="s">
        <v>201</v>
      </c>
      <c r="C1596" s="51">
        <v>139485730265</v>
      </c>
      <c r="D1596">
        <v>724.46</v>
      </c>
      <c r="E1596" s="1">
        <v>11273337.68</v>
      </c>
      <c r="F1596" t="s">
        <v>1280</v>
      </c>
      <c r="I1596" s="16"/>
      <c r="J1596" s="68"/>
      <c r="K1596" s="68"/>
      <c r="L1596" s="68"/>
      <c r="M1596" s="74">
        <f t="shared" ref="M1596" si="36">+D1596-I1596-J1596-K1596-L1596</f>
        <v>724.46</v>
      </c>
    </row>
    <row r="1597" spans="1:13">
      <c r="A1597" t="s">
        <v>149</v>
      </c>
      <c r="B1597" t="s">
        <v>65</v>
      </c>
      <c r="C1597" s="51">
        <v>138371810153</v>
      </c>
      <c r="D1597" s="17">
        <v>-716612.4</v>
      </c>
      <c r="E1597" s="1">
        <v>16030589.710000001</v>
      </c>
      <c r="F1597" s="27" t="s">
        <v>1282</v>
      </c>
      <c r="G1597" s="16">
        <f>+D1597/1.006</f>
        <v>-712338.36978131218</v>
      </c>
      <c r="H1597" s="16"/>
      <c r="I1597" s="16"/>
      <c r="J1597" s="68"/>
      <c r="K1597" s="68"/>
      <c r="L1597" s="68"/>
      <c r="M1597" s="52">
        <f>+D1597-I1597-J1597-K1597-L1597</f>
        <v>-716612.4</v>
      </c>
    </row>
    <row r="1598" spans="1:13">
      <c r="A1598" t="s">
        <v>118</v>
      </c>
      <c r="B1598" t="s">
        <v>67</v>
      </c>
      <c r="C1598" s="51">
        <v>138579078470</v>
      </c>
      <c r="D1598" s="1">
        <v>-2000000</v>
      </c>
      <c r="E1598" s="1">
        <v>12851886.300000001</v>
      </c>
      <c r="F1598" s="27" t="s">
        <v>1283</v>
      </c>
      <c r="G1598" s="16">
        <f>+D1598</f>
        <v>-2000000</v>
      </c>
      <c r="H1598" s="16"/>
      <c r="I1598" s="16"/>
      <c r="J1598" s="68"/>
      <c r="K1598" s="68"/>
      <c r="L1598" s="68"/>
      <c r="M1598" s="52">
        <f t="shared" ref="M1598:M1599" si="37">+D1598</f>
        <v>-2000000</v>
      </c>
    </row>
    <row r="1599" spans="1:13">
      <c r="A1599" t="s">
        <v>118</v>
      </c>
      <c r="B1599" t="s">
        <v>67</v>
      </c>
      <c r="C1599" s="51">
        <v>138579090174</v>
      </c>
      <c r="D1599" s="1">
        <v>-2000000</v>
      </c>
      <c r="E1599" s="1">
        <v>14851886.300000001</v>
      </c>
      <c r="F1599" s="27" t="s">
        <v>1283</v>
      </c>
      <c r="G1599" s="16">
        <f>+D1599</f>
        <v>-2000000</v>
      </c>
      <c r="H1599" s="16"/>
      <c r="I1599" s="16"/>
      <c r="J1599" s="68"/>
      <c r="K1599" s="68"/>
      <c r="L1599" s="68"/>
      <c r="M1599" s="52">
        <f t="shared" si="37"/>
        <v>-2000000</v>
      </c>
    </row>
    <row r="1600" spans="1:13">
      <c r="A1600" t="s">
        <v>127</v>
      </c>
      <c r="B1600" t="s">
        <v>131</v>
      </c>
      <c r="C1600" s="51">
        <v>138781228844</v>
      </c>
      <c r="D1600" s="1">
        <v>-66827.570000000007</v>
      </c>
      <c r="E1600" s="1">
        <v>12611533.42</v>
      </c>
      <c r="F1600" s="27" t="s">
        <v>1281</v>
      </c>
      <c r="G1600" s="16">
        <f>+D1600/1.006</f>
        <v>-66428.99602385686</v>
      </c>
      <c r="H1600" s="16"/>
      <c r="I1600" s="16"/>
      <c r="J1600" s="68"/>
      <c r="K1600" s="68"/>
      <c r="L1600" s="68"/>
      <c r="M1600" s="52">
        <f>+D1600-I1600-J1600-K1600-L1600</f>
        <v>-66827.570000000007</v>
      </c>
    </row>
    <row r="1601" spans="1:13">
      <c r="A1601" t="s">
        <v>202</v>
      </c>
      <c r="B1601" t="s">
        <v>205</v>
      </c>
      <c r="C1601" s="51">
        <v>140133811442</v>
      </c>
      <c r="D1601">
        <v>719.56</v>
      </c>
      <c r="E1601" s="1">
        <v>11440750.1</v>
      </c>
      <c r="F1601" t="s">
        <v>1280</v>
      </c>
      <c r="I1601" s="16"/>
      <c r="J1601" s="68"/>
      <c r="K1601" s="68"/>
      <c r="L1601" s="68"/>
      <c r="M1601" s="74">
        <f t="shared" ref="M1601" si="38">+D1601-I1601-J1601-K1601-L1601</f>
        <v>719.56</v>
      </c>
    </row>
    <row r="1602" spans="1:13">
      <c r="A1602" t="s">
        <v>168</v>
      </c>
      <c r="B1602" t="s">
        <v>65</v>
      </c>
      <c r="C1602" s="51">
        <v>138873529219</v>
      </c>
      <c r="D1602" s="1">
        <v>-5960492.9299999997</v>
      </c>
      <c r="E1602" s="1">
        <v>12063892.550000001</v>
      </c>
      <c r="F1602" s="27" t="s">
        <v>1282</v>
      </c>
      <c r="G1602" s="16">
        <f>+D1602/1.006</f>
        <v>-5924943.2703777328</v>
      </c>
      <c r="H1602" s="16"/>
      <c r="I1602" s="16"/>
      <c r="J1602" s="68"/>
      <c r="K1602" s="68"/>
      <c r="L1602" s="68"/>
      <c r="M1602" s="52">
        <f>+D1602-I1602-J1602-K1602-L1602</f>
        <v>-5960492.9299999997</v>
      </c>
    </row>
    <row r="1603" spans="1:13">
      <c r="A1603" s="59" t="s">
        <v>149</v>
      </c>
      <c r="B1603" s="59" t="s">
        <v>13</v>
      </c>
      <c r="C1603" s="65">
        <v>139008795034</v>
      </c>
      <c r="D1603" s="66">
        <v>-3000</v>
      </c>
      <c r="E1603" s="1">
        <v>16747202.109999999</v>
      </c>
      <c r="F1603" s="59" t="s">
        <v>1242</v>
      </c>
      <c r="G1603" s="67">
        <f>+D1603/0.006</f>
        <v>-500000</v>
      </c>
      <c r="H1603" s="67"/>
      <c r="I1603" s="16"/>
      <c r="J1603" s="68"/>
      <c r="K1603" s="68"/>
      <c r="L1603" s="68"/>
      <c r="M1603" s="75">
        <f>+D1603</f>
        <v>-3000</v>
      </c>
    </row>
    <row r="1604" spans="1:13">
      <c r="A1604" t="s">
        <v>202</v>
      </c>
      <c r="B1604" t="s">
        <v>198</v>
      </c>
      <c r="C1604" s="51">
        <v>140133851874</v>
      </c>
      <c r="D1604">
        <v>469.92</v>
      </c>
      <c r="E1604" s="1">
        <v>11529881.32</v>
      </c>
      <c r="F1604" t="s">
        <v>1280</v>
      </c>
      <c r="I1604" s="16"/>
      <c r="J1604" s="68"/>
      <c r="K1604" s="68"/>
      <c r="L1604" s="68"/>
      <c r="M1604" s="74">
        <f t="shared" ref="M1604" si="39">+D1604-I1604-J1604-K1604-L1604</f>
        <v>469.92</v>
      </c>
    </row>
    <row r="1605" spans="1:13">
      <c r="A1605" s="59" t="s">
        <v>149</v>
      </c>
      <c r="B1605" s="59" t="s">
        <v>66</v>
      </c>
      <c r="C1605" s="65">
        <v>139008795034</v>
      </c>
      <c r="D1605" s="66">
        <v>-500000</v>
      </c>
      <c r="E1605" s="1">
        <v>16750202.109999999</v>
      </c>
      <c r="F1605" s="59" t="s">
        <v>1281</v>
      </c>
      <c r="G1605" s="67"/>
      <c r="H1605" s="67"/>
      <c r="I1605" s="16"/>
      <c r="J1605" s="68"/>
      <c r="K1605" s="68"/>
      <c r="L1605" s="68"/>
      <c r="M1605" s="75">
        <f>+D1605</f>
        <v>-500000</v>
      </c>
    </row>
    <row r="1606" spans="1:13">
      <c r="A1606" t="s">
        <v>151</v>
      </c>
      <c r="B1606" t="s">
        <v>152</v>
      </c>
      <c r="C1606" s="51">
        <v>139221936120</v>
      </c>
      <c r="D1606" s="1">
        <v>-169242.76</v>
      </c>
      <c r="E1606" s="1">
        <v>15861346.949999999</v>
      </c>
      <c r="F1606" s="27" t="s">
        <v>1281</v>
      </c>
      <c r="G1606" s="16">
        <f>+D1606/1.006</f>
        <v>-168233.35984095428</v>
      </c>
      <c r="H1606" s="16"/>
      <c r="I1606" s="16"/>
      <c r="J1606" s="68"/>
      <c r="K1606" s="68"/>
      <c r="L1606" s="68"/>
      <c r="M1606" s="52">
        <f>+D1606-I1606-J1606-K1606-L1606</f>
        <v>-169242.76</v>
      </c>
    </row>
    <row r="1607" spans="1:13">
      <c r="A1607" s="59" t="s">
        <v>158</v>
      </c>
      <c r="B1607" s="59" t="s">
        <v>13</v>
      </c>
      <c r="C1607" s="65">
        <v>139334412514</v>
      </c>
      <c r="D1607" s="59">
        <v>-241.85</v>
      </c>
      <c r="E1607" s="1">
        <v>17340249.719999999</v>
      </c>
      <c r="F1607" s="59" t="s">
        <v>1242</v>
      </c>
      <c r="G1607" s="67">
        <f>+D1607/0.006</f>
        <v>-40308.333333333328</v>
      </c>
      <c r="H1607" s="67"/>
      <c r="I1607" s="16"/>
      <c r="J1607" s="68"/>
      <c r="K1607" s="68"/>
      <c r="L1607" s="68"/>
      <c r="M1607" s="75">
        <f>+D1607</f>
        <v>-241.85</v>
      </c>
    </row>
    <row r="1608" spans="1:13">
      <c r="A1608" s="59" t="s">
        <v>158</v>
      </c>
      <c r="B1608" s="59" t="s">
        <v>163</v>
      </c>
      <c r="C1608" s="65">
        <v>139334412514</v>
      </c>
      <c r="D1608" s="66">
        <v>-40308</v>
      </c>
      <c r="E1608" s="1">
        <v>17340491.57</v>
      </c>
      <c r="F1608" s="59" t="s">
        <v>1281</v>
      </c>
      <c r="G1608" s="67"/>
      <c r="H1608" s="67"/>
      <c r="I1608" s="16"/>
      <c r="J1608" s="68"/>
      <c r="K1608" s="68"/>
      <c r="L1608" s="68"/>
      <c r="M1608" s="75">
        <f>+D1608</f>
        <v>-40308</v>
      </c>
    </row>
    <row r="1609" spans="1:13">
      <c r="A1609" t="s">
        <v>194</v>
      </c>
      <c r="B1609" t="s">
        <v>67</v>
      </c>
      <c r="C1609" s="51">
        <v>139377235019</v>
      </c>
      <c r="D1609" s="1">
        <v>-2000000</v>
      </c>
      <c r="E1609" s="1">
        <v>11177413.859999999</v>
      </c>
      <c r="F1609" s="27" t="s">
        <v>1283</v>
      </c>
      <c r="G1609" s="16">
        <f>+D1609</f>
        <v>-2000000</v>
      </c>
      <c r="H1609" s="16"/>
      <c r="I1609" s="16"/>
      <c r="J1609" s="68"/>
      <c r="K1609" s="68"/>
      <c r="L1609" s="68"/>
      <c r="M1609" s="52">
        <f>+D1609</f>
        <v>-2000000</v>
      </c>
    </row>
    <row r="1610" spans="1:13">
      <c r="A1610" s="59" t="s">
        <v>168</v>
      </c>
      <c r="B1610" s="59" t="s">
        <v>13</v>
      </c>
      <c r="C1610" s="65">
        <v>139546743318</v>
      </c>
      <c r="D1610" s="59">
        <v>-794.31</v>
      </c>
      <c r="E1610" s="1">
        <v>11930713.949999999</v>
      </c>
      <c r="F1610" s="59" t="s">
        <v>1242</v>
      </c>
      <c r="G1610" s="67">
        <f>+D1610/0.006</f>
        <v>-132385</v>
      </c>
      <c r="H1610" s="67"/>
      <c r="I1610" s="16"/>
      <c r="J1610" s="68"/>
      <c r="K1610" s="68"/>
      <c r="L1610" s="68"/>
      <c r="M1610" s="75">
        <f>+D1610</f>
        <v>-794.31</v>
      </c>
    </row>
    <row r="1611" spans="1:13">
      <c r="A1611" s="59" t="s">
        <v>168</v>
      </c>
      <c r="B1611" s="59" t="s">
        <v>163</v>
      </c>
      <c r="C1611" s="65">
        <v>139546743318</v>
      </c>
      <c r="D1611" s="66">
        <v>-132384.29</v>
      </c>
      <c r="E1611" s="1">
        <v>11931508.26</v>
      </c>
      <c r="F1611" s="59" t="s">
        <v>1281</v>
      </c>
      <c r="G1611" s="67"/>
      <c r="H1611" s="67"/>
      <c r="I1611" s="16"/>
      <c r="J1611" s="68"/>
      <c r="K1611" s="68"/>
      <c r="L1611" s="68"/>
      <c r="M1611" s="75">
        <f>+D1611</f>
        <v>-132384.29</v>
      </c>
    </row>
    <row r="1612" spans="1:13">
      <c r="A1612" t="s">
        <v>168</v>
      </c>
      <c r="B1612" t="s">
        <v>107</v>
      </c>
      <c r="C1612" s="51">
        <v>139565543138</v>
      </c>
      <c r="D1612" s="1">
        <v>-192385.12</v>
      </c>
      <c r="E1612" s="1">
        <v>11738328.83</v>
      </c>
      <c r="F1612" s="27" t="s">
        <v>1281</v>
      </c>
      <c r="G1612" s="16">
        <f>+D1612/1.006</f>
        <v>-191237.69383697811</v>
      </c>
      <c r="H1612" s="16"/>
      <c r="I1612" s="16"/>
      <c r="J1612" s="68"/>
      <c r="K1612" s="68"/>
      <c r="L1612" s="68"/>
      <c r="M1612" s="52">
        <f>+D1612-I1612-J1612-K1612-L1612</f>
        <v>-192385.12</v>
      </c>
    </row>
    <row r="1613" spans="1:13">
      <c r="A1613" t="s">
        <v>177</v>
      </c>
      <c r="B1613" t="s">
        <v>182</v>
      </c>
      <c r="C1613" s="51">
        <v>139791742310</v>
      </c>
      <c r="D1613" s="1">
        <v>-86803.41</v>
      </c>
      <c r="E1613" s="1">
        <v>15825426.199999999</v>
      </c>
      <c r="F1613" s="27" t="s">
        <v>1281</v>
      </c>
      <c r="G1613" s="16">
        <f>+D1613/1.006</f>
        <v>-86285.695825049712</v>
      </c>
      <c r="H1613" s="16"/>
      <c r="I1613" s="16"/>
      <c r="J1613" s="68"/>
      <c r="K1613" s="68"/>
      <c r="L1613" s="68"/>
      <c r="M1613" s="52">
        <f>+D1613-I1613-J1613-K1613-L1613</f>
        <v>-86803.41</v>
      </c>
    </row>
    <row r="1614" spans="1:13">
      <c r="A1614" t="s">
        <v>194</v>
      </c>
      <c r="B1614" t="s">
        <v>67</v>
      </c>
      <c r="C1614" s="51">
        <v>140025042408</v>
      </c>
      <c r="D1614" s="1">
        <v>-2000000</v>
      </c>
      <c r="E1614" s="1">
        <v>15177413.859999999</v>
      </c>
      <c r="F1614" s="27" t="s">
        <v>1283</v>
      </c>
      <c r="G1614" s="16">
        <f>+D1614</f>
        <v>-2000000</v>
      </c>
      <c r="H1614" s="16"/>
      <c r="I1614" s="16"/>
      <c r="J1614" s="68"/>
      <c r="K1614" s="68"/>
      <c r="L1614" s="68"/>
      <c r="M1614" s="52">
        <f t="shared" ref="M1614:M1616" si="40">+D1614</f>
        <v>-2000000</v>
      </c>
    </row>
    <row r="1615" spans="1:13">
      <c r="A1615" t="s">
        <v>194</v>
      </c>
      <c r="B1615" t="s">
        <v>67</v>
      </c>
      <c r="C1615" s="51">
        <v>140025238710</v>
      </c>
      <c r="D1615" s="1">
        <v>-1000000</v>
      </c>
      <c r="E1615" s="1">
        <v>10177413.859999999</v>
      </c>
      <c r="F1615" s="27" t="s">
        <v>1283</v>
      </c>
      <c r="G1615" s="16">
        <f>+D1615</f>
        <v>-1000000</v>
      </c>
      <c r="H1615" s="16"/>
      <c r="I1615" s="16"/>
      <c r="J1615" s="68"/>
      <c r="K1615" s="68"/>
      <c r="L1615" s="68"/>
      <c r="M1615" s="52">
        <f t="shared" si="40"/>
        <v>-1000000</v>
      </c>
    </row>
    <row r="1616" spans="1:13">
      <c r="A1616" t="s">
        <v>194</v>
      </c>
      <c r="B1616" t="s">
        <v>67</v>
      </c>
      <c r="C1616" s="51">
        <v>140025370240</v>
      </c>
      <c r="D1616" s="1">
        <v>-2000000</v>
      </c>
      <c r="E1616" s="1">
        <v>13177413.859999999</v>
      </c>
      <c r="F1616" s="27" t="s">
        <v>1283</v>
      </c>
      <c r="G1616" s="16">
        <f>+D1616</f>
        <v>-2000000</v>
      </c>
      <c r="H1616" s="16"/>
      <c r="I1616" s="16"/>
      <c r="J1616" s="68"/>
      <c r="K1616" s="68"/>
      <c r="L1616" s="68"/>
      <c r="M1616" s="52">
        <f t="shared" si="40"/>
        <v>-2000000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sheet0</vt:lpstr>
      <vt:lpstr>TR</vt:lpstr>
      <vt:lpstr>Hoja1</vt:lpstr>
      <vt:lpstr>SIRCUPA</vt:lpstr>
      <vt:lpstr>SIRTAC</vt:lpstr>
      <vt:lpstr>Gastos</vt:lpstr>
      <vt:lpstr>IDC</vt:lpstr>
      <vt:lpstr>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Santiago Bechir</cp:lastModifiedBy>
  <dcterms:created xsi:type="dcterms:W3CDTF">2026-03-18T11:46:48Z</dcterms:created>
  <dcterms:modified xsi:type="dcterms:W3CDTF">2026-09-11T01:44:37Z</dcterms:modified>
</cp:coreProperties>
</file>